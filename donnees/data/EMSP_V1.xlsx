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gende" sheetId="1" state="visible" r:id="rId1"/>
    <sheet xmlns:r="http://schemas.openxmlformats.org/officeDocument/2006/relationships" name="P0_Parametres" sheetId="2" state="visible" r:id="rId2"/>
    <sheet xmlns:r="http://schemas.openxmlformats.org/officeDocument/2006/relationships" name="P1_Roles" sheetId="3" state="visible" r:id="rId3"/>
    <sheet xmlns:r="http://schemas.openxmlformats.org/officeDocument/2006/relationships" name="A1_Etudiants" sheetId="4" state="visible" r:id="rId4"/>
    <sheet xmlns:r="http://schemas.openxmlformats.org/officeDocument/2006/relationships" name="A2_Presences" sheetId="5" state="visible" r:id="rId5"/>
    <sheet xmlns:r="http://schemas.openxmlformats.org/officeDocument/2006/relationships" name="A3_Sessions" sheetId="6" state="visible" r:id="rId6"/>
    <sheet xmlns:r="http://schemas.openxmlformats.org/officeDocument/2006/relationships" name="A4_Documents_etud" sheetId="7" state="visible" r:id="rId7"/>
    <sheet xmlns:r="http://schemas.openxmlformats.org/officeDocument/2006/relationships" name="S1_Stages" sheetId="8" state="visible" r:id="rId8"/>
    <sheet xmlns:r="http://schemas.openxmlformats.org/officeDocument/2006/relationships" name="E1_Enseignants" sheetId="9" state="visible" r:id="rId9"/>
    <sheet xmlns:r="http://schemas.openxmlformats.org/officeDocument/2006/relationships" name="E2_Releve_heures" sheetId="10" state="visible" r:id="rId10"/>
    <sheet xmlns:r="http://schemas.openxmlformats.org/officeDocument/2006/relationships" name="L1_Salles" sheetId="11" state="visible" r:id="rId11"/>
    <sheet xmlns:r="http://schemas.openxmlformats.org/officeDocument/2006/relationships" name="F1_Mouvements" sheetId="12" state="visible" r:id="rId12"/>
    <sheet xmlns:r="http://schemas.openxmlformats.org/officeDocument/2006/relationships" name="F2_Comptes" sheetId="13" state="visible" r:id="rId13"/>
    <sheet xmlns:r="http://schemas.openxmlformats.org/officeDocument/2006/relationships" name="G1_Plan_action" sheetId="14" state="visible" r:id="rId14"/>
    <sheet xmlns:r="http://schemas.openxmlformats.org/officeDocument/2006/relationships" name="H1_Biblio_docs" sheetId="15" state="visible" r:id="rId15"/>
    <sheet xmlns:r="http://schemas.openxmlformats.org/officeDocument/2006/relationships" name="TDB_Direction" sheetId="16" state="visible" r:id="rId16"/>
    <sheet xmlns:r="http://schemas.openxmlformats.org/officeDocument/2006/relationships" name="Dictionnaire" sheetId="17" state="visible" r:id="rId17"/>
    <sheet xmlns:r="http://schemas.openxmlformats.org/officeDocument/2006/relationships" name="Guide" sheetId="18" state="visible" r:id="rId18"/>
    <sheet xmlns:r="http://schemas.openxmlformats.org/officeDocument/2006/relationships" name="IMPORT_zone" sheetId="19" state="visible" r:id="rId19"/>
    <sheet xmlns:r="http://schemas.openxmlformats.org/officeDocument/2006/relationships" name="D1_Modeles_docs" sheetId="20" state="visible" r:id="rId20"/>
    <sheet xmlns:r="http://schemas.openxmlformats.org/officeDocument/2006/relationships" name="L2_Reservations" sheetId="21" state="visible" r:id="rId21"/>
    <sheet xmlns:r="http://schemas.openxmlformats.org/officeDocument/2006/relationships" name="M1_Equipements" sheetId="22" state="visible" r:id="rId22"/>
    <sheet xmlns:r="http://schemas.openxmlformats.org/officeDocument/2006/relationships" name="R1_Maquettes" sheetId="23" state="visible" r:id="rId23"/>
    <sheet xmlns:r="http://schemas.openxmlformats.org/officeDocument/2006/relationships" name="S2_Lieux_stage" sheetId="24" state="visible" r:id="rId24"/>
    <sheet xmlns:r="http://schemas.openxmlformats.org/officeDocument/2006/relationships" name="L3_Besoins" sheetId="25" state="visible" r:id="rId25"/>
    <sheet xmlns:r="http://schemas.openxmlformats.org/officeDocument/2006/relationships" name="J1_Journal_eleves" sheetId="26" state="visible" r:id="rId26"/>
    <sheet xmlns:r="http://schemas.openxmlformats.org/officeDocument/2006/relationships" name="J2_Journal_compta" sheetId="27" state="visible" r:id="rId27"/>
    <sheet xmlns:r="http://schemas.openxmlformats.org/officeDocument/2006/relationships" name="E3_Seances_faites" sheetId="28" state="visible" r:id="rId28"/>
    <sheet xmlns:r="http://schemas.openxmlformats.org/officeDocument/2006/relationships" name="F3_Budget_poste" sheetId="29" state="visible" r:id="rId29"/>
    <sheet xmlns:r="http://schemas.openxmlformats.org/officeDocument/2006/relationships" name="P2_Taux" sheetId="30" state="visible" r:id="rId30"/>
    <sheet xmlns:r="http://schemas.openxmlformats.org/officeDocument/2006/relationships" name="F4_Bailleurs" sheetId="31" state="visible" r:id="rId31"/>
    <sheet xmlns:r="http://schemas.openxmlformats.org/officeDocument/2006/relationships" name="E4_Etats_paiement" sheetId="32" state="visible" r:id="rId32"/>
    <sheet xmlns:r="http://schemas.openxmlformats.org/officeDocument/2006/relationships" name="P3_Nomenclature" sheetId="33" state="visible" r:id="rId33"/>
    <sheet xmlns:r="http://schemas.openxmlformats.org/officeDocument/2006/relationships" name="F5_Budget_Prev" sheetId="34" state="visible" r:id="rId34"/>
  </sheets>
  <definedNames>
    <definedName name="Depense" hidden="0" function="0" vbProcedure="0">P0_Parametres!$H$3:$H$200</definedName>
    <definedName name="Recette" hidden="0" function="0" vbProcedure="0">P0_Parametres!$G$3:$G$200</definedName>
    <definedName name="_xlnm._FilterDatabase" localSheetId="1" hidden="1">'P0_Parametres'!$A$2:$O$200</definedName>
    <definedName name="_xlnm._FilterDatabase" localSheetId="2" hidden="1">'P1_Roles'!$A$2:$E$300</definedName>
    <definedName name="_xlnm._FilterDatabase" localSheetId="3" hidden="1">'A1_Etudiants'!$A$2:$O$300</definedName>
    <definedName name="_xlnm._FilterDatabase" localSheetId="4" hidden="1">'A2_Presences'!$A$2:$F$300</definedName>
    <definedName name="_xlnm._FilterDatabase" localSheetId="5" hidden="1">'A3_Sessions'!$A$2:$N$300</definedName>
    <definedName name="_xlnm._FilterDatabase" localSheetId="6" hidden="1">'A4_Documents_etud'!$A$2:$G$300</definedName>
    <definedName name="_xlnm._FilterDatabase" localSheetId="7" hidden="1">'S1_Stages'!$A$2:$I$300</definedName>
    <definedName name="_xlnm._FilterDatabase" localSheetId="8" hidden="1">'E1_Enseignants'!$A$2:$I$300</definedName>
    <definedName name="_xlnm._FilterDatabase" localSheetId="9" hidden="1">'E2_Releve_heures'!$A$2:$E$300</definedName>
    <definedName name="_xlnm._FilterDatabase" localSheetId="10" hidden="1">'L1_Salles'!$A$2:$F$300</definedName>
    <definedName name="_xlnm._FilterDatabase" localSheetId="11" hidden="1">'F1_Mouvements'!$A$2:$P$300</definedName>
    <definedName name="_xlnm._FilterDatabase" localSheetId="12" hidden="1">'F2_Comptes'!$A$2:$D$51</definedName>
    <definedName name="_xlnm._FilterDatabase" localSheetId="13" hidden="1">'G1_Plan_action'!$A$2:$G$300</definedName>
    <definedName name="_xlnm._FilterDatabase" localSheetId="14" hidden="1">'H1_Biblio_docs'!$A$2:$F$300</definedName>
    <definedName name="_xlnm._FilterDatabase" localSheetId="16" hidden="1">'Dictionnaire'!$A$2:$G$134</definedName>
    <definedName name="_xlnm._FilterDatabase" localSheetId="18" hidden="1">'IMPORT_zone'!$A$2:$H$300</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m/d/yyyy"/>
    <numFmt numFmtId="165" formatCode="#,##0;\-#,##0;\-"/>
    <numFmt numFmtId="166" formatCode="0.0%"/>
  </numFmts>
  <fonts count="13">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5"/>
    </font>
    <font>
      <name val="Calibri"/>
      <charset val="1"/>
      <family val="0"/>
      <b val="1"/>
      <sz val="11"/>
    </font>
    <font>
      <name val="Calibri"/>
      <charset val="1"/>
      <family val="0"/>
      <sz val="11"/>
    </font>
    <font>
      <name val="Calibri"/>
      <charset val="1"/>
      <family val="0"/>
      <b val="1"/>
      <color rgb="FF000000"/>
      <sz val="11"/>
    </font>
    <font>
      <name val="Calibri"/>
      <charset val="1"/>
      <family val="0"/>
      <color rgb="FF000000"/>
      <sz val="11"/>
    </font>
    <font>
      <name val="Calibri"/>
      <charset val="1"/>
      <family val="0"/>
      <b val="1"/>
      <color rgb="FFFFFFFF"/>
      <sz val="11"/>
    </font>
    <font>
      <name val="Calibri"/>
      <charset val="1"/>
      <family val="0"/>
      <b val="1"/>
      <color rgb="FFFFFFFF"/>
      <sz val="12"/>
    </font>
    <font>
      <name val="Calibri"/>
      <b val="1"/>
      <color rgb="001F4E79"/>
    </font>
    <font>
      <name val="Calibri"/>
      <b val="1"/>
      <color rgb="00FFFFFF"/>
    </font>
  </fonts>
  <fills count="6">
    <fill>
      <patternFill/>
    </fill>
    <fill>
      <patternFill patternType="gray125"/>
    </fill>
    <fill>
      <patternFill patternType="solid">
        <fgColor rgb="FF1F4E79"/>
        <bgColor rgb="FF003366"/>
      </patternFill>
    </fill>
    <fill>
      <patternFill patternType="solid">
        <fgColor rgb="FFDDEBF7"/>
        <bgColor rgb="FFEFEFEF"/>
      </patternFill>
    </fill>
    <fill>
      <patternFill patternType="solid">
        <fgColor rgb="FFEFEFEF"/>
        <bgColor rgb="FFDDEBF7"/>
      </patternFill>
    </fill>
    <fill>
      <patternFill patternType="solid">
        <fgColor rgb="00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3" borderId="0" applyAlignment="1" pivotButton="0" quotePrefix="0" xfId="0">
      <alignment horizontal="general" vertical="bottom"/>
    </xf>
    <xf numFmtId="0" fontId="7" fillId="4" borderId="1" applyAlignment="1" pivotButton="0" quotePrefix="0" xfId="0">
      <alignment horizontal="center" vertical="bottom" wrapText="1"/>
    </xf>
    <xf numFmtId="0" fontId="7" fillId="3" borderId="1" applyAlignment="1" pivotButton="0" quotePrefix="0" xfId="0">
      <alignment horizontal="center" vertical="center" wrapText="1"/>
    </xf>
    <xf numFmtId="0" fontId="6" fillId="0" borderId="0" applyAlignment="1" pivotButton="0" quotePrefix="0" xfId="0">
      <alignment horizontal="general" vertical="bottom"/>
    </xf>
    <xf numFmtId="0" fontId="8" fillId="0" borderId="0" applyAlignment="1" pivotButton="0" quotePrefix="0" xfId="0">
      <alignment horizontal="left" vertical="center"/>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0" fontId="7" fillId="0" borderId="0" applyAlignment="1" pivotButton="0" quotePrefix="0" xfId="0">
      <alignment horizontal="general" vertical="bottom"/>
    </xf>
    <xf numFmtId="166" fontId="6" fillId="0" borderId="0" applyAlignment="1" pivotButton="0" quotePrefix="0" xfId="0">
      <alignment horizontal="general" vertical="bottom"/>
    </xf>
    <xf numFmtId="0" fontId="9" fillId="2" borderId="1" applyAlignment="1" pivotButton="0" quotePrefix="0" xfId="0">
      <alignment horizontal="center" vertical="center" wrapText="1"/>
    </xf>
    <xf numFmtId="0" fontId="8" fillId="0"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wrapText="1"/>
    </xf>
    <xf numFmtId="0" fontId="8" fillId="0" borderId="1" applyAlignment="1" pivotButton="0" quotePrefix="0" xfId="0">
      <alignment horizontal="left" vertical="top" wrapText="1"/>
    </xf>
    <xf numFmtId="0" fontId="10" fillId="2"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3" borderId="0" applyAlignment="1" pivotButton="0" quotePrefix="0" xfId="0">
      <alignment horizontal="general" vertical="bottom"/>
    </xf>
    <xf numFmtId="0" fontId="7" fillId="4" borderId="1" applyAlignment="1" pivotButton="0" quotePrefix="0" xfId="0">
      <alignment horizontal="center" vertical="bottom" wrapText="1"/>
    </xf>
    <xf numFmtId="0" fontId="7" fillId="3" borderId="1" applyAlignment="1" pivotButton="0" quotePrefix="0" xfId="0">
      <alignment horizontal="center" vertical="center" wrapText="1"/>
    </xf>
    <xf numFmtId="0" fontId="6" fillId="0" borderId="0" applyAlignment="1" pivotButton="0" quotePrefix="0" xfId="0">
      <alignment horizontal="general" vertical="bottom"/>
    </xf>
    <xf numFmtId="0" fontId="8" fillId="0" borderId="0" applyAlignment="1" pivotButton="0" quotePrefix="0" xfId="0">
      <alignment horizontal="left" vertical="center"/>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0" fontId="7" fillId="0" borderId="0" applyAlignment="1" pivotButton="0" quotePrefix="0" xfId="0">
      <alignment horizontal="general" vertical="bottom"/>
    </xf>
    <xf numFmtId="166" fontId="6" fillId="0" borderId="0" applyAlignment="1" pivotButton="0" quotePrefix="0" xfId="0">
      <alignment horizontal="general" vertical="bottom"/>
    </xf>
    <xf numFmtId="0" fontId="9" fillId="2" borderId="1" applyAlignment="1" pivotButton="0" quotePrefix="0" xfId="0">
      <alignment horizontal="center" vertical="center" wrapText="1"/>
    </xf>
    <xf numFmtId="0" fontId="8" fillId="0"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wrapText="1"/>
    </xf>
    <xf numFmtId="0" fontId="8" fillId="0" borderId="1" applyAlignment="1" pivotButton="0" quotePrefix="0" xfId="0">
      <alignment horizontal="left" vertical="top" wrapText="1"/>
    </xf>
    <xf numFmtId="0" fontId="10" fillId="2" borderId="0" applyAlignment="1" pivotButton="0" quotePrefix="0" xfId="0">
      <alignment horizontal="general" vertical="bottom"/>
    </xf>
    <xf numFmtId="0" fontId="5" fillId="0" borderId="0" applyAlignment="1" pivotButton="0" quotePrefix="0" xfId="0">
      <alignment horizontal="general" vertical="top" wrapText="1"/>
    </xf>
    <xf numFmtId="0" fontId="11" fillId="0" borderId="0" pivotButton="0" quotePrefix="0" xfId="0"/>
    <xf numFmtId="0" fontId="12" fillId="5" borderId="0" applyAlignment="1" pivotButton="0" quotePrefix="0" xfId="0">
      <alignment horizontal="left" vertical="center"/>
    </xf>
    <xf numFmtId="0" fontId="12" fillId="5" borderId="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EFEFEF"/>
          <bgColor rgb="FF000000"/>
        </patternFill>
      </fill>
    </dxf>
    <dxf>
      <fill>
        <patternFill patternType="solid">
          <bgColor rgb="FF000000"/>
        </patternFill>
      </fill>
    </dxf>
    <dxf>
      <fill>
        <patternFill patternType="solid">
          <fgColor rgb="FF000000"/>
          <bgColor rgb="FF000000"/>
        </patternFill>
      </fill>
    </dxf>
    <dxf>
      <fill>
        <patternFill patternType="solid">
          <fgColor rgb="FFDDEBF7"/>
          <bgColor rgb="FF000000"/>
        </patternFill>
      </fill>
    </dxf>
    <dxf>
      <fill>
        <patternFill patternType="solid">
          <fgColor rgb="FF1F4E7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30" customWidth="1" style="21" min="1" max="1"/>
    <col width="78" customWidth="1" style="21" min="2" max="2"/>
  </cols>
  <sheetData>
    <row r="1" ht="30" customHeight="1" s="22">
      <c r="A1" s="23" t="inlineStr">
        <is>
          <t>EMSP — OUTIL DE GESTION (VERSION 1)</t>
        </is>
      </c>
    </row>
    <row r="2" ht="15" customHeight="1" s="22">
      <c r="A2" s="24" t="inlineStr">
        <is>
          <t>Projet</t>
        </is>
      </c>
      <c r="B2" s="25" t="inlineStr">
        <is>
          <t>Expertise France / AFD — ODS 21SANOC277</t>
        </is>
      </c>
    </row>
    <row r="3" ht="15" customHeight="1" s="22">
      <c r="A3" s="24" t="inlineStr">
        <is>
          <t>Reference</t>
        </is>
      </c>
      <c r="B3" s="25" t="inlineStr">
        <is>
          <t>2026/EAALDDDGPLDGDLS/15420 — Webcreatys SAS</t>
        </is>
      </c>
    </row>
    <row r="4" ht="15" customHeight="1" s="22">
      <c r="A4" s="24" t="inlineStr">
        <is>
          <t>Perimetre</t>
        </is>
      </c>
      <c r="B4" s="25" t="inlineStr">
        <is>
          <t>Volet EMSP uniquement (GMAO ecarte). V1 sur perimetre TDR.</t>
        </is>
      </c>
    </row>
    <row r="5" ht="15" customHeight="1" s="22">
      <c r="A5" s="24" t="inlineStr">
        <is>
          <t>Charte</t>
        </is>
      </c>
      <c r="B5" s="25" t="inlineStr">
        <is>
          <t>Calibri ; couleur 1F4E79 ; dates JJ/MM/AAAA ; montants KMF sans decimales.</t>
        </is>
      </c>
    </row>
    <row r="6" ht="15" customHeight="1" s="22">
      <c r="A6" s="24" t="n"/>
      <c r="B6" s="25" t="n"/>
    </row>
    <row r="7" ht="15" customHeight="1" s="22">
      <c r="A7" s="26" t="inlineStr">
        <is>
          <t>CODE DE PROVENANCE DES CHAMPS</t>
        </is>
      </c>
      <c r="B7" s="25" t="n"/>
    </row>
    <row r="8" ht="15" customHeight="1" s="22">
      <c r="A8" s="24" t="inlineStr">
        <is>
          <t>(sans marqueur)</t>
        </is>
      </c>
      <c r="B8" s="25" t="inlineStr">
        <is>
          <t>Champ exige par le TDR.</t>
        </is>
      </c>
    </row>
    <row r="9" ht="15" customHeight="1" s="22">
      <c r="A9" s="24" t="inlineStr">
        <is>
          <t>(*)</t>
        </is>
      </c>
      <c r="B9" s="25" t="inlineStr">
        <is>
          <t>Initiative Webcreatys : complement pour rendre le TDR operationnel.</t>
        </is>
      </c>
    </row>
    <row r="10" ht="15" customHeight="1" s="22">
      <c r="A10" s="24" t="inlineStr">
        <is>
          <t>(**)</t>
        </is>
      </c>
      <c r="B10" s="25" t="inlineStr">
        <is>
          <t>Ajout EMSP hors TDR (demande en reunion du 11/06 / notas).</t>
        </is>
      </c>
    </row>
    <row r="11" ht="15" customHeight="1" s="22">
      <c r="A11" s="24" t="n"/>
      <c r="B11" s="25" t="n"/>
    </row>
    <row r="12" ht="15" customHeight="1" s="22">
      <c r="A12" s="26" t="inlineStr">
        <is>
          <t>PRINCIPES</t>
        </is>
      </c>
      <c r="B12" s="25" t="n"/>
    </row>
    <row r="13" ht="15" customHeight="1" s="22">
      <c r="A13" s="24" t="inlineStr">
        <is>
          <t>Fichier unique</t>
        </is>
      </c>
      <c r="B13" s="25" t="inlineStr">
        <is>
          <t>Filiere et type d'inscrit = colonnes (pas de decoupage par filiere).</t>
        </is>
      </c>
    </row>
    <row r="14" ht="15" customHeight="1" s="22">
      <c r="A14" s="24" t="inlineStr">
        <is>
          <t>Parametres</t>
        </is>
      </c>
      <c r="B14" s="25" t="inlineStr">
        <is>
          <t>Onglet P0 : toutes les listes deroulantes sont saisies par l'EMSP.</t>
        </is>
      </c>
    </row>
    <row r="15" ht="30" customHeight="1" s="22">
      <c r="A15" s="24" t="inlineStr">
        <is>
          <t>Financier</t>
        </is>
      </c>
      <c r="B15" s="25" t="inlineStr">
        <is>
          <t>2 colonnes Recette/Depense, sans TVA, en KMF. Categories separees. Acces reserve Compta/Direction.</t>
        </is>
      </c>
    </row>
    <row r="16" ht="15" customHeight="1" s="22">
      <c r="A16" s="24" t="inlineStr">
        <is>
          <t>Sans macro</t>
        </is>
      </c>
      <c r="B16" s="25" t="inlineStr">
        <is>
          <t>100% Excel : import CSV par RECHERCHEV ; listes deroulantes par validation.</t>
        </is>
      </c>
    </row>
    <row r="17" ht="15" customHeight="1" s="22">
      <c r="A17" s="24" t="inlineStr">
        <is>
          <t>Filtres</t>
        </is>
      </c>
      <c r="B17" s="25" t="inlineStr">
        <is>
          <t>Chaque tableau dispose d'un filtre sur sa ligne d'en-tete.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E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1" customWidth="1" style="21" min="1" max="15"/>
    <col width="24" customWidth="1" style="21" min="16" max="17"/>
    <col width="22" customWidth="1" style="21" min="18" max="18"/>
  </cols>
  <sheetData>
    <row r="1" ht="30" customHeight="1" s="22">
      <c r="A1" s="23" t="inlineStr">
        <is>
          <t>PARAMETRES — LISTES DE REFERENCE SAISIES PAR L'EMSP</t>
        </is>
      </c>
    </row>
    <row r="2" ht="30" customHeight="1" s="22">
      <c r="A2" s="27" t="inlineStr">
        <is>
          <t>Filieres</t>
        </is>
      </c>
      <c r="B2" s="27" t="inlineStr">
        <is>
          <t>Niveaux</t>
        </is>
      </c>
      <c r="C2" s="27" t="inlineStr">
        <is>
          <t>Sections (*)</t>
        </is>
      </c>
      <c r="D2" s="27" t="inlineStr">
        <is>
          <t>Semestres</t>
        </is>
      </c>
      <c r="E2" s="27" t="inlineStr">
        <is>
          <t>Statuts_etudiant (**)</t>
        </is>
      </c>
      <c r="F2" s="27" t="inlineStr">
        <is>
          <t>Genres (*)</t>
        </is>
      </c>
      <c r="G2" s="27" t="inlineStr">
        <is>
          <t>Cat_Recettes (**)</t>
        </is>
      </c>
      <c r="H2" s="27" t="inlineStr">
        <is>
          <t>Cat_Depenses (**)</t>
        </is>
      </c>
      <c r="I2" s="27" t="inlineStr">
        <is>
          <t>Postes_budgetaires (**)</t>
        </is>
      </c>
      <c r="J2" s="27" t="inlineStr">
        <is>
          <t>Modes_paiement (*)</t>
        </is>
      </c>
      <c r="K2" s="27" t="inlineStr">
        <is>
          <t>Comptes_caisses (*)</t>
        </is>
      </c>
      <c r="L2" s="27" t="inlineStr">
        <is>
          <t>Types_salle (*)</t>
        </is>
      </c>
      <c r="M2" s="27" t="inlineStr">
        <is>
          <t>Lieux_stage (**)</t>
        </is>
      </c>
      <c r="N2" s="27" t="inlineStr">
        <is>
          <t>Annees_acad (*)</t>
        </is>
      </c>
      <c r="O2" s="27" t="inlineStr">
        <is>
          <t>Sources_financement (*)</t>
        </is>
      </c>
      <c r="P2" s="27" t="inlineStr">
        <is>
          <t>Types_document (**)</t>
        </is>
      </c>
      <c r="Q2" s="27" t="inlineStr">
        <is>
          <t>Statuts_document (*)</t>
        </is>
      </c>
      <c r="R2" s="28" t="inlineStr">
        <is>
          <t>Categories_equipement (**)</t>
        </is>
      </c>
      <c r="S2" s="27" t="inlineStr">
        <is>
          <t>Categories_doc (*)</t>
        </is>
      </c>
      <c r="T2" s="27" t="inlineStr">
        <is>
          <t>Types_ecart (*)</t>
        </is>
      </c>
      <c r="U2" s="27" t="inlineStr">
        <is>
          <t>Statuts_action (*)</t>
        </is>
      </c>
      <c r="V2" s="27" t="inlineStr">
        <is>
          <t>Etats_materiel (**)</t>
        </is>
      </c>
      <c r="W2" s="27" t="inlineStr">
        <is>
          <t>Types_besoin (**)</t>
        </is>
      </c>
      <c r="X2" s="27" t="inlineStr">
        <is>
          <t>Priorites_besoin (**)</t>
        </is>
      </c>
      <c r="Y2" s="27" t="inlineStr">
        <is>
          <t>Statuts_besoin (**)</t>
        </is>
      </c>
      <c r="Z2" s="21" t="inlineStr">
        <is>
          <t>Tarif_inscription_niveau</t>
        </is>
      </c>
      <c r="AA2" s="21" t="inlineStr">
        <is>
          <t>Tarif_inscription_KMF</t>
        </is>
      </c>
      <c r="AB2" s="21" t="inlineStr">
        <is>
          <t>Types_doc_bailleur</t>
        </is>
      </c>
      <c r="AC2" s="21" t="inlineStr">
        <is>
          <t>Types_bailleur</t>
        </is>
      </c>
      <c r="AD2" s="21" t="inlineStr">
        <is>
          <t>Statuts_bailleur</t>
        </is>
      </c>
      <c r="AE2" s="21" t="inlineStr">
        <is>
          <t>Statuts_enseignant</t>
        </is>
      </c>
    </row>
    <row r="3" ht="15" customHeight="1" s="22">
      <c r="A3" s="21" t="inlineStr">
        <is>
          <t>Soins infirmiers</t>
        </is>
      </c>
      <c r="B3" s="29" t="inlineStr">
        <is>
          <t>L1</t>
        </is>
      </c>
      <c r="C3" s="29" t="inlineStr">
        <is>
          <t>S.I</t>
        </is>
      </c>
      <c r="D3" s="29" t="inlineStr">
        <is>
          <t>S1</t>
        </is>
      </c>
      <c r="E3" s="29" t="inlineStr">
        <is>
          <t>Actif</t>
        </is>
      </c>
      <c r="F3" s="29" t="inlineStr">
        <is>
          <t>M</t>
        </is>
      </c>
      <c r="G3" s="21" t="inlineStr">
        <is>
          <t>70 — Prestations de services</t>
        </is>
      </c>
      <c r="H3" s="21" t="inlineStr">
        <is>
          <t>60 — Achats et variations de stocks</t>
        </is>
      </c>
      <c r="I3" s="21" t="inlineStr">
        <is>
          <t>602 — Achats stockés – autres approvisionnements</t>
        </is>
      </c>
      <c r="J3" s="29" t="inlineStr">
        <is>
          <t>Especes</t>
        </is>
      </c>
      <c r="L3" s="29" t="inlineStr">
        <is>
          <t>Cours</t>
        </is>
      </c>
      <c r="M3" s="21" t="inlineStr">
        <is>
          <t>CHN El-Maarouf (Moroni)</t>
        </is>
      </c>
      <c r="N3" s="29" t="inlineStr">
        <is>
          <t>2024-2025</t>
        </is>
      </c>
      <c r="O3" s="29" t="inlineStr">
        <is>
          <t>AFD</t>
        </is>
      </c>
      <c r="P3" s="21" t="inlineStr">
        <is>
          <t>Attestation de passage</t>
        </is>
      </c>
      <c r="Q3" s="21" t="inlineStr">
        <is>
          <t>En attente conseil</t>
        </is>
      </c>
      <c r="R3" s="30" t="inlineStr">
        <is>
          <t>Informatique</t>
        </is>
      </c>
      <c r="S3" s="29" t="inlineStr">
        <is>
          <t>Stratégique</t>
        </is>
      </c>
      <c r="T3" s="29" t="inlineStr">
        <is>
          <t>Budgétaire</t>
        </is>
      </c>
      <c r="U3" s="29" t="inlineStr">
        <is>
          <t>Non démarré</t>
        </is>
      </c>
      <c r="V3" s="29" t="inlineStr">
        <is>
          <t>Actif</t>
        </is>
      </c>
      <c r="W3" s="29" t="inlineStr">
        <is>
          <t>Matériel en panne</t>
        </is>
      </c>
      <c r="X3" s="29" t="inlineStr">
        <is>
          <t>Haute</t>
        </is>
      </c>
      <c r="Y3" s="29" t="inlineStr">
        <is>
          <t>Exprimé</t>
        </is>
      </c>
      <c r="Z3" s="21" t="inlineStr">
        <is>
          <t>L1</t>
        </is>
      </c>
      <c r="AA3" s="21" t="n">
        <v>70000</v>
      </c>
      <c r="AB3" s="21" t="inlineStr">
        <is>
          <t>Contrat/Convention</t>
        </is>
      </c>
      <c r="AC3" s="21" t="inlineStr">
        <is>
          <t>International</t>
        </is>
      </c>
      <c r="AD3" s="21" t="inlineStr">
        <is>
          <t>Actif</t>
        </is>
      </c>
      <c r="AE3" s="21" t="inlineStr">
        <is>
          <t>Permanent</t>
        </is>
      </c>
    </row>
    <row r="4" ht="15" customHeight="1" s="22">
      <c r="A4" s="21" t="inlineStr">
        <is>
          <t>Soins obstétricaux</t>
        </is>
      </c>
      <c r="B4" s="29" t="inlineStr">
        <is>
          <t>L2</t>
        </is>
      </c>
      <c r="C4" s="29" t="inlineStr">
        <is>
          <t>S.O</t>
        </is>
      </c>
      <c r="D4" s="29" t="inlineStr">
        <is>
          <t>S2</t>
        </is>
      </c>
      <c r="E4" s="29" t="inlineStr">
        <is>
          <t>Diplome</t>
        </is>
      </c>
      <c r="F4" s="29" t="inlineStr">
        <is>
          <t>F</t>
        </is>
      </c>
      <c r="G4" s="21" t="inlineStr">
        <is>
          <t>74 — Subvention d'exploitation</t>
        </is>
      </c>
      <c r="H4" s="21" t="inlineStr">
        <is>
          <t>61 — Services extérieurs</t>
        </is>
      </c>
      <c r="I4" s="21" t="inlineStr">
        <is>
          <t>6022 — Fournitures consommables</t>
        </is>
      </c>
      <c r="J4" s="29" t="inlineStr">
        <is>
          <t>Cheque</t>
        </is>
      </c>
      <c r="L4" s="29" t="inlineStr">
        <is>
          <t>TD</t>
        </is>
      </c>
      <c r="M4" s="21" t="inlineStr">
        <is>
          <t>CHR Mitsamiouli</t>
        </is>
      </c>
      <c r="N4" s="29" t="inlineStr">
        <is>
          <t>2025-2026</t>
        </is>
      </c>
      <c r="O4" s="29" t="inlineStr">
        <is>
          <t>Etat comorien</t>
        </is>
      </c>
      <c r="P4" s="21" t="inlineStr">
        <is>
          <t>Bulletin</t>
        </is>
      </c>
      <c r="Q4" s="21" t="inlineStr">
        <is>
          <t>En attente delai</t>
        </is>
      </c>
      <c r="R4" s="30" t="inlineStr">
        <is>
          <t>Mobilier</t>
        </is>
      </c>
      <c r="S4" s="29" t="inlineStr">
        <is>
          <t>Médical</t>
        </is>
      </c>
      <c r="T4" s="29" t="inlineStr">
        <is>
          <t>Temporel</t>
        </is>
      </c>
      <c r="U4" s="29" t="inlineStr">
        <is>
          <t>En cours</t>
        </is>
      </c>
      <c r="V4" s="29" t="inlineStr">
        <is>
          <t>En panne</t>
        </is>
      </c>
      <c r="W4" s="29" t="inlineStr">
        <is>
          <t>Matériel manquant / absent</t>
        </is>
      </c>
      <c r="X4" s="29" t="inlineStr">
        <is>
          <t>Moyenne</t>
        </is>
      </c>
      <c r="Y4" s="29" t="inlineStr">
        <is>
          <t>En cours</t>
        </is>
      </c>
      <c r="Z4" s="21" t="inlineStr">
        <is>
          <t>L2</t>
        </is>
      </c>
      <c r="AA4" s="21" t="n">
        <v>70000</v>
      </c>
      <c r="AB4" s="21" t="inlineStr">
        <is>
          <t>Avenant</t>
        </is>
      </c>
      <c r="AC4" s="21" t="inlineStr">
        <is>
          <t>État</t>
        </is>
      </c>
      <c r="AD4" s="21" t="inlineStr">
        <is>
          <t>Clôturé</t>
        </is>
      </c>
      <c r="AE4" s="21" t="inlineStr">
        <is>
          <t>Contractuel</t>
        </is>
      </c>
    </row>
    <row r="5" ht="15" customHeight="1" s="22">
      <c r="A5" s="21" t="inlineStr">
        <is>
          <t>Imagerie médicale</t>
        </is>
      </c>
      <c r="B5" s="29" t="inlineStr">
        <is>
          <t>L3</t>
        </is>
      </c>
      <c r="C5" s="29" t="inlineStr">
        <is>
          <t>AS</t>
        </is>
      </c>
      <c r="E5" s="29" t="inlineStr">
        <is>
          <t>Abandonne</t>
        </is>
      </c>
      <c r="G5" s="21" t="inlineStr">
        <is>
          <t>13 — Subvention d'investissement</t>
        </is>
      </c>
      <c r="H5" s="21" t="inlineStr">
        <is>
          <t>62 — Autres services extérieurs</t>
        </is>
      </c>
      <c r="I5" s="21" t="inlineStr">
        <is>
          <t>6022B — Fournitures d'examens</t>
        </is>
      </c>
      <c r="J5" s="29" t="inlineStr">
        <is>
          <t>Virement</t>
        </is>
      </c>
      <c r="L5" s="29" t="inlineStr">
        <is>
          <t>TP</t>
        </is>
      </c>
      <c r="M5" s="21" t="inlineStr">
        <is>
          <t>CHR Foumbouni</t>
        </is>
      </c>
      <c r="O5" s="29" t="inlineStr">
        <is>
          <t>Ressources propres EMSP</t>
        </is>
      </c>
      <c r="P5" s="21" t="inlineStr">
        <is>
          <t>Releve de notes</t>
        </is>
      </c>
      <c r="Q5" s="21" t="inlineStr">
        <is>
          <t>Imprimable</t>
        </is>
      </c>
      <c r="R5" s="30" t="inlineStr">
        <is>
          <t>Materiel pedagogique</t>
        </is>
      </c>
      <c r="S5" s="29" t="inlineStr">
        <is>
          <t>Supports de cours</t>
        </is>
      </c>
      <c r="T5" s="29" t="inlineStr">
        <is>
          <t>Contenu de formation</t>
        </is>
      </c>
      <c r="U5" s="29" t="inlineStr">
        <is>
          <t>Atteint</t>
        </is>
      </c>
      <c r="V5" s="29" t="inlineStr">
        <is>
          <t>Hors service</t>
        </is>
      </c>
      <c r="W5" s="29" t="inlineStr">
        <is>
          <t>Consommable</t>
        </is>
      </c>
      <c r="X5" s="29" t="inlineStr">
        <is>
          <t>Basse</t>
        </is>
      </c>
      <c r="Y5" s="29" t="inlineStr">
        <is>
          <t>Satisfait</t>
        </is>
      </c>
      <c r="Z5" s="21" t="inlineStr">
        <is>
          <t>L3</t>
        </is>
      </c>
      <c r="AA5" s="21" t="n">
        <v>80000</v>
      </c>
      <c r="AB5" s="21" t="inlineStr">
        <is>
          <t>Justificatif</t>
        </is>
      </c>
      <c r="AC5" s="21" t="inlineStr">
        <is>
          <t>Bilatéral</t>
        </is>
      </c>
      <c r="AD5" s="21" t="inlineStr">
        <is>
          <t>Suspendu</t>
        </is>
      </c>
      <c r="AE5" s="21" t="inlineStr">
        <is>
          <t>Vacataire</t>
        </is>
      </c>
    </row>
    <row r="6" ht="15" customHeight="1" s="22">
      <c r="A6" s="21" t="inlineStr">
        <is>
          <t>Maintenance biomédicale</t>
        </is>
      </c>
      <c r="B6" s="29" t="inlineStr">
        <is>
          <t>Master</t>
        </is>
      </c>
      <c r="E6" s="29" t="inlineStr">
        <is>
          <t>Radie</t>
        </is>
      </c>
      <c r="H6" s="21" t="inlineStr">
        <is>
          <t>64 — Charges de personnel</t>
        </is>
      </c>
      <c r="I6" s="21" t="inlineStr">
        <is>
          <t>6025 — Carburant et lubrifiant (groupe électrogène)</t>
        </is>
      </c>
      <c r="J6" s="29" t="inlineStr">
        <is>
          <t>Autre</t>
        </is>
      </c>
      <c r="L6" s="21" t="inlineStr">
        <is>
          <t>Amphitheatre</t>
        </is>
      </c>
      <c r="M6" s="21" t="inlineStr">
        <is>
          <t>CHR Hombo (Anjouan)</t>
        </is>
      </c>
      <c r="O6" s="29" t="inlineStr">
        <is>
          <t>Autres donateurs</t>
        </is>
      </c>
      <c r="Q6" s="21" t="inlineStr">
        <is>
          <t>Remis</t>
        </is>
      </c>
      <c r="R6" s="30" t="inlineStr">
        <is>
          <t>Materiel medical</t>
        </is>
      </c>
      <c r="S6" s="29" t="inlineStr">
        <is>
          <t>Réglementaire / officiel</t>
        </is>
      </c>
      <c r="T6" s="29" t="inlineStr">
        <is>
          <t>Qualité</t>
        </is>
      </c>
      <c r="U6" s="29" t="inlineStr">
        <is>
          <t>En retard</t>
        </is>
      </c>
      <c r="V6" s="29" t="inlineStr">
        <is>
          <t>En maintenance</t>
        </is>
      </c>
      <c r="W6" s="29" t="inlineStr">
        <is>
          <t>Nouveau matériel</t>
        </is>
      </c>
      <c r="Y6" s="29" t="inlineStr">
        <is>
          <t>Rejeté</t>
        </is>
      </c>
      <c r="AB6" s="21" t="inlineStr">
        <is>
          <t>Autre</t>
        </is>
      </c>
      <c r="AC6" s="21" t="inlineStr">
        <is>
          <t>Multilatéral</t>
        </is>
      </c>
      <c r="AD6" s="21" t="inlineStr">
        <is>
          <t>Autre</t>
        </is>
      </c>
      <c r="AE6" s="21" t="inlineStr">
        <is>
          <t>Bénévole</t>
        </is>
      </c>
    </row>
    <row r="7" ht="15" customHeight="1" s="22">
      <c r="A7" s="21" t="inlineStr">
        <is>
          <t>Aides-soignants</t>
        </is>
      </c>
      <c r="H7" s="21" t="inlineStr">
        <is>
          <t>65 — Autres charges de gestion courante</t>
        </is>
      </c>
      <c r="I7" s="21" t="inlineStr">
        <is>
          <t>604 — Achat d'études et de prestations de services</t>
        </is>
      </c>
      <c r="M7" s="21" t="inlineStr">
        <is>
          <t>CHR Domoni (Anjouan)</t>
        </is>
      </c>
      <c r="R7" s="30" t="inlineStr">
        <is>
          <t>Autre</t>
        </is>
      </c>
      <c r="S7" s="29" t="inlineStr">
        <is>
          <t>OMS / international</t>
        </is>
      </c>
      <c r="T7" s="29" t="inlineStr">
        <is>
          <t>Autre</t>
        </is>
      </c>
      <c r="U7" s="29" t="inlineStr">
        <is>
          <t>Abandonné</t>
        </is>
      </c>
      <c r="V7" s="29" t="inlineStr">
        <is>
          <t>Réformé</t>
        </is>
      </c>
      <c r="W7" s="29" t="inlineStr">
        <is>
          <t>Réparation</t>
        </is>
      </c>
      <c r="AC7" s="21" t="inlineStr">
        <is>
          <t>ONG / Fondation</t>
        </is>
      </c>
    </row>
    <row r="8" ht="15" customHeight="1" s="22">
      <c r="H8" s="21" t="inlineStr">
        <is>
          <t>66 — Charges financières</t>
        </is>
      </c>
      <c r="I8" s="21" t="inlineStr">
        <is>
          <t>605 — Achat de matériel — petit matériel</t>
        </is>
      </c>
      <c r="M8" s="21" t="inlineStr">
        <is>
          <t>CHR Fomboni (Moheli)</t>
        </is>
      </c>
      <c r="S8" s="29" t="inlineStr">
        <is>
          <t>Autre</t>
        </is>
      </c>
      <c r="W8" s="29" t="inlineStr">
        <is>
          <t>Autre</t>
        </is>
      </c>
      <c r="AC8" s="21" t="inlineStr">
        <is>
          <t>Privé</t>
        </is>
      </c>
    </row>
    <row r="9">
      <c r="H9" s="21" t="inlineStr">
        <is>
          <t>67 — Charges exceptionnelles</t>
        </is>
      </c>
      <c r="I9" s="21" t="inlineStr">
        <is>
          <t>605A — Matériel didactique et pédagogique</t>
        </is>
      </c>
      <c r="AC9" s="21" t="inlineStr">
        <is>
          <t>Autre</t>
        </is>
      </c>
    </row>
    <row r="10">
      <c r="H10" s="21" t="inlineStr">
        <is>
          <t>16 — Remboursement des dettes (168 Autres dettes)</t>
        </is>
      </c>
      <c r="I10" s="21" t="inlineStr">
        <is>
          <t>606 — Achats non stockés de matières et fournitures</t>
        </is>
      </c>
    </row>
    <row r="11">
      <c r="H11" s="21" t="inlineStr">
        <is>
          <t>20 — Immobilisations incorporelles (208 Autres)</t>
        </is>
      </c>
      <c r="I11" s="21" t="inlineStr">
        <is>
          <t>6061 — Eau et électricité</t>
        </is>
      </c>
    </row>
    <row r="12">
      <c r="H12" s="21" t="inlineStr">
        <is>
          <t>21 — Immobilisations corporelles</t>
        </is>
      </c>
      <c r="I12" s="21" t="inlineStr">
        <is>
          <t>6063 — Autres (fournitures de laboratoire…)</t>
        </is>
      </c>
    </row>
    <row r="13">
      <c r="I13" s="21" t="inlineStr">
        <is>
          <t>613 — Locations</t>
        </is>
      </c>
    </row>
    <row r="14">
      <c r="I14" s="21" t="inlineStr">
        <is>
          <t>615 — Entretien et réparations</t>
        </is>
      </c>
    </row>
    <row r="15">
      <c r="I15" s="21" t="inlineStr">
        <is>
          <t>6155a — Entretien du matériel commun</t>
        </is>
      </c>
    </row>
    <row r="16">
      <c r="I16" s="21" t="inlineStr">
        <is>
          <t>616 — Primes d'assurances</t>
        </is>
      </c>
    </row>
    <row r="17">
      <c r="I17" s="21" t="inlineStr">
        <is>
          <t>6163 — Assurances automobiles</t>
        </is>
      </c>
    </row>
    <row r="18">
      <c r="I18" s="21" t="inlineStr">
        <is>
          <t>6163A — Assurances étudiantes</t>
        </is>
      </c>
    </row>
    <row r="19">
      <c r="I19" s="21" t="inlineStr">
        <is>
          <t>617 — Études et recherches / formation et recherche</t>
        </is>
      </c>
    </row>
    <row r="20">
      <c r="I20" s="21" t="inlineStr">
        <is>
          <t>617d — Appui à la publication des travaux de recherche</t>
        </is>
      </c>
    </row>
    <row r="21">
      <c r="I21" s="21" t="inlineStr">
        <is>
          <t>617 (sorties) — Frais de sorties pédagogiques</t>
        </is>
      </c>
    </row>
    <row r="22">
      <c r="I22" s="21" t="inlineStr">
        <is>
          <t>617e — Indemnité d'encadrement</t>
        </is>
      </c>
    </row>
    <row r="23">
      <c r="I23" s="21" t="inlineStr">
        <is>
          <t>618 — Divers — abonnement documentation et reprographie</t>
        </is>
      </c>
    </row>
    <row r="24">
      <c r="I24" s="21" t="inlineStr">
        <is>
          <t>6185 — Conférence et séminaire</t>
        </is>
      </c>
    </row>
    <row r="25">
      <c r="I25" s="21" t="inlineStr">
        <is>
          <t>621 — Personnel extérieur</t>
        </is>
      </c>
    </row>
    <row r="26">
      <c r="I26" s="21" t="inlineStr">
        <is>
          <t>621a — Personnel détaché</t>
        </is>
      </c>
    </row>
    <row r="27">
      <c r="I27" s="21" t="inlineStr">
        <is>
          <t>622 — Rémunération d'intermédiaires et honoraires</t>
        </is>
      </c>
    </row>
    <row r="28">
      <c r="I28" s="21" t="inlineStr">
        <is>
          <t>622a — Rémunération des transitaires</t>
        </is>
      </c>
    </row>
    <row r="29">
      <c r="I29" s="21" t="inlineStr">
        <is>
          <t>623 — Publicité, relations publiques, annonces et insertions</t>
        </is>
      </c>
    </row>
    <row r="30">
      <c r="I30" s="21" t="inlineStr">
        <is>
          <t>625 — Déplacements, missions et réceptions</t>
        </is>
      </c>
    </row>
    <row r="31">
      <c r="I31" s="21" t="inlineStr">
        <is>
          <t>625b — Transport et mission externe</t>
        </is>
      </c>
    </row>
    <row r="32">
      <c r="I32" s="21" t="inlineStr">
        <is>
          <t>625c — Transport et mission interne</t>
        </is>
      </c>
    </row>
    <row r="33">
      <c r="I33" s="21" t="inlineStr">
        <is>
          <t>625 (récep.) — Réception</t>
        </is>
      </c>
    </row>
    <row r="34">
      <c r="I34" s="21" t="inlineStr">
        <is>
          <t>626 — Frais postaux et de télécommunication</t>
        </is>
      </c>
    </row>
    <row r="35">
      <c r="I35" s="21" t="inlineStr">
        <is>
          <t>626 (tel.) — Téléphone, fax, Internet</t>
        </is>
      </c>
    </row>
    <row r="36">
      <c r="I36" s="21" t="inlineStr">
        <is>
          <t>627 — Services bancaires et assimilés</t>
        </is>
      </c>
    </row>
    <row r="37">
      <c r="I37" s="21" t="inlineStr">
        <is>
          <t>641 — Rémunérations du personnel</t>
        </is>
      </c>
    </row>
    <row r="38">
      <c r="I38" s="21" t="inlineStr">
        <is>
          <t>642 — Cours complémentaires (heures supplémentaires)</t>
        </is>
      </c>
    </row>
    <row r="39">
      <c r="I39" s="21" t="inlineStr">
        <is>
          <t>645 — Charges de prévoyance</t>
        </is>
      </c>
    </row>
    <row r="40">
      <c r="I40" s="21" t="inlineStr">
        <is>
          <t>648 — Formation du personnel administratif</t>
        </is>
      </c>
    </row>
    <row r="41">
      <c r="I41" s="21" t="inlineStr">
        <is>
          <t>653 — Jetons de présence (conseil des composantes)</t>
        </is>
      </c>
    </row>
    <row r="42">
      <c r="I42" s="21" t="inlineStr">
        <is>
          <t>658 — Charges diverses de gestion</t>
        </is>
      </c>
    </row>
    <row r="43">
      <c r="I43" s="21" t="inlineStr">
        <is>
          <t>658a — Frais de stage</t>
        </is>
      </c>
    </row>
    <row r="44">
      <c r="I44" s="21" t="inlineStr">
        <is>
          <t>658b — Couverture sanitaire</t>
        </is>
      </c>
    </row>
    <row r="45">
      <c r="I45" s="21" t="inlineStr">
        <is>
          <t>658d — Subvention à la vie scolaire</t>
        </is>
      </c>
    </row>
    <row r="46">
      <c r="I46" s="21" t="inlineStr">
        <is>
          <t>213 — Constructions</t>
        </is>
      </c>
    </row>
    <row r="47">
      <c r="I47" s="21" t="inlineStr">
        <is>
          <t>215 — Installations techniques</t>
        </is>
      </c>
    </row>
    <row r="48">
      <c r="I48" s="21" t="inlineStr">
        <is>
          <t>218 — Autres immobilisations corporelles</t>
        </is>
      </c>
    </row>
    <row r="49">
      <c r="I49" s="21" t="inlineStr">
        <is>
          <t>705 — Études</t>
        </is>
      </c>
    </row>
    <row r="50">
      <c r="I50" s="21" t="inlineStr">
        <is>
          <t>706 — Prestations de services — droits universitaires</t>
        </is>
      </c>
    </row>
    <row r="51">
      <c r="I51" s="21" t="inlineStr">
        <is>
          <t>706a — Droit de pré-inscription</t>
        </is>
      </c>
    </row>
    <row r="52">
      <c r="I52" s="21" t="inlineStr">
        <is>
          <t>706b — Droit d'inscription L1</t>
        </is>
      </c>
    </row>
    <row r="53">
      <c r="I53" s="21" t="inlineStr">
        <is>
          <t>706c — Droit d'inscription L2</t>
        </is>
      </c>
    </row>
    <row r="54">
      <c r="I54" s="21" t="inlineStr">
        <is>
          <t>706d — Droit d'inscription L3</t>
        </is>
      </c>
    </row>
    <row r="55">
      <c r="I55" s="21" t="inlineStr">
        <is>
          <t>706e — Formation continue (certification, attestations)</t>
        </is>
      </c>
    </row>
    <row r="56">
      <c r="I56" s="21" t="inlineStr">
        <is>
          <t>708 — Produits des activités annexes</t>
        </is>
      </c>
    </row>
    <row r="57">
      <c r="I57" s="21" t="inlineStr">
        <is>
          <t>708a — Cafétéria / buvette</t>
        </is>
      </c>
    </row>
    <row r="58">
      <c r="I58" s="21" t="inlineStr">
        <is>
          <t>708b — Photocopies / polycopies des cours</t>
        </is>
      </c>
    </row>
    <row r="59">
      <c r="I59" s="21" t="inlineStr">
        <is>
          <t>708c — Attestation de passage</t>
        </is>
      </c>
    </row>
    <row r="60">
      <c r="I60" s="21" t="inlineStr">
        <is>
          <t>708d — Certification de scolarité</t>
        </is>
      </c>
    </row>
    <row r="61">
      <c r="I61" s="21" t="inlineStr">
        <is>
          <t>741 — État (subvention budget, TCR, RAU)</t>
        </is>
      </c>
    </row>
    <row r="62">
      <c r="I62" s="21" t="inlineStr">
        <is>
          <t>744 — Collectivités locales</t>
        </is>
      </c>
    </row>
  </sheetData>
  <autoFilter ref="A2:O200"/>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8" customWidth="1" style="21" min="1" max="1"/>
    <col width="14" customWidth="1" style="21" min="2" max="2"/>
    <col width="24" customWidth="1" style="21" min="3" max="3"/>
    <col width="25" customWidth="1" style="21" min="4" max="4"/>
    <col width="30" customWidth="1" style="21" min="5" max="5"/>
  </cols>
  <sheetData>
    <row r="1" ht="30" customHeight="1" s="22">
      <c r="A1" s="23" t="inlineStr">
        <is>
          <t>ROLES ET DROITS D'ACCES DES UTILISATEURS</t>
        </is>
      </c>
    </row>
    <row r="2" ht="31.5" customHeight="1" s="22">
      <c r="A2" s="28" t="inlineStr">
        <is>
          <t>Utilisateur / Login (**)</t>
        </is>
      </c>
      <c r="B2" s="28" t="inlineStr">
        <is>
          <t>Role (**)</t>
        </is>
      </c>
      <c r="C2" s="28" t="inlineStr">
        <is>
          <t>Modules lecture (**)</t>
        </is>
      </c>
      <c r="D2" s="28" t="inlineStr">
        <is>
          <t>Modules ecriture (**)</t>
        </is>
      </c>
      <c r="E2" s="28" t="inlineStr">
        <is>
          <t>Acces financier (O/N) (**)</t>
        </is>
      </c>
      <c r="F2" s="21" t="inlineStr">
        <is>
          <t>Admin droits (O/N) (**)</t>
        </is>
      </c>
    </row>
    <row r="3" ht="15" customHeight="1" s="22">
      <c r="A3" s="29" t="inlineStr">
        <is>
          <t>direction</t>
        </is>
      </c>
      <c r="B3" s="29" t="inlineStr">
        <is>
          <t>Direction</t>
        </is>
      </c>
      <c r="C3" s="29" t="inlineStr">
        <is>
          <t>Tous</t>
        </is>
      </c>
      <c r="D3" s="29" t="inlineStr">
        <is>
          <t>Tous</t>
        </is>
      </c>
      <c r="E3" s="29" t="inlineStr">
        <is>
          <t>O</t>
        </is>
      </c>
      <c r="F3" s="21" t="inlineStr">
        <is>
          <t>O</t>
        </is>
      </c>
    </row>
    <row r="4" ht="15" customHeight="1" s="22">
      <c r="A4" s="29" t="inlineStr">
        <is>
          <t>scolarite</t>
        </is>
      </c>
      <c r="B4" s="29" t="inlineStr">
        <is>
          <t>Scolarite</t>
        </is>
      </c>
      <c r="C4" s="29" t="inlineStr">
        <is>
          <t>Academique, Stages</t>
        </is>
      </c>
      <c r="D4" s="29" t="inlineStr">
        <is>
          <t>Academique, Stages</t>
        </is>
      </c>
      <c r="E4" s="29" t="inlineStr">
        <is>
          <t>N</t>
        </is>
      </c>
      <c r="F4" s="21" t="inlineStr">
        <is>
          <t>N</t>
        </is>
      </c>
    </row>
    <row r="5" ht="15" customHeight="1" s="22">
      <c r="A5" s="29" t="inlineStr">
        <is>
          <t>compta</t>
        </is>
      </c>
      <c r="B5" s="29" t="inlineStr">
        <is>
          <t>Comptabilite</t>
        </is>
      </c>
      <c r="C5" s="29" t="inlineStr">
        <is>
          <t>Financier</t>
        </is>
      </c>
      <c r="D5" s="29" t="inlineStr">
        <is>
          <t>Financier</t>
        </is>
      </c>
      <c r="E5" s="29" t="inlineStr">
        <is>
          <t>O</t>
        </is>
      </c>
      <c r="F5" s="21" t="inlineStr">
        <is>
          <t>N</t>
        </is>
      </c>
    </row>
    <row r="6" ht="15" customHeight="1" s="22">
      <c r="A6" s="29" t="inlineStr">
        <is>
          <t>chef_dept</t>
        </is>
      </c>
      <c r="B6" s="29" t="inlineStr">
        <is>
          <t>Chef de departement</t>
        </is>
      </c>
      <c r="C6" s="29" t="inlineStr">
        <is>
          <t>Academique, Enseignants</t>
        </is>
      </c>
      <c r="D6" s="29" t="inlineStr">
        <is>
          <t>Presences</t>
        </is>
      </c>
      <c r="E6" s="29" t="inlineStr">
        <is>
          <t>N</t>
        </is>
      </c>
      <c r="F6" s="21" t="inlineStr">
        <is>
          <t>N</t>
        </is>
      </c>
    </row>
    <row r="7" ht="15" customHeight="1" s="22">
      <c r="A7" s="29" t="inlineStr">
        <is>
          <t>superadmin</t>
        </is>
      </c>
      <c r="B7" s="29" t="inlineStr">
        <is>
          <t>Super-administrateur</t>
        </is>
      </c>
      <c r="C7" s="29" t="inlineStr">
        <is>
          <t>Tous</t>
        </is>
      </c>
      <c r="D7" s="29" t="inlineStr">
        <is>
          <t>Tous</t>
        </is>
      </c>
      <c r="E7" s="29" t="inlineStr">
        <is>
          <t>O</t>
        </is>
      </c>
      <c r="F7" s="21" t="inlineStr">
        <is>
          <t>O</t>
        </is>
      </c>
    </row>
    <row r="8" ht="15" customHeight="1" s="22">
      <c r="A8" s="29" t="n"/>
      <c r="B8" s="29" t="n"/>
      <c r="C8" s="29" t="n"/>
      <c r="D8" s="29" t="n"/>
      <c r="E8" s="29" t="n"/>
    </row>
    <row r="9" ht="15" customHeight="1" s="22">
      <c r="A9" s="29" t="n"/>
      <c r="B9" s="29" t="n"/>
      <c r="C9" s="29" t="n"/>
      <c r="D9" s="29" t="n"/>
      <c r="E9" s="29" t="n"/>
    </row>
    <row r="10" ht="15" customHeight="1" s="22">
      <c r="A10" s="29" t="n"/>
      <c r="B10" s="29" t="n"/>
      <c r="C10" s="29" t="n"/>
      <c r="D10" s="29" t="n"/>
      <c r="E10" s="29" t="n"/>
    </row>
    <row r="11" ht="15" customHeight="1" s="22">
      <c r="A11" s="29" t="n"/>
      <c r="B11" s="29" t="n"/>
      <c r="C11" s="29" t="n"/>
      <c r="D11" s="29" t="n"/>
      <c r="E11" s="29" t="n"/>
    </row>
    <row r="12" ht="15" customHeight="1" s="22">
      <c r="A12" s="29" t="n"/>
      <c r="B12" s="29" t="n"/>
      <c r="C12" s="29" t="n"/>
      <c r="D12" s="29" t="n"/>
      <c r="E12" s="29" t="n"/>
    </row>
    <row r="13" ht="15" customHeight="1" s="22">
      <c r="A13" s="29" t="n"/>
      <c r="B13" s="29" t="n"/>
      <c r="C13" s="29" t="n"/>
      <c r="D13" s="29" t="n"/>
      <c r="E13" s="29" t="n"/>
    </row>
    <row r="14" ht="15" customHeight="1" s="22">
      <c r="A14" s="29" t="n"/>
      <c r="B14" s="29" t="n"/>
      <c r="C14" s="29" t="n"/>
      <c r="D14" s="29" t="n"/>
      <c r="E14" s="29" t="n"/>
    </row>
    <row r="15" ht="15" customHeight="1" s="22">
      <c r="A15" s="29" t="n"/>
      <c r="B15" s="29" t="n"/>
      <c r="C15" s="29" t="n"/>
      <c r="D15" s="29" t="n"/>
      <c r="E15" s="29" t="n"/>
    </row>
    <row r="16" ht="15" customHeight="1" s="22">
      <c r="A16" s="29" t="n"/>
      <c r="B16" s="29" t="n"/>
      <c r="C16" s="29" t="n"/>
      <c r="D16" s="29" t="n"/>
      <c r="E16" s="29" t="n"/>
    </row>
    <row r="17" ht="15" customHeight="1" s="22">
      <c r="A17" s="29" t="n"/>
      <c r="B17" s="29" t="n"/>
      <c r="C17" s="29" t="n"/>
      <c r="D17" s="29" t="n"/>
      <c r="E17" s="29" t="n"/>
    </row>
    <row r="18" ht="15" customHeight="1" s="22">
      <c r="A18" s="29" t="n"/>
      <c r="B18" s="29" t="n"/>
      <c r="C18" s="29" t="n"/>
      <c r="D18" s="29" t="n"/>
      <c r="E18" s="29" t="n"/>
    </row>
    <row r="19" ht="15" customHeight="1" s="22">
      <c r="A19" s="29" t="n"/>
      <c r="B19" s="29" t="n"/>
      <c r="C19" s="29" t="n"/>
      <c r="D19" s="29" t="n"/>
      <c r="E19" s="29" t="n"/>
    </row>
    <row r="20" ht="15" customHeight="1" s="22">
      <c r="A20" s="29" t="n"/>
      <c r="B20" s="29" t="n"/>
      <c r="C20" s="29" t="n"/>
      <c r="D20" s="29" t="n"/>
      <c r="E20" s="29" t="n"/>
    </row>
    <row r="21" ht="15" customHeight="1" s="22">
      <c r="A21" s="29" t="n"/>
      <c r="B21" s="29" t="n"/>
      <c r="C21" s="29" t="n"/>
      <c r="D21" s="29" t="n"/>
      <c r="E21" s="29" t="n"/>
    </row>
    <row r="22" ht="15" customHeight="1" s="22">
      <c r="A22" s="29" t="n"/>
      <c r="B22" s="29" t="n"/>
      <c r="C22" s="29" t="n"/>
      <c r="D22" s="29" t="n"/>
      <c r="E22" s="29" t="n"/>
    </row>
    <row r="23" ht="15" customHeight="1" s="22">
      <c r="A23" s="29" t="n"/>
      <c r="B23" s="29" t="n"/>
      <c r="C23" s="29" t="n"/>
      <c r="D23" s="29" t="n"/>
      <c r="E23" s="29" t="n"/>
    </row>
    <row r="24" ht="15" customHeight="1" s="22">
      <c r="A24" s="29" t="n"/>
      <c r="B24" s="29" t="n"/>
      <c r="C24" s="29" t="n"/>
      <c r="D24" s="29" t="n"/>
      <c r="E24" s="29" t="n"/>
    </row>
    <row r="25" ht="15" customHeight="1" s="22">
      <c r="A25" s="29" t="n"/>
      <c r="B25" s="29" t="n"/>
      <c r="C25" s="29" t="n"/>
      <c r="D25" s="29" t="n"/>
      <c r="E25" s="29" t="n"/>
    </row>
    <row r="26" ht="15" customHeight="1" s="22">
      <c r="A26" s="29" t="n"/>
      <c r="B26" s="29" t="n"/>
      <c r="C26" s="29" t="n"/>
      <c r="D26" s="29" t="n"/>
      <c r="E26" s="29" t="n"/>
    </row>
    <row r="27" ht="15" customHeight="1" s="22">
      <c r="A27" s="29" t="n"/>
      <c r="B27" s="29" t="n"/>
      <c r="C27" s="29" t="n"/>
      <c r="D27" s="29" t="n"/>
      <c r="E27" s="29" t="n"/>
    </row>
    <row r="28" ht="15" customHeight="1" s="22">
      <c r="A28" s="29" t="n"/>
      <c r="B28" s="29" t="n"/>
      <c r="C28" s="29" t="n"/>
      <c r="D28" s="29" t="n"/>
      <c r="E28" s="29" t="n"/>
    </row>
    <row r="29" ht="15" customHeight="1" s="22">
      <c r="A29" s="29" t="n"/>
      <c r="B29" s="29" t="n"/>
      <c r="C29" s="29" t="n"/>
      <c r="D29" s="29" t="n"/>
      <c r="E29" s="29" t="n"/>
    </row>
    <row r="30" ht="15" customHeight="1" s="22">
      <c r="A30" s="29" t="n"/>
      <c r="B30" s="29" t="n"/>
      <c r="C30" s="29" t="n"/>
      <c r="D30" s="29" t="n"/>
      <c r="E30" s="29" t="n"/>
    </row>
    <row r="31" ht="15" customHeight="1" s="22">
      <c r="A31" s="29" t="n"/>
      <c r="B31" s="29" t="n"/>
      <c r="C31" s="29" t="n"/>
      <c r="D31" s="29" t="n"/>
      <c r="E31" s="29" t="n"/>
    </row>
    <row r="32" ht="15" customHeight="1" s="22">
      <c r="A32" s="29" t="n"/>
      <c r="B32" s="29" t="n"/>
      <c r="C32" s="29" t="n"/>
      <c r="D32" s="29" t="n"/>
      <c r="E32" s="29" t="n"/>
    </row>
    <row r="33" ht="15" customHeight="1" s="22">
      <c r="A33" s="29" t="n"/>
      <c r="B33" s="29" t="n"/>
      <c r="C33" s="29" t="n"/>
      <c r="D33" s="29" t="n"/>
      <c r="E33" s="29" t="n"/>
    </row>
    <row r="34" ht="15" customHeight="1" s="22">
      <c r="A34" s="29" t="n"/>
      <c r="B34" s="29" t="n"/>
      <c r="C34" s="29" t="n"/>
      <c r="D34" s="29" t="n"/>
      <c r="E34" s="29" t="n"/>
    </row>
    <row r="35" ht="15" customHeight="1" s="22">
      <c r="A35" s="29" t="n"/>
      <c r="B35" s="29" t="n"/>
      <c r="C35" s="29" t="n"/>
      <c r="D35" s="29" t="n"/>
      <c r="E35" s="29" t="n"/>
    </row>
    <row r="36" ht="15" customHeight="1" s="22">
      <c r="A36" s="29" t="n"/>
      <c r="B36" s="29" t="n"/>
      <c r="C36" s="29" t="n"/>
      <c r="D36" s="29" t="n"/>
      <c r="E36" s="29" t="n"/>
    </row>
    <row r="37" ht="15" customHeight="1" s="22">
      <c r="A37" s="29" t="n"/>
      <c r="B37" s="29" t="n"/>
      <c r="C37" s="29" t="n"/>
      <c r="D37" s="29" t="n"/>
      <c r="E37" s="29" t="n"/>
    </row>
    <row r="38" ht="15" customHeight="1" s="22">
      <c r="A38" s="29" t="n"/>
      <c r="B38" s="29" t="n"/>
      <c r="C38" s="29" t="n"/>
      <c r="D38" s="29" t="n"/>
      <c r="E38" s="29" t="n"/>
    </row>
    <row r="39" ht="15" customHeight="1" s="22">
      <c r="A39" s="29" t="n"/>
      <c r="B39" s="29" t="n"/>
      <c r="C39" s="29" t="n"/>
      <c r="D39" s="29" t="n"/>
      <c r="E39" s="29" t="n"/>
    </row>
    <row r="40" ht="15" customHeight="1" s="22">
      <c r="A40" s="29" t="n"/>
      <c r="B40" s="29" t="n"/>
      <c r="C40" s="29" t="n"/>
      <c r="D40" s="29" t="n"/>
      <c r="E40" s="29" t="n"/>
    </row>
    <row r="41" ht="15" customHeight="1" s="22">
      <c r="A41" s="29" t="n"/>
      <c r="B41" s="29" t="n"/>
      <c r="C41" s="29" t="n"/>
      <c r="D41" s="29" t="n"/>
      <c r="E41" s="29" t="n"/>
    </row>
    <row r="42" ht="15" customHeight="1" s="22">
      <c r="A42" s="29" t="n"/>
      <c r="B42" s="29" t="n"/>
      <c r="C42" s="29" t="n"/>
      <c r="D42" s="29" t="n"/>
      <c r="E42" s="29" t="n"/>
    </row>
    <row r="43" ht="15" customHeight="1" s="22">
      <c r="A43" s="29" t="n"/>
      <c r="B43" s="29" t="n"/>
      <c r="C43" s="29" t="n"/>
      <c r="D43" s="29" t="n"/>
      <c r="E43" s="29" t="n"/>
    </row>
    <row r="44" ht="15" customHeight="1" s="22">
      <c r="A44" s="29" t="n"/>
      <c r="B44" s="29" t="n"/>
      <c r="C44" s="29" t="n"/>
      <c r="D44" s="29" t="n"/>
      <c r="E44" s="29" t="n"/>
    </row>
    <row r="45" ht="15" customHeight="1" s="22">
      <c r="A45" s="29" t="n"/>
      <c r="B45" s="29" t="n"/>
      <c r="C45" s="29" t="n"/>
      <c r="D45" s="29" t="n"/>
      <c r="E45" s="29" t="n"/>
    </row>
    <row r="46" ht="15" customHeight="1" s="22">
      <c r="A46" s="29" t="n"/>
      <c r="B46" s="29" t="n"/>
      <c r="C46" s="29" t="n"/>
      <c r="D46" s="29" t="n"/>
      <c r="E46" s="29" t="n"/>
    </row>
    <row r="47" ht="15" customHeight="1" s="22">
      <c r="A47" s="29" t="n"/>
      <c r="B47" s="29" t="n"/>
      <c r="C47" s="29" t="n"/>
      <c r="D47" s="29" t="n"/>
      <c r="E47" s="29" t="n"/>
    </row>
    <row r="48" ht="15" customHeight="1" s="22">
      <c r="A48" s="29" t="n"/>
      <c r="B48" s="29" t="n"/>
      <c r="C48" s="29" t="n"/>
      <c r="D48" s="29" t="n"/>
      <c r="E48" s="29" t="n"/>
    </row>
    <row r="49" ht="15" customHeight="1" s="22">
      <c r="A49" s="29" t="n"/>
      <c r="B49" s="29" t="n"/>
      <c r="C49" s="29" t="n"/>
      <c r="D49" s="29" t="n"/>
      <c r="E49" s="29" t="n"/>
    </row>
    <row r="50" ht="15" customHeight="1" s="22">
      <c r="A50" s="29" t="n"/>
      <c r="B50" s="29" t="n"/>
      <c r="C50" s="29" t="n"/>
      <c r="D50" s="29" t="n"/>
      <c r="E50" s="29" t="n"/>
    </row>
    <row r="51" ht="15" customHeight="1" s="22">
      <c r="A51" s="29" t="n"/>
      <c r="B51" s="29" t="n"/>
      <c r="C51" s="29" t="n"/>
      <c r="D51" s="29" t="n"/>
      <c r="E51" s="29" t="n"/>
    </row>
    <row r="52" ht="15" customHeight="1" s="22">
      <c r="A52" s="29" t="n"/>
      <c r="B52" s="29" t="n"/>
      <c r="C52" s="29" t="n"/>
      <c r="D52" s="29" t="n"/>
      <c r="E52" s="29" t="n"/>
    </row>
    <row r="53" ht="15" customHeight="1" s="22">
      <c r="A53" s="29" t="n"/>
      <c r="B53" s="29" t="n"/>
      <c r="C53" s="29" t="n"/>
      <c r="D53" s="29" t="n"/>
      <c r="E53" s="29" t="n"/>
    </row>
    <row r="54" ht="15" customHeight="1" s="22">
      <c r="A54" s="29" t="n"/>
      <c r="B54" s="29" t="n"/>
      <c r="C54" s="29" t="n"/>
      <c r="D54" s="29" t="n"/>
      <c r="E54" s="29" t="n"/>
    </row>
    <row r="55" ht="15" customHeight="1" s="22">
      <c r="A55" s="29" t="n"/>
      <c r="B55" s="29" t="n"/>
      <c r="C55" s="29" t="n"/>
      <c r="D55" s="29" t="n"/>
      <c r="E55" s="29" t="n"/>
    </row>
    <row r="56" ht="15" customHeight="1" s="22">
      <c r="A56" s="29" t="n"/>
      <c r="B56" s="29" t="n"/>
      <c r="C56" s="29" t="n"/>
      <c r="D56" s="29" t="n"/>
      <c r="E56" s="29" t="n"/>
    </row>
    <row r="57" ht="15" customHeight="1" s="22">
      <c r="A57" s="29" t="n"/>
      <c r="B57" s="29" t="n"/>
      <c r="C57" s="29" t="n"/>
      <c r="D57" s="29" t="n"/>
      <c r="E57" s="29" t="n"/>
    </row>
    <row r="58" ht="15" customHeight="1" s="22">
      <c r="A58" s="29" t="n"/>
      <c r="B58" s="29" t="n"/>
      <c r="C58" s="29" t="n"/>
      <c r="D58" s="29" t="n"/>
      <c r="E58" s="29" t="n"/>
    </row>
    <row r="59" ht="15" customHeight="1" s="22">
      <c r="A59" s="29" t="n"/>
      <c r="B59" s="29" t="n"/>
      <c r="C59" s="29" t="n"/>
      <c r="D59" s="29" t="n"/>
      <c r="E59" s="29" t="n"/>
    </row>
    <row r="60" ht="15" customHeight="1" s="22">
      <c r="A60" s="29" t="n"/>
      <c r="B60" s="29" t="n"/>
      <c r="C60" s="29" t="n"/>
      <c r="D60" s="29" t="n"/>
      <c r="E60" s="29" t="n"/>
    </row>
    <row r="61" ht="15" customHeight="1" s="22">
      <c r="A61" s="29" t="n"/>
      <c r="B61" s="29" t="n"/>
      <c r="C61" s="29" t="n"/>
      <c r="D61" s="29" t="n"/>
      <c r="E61" s="29" t="n"/>
    </row>
    <row r="62" ht="15" customHeight="1" s="22">
      <c r="A62" s="29" t="n"/>
      <c r="B62" s="29" t="n"/>
      <c r="C62" s="29" t="n"/>
      <c r="D62" s="29" t="n"/>
      <c r="E62" s="29" t="n"/>
    </row>
    <row r="63" ht="15" customHeight="1" s="22">
      <c r="A63" s="29" t="n"/>
      <c r="B63" s="29" t="n"/>
      <c r="C63" s="29" t="n"/>
      <c r="D63" s="29" t="n"/>
      <c r="E63" s="29" t="n"/>
    </row>
    <row r="64" ht="15" customHeight="1" s="22">
      <c r="A64" s="29" t="n"/>
      <c r="B64" s="29" t="n"/>
      <c r="C64" s="29" t="n"/>
      <c r="D64" s="29" t="n"/>
      <c r="E64" s="29" t="n"/>
    </row>
    <row r="65" ht="15" customHeight="1" s="22">
      <c r="A65" s="29" t="n"/>
      <c r="B65" s="29" t="n"/>
      <c r="C65" s="29" t="n"/>
      <c r="D65" s="29" t="n"/>
      <c r="E65" s="29" t="n"/>
    </row>
    <row r="66" ht="15" customHeight="1" s="22">
      <c r="A66" s="29" t="n"/>
      <c r="B66" s="29" t="n"/>
      <c r="C66" s="29" t="n"/>
      <c r="D66" s="29" t="n"/>
      <c r="E66" s="29" t="n"/>
    </row>
    <row r="67" ht="15" customHeight="1" s="22">
      <c r="A67" s="29" t="n"/>
      <c r="B67" s="29" t="n"/>
      <c r="C67" s="29" t="n"/>
      <c r="D67" s="29" t="n"/>
      <c r="E67" s="29" t="n"/>
    </row>
    <row r="68" ht="15" customHeight="1" s="22">
      <c r="A68" s="29" t="n"/>
      <c r="B68" s="29" t="n"/>
      <c r="C68" s="29" t="n"/>
      <c r="D68" s="29" t="n"/>
      <c r="E68" s="29" t="n"/>
    </row>
    <row r="69" ht="15" customHeight="1" s="22">
      <c r="A69" s="29" t="n"/>
      <c r="B69" s="29" t="n"/>
      <c r="C69" s="29" t="n"/>
      <c r="D69" s="29" t="n"/>
      <c r="E69" s="29" t="n"/>
    </row>
    <row r="70" ht="15" customHeight="1" s="22">
      <c r="A70" s="29" t="n"/>
      <c r="B70" s="29" t="n"/>
      <c r="C70" s="29" t="n"/>
      <c r="D70" s="29" t="n"/>
      <c r="E70" s="29" t="n"/>
    </row>
    <row r="71" ht="15" customHeight="1" s="22">
      <c r="A71" s="29" t="n"/>
      <c r="B71" s="29" t="n"/>
      <c r="C71" s="29" t="n"/>
      <c r="D71" s="29" t="n"/>
      <c r="E71" s="29" t="n"/>
    </row>
    <row r="72" ht="15" customHeight="1" s="22">
      <c r="A72" s="29" t="n"/>
      <c r="B72" s="29" t="n"/>
      <c r="C72" s="29" t="n"/>
      <c r="D72" s="29" t="n"/>
      <c r="E72" s="29" t="n"/>
    </row>
    <row r="73" ht="15" customHeight="1" s="22">
      <c r="A73" s="29" t="n"/>
      <c r="B73" s="29" t="n"/>
      <c r="C73" s="29" t="n"/>
      <c r="D73" s="29" t="n"/>
      <c r="E73" s="29" t="n"/>
    </row>
    <row r="74" ht="15" customHeight="1" s="22">
      <c r="A74" s="29" t="n"/>
      <c r="B74" s="29" t="n"/>
      <c r="C74" s="29" t="n"/>
      <c r="D74" s="29" t="n"/>
      <c r="E74" s="29" t="n"/>
    </row>
    <row r="75" ht="15" customHeight="1" s="22">
      <c r="A75" s="29" t="n"/>
      <c r="B75" s="29" t="n"/>
      <c r="C75" s="29" t="n"/>
      <c r="D75" s="29" t="n"/>
      <c r="E75" s="29" t="n"/>
    </row>
    <row r="76" ht="15" customHeight="1" s="22">
      <c r="A76" s="29" t="n"/>
      <c r="B76" s="29" t="n"/>
      <c r="C76" s="29" t="n"/>
      <c r="D76" s="29" t="n"/>
      <c r="E76" s="29" t="n"/>
    </row>
    <row r="77" ht="15" customHeight="1" s="22">
      <c r="A77" s="29" t="n"/>
      <c r="B77" s="29" t="n"/>
      <c r="C77" s="29" t="n"/>
      <c r="D77" s="29" t="n"/>
      <c r="E77" s="29" t="n"/>
    </row>
    <row r="78" ht="15" customHeight="1" s="22">
      <c r="A78" s="29" t="n"/>
      <c r="B78" s="29" t="n"/>
      <c r="C78" s="29" t="n"/>
      <c r="D78" s="29" t="n"/>
      <c r="E78" s="29" t="n"/>
    </row>
    <row r="79" ht="15" customHeight="1" s="22">
      <c r="A79" s="29" t="n"/>
      <c r="B79" s="29" t="n"/>
      <c r="C79" s="29" t="n"/>
      <c r="D79" s="29" t="n"/>
      <c r="E79" s="29" t="n"/>
    </row>
    <row r="80" ht="15" customHeight="1" s="22">
      <c r="A80" s="29" t="n"/>
      <c r="B80" s="29" t="n"/>
      <c r="C80" s="29" t="n"/>
      <c r="D80" s="29" t="n"/>
      <c r="E80" s="29" t="n"/>
    </row>
    <row r="81" ht="15" customHeight="1" s="22">
      <c r="A81" s="29" t="n"/>
      <c r="B81" s="29" t="n"/>
      <c r="C81" s="29" t="n"/>
      <c r="D81" s="29" t="n"/>
      <c r="E81" s="29" t="n"/>
    </row>
    <row r="82" ht="15" customHeight="1" s="22">
      <c r="A82" s="29" t="n"/>
      <c r="B82" s="29" t="n"/>
      <c r="C82" s="29" t="n"/>
      <c r="D82" s="29" t="n"/>
      <c r="E82" s="29" t="n"/>
    </row>
    <row r="83" ht="15" customHeight="1" s="22">
      <c r="A83" s="29" t="n"/>
      <c r="B83" s="29" t="n"/>
      <c r="C83" s="29" t="n"/>
      <c r="D83" s="29" t="n"/>
      <c r="E83" s="29" t="n"/>
    </row>
    <row r="84" ht="15" customHeight="1" s="22">
      <c r="A84" s="29" t="n"/>
      <c r="B84" s="29" t="n"/>
      <c r="C84" s="29" t="n"/>
      <c r="D84" s="29" t="n"/>
      <c r="E84" s="29" t="n"/>
    </row>
    <row r="85" ht="15" customHeight="1" s="22">
      <c r="A85" s="29" t="n"/>
      <c r="B85" s="29" t="n"/>
      <c r="C85" s="29" t="n"/>
      <c r="D85" s="29" t="n"/>
      <c r="E85" s="29" t="n"/>
    </row>
    <row r="86" ht="15" customHeight="1" s="22">
      <c r="A86" s="29" t="n"/>
      <c r="B86" s="29" t="n"/>
      <c r="C86" s="29" t="n"/>
      <c r="D86" s="29" t="n"/>
      <c r="E86" s="29" t="n"/>
    </row>
    <row r="87" ht="15" customHeight="1" s="22">
      <c r="A87" s="29" t="n"/>
      <c r="B87" s="29" t="n"/>
      <c r="C87" s="29" t="n"/>
      <c r="D87" s="29" t="n"/>
      <c r="E87" s="29" t="n"/>
    </row>
    <row r="88" ht="15" customHeight="1" s="22">
      <c r="A88" s="29" t="n"/>
      <c r="B88" s="29" t="n"/>
      <c r="C88" s="29" t="n"/>
      <c r="D88" s="29" t="n"/>
      <c r="E88" s="29" t="n"/>
    </row>
    <row r="89" ht="15" customHeight="1" s="22">
      <c r="A89" s="29" t="n"/>
      <c r="B89" s="29" t="n"/>
      <c r="C89" s="29" t="n"/>
      <c r="D89" s="29" t="n"/>
      <c r="E89" s="29" t="n"/>
    </row>
    <row r="90" ht="15" customHeight="1" s="22">
      <c r="A90" s="29" t="n"/>
      <c r="B90" s="29" t="n"/>
      <c r="C90" s="29" t="n"/>
      <c r="D90" s="29" t="n"/>
      <c r="E90" s="29" t="n"/>
    </row>
    <row r="91" ht="15" customHeight="1" s="22">
      <c r="A91" s="29" t="n"/>
      <c r="B91" s="29" t="n"/>
      <c r="C91" s="29" t="n"/>
      <c r="D91" s="29" t="n"/>
      <c r="E91" s="29" t="n"/>
    </row>
    <row r="92" ht="15" customHeight="1" s="22">
      <c r="A92" s="29" t="n"/>
      <c r="B92" s="29" t="n"/>
      <c r="C92" s="29" t="n"/>
      <c r="D92" s="29" t="n"/>
      <c r="E92" s="29" t="n"/>
    </row>
    <row r="93" ht="15" customHeight="1" s="22">
      <c r="A93" s="29" t="n"/>
      <c r="B93" s="29" t="n"/>
      <c r="C93" s="29" t="n"/>
      <c r="D93" s="29" t="n"/>
      <c r="E93" s="29" t="n"/>
    </row>
    <row r="94" ht="15" customHeight="1" s="22">
      <c r="A94" s="29" t="n"/>
      <c r="B94" s="29" t="n"/>
      <c r="C94" s="29" t="n"/>
      <c r="D94" s="29" t="n"/>
      <c r="E94" s="29" t="n"/>
    </row>
    <row r="95" ht="15" customHeight="1" s="22">
      <c r="A95" s="29" t="n"/>
      <c r="B95" s="29" t="n"/>
      <c r="C95" s="29" t="n"/>
      <c r="D95" s="29" t="n"/>
      <c r="E95" s="29" t="n"/>
    </row>
    <row r="96" ht="15" customHeight="1" s="22">
      <c r="A96" s="29" t="n"/>
      <c r="B96" s="29" t="n"/>
      <c r="C96" s="29" t="n"/>
      <c r="D96" s="29" t="n"/>
      <c r="E96" s="29" t="n"/>
    </row>
    <row r="97" ht="15" customHeight="1" s="22">
      <c r="A97" s="29" t="n"/>
      <c r="B97" s="29" t="n"/>
      <c r="C97" s="29" t="n"/>
      <c r="D97" s="29" t="n"/>
      <c r="E97" s="29" t="n"/>
    </row>
    <row r="98" ht="15" customHeight="1" s="22">
      <c r="A98" s="29" t="n"/>
      <c r="B98" s="29" t="n"/>
      <c r="C98" s="29" t="n"/>
      <c r="D98" s="29" t="n"/>
      <c r="E98" s="29" t="n"/>
    </row>
    <row r="99" ht="15" customHeight="1" s="22">
      <c r="A99" s="29" t="n"/>
      <c r="B99" s="29" t="n"/>
      <c r="C99" s="29" t="n"/>
      <c r="D99" s="29" t="n"/>
      <c r="E99" s="29" t="n"/>
    </row>
    <row r="100" ht="15" customHeight="1" s="22">
      <c r="A100" s="29" t="n"/>
      <c r="B100" s="29" t="n"/>
      <c r="C100" s="29" t="n"/>
      <c r="D100" s="29" t="n"/>
      <c r="E100" s="29" t="n"/>
    </row>
    <row r="101" ht="15" customHeight="1" s="22">
      <c r="A101" s="29" t="n"/>
      <c r="B101" s="29" t="n"/>
      <c r="C101" s="29" t="n"/>
      <c r="D101" s="29" t="n"/>
      <c r="E101" s="29" t="n"/>
    </row>
    <row r="102" ht="15" customHeight="1" s="22">
      <c r="A102" s="29" t="n"/>
      <c r="B102" s="29" t="n"/>
      <c r="C102" s="29" t="n"/>
      <c r="D102" s="29" t="n"/>
      <c r="E102" s="29" t="n"/>
    </row>
    <row r="103" ht="15" customHeight="1" s="22">
      <c r="A103" s="29" t="n"/>
      <c r="B103" s="29" t="n"/>
      <c r="C103" s="29" t="n"/>
      <c r="D103" s="29" t="n"/>
      <c r="E103" s="29" t="n"/>
    </row>
    <row r="104" ht="15" customHeight="1" s="22">
      <c r="A104" s="29" t="n"/>
      <c r="B104" s="29" t="n"/>
      <c r="C104" s="29" t="n"/>
      <c r="D104" s="29" t="n"/>
      <c r="E104" s="29" t="n"/>
    </row>
    <row r="105" ht="15" customHeight="1" s="22">
      <c r="A105" s="29" t="n"/>
      <c r="B105" s="29" t="n"/>
      <c r="C105" s="29" t="n"/>
      <c r="D105" s="29" t="n"/>
      <c r="E105" s="29" t="n"/>
    </row>
    <row r="106" ht="15" customHeight="1" s="22">
      <c r="A106" s="29" t="n"/>
      <c r="B106" s="29" t="n"/>
      <c r="C106" s="29" t="n"/>
      <c r="D106" s="29" t="n"/>
      <c r="E106" s="29" t="n"/>
    </row>
    <row r="107" ht="15" customHeight="1" s="22">
      <c r="A107" s="29" t="n"/>
      <c r="B107" s="29" t="n"/>
      <c r="C107" s="29" t="n"/>
      <c r="D107" s="29" t="n"/>
      <c r="E107" s="29" t="n"/>
    </row>
    <row r="108" ht="15" customHeight="1" s="22">
      <c r="A108" s="29" t="n"/>
      <c r="B108" s="29" t="n"/>
      <c r="C108" s="29" t="n"/>
      <c r="D108" s="29" t="n"/>
      <c r="E108" s="29" t="n"/>
    </row>
    <row r="109" ht="15" customHeight="1" s="22">
      <c r="A109" s="29" t="n"/>
      <c r="B109" s="29" t="n"/>
      <c r="C109" s="29" t="n"/>
      <c r="D109" s="29" t="n"/>
      <c r="E109" s="29" t="n"/>
    </row>
    <row r="110" ht="15" customHeight="1" s="22">
      <c r="A110" s="29" t="n"/>
      <c r="B110" s="29" t="n"/>
      <c r="C110" s="29" t="n"/>
      <c r="D110" s="29" t="n"/>
      <c r="E110" s="29" t="n"/>
    </row>
    <row r="111" ht="15" customHeight="1" s="22">
      <c r="A111" s="29" t="n"/>
      <c r="B111" s="29" t="n"/>
      <c r="C111" s="29" t="n"/>
      <c r="D111" s="29" t="n"/>
      <c r="E111" s="29" t="n"/>
    </row>
    <row r="112" ht="15" customHeight="1" s="22">
      <c r="A112" s="29" t="n"/>
      <c r="B112" s="29" t="n"/>
      <c r="C112" s="29" t="n"/>
      <c r="D112" s="29" t="n"/>
      <c r="E112" s="29" t="n"/>
    </row>
    <row r="113" ht="15" customHeight="1" s="22">
      <c r="A113" s="29" t="n"/>
      <c r="B113" s="29" t="n"/>
      <c r="C113" s="29" t="n"/>
      <c r="D113" s="29" t="n"/>
      <c r="E113" s="29" t="n"/>
    </row>
    <row r="114" ht="15" customHeight="1" s="22">
      <c r="A114" s="29" t="n"/>
      <c r="B114" s="29" t="n"/>
      <c r="C114" s="29" t="n"/>
      <c r="D114" s="29" t="n"/>
      <c r="E114" s="29" t="n"/>
    </row>
    <row r="115" ht="15" customHeight="1" s="22">
      <c r="A115" s="29" t="n"/>
      <c r="B115" s="29" t="n"/>
      <c r="C115" s="29" t="n"/>
      <c r="D115" s="29" t="n"/>
      <c r="E115" s="29" t="n"/>
    </row>
    <row r="116" ht="15" customHeight="1" s="22">
      <c r="A116" s="29" t="n"/>
      <c r="B116" s="29" t="n"/>
      <c r="C116" s="29" t="n"/>
      <c r="D116" s="29" t="n"/>
      <c r="E116" s="29" t="n"/>
    </row>
    <row r="117" ht="15" customHeight="1" s="22">
      <c r="A117" s="29" t="n"/>
      <c r="B117" s="29" t="n"/>
      <c r="C117" s="29" t="n"/>
      <c r="D117" s="29" t="n"/>
      <c r="E117" s="29" t="n"/>
    </row>
    <row r="118" ht="15" customHeight="1" s="22">
      <c r="A118" s="29" t="n"/>
      <c r="B118" s="29" t="n"/>
      <c r="C118" s="29" t="n"/>
      <c r="D118" s="29" t="n"/>
      <c r="E118" s="29" t="n"/>
    </row>
    <row r="119" ht="15" customHeight="1" s="22">
      <c r="A119" s="29" t="n"/>
      <c r="B119" s="29" t="n"/>
      <c r="C119" s="29" t="n"/>
      <c r="D119" s="29" t="n"/>
      <c r="E119" s="29" t="n"/>
    </row>
    <row r="120" ht="15" customHeight="1" s="22">
      <c r="A120" s="29" t="n"/>
      <c r="B120" s="29" t="n"/>
      <c r="C120" s="29" t="n"/>
      <c r="D120" s="29" t="n"/>
      <c r="E120" s="29" t="n"/>
    </row>
    <row r="121" ht="15" customHeight="1" s="22">
      <c r="A121" s="29" t="n"/>
      <c r="B121" s="29" t="n"/>
      <c r="C121" s="29" t="n"/>
      <c r="D121" s="29" t="n"/>
      <c r="E121" s="29" t="n"/>
    </row>
    <row r="122" ht="15" customHeight="1" s="22">
      <c r="A122" s="29" t="n"/>
      <c r="B122" s="29" t="n"/>
      <c r="C122" s="29" t="n"/>
      <c r="D122" s="29" t="n"/>
      <c r="E122" s="29" t="n"/>
    </row>
    <row r="123" ht="15" customHeight="1" s="22">
      <c r="A123" s="29" t="n"/>
      <c r="B123" s="29" t="n"/>
      <c r="C123" s="29" t="n"/>
      <c r="D123" s="29" t="n"/>
      <c r="E123" s="29" t="n"/>
    </row>
    <row r="124" ht="15" customHeight="1" s="22">
      <c r="A124" s="29" t="n"/>
      <c r="B124" s="29" t="n"/>
      <c r="C124" s="29" t="n"/>
      <c r="D124" s="29" t="n"/>
      <c r="E124" s="29" t="n"/>
    </row>
    <row r="125" ht="15" customHeight="1" s="22">
      <c r="A125" s="29" t="n"/>
      <c r="B125" s="29" t="n"/>
      <c r="C125" s="29" t="n"/>
      <c r="D125" s="29" t="n"/>
      <c r="E125" s="29" t="n"/>
    </row>
    <row r="126" ht="15" customHeight="1" s="22">
      <c r="A126" s="29" t="n"/>
      <c r="B126" s="29" t="n"/>
      <c r="C126" s="29" t="n"/>
      <c r="D126" s="29" t="n"/>
      <c r="E126" s="29" t="n"/>
    </row>
    <row r="127" ht="15" customHeight="1" s="22">
      <c r="A127" s="29" t="n"/>
      <c r="B127" s="29" t="n"/>
      <c r="C127" s="29" t="n"/>
      <c r="D127" s="29" t="n"/>
      <c r="E127" s="29" t="n"/>
    </row>
    <row r="128" ht="15" customHeight="1" s="22">
      <c r="A128" s="29" t="n"/>
      <c r="B128" s="29" t="n"/>
      <c r="C128" s="29" t="n"/>
      <c r="D128" s="29" t="n"/>
      <c r="E128" s="29" t="n"/>
    </row>
    <row r="129" ht="15" customHeight="1" s="22">
      <c r="A129" s="29" t="n"/>
      <c r="B129" s="29" t="n"/>
      <c r="C129" s="29" t="n"/>
      <c r="D129" s="29" t="n"/>
      <c r="E129" s="29" t="n"/>
    </row>
    <row r="130" ht="15" customHeight="1" s="22">
      <c r="A130" s="29" t="n"/>
      <c r="B130" s="29" t="n"/>
      <c r="C130" s="29" t="n"/>
      <c r="D130" s="29" t="n"/>
      <c r="E130" s="29" t="n"/>
    </row>
    <row r="131" ht="15" customHeight="1" s="22">
      <c r="A131" s="29" t="n"/>
      <c r="B131" s="29" t="n"/>
      <c r="C131" s="29" t="n"/>
      <c r="D131" s="29" t="n"/>
      <c r="E131" s="29" t="n"/>
    </row>
    <row r="132" ht="15" customHeight="1" s="22">
      <c r="A132" s="29" t="n"/>
      <c r="B132" s="29" t="n"/>
      <c r="C132" s="29" t="n"/>
      <c r="D132" s="29" t="n"/>
      <c r="E132" s="29" t="n"/>
    </row>
    <row r="133" ht="15" customHeight="1" s="22">
      <c r="A133" s="29" t="n"/>
      <c r="B133" s="29" t="n"/>
      <c r="C133" s="29" t="n"/>
      <c r="D133" s="29" t="n"/>
      <c r="E133" s="29" t="n"/>
    </row>
    <row r="134" ht="15" customHeight="1" s="22">
      <c r="A134" s="29" t="n"/>
      <c r="B134" s="29" t="n"/>
      <c r="C134" s="29" t="n"/>
      <c r="D134" s="29" t="n"/>
      <c r="E134" s="29" t="n"/>
    </row>
    <row r="135" ht="15" customHeight="1" s="22">
      <c r="A135" s="29" t="n"/>
      <c r="B135" s="29" t="n"/>
      <c r="C135" s="29" t="n"/>
      <c r="D135" s="29" t="n"/>
      <c r="E135" s="29" t="n"/>
    </row>
    <row r="136" ht="15" customHeight="1" s="22">
      <c r="A136" s="29" t="n"/>
      <c r="B136" s="29" t="n"/>
      <c r="C136" s="29" t="n"/>
      <c r="D136" s="29" t="n"/>
      <c r="E136" s="29" t="n"/>
    </row>
    <row r="137" ht="15" customHeight="1" s="22">
      <c r="A137" s="29" t="n"/>
      <c r="B137" s="29" t="n"/>
      <c r="C137" s="29" t="n"/>
      <c r="D137" s="29" t="n"/>
      <c r="E137" s="29" t="n"/>
    </row>
    <row r="138" ht="15" customHeight="1" s="22">
      <c r="A138" s="29" t="n"/>
      <c r="B138" s="29" t="n"/>
      <c r="C138" s="29" t="n"/>
      <c r="D138" s="29" t="n"/>
      <c r="E138" s="29" t="n"/>
    </row>
    <row r="139" ht="15" customHeight="1" s="22">
      <c r="A139" s="29" t="n"/>
      <c r="B139" s="29" t="n"/>
      <c r="C139" s="29" t="n"/>
      <c r="D139" s="29" t="n"/>
      <c r="E139" s="29" t="n"/>
    </row>
    <row r="140" ht="15" customHeight="1" s="22">
      <c r="A140" s="29" t="n"/>
      <c r="B140" s="29" t="n"/>
      <c r="C140" s="29" t="n"/>
      <c r="D140" s="29" t="n"/>
      <c r="E140" s="29" t="n"/>
    </row>
    <row r="141" ht="15" customHeight="1" s="22">
      <c r="A141" s="29" t="n"/>
      <c r="B141" s="29" t="n"/>
      <c r="C141" s="29" t="n"/>
      <c r="D141" s="29" t="n"/>
      <c r="E141" s="29" t="n"/>
    </row>
    <row r="142" ht="15" customHeight="1" s="22">
      <c r="A142" s="29" t="n"/>
      <c r="B142" s="29" t="n"/>
      <c r="C142" s="29" t="n"/>
      <c r="D142" s="29" t="n"/>
      <c r="E142" s="29" t="n"/>
    </row>
    <row r="143" ht="15" customHeight="1" s="22">
      <c r="A143" s="29" t="n"/>
      <c r="B143" s="29" t="n"/>
      <c r="C143" s="29" t="n"/>
      <c r="D143" s="29" t="n"/>
      <c r="E143" s="29" t="n"/>
    </row>
    <row r="144" ht="15" customHeight="1" s="22">
      <c r="A144" s="29" t="n"/>
      <c r="B144" s="29" t="n"/>
      <c r="C144" s="29" t="n"/>
      <c r="D144" s="29" t="n"/>
      <c r="E144" s="29" t="n"/>
    </row>
    <row r="145" ht="15" customHeight="1" s="22">
      <c r="A145" s="29" t="n"/>
      <c r="B145" s="29" t="n"/>
      <c r="C145" s="29" t="n"/>
      <c r="D145" s="29" t="n"/>
      <c r="E145" s="29" t="n"/>
    </row>
    <row r="146" ht="15" customHeight="1" s="22">
      <c r="A146" s="29" t="n"/>
      <c r="B146" s="29" t="n"/>
      <c r="C146" s="29" t="n"/>
      <c r="D146" s="29" t="n"/>
      <c r="E146" s="29" t="n"/>
    </row>
    <row r="147" ht="15" customHeight="1" s="22">
      <c r="A147" s="29" t="n"/>
      <c r="B147" s="29" t="n"/>
      <c r="C147" s="29" t="n"/>
      <c r="D147" s="29" t="n"/>
      <c r="E147" s="29" t="n"/>
    </row>
    <row r="148" ht="15" customHeight="1" s="22">
      <c r="A148" s="29" t="n"/>
      <c r="B148" s="29" t="n"/>
      <c r="C148" s="29" t="n"/>
      <c r="D148" s="29" t="n"/>
      <c r="E148" s="29" t="n"/>
    </row>
    <row r="149" ht="15" customHeight="1" s="22">
      <c r="A149" s="29" t="n"/>
      <c r="B149" s="29" t="n"/>
      <c r="C149" s="29" t="n"/>
      <c r="D149" s="29" t="n"/>
      <c r="E149" s="29" t="n"/>
    </row>
    <row r="150" ht="15" customHeight="1" s="22">
      <c r="A150" s="29" t="n"/>
      <c r="B150" s="29" t="n"/>
      <c r="C150" s="29" t="n"/>
      <c r="D150" s="29" t="n"/>
      <c r="E150" s="29" t="n"/>
    </row>
    <row r="151" ht="15" customHeight="1" s="22">
      <c r="A151" s="29" t="n"/>
      <c r="B151" s="29" t="n"/>
      <c r="C151" s="29" t="n"/>
      <c r="D151" s="29" t="n"/>
      <c r="E151" s="29" t="n"/>
    </row>
    <row r="152" ht="15" customHeight="1" s="22">
      <c r="A152" s="29" t="n"/>
      <c r="B152" s="29" t="n"/>
      <c r="C152" s="29" t="n"/>
      <c r="D152" s="29" t="n"/>
      <c r="E152" s="29" t="n"/>
    </row>
    <row r="153" ht="15" customHeight="1" s="22">
      <c r="A153" s="29" t="n"/>
      <c r="B153" s="29" t="n"/>
      <c r="C153" s="29" t="n"/>
      <c r="D153" s="29" t="n"/>
      <c r="E153" s="29" t="n"/>
    </row>
    <row r="154" ht="15" customHeight="1" s="22">
      <c r="A154" s="29" t="n"/>
      <c r="B154" s="29" t="n"/>
      <c r="C154" s="29" t="n"/>
      <c r="D154" s="29" t="n"/>
      <c r="E154" s="29" t="n"/>
    </row>
    <row r="155" ht="15" customHeight="1" s="22">
      <c r="A155" s="29" t="n"/>
      <c r="B155" s="29" t="n"/>
      <c r="C155" s="29" t="n"/>
      <c r="D155" s="29" t="n"/>
      <c r="E155" s="29" t="n"/>
    </row>
    <row r="156" ht="15" customHeight="1" s="22">
      <c r="A156" s="29" t="n"/>
      <c r="B156" s="29" t="n"/>
      <c r="C156" s="29" t="n"/>
      <c r="D156" s="29" t="n"/>
      <c r="E156" s="29" t="n"/>
    </row>
    <row r="157" ht="15" customHeight="1" s="22">
      <c r="A157" s="29" t="n"/>
      <c r="B157" s="29" t="n"/>
      <c r="C157" s="29" t="n"/>
      <c r="D157" s="29" t="n"/>
      <c r="E157" s="29" t="n"/>
    </row>
    <row r="158" ht="15" customHeight="1" s="22">
      <c r="A158" s="29" t="n"/>
      <c r="B158" s="29" t="n"/>
      <c r="C158" s="29" t="n"/>
      <c r="D158" s="29" t="n"/>
      <c r="E158" s="29" t="n"/>
    </row>
    <row r="159" ht="15" customHeight="1" s="22">
      <c r="A159" s="29" t="n"/>
      <c r="B159" s="29" t="n"/>
      <c r="C159" s="29" t="n"/>
      <c r="D159" s="29" t="n"/>
      <c r="E159" s="29" t="n"/>
    </row>
    <row r="160" ht="15" customHeight="1" s="22">
      <c r="A160" s="29" t="n"/>
      <c r="B160" s="29" t="n"/>
      <c r="C160" s="29" t="n"/>
      <c r="D160" s="29" t="n"/>
      <c r="E160" s="29" t="n"/>
    </row>
    <row r="161" ht="15" customHeight="1" s="22">
      <c r="A161" s="29" t="n"/>
      <c r="B161" s="29" t="n"/>
      <c r="C161" s="29" t="n"/>
      <c r="D161" s="29" t="n"/>
      <c r="E161" s="29" t="n"/>
    </row>
    <row r="162" ht="15" customHeight="1" s="22">
      <c r="A162" s="29" t="n"/>
      <c r="B162" s="29" t="n"/>
      <c r="C162" s="29" t="n"/>
      <c r="D162" s="29" t="n"/>
      <c r="E162" s="29" t="n"/>
    </row>
    <row r="163" ht="15" customHeight="1" s="22">
      <c r="A163" s="29" t="n"/>
      <c r="B163" s="29" t="n"/>
      <c r="C163" s="29" t="n"/>
      <c r="D163" s="29" t="n"/>
      <c r="E163" s="29" t="n"/>
    </row>
    <row r="164" ht="15" customHeight="1" s="22">
      <c r="A164" s="29" t="n"/>
      <c r="B164" s="29" t="n"/>
      <c r="C164" s="29" t="n"/>
      <c r="D164" s="29" t="n"/>
      <c r="E164" s="29" t="n"/>
    </row>
    <row r="165" ht="15" customHeight="1" s="22">
      <c r="A165" s="29" t="n"/>
      <c r="B165" s="29" t="n"/>
      <c r="C165" s="29" t="n"/>
      <c r="D165" s="29" t="n"/>
      <c r="E165" s="29" t="n"/>
    </row>
    <row r="166" ht="15" customHeight="1" s="22">
      <c r="A166" s="29" t="n"/>
      <c r="B166" s="29" t="n"/>
      <c r="C166" s="29" t="n"/>
      <c r="D166" s="29" t="n"/>
      <c r="E166" s="29" t="n"/>
    </row>
    <row r="167" ht="15" customHeight="1" s="22">
      <c r="A167" s="29" t="n"/>
      <c r="B167" s="29" t="n"/>
      <c r="C167" s="29" t="n"/>
      <c r="D167" s="29" t="n"/>
      <c r="E167" s="29" t="n"/>
    </row>
    <row r="168" ht="15" customHeight="1" s="22">
      <c r="A168" s="29" t="n"/>
      <c r="B168" s="29" t="n"/>
      <c r="C168" s="29" t="n"/>
      <c r="D168" s="29" t="n"/>
      <c r="E168" s="29" t="n"/>
    </row>
    <row r="169" ht="15" customHeight="1" s="22">
      <c r="A169" s="29" t="n"/>
      <c r="B169" s="29" t="n"/>
      <c r="C169" s="29" t="n"/>
      <c r="D169" s="29" t="n"/>
      <c r="E169" s="29" t="n"/>
    </row>
    <row r="170" ht="15" customHeight="1" s="22">
      <c r="A170" s="29" t="n"/>
      <c r="B170" s="29" t="n"/>
      <c r="C170" s="29" t="n"/>
      <c r="D170" s="29" t="n"/>
      <c r="E170" s="29" t="n"/>
    </row>
    <row r="171" ht="15" customHeight="1" s="22">
      <c r="A171" s="29" t="n"/>
      <c r="B171" s="29" t="n"/>
      <c r="C171" s="29" t="n"/>
      <c r="D171" s="29" t="n"/>
      <c r="E171" s="29" t="n"/>
    </row>
    <row r="172" ht="15" customHeight="1" s="22">
      <c r="A172" s="29" t="n"/>
      <c r="B172" s="29" t="n"/>
      <c r="C172" s="29" t="n"/>
      <c r="D172" s="29" t="n"/>
      <c r="E172" s="29" t="n"/>
    </row>
    <row r="173" ht="15" customHeight="1" s="22">
      <c r="A173" s="29" t="n"/>
      <c r="B173" s="29" t="n"/>
      <c r="C173" s="29" t="n"/>
      <c r="D173" s="29" t="n"/>
      <c r="E173" s="29" t="n"/>
    </row>
    <row r="174" ht="15" customHeight="1" s="22">
      <c r="A174" s="29" t="n"/>
      <c r="B174" s="29" t="n"/>
      <c r="C174" s="29" t="n"/>
      <c r="D174" s="29" t="n"/>
      <c r="E174" s="29" t="n"/>
    </row>
    <row r="175" ht="15" customHeight="1" s="22">
      <c r="A175" s="29" t="n"/>
      <c r="B175" s="29" t="n"/>
      <c r="C175" s="29" t="n"/>
      <c r="D175" s="29" t="n"/>
      <c r="E175" s="29" t="n"/>
    </row>
    <row r="176" ht="15" customHeight="1" s="22">
      <c r="A176" s="29" t="n"/>
      <c r="B176" s="29" t="n"/>
      <c r="C176" s="29" t="n"/>
      <c r="D176" s="29" t="n"/>
      <c r="E176" s="29" t="n"/>
    </row>
    <row r="177" ht="15" customHeight="1" s="22">
      <c r="A177" s="29" t="n"/>
      <c r="B177" s="29" t="n"/>
      <c r="C177" s="29" t="n"/>
      <c r="D177" s="29" t="n"/>
      <c r="E177" s="29" t="n"/>
    </row>
    <row r="178" ht="15" customHeight="1" s="22">
      <c r="A178" s="29" t="n"/>
      <c r="B178" s="29" t="n"/>
      <c r="C178" s="29" t="n"/>
      <c r="D178" s="29" t="n"/>
      <c r="E178" s="29" t="n"/>
    </row>
    <row r="179" ht="15" customHeight="1" s="22">
      <c r="A179" s="29" t="n"/>
      <c r="B179" s="29" t="n"/>
      <c r="C179" s="29" t="n"/>
      <c r="D179" s="29" t="n"/>
      <c r="E179" s="29" t="n"/>
    </row>
    <row r="180" ht="15" customHeight="1" s="22">
      <c r="A180" s="29" t="n"/>
      <c r="B180" s="29" t="n"/>
      <c r="C180" s="29" t="n"/>
      <c r="D180" s="29" t="n"/>
      <c r="E180" s="29" t="n"/>
    </row>
    <row r="181" ht="15" customHeight="1" s="22">
      <c r="A181" s="29" t="n"/>
      <c r="B181" s="29" t="n"/>
      <c r="C181" s="29" t="n"/>
      <c r="D181" s="29" t="n"/>
      <c r="E181" s="29" t="n"/>
    </row>
    <row r="182" ht="15" customHeight="1" s="22">
      <c r="A182" s="29" t="n"/>
      <c r="B182" s="29" t="n"/>
      <c r="C182" s="29" t="n"/>
      <c r="D182" s="29" t="n"/>
      <c r="E182" s="29" t="n"/>
    </row>
    <row r="183" ht="15" customHeight="1" s="22">
      <c r="A183" s="29" t="n"/>
      <c r="B183" s="29" t="n"/>
      <c r="C183" s="29" t="n"/>
      <c r="D183" s="29" t="n"/>
      <c r="E183" s="29" t="n"/>
    </row>
    <row r="184" ht="15" customHeight="1" s="22">
      <c r="A184" s="29" t="n"/>
      <c r="B184" s="29" t="n"/>
      <c r="C184" s="29" t="n"/>
      <c r="D184" s="29" t="n"/>
      <c r="E184" s="29" t="n"/>
    </row>
    <row r="185" ht="15" customHeight="1" s="22">
      <c r="A185" s="29" t="n"/>
      <c r="B185" s="29" t="n"/>
      <c r="C185" s="29" t="n"/>
      <c r="D185" s="29" t="n"/>
      <c r="E185" s="29" t="n"/>
    </row>
    <row r="186" ht="15" customHeight="1" s="22">
      <c r="A186" s="29" t="n"/>
      <c r="B186" s="29" t="n"/>
      <c r="C186" s="29" t="n"/>
      <c r="D186" s="29" t="n"/>
      <c r="E186" s="29" t="n"/>
    </row>
    <row r="187" ht="15" customHeight="1" s="22">
      <c r="A187" s="29" t="n"/>
      <c r="B187" s="29" t="n"/>
      <c r="C187" s="29" t="n"/>
      <c r="D187" s="29" t="n"/>
      <c r="E187" s="29" t="n"/>
    </row>
    <row r="188" ht="15" customHeight="1" s="22">
      <c r="A188" s="29" t="n"/>
      <c r="B188" s="29" t="n"/>
      <c r="C188" s="29" t="n"/>
      <c r="D188" s="29" t="n"/>
      <c r="E188" s="29" t="n"/>
    </row>
    <row r="189" ht="15" customHeight="1" s="22">
      <c r="A189" s="29" t="n"/>
      <c r="B189" s="29" t="n"/>
      <c r="C189" s="29" t="n"/>
      <c r="D189" s="29" t="n"/>
      <c r="E189" s="29" t="n"/>
    </row>
    <row r="190" ht="15" customHeight="1" s="22">
      <c r="A190" s="29" t="n"/>
      <c r="B190" s="29" t="n"/>
      <c r="C190" s="29" t="n"/>
      <c r="D190" s="29" t="n"/>
      <c r="E190" s="29" t="n"/>
    </row>
    <row r="191" ht="15" customHeight="1" s="22">
      <c r="A191" s="29" t="n"/>
      <c r="B191" s="29" t="n"/>
      <c r="C191" s="29" t="n"/>
      <c r="D191" s="29" t="n"/>
      <c r="E191" s="29" t="n"/>
    </row>
    <row r="192" ht="15" customHeight="1" s="22">
      <c r="A192" s="29" t="n"/>
      <c r="B192" s="29" t="n"/>
      <c r="C192" s="29" t="n"/>
      <c r="D192" s="29" t="n"/>
      <c r="E192" s="29" t="n"/>
    </row>
    <row r="193" ht="15" customHeight="1" s="22">
      <c r="A193" s="29" t="n"/>
      <c r="B193" s="29" t="n"/>
      <c r="C193" s="29" t="n"/>
      <c r="D193" s="29" t="n"/>
      <c r="E193" s="29" t="n"/>
    </row>
    <row r="194" ht="15" customHeight="1" s="22">
      <c r="A194" s="29" t="n"/>
      <c r="B194" s="29" t="n"/>
      <c r="C194" s="29" t="n"/>
      <c r="D194" s="29" t="n"/>
      <c r="E194" s="29" t="n"/>
    </row>
    <row r="195" ht="15" customHeight="1" s="22">
      <c r="A195" s="29" t="n"/>
      <c r="B195" s="29" t="n"/>
      <c r="C195" s="29" t="n"/>
      <c r="D195" s="29" t="n"/>
      <c r="E195" s="29" t="n"/>
    </row>
    <row r="196" ht="15" customHeight="1" s="22">
      <c r="A196" s="29" t="n"/>
      <c r="B196" s="29" t="n"/>
      <c r="C196" s="29" t="n"/>
      <c r="D196" s="29" t="n"/>
      <c r="E196" s="29" t="n"/>
    </row>
    <row r="197" ht="15" customHeight="1" s="22">
      <c r="A197" s="29" t="n"/>
      <c r="B197" s="29" t="n"/>
      <c r="C197" s="29" t="n"/>
      <c r="D197" s="29" t="n"/>
      <c r="E197" s="29" t="n"/>
    </row>
    <row r="198" ht="15" customHeight="1" s="22">
      <c r="A198" s="29" t="n"/>
      <c r="B198" s="29" t="n"/>
      <c r="C198" s="29" t="n"/>
      <c r="D198" s="29" t="n"/>
      <c r="E198" s="29" t="n"/>
    </row>
    <row r="199" ht="15" customHeight="1" s="22">
      <c r="A199" s="29" t="n"/>
      <c r="B199" s="29" t="n"/>
      <c r="C199" s="29" t="n"/>
      <c r="D199" s="29" t="n"/>
      <c r="E199" s="29" t="n"/>
    </row>
    <row r="200" ht="15" customHeight="1" s="22">
      <c r="A200" s="29" t="n"/>
      <c r="B200" s="29" t="n"/>
      <c r="C200" s="29" t="n"/>
      <c r="D200" s="29" t="n"/>
      <c r="E200" s="29" t="n"/>
    </row>
    <row r="201" ht="15" customHeight="1" s="22">
      <c r="A201" s="29" t="n"/>
      <c r="B201" s="29" t="n"/>
      <c r="C201" s="29" t="n"/>
      <c r="D201" s="29" t="n"/>
      <c r="E201" s="29" t="n"/>
    </row>
    <row r="202" ht="15" customHeight="1" s="22">
      <c r="A202" s="29" t="n"/>
      <c r="B202" s="29" t="n"/>
      <c r="C202" s="29" t="n"/>
      <c r="D202" s="29" t="n"/>
      <c r="E202" s="29" t="n"/>
    </row>
    <row r="203" ht="15" customHeight="1" s="22">
      <c r="A203" s="29" t="n"/>
      <c r="B203" s="29" t="n"/>
      <c r="C203" s="29" t="n"/>
      <c r="D203" s="29" t="n"/>
      <c r="E203" s="29" t="n"/>
    </row>
    <row r="204" ht="15" customHeight="1" s="22">
      <c r="A204" s="29" t="n"/>
      <c r="B204" s="29" t="n"/>
      <c r="C204" s="29" t="n"/>
      <c r="D204" s="29" t="n"/>
      <c r="E204" s="29" t="n"/>
    </row>
    <row r="205" ht="15" customHeight="1" s="22">
      <c r="A205" s="29" t="n"/>
      <c r="B205" s="29" t="n"/>
      <c r="C205" s="29" t="n"/>
      <c r="D205" s="29" t="n"/>
      <c r="E205" s="29" t="n"/>
    </row>
    <row r="206" ht="15" customHeight="1" s="22">
      <c r="A206" s="29" t="n"/>
      <c r="B206" s="29" t="n"/>
      <c r="C206" s="29" t="n"/>
      <c r="D206" s="29" t="n"/>
      <c r="E206" s="29" t="n"/>
    </row>
    <row r="207" ht="15" customHeight="1" s="22">
      <c r="A207" s="29" t="n"/>
      <c r="B207" s="29" t="n"/>
      <c r="C207" s="29" t="n"/>
      <c r="D207" s="29" t="n"/>
      <c r="E207" s="29" t="n"/>
    </row>
    <row r="208" ht="15" customHeight="1" s="22">
      <c r="A208" s="29" t="n"/>
      <c r="B208" s="29" t="n"/>
      <c r="C208" s="29" t="n"/>
      <c r="D208" s="29" t="n"/>
      <c r="E208" s="29" t="n"/>
    </row>
    <row r="209" ht="15" customHeight="1" s="22">
      <c r="A209" s="29" t="n"/>
      <c r="B209" s="29" t="n"/>
      <c r="C209" s="29" t="n"/>
      <c r="D209" s="29" t="n"/>
      <c r="E209" s="29" t="n"/>
    </row>
    <row r="210" ht="15" customHeight="1" s="22">
      <c r="A210" s="29" t="n"/>
      <c r="B210" s="29" t="n"/>
      <c r="C210" s="29" t="n"/>
      <c r="D210" s="29" t="n"/>
      <c r="E210" s="29" t="n"/>
    </row>
    <row r="211" ht="15" customHeight="1" s="22">
      <c r="A211" s="29" t="n"/>
      <c r="B211" s="29" t="n"/>
      <c r="C211" s="29" t="n"/>
      <c r="D211" s="29" t="n"/>
      <c r="E211" s="29" t="n"/>
    </row>
    <row r="212" ht="15" customHeight="1" s="22">
      <c r="A212" s="29" t="n"/>
      <c r="B212" s="29" t="n"/>
      <c r="C212" s="29" t="n"/>
      <c r="D212" s="29" t="n"/>
      <c r="E212" s="29" t="n"/>
    </row>
    <row r="213" ht="15" customHeight="1" s="22">
      <c r="A213" s="29" t="n"/>
      <c r="B213" s="29" t="n"/>
      <c r="C213" s="29" t="n"/>
      <c r="D213" s="29" t="n"/>
      <c r="E213" s="29" t="n"/>
    </row>
    <row r="214" ht="15" customHeight="1" s="22">
      <c r="A214" s="29" t="n"/>
      <c r="B214" s="29" t="n"/>
      <c r="C214" s="29" t="n"/>
      <c r="D214" s="29" t="n"/>
      <c r="E214" s="29" t="n"/>
    </row>
    <row r="215" ht="15" customHeight="1" s="22">
      <c r="A215" s="29" t="n"/>
      <c r="B215" s="29" t="n"/>
      <c r="C215" s="29" t="n"/>
      <c r="D215" s="29" t="n"/>
      <c r="E215" s="29" t="n"/>
    </row>
    <row r="216" ht="15" customHeight="1" s="22">
      <c r="A216" s="29" t="n"/>
      <c r="B216" s="29" t="n"/>
      <c r="C216" s="29" t="n"/>
      <c r="D216" s="29" t="n"/>
      <c r="E216" s="29" t="n"/>
    </row>
    <row r="217" ht="15" customHeight="1" s="22">
      <c r="A217" s="29" t="n"/>
      <c r="B217" s="29" t="n"/>
      <c r="C217" s="29" t="n"/>
      <c r="D217" s="29" t="n"/>
      <c r="E217" s="29" t="n"/>
    </row>
    <row r="218" ht="15" customHeight="1" s="22">
      <c r="A218" s="29" t="n"/>
      <c r="B218" s="29" t="n"/>
      <c r="C218" s="29" t="n"/>
      <c r="D218" s="29" t="n"/>
      <c r="E218" s="29" t="n"/>
    </row>
    <row r="219" ht="15" customHeight="1" s="22">
      <c r="A219" s="29" t="n"/>
      <c r="B219" s="29" t="n"/>
      <c r="C219" s="29" t="n"/>
      <c r="D219" s="29" t="n"/>
      <c r="E219" s="29" t="n"/>
    </row>
    <row r="220" ht="15" customHeight="1" s="22">
      <c r="A220" s="29" t="n"/>
      <c r="B220" s="29" t="n"/>
      <c r="C220" s="29" t="n"/>
      <c r="D220" s="29" t="n"/>
      <c r="E220" s="29" t="n"/>
    </row>
    <row r="221" ht="15" customHeight="1" s="22">
      <c r="A221" s="29" t="n"/>
      <c r="B221" s="29" t="n"/>
      <c r="C221" s="29" t="n"/>
      <c r="D221" s="29" t="n"/>
      <c r="E221" s="29" t="n"/>
    </row>
    <row r="222" ht="15" customHeight="1" s="22">
      <c r="A222" s="29" t="n"/>
      <c r="B222" s="29" t="n"/>
      <c r="C222" s="29" t="n"/>
      <c r="D222" s="29" t="n"/>
      <c r="E222" s="29" t="n"/>
    </row>
    <row r="223" ht="15" customHeight="1" s="22">
      <c r="A223" s="29" t="n"/>
      <c r="B223" s="29" t="n"/>
      <c r="C223" s="29" t="n"/>
      <c r="D223" s="29" t="n"/>
      <c r="E223" s="29" t="n"/>
    </row>
    <row r="224" ht="15" customHeight="1" s="22">
      <c r="A224" s="29" t="n"/>
      <c r="B224" s="29" t="n"/>
      <c r="C224" s="29" t="n"/>
      <c r="D224" s="29" t="n"/>
      <c r="E224" s="29" t="n"/>
    </row>
    <row r="225" ht="15" customHeight="1" s="22">
      <c r="A225" s="29" t="n"/>
      <c r="B225" s="29" t="n"/>
      <c r="C225" s="29" t="n"/>
      <c r="D225" s="29" t="n"/>
      <c r="E225" s="29" t="n"/>
    </row>
    <row r="226" ht="15" customHeight="1" s="22">
      <c r="A226" s="29" t="n"/>
      <c r="B226" s="29" t="n"/>
      <c r="C226" s="29" t="n"/>
      <c r="D226" s="29" t="n"/>
      <c r="E226" s="29" t="n"/>
    </row>
    <row r="227" ht="15" customHeight="1" s="22">
      <c r="A227" s="29" t="n"/>
      <c r="B227" s="29" t="n"/>
      <c r="C227" s="29" t="n"/>
      <c r="D227" s="29" t="n"/>
      <c r="E227" s="29" t="n"/>
    </row>
    <row r="228" ht="15" customHeight="1" s="22">
      <c r="A228" s="29" t="n"/>
      <c r="B228" s="29" t="n"/>
      <c r="C228" s="29" t="n"/>
      <c r="D228" s="29" t="n"/>
      <c r="E228" s="29" t="n"/>
    </row>
    <row r="229" ht="15" customHeight="1" s="22">
      <c r="A229" s="29" t="n"/>
      <c r="B229" s="29" t="n"/>
      <c r="C229" s="29" t="n"/>
      <c r="D229" s="29" t="n"/>
      <c r="E229" s="29" t="n"/>
    </row>
    <row r="230" ht="15" customHeight="1" s="22">
      <c r="A230" s="29" t="n"/>
      <c r="B230" s="29" t="n"/>
      <c r="C230" s="29" t="n"/>
      <c r="D230" s="29" t="n"/>
      <c r="E230" s="29" t="n"/>
    </row>
    <row r="231" ht="15" customHeight="1" s="22">
      <c r="A231" s="29" t="n"/>
      <c r="B231" s="29" t="n"/>
      <c r="C231" s="29" t="n"/>
      <c r="D231" s="29" t="n"/>
      <c r="E231" s="29" t="n"/>
    </row>
    <row r="232" ht="15" customHeight="1" s="22">
      <c r="A232" s="29" t="n"/>
      <c r="B232" s="29" t="n"/>
      <c r="C232" s="29" t="n"/>
      <c r="D232" s="29" t="n"/>
      <c r="E232" s="29" t="n"/>
    </row>
    <row r="233" ht="15" customHeight="1" s="22">
      <c r="A233" s="29" t="n"/>
      <c r="B233" s="29" t="n"/>
      <c r="C233" s="29" t="n"/>
      <c r="D233" s="29" t="n"/>
      <c r="E233" s="29" t="n"/>
    </row>
    <row r="234" ht="15" customHeight="1" s="22">
      <c r="A234" s="29" t="n"/>
      <c r="B234" s="29" t="n"/>
      <c r="C234" s="29" t="n"/>
      <c r="D234" s="29" t="n"/>
      <c r="E234" s="29" t="n"/>
    </row>
    <row r="235" ht="15" customHeight="1" s="22">
      <c r="A235" s="29" t="n"/>
      <c r="B235" s="29" t="n"/>
      <c r="C235" s="29" t="n"/>
      <c r="D235" s="29" t="n"/>
      <c r="E235" s="29" t="n"/>
    </row>
    <row r="236" ht="15" customHeight="1" s="22">
      <c r="A236" s="29" t="n"/>
      <c r="B236" s="29" t="n"/>
      <c r="C236" s="29" t="n"/>
      <c r="D236" s="29" t="n"/>
      <c r="E236" s="29" t="n"/>
    </row>
    <row r="237" ht="15" customHeight="1" s="22">
      <c r="A237" s="29" t="n"/>
      <c r="B237" s="29" t="n"/>
      <c r="C237" s="29" t="n"/>
      <c r="D237" s="29" t="n"/>
      <c r="E237" s="29" t="n"/>
    </row>
    <row r="238" ht="15" customHeight="1" s="22">
      <c r="A238" s="29" t="n"/>
      <c r="B238" s="29" t="n"/>
      <c r="C238" s="29" t="n"/>
      <c r="D238" s="29" t="n"/>
      <c r="E238" s="29" t="n"/>
    </row>
    <row r="239" ht="15" customHeight="1" s="22">
      <c r="A239" s="29" t="n"/>
      <c r="B239" s="29" t="n"/>
      <c r="C239" s="29" t="n"/>
      <c r="D239" s="29" t="n"/>
      <c r="E239" s="29" t="n"/>
    </row>
    <row r="240" ht="15" customHeight="1" s="22">
      <c r="A240" s="29" t="n"/>
      <c r="B240" s="29" t="n"/>
      <c r="C240" s="29" t="n"/>
      <c r="D240" s="29" t="n"/>
      <c r="E240" s="29" t="n"/>
    </row>
    <row r="241" ht="15" customHeight="1" s="22">
      <c r="A241" s="29" t="n"/>
      <c r="B241" s="29" t="n"/>
      <c r="C241" s="29" t="n"/>
      <c r="D241" s="29" t="n"/>
      <c r="E241" s="29" t="n"/>
    </row>
    <row r="242" ht="15" customHeight="1" s="22">
      <c r="A242" s="29" t="n"/>
      <c r="B242" s="29" t="n"/>
      <c r="C242" s="29" t="n"/>
      <c r="D242" s="29" t="n"/>
      <c r="E242" s="29" t="n"/>
    </row>
    <row r="243" ht="15" customHeight="1" s="22">
      <c r="A243" s="29" t="n"/>
      <c r="B243" s="29" t="n"/>
      <c r="C243" s="29" t="n"/>
      <c r="D243" s="29" t="n"/>
      <c r="E243" s="29" t="n"/>
    </row>
    <row r="244" ht="15" customHeight="1" s="22">
      <c r="A244" s="29" t="n"/>
      <c r="B244" s="29" t="n"/>
      <c r="C244" s="29" t="n"/>
      <c r="D244" s="29" t="n"/>
      <c r="E244" s="29" t="n"/>
    </row>
    <row r="245" ht="15" customHeight="1" s="22">
      <c r="A245" s="29" t="n"/>
      <c r="B245" s="29" t="n"/>
      <c r="C245" s="29" t="n"/>
      <c r="D245" s="29" t="n"/>
      <c r="E245" s="29" t="n"/>
    </row>
    <row r="246" ht="15" customHeight="1" s="22">
      <c r="A246" s="29" t="n"/>
      <c r="B246" s="29" t="n"/>
      <c r="C246" s="29" t="n"/>
      <c r="D246" s="29" t="n"/>
      <c r="E246" s="29" t="n"/>
    </row>
    <row r="247" ht="15" customHeight="1" s="22">
      <c r="A247" s="29" t="n"/>
      <c r="B247" s="29" t="n"/>
      <c r="C247" s="29" t="n"/>
      <c r="D247" s="29" t="n"/>
      <c r="E247" s="29" t="n"/>
    </row>
    <row r="248" ht="15" customHeight="1" s="22">
      <c r="A248" s="29" t="n"/>
      <c r="B248" s="29" t="n"/>
      <c r="C248" s="29" t="n"/>
      <c r="D248" s="29" t="n"/>
      <c r="E248" s="29" t="n"/>
    </row>
    <row r="249" ht="15" customHeight="1" s="22">
      <c r="A249" s="29" t="n"/>
      <c r="B249" s="29" t="n"/>
      <c r="C249" s="29" t="n"/>
      <c r="D249" s="29" t="n"/>
      <c r="E249" s="29" t="n"/>
    </row>
    <row r="250" ht="15" customHeight="1" s="22">
      <c r="A250" s="29" t="n"/>
      <c r="B250" s="29" t="n"/>
      <c r="C250" s="29" t="n"/>
      <c r="D250" s="29" t="n"/>
      <c r="E250" s="29" t="n"/>
    </row>
    <row r="251" ht="15" customHeight="1" s="22">
      <c r="A251" s="29" t="n"/>
      <c r="B251" s="29" t="n"/>
      <c r="C251" s="29" t="n"/>
      <c r="D251" s="29" t="n"/>
      <c r="E251" s="29" t="n"/>
    </row>
    <row r="252" ht="15" customHeight="1" s="22">
      <c r="A252" s="29" t="n"/>
      <c r="B252" s="29" t="n"/>
      <c r="C252" s="29" t="n"/>
      <c r="D252" s="29" t="n"/>
      <c r="E252" s="29" t="n"/>
    </row>
    <row r="253" ht="15" customHeight="1" s="22">
      <c r="A253" s="29" t="n"/>
      <c r="B253" s="29" t="n"/>
      <c r="C253" s="29" t="n"/>
      <c r="D253" s="29" t="n"/>
      <c r="E253" s="29" t="n"/>
    </row>
    <row r="254" ht="15" customHeight="1" s="22">
      <c r="A254" s="29" t="n"/>
      <c r="B254" s="29" t="n"/>
      <c r="C254" s="29" t="n"/>
      <c r="D254" s="29" t="n"/>
      <c r="E254" s="29" t="n"/>
    </row>
    <row r="255" ht="15" customHeight="1" s="22">
      <c r="A255" s="29" t="n"/>
      <c r="B255" s="29" t="n"/>
      <c r="C255" s="29" t="n"/>
      <c r="D255" s="29" t="n"/>
      <c r="E255" s="29" t="n"/>
    </row>
    <row r="256" ht="15" customHeight="1" s="22">
      <c r="A256" s="29" t="n"/>
      <c r="B256" s="29" t="n"/>
      <c r="C256" s="29" t="n"/>
      <c r="D256" s="29" t="n"/>
      <c r="E256" s="29" t="n"/>
    </row>
    <row r="257" ht="15" customHeight="1" s="22">
      <c r="A257" s="29" t="n"/>
      <c r="B257" s="29" t="n"/>
      <c r="C257" s="29" t="n"/>
      <c r="D257" s="29" t="n"/>
      <c r="E257" s="29" t="n"/>
    </row>
    <row r="258" ht="15" customHeight="1" s="22">
      <c r="A258" s="29" t="n"/>
      <c r="B258" s="29" t="n"/>
      <c r="C258" s="29" t="n"/>
      <c r="D258" s="29" t="n"/>
      <c r="E258" s="29" t="n"/>
    </row>
    <row r="259" ht="15" customHeight="1" s="22">
      <c r="A259" s="29" t="n"/>
      <c r="B259" s="29" t="n"/>
      <c r="C259" s="29" t="n"/>
      <c r="D259" s="29" t="n"/>
      <c r="E259" s="29" t="n"/>
    </row>
    <row r="260" ht="15" customHeight="1" s="22">
      <c r="A260" s="29" t="n"/>
      <c r="B260" s="29" t="n"/>
      <c r="C260" s="29" t="n"/>
      <c r="D260" s="29" t="n"/>
      <c r="E260" s="29" t="n"/>
    </row>
    <row r="261" ht="15" customHeight="1" s="22">
      <c r="A261" s="29" t="n"/>
      <c r="B261" s="29" t="n"/>
      <c r="C261" s="29" t="n"/>
      <c r="D261" s="29" t="n"/>
      <c r="E261" s="29" t="n"/>
    </row>
    <row r="262" ht="15" customHeight="1" s="22">
      <c r="A262" s="29" t="n"/>
      <c r="B262" s="29" t="n"/>
      <c r="C262" s="29" t="n"/>
      <c r="D262" s="29" t="n"/>
      <c r="E262" s="29" t="n"/>
    </row>
    <row r="263" ht="15" customHeight="1" s="22">
      <c r="A263" s="29" t="n"/>
      <c r="B263" s="29" t="n"/>
      <c r="C263" s="29" t="n"/>
      <c r="D263" s="29" t="n"/>
      <c r="E263" s="29" t="n"/>
    </row>
    <row r="264" ht="15" customHeight="1" s="22">
      <c r="A264" s="29" t="n"/>
      <c r="B264" s="29" t="n"/>
      <c r="C264" s="29" t="n"/>
      <c r="D264" s="29" t="n"/>
      <c r="E264" s="29" t="n"/>
    </row>
    <row r="265" ht="15" customHeight="1" s="22">
      <c r="A265" s="29" t="n"/>
      <c r="B265" s="29" t="n"/>
      <c r="C265" s="29" t="n"/>
      <c r="D265" s="29" t="n"/>
      <c r="E265" s="29" t="n"/>
    </row>
    <row r="266" ht="15" customHeight="1" s="22">
      <c r="A266" s="29" t="n"/>
      <c r="B266" s="29" t="n"/>
      <c r="C266" s="29" t="n"/>
      <c r="D266" s="29" t="n"/>
      <c r="E266" s="29" t="n"/>
    </row>
    <row r="267" ht="15" customHeight="1" s="22">
      <c r="A267" s="29" t="n"/>
      <c r="B267" s="29" t="n"/>
      <c r="C267" s="29" t="n"/>
      <c r="D267" s="29" t="n"/>
      <c r="E267" s="29" t="n"/>
    </row>
    <row r="268" ht="15" customHeight="1" s="22">
      <c r="A268" s="29" t="n"/>
      <c r="B268" s="29" t="n"/>
      <c r="C268" s="29" t="n"/>
      <c r="D268" s="29" t="n"/>
      <c r="E268" s="29" t="n"/>
    </row>
    <row r="269" ht="15" customHeight="1" s="22">
      <c r="A269" s="29" t="n"/>
      <c r="B269" s="29" t="n"/>
      <c r="C269" s="29" t="n"/>
      <c r="D269" s="29" t="n"/>
      <c r="E269" s="29" t="n"/>
    </row>
    <row r="270" ht="15" customHeight="1" s="22">
      <c r="A270" s="29" t="n"/>
      <c r="B270" s="29" t="n"/>
      <c r="C270" s="29" t="n"/>
      <c r="D270" s="29" t="n"/>
      <c r="E270" s="29" t="n"/>
    </row>
    <row r="271" ht="15" customHeight="1" s="22">
      <c r="A271" s="29" t="n"/>
      <c r="B271" s="29" t="n"/>
      <c r="C271" s="29" t="n"/>
      <c r="D271" s="29" t="n"/>
      <c r="E271" s="29" t="n"/>
    </row>
    <row r="272" ht="15" customHeight="1" s="22">
      <c r="A272" s="29" t="n"/>
      <c r="B272" s="29" t="n"/>
      <c r="C272" s="29" t="n"/>
      <c r="D272" s="29" t="n"/>
      <c r="E272" s="29" t="n"/>
    </row>
    <row r="273" ht="15" customHeight="1" s="22">
      <c r="A273" s="29" t="n"/>
      <c r="B273" s="29" t="n"/>
      <c r="C273" s="29" t="n"/>
      <c r="D273" s="29" t="n"/>
      <c r="E273" s="29" t="n"/>
    </row>
    <row r="274" ht="15" customHeight="1" s="22">
      <c r="A274" s="29" t="n"/>
      <c r="B274" s="29" t="n"/>
      <c r="C274" s="29" t="n"/>
      <c r="D274" s="29" t="n"/>
      <c r="E274" s="29" t="n"/>
    </row>
    <row r="275" ht="15" customHeight="1" s="22">
      <c r="A275" s="29" t="n"/>
      <c r="B275" s="29" t="n"/>
      <c r="C275" s="29" t="n"/>
      <c r="D275" s="29" t="n"/>
      <c r="E275" s="29" t="n"/>
    </row>
    <row r="276" ht="15" customHeight="1" s="22">
      <c r="A276" s="29" t="n"/>
      <c r="B276" s="29" t="n"/>
      <c r="C276" s="29" t="n"/>
      <c r="D276" s="29" t="n"/>
      <c r="E276" s="29" t="n"/>
    </row>
    <row r="277" ht="15" customHeight="1" s="22">
      <c r="A277" s="29" t="n"/>
      <c r="B277" s="29" t="n"/>
      <c r="C277" s="29" t="n"/>
      <c r="D277" s="29" t="n"/>
      <c r="E277" s="29" t="n"/>
    </row>
    <row r="278" ht="15" customHeight="1" s="22">
      <c r="A278" s="29" t="n"/>
      <c r="B278" s="29" t="n"/>
      <c r="C278" s="29" t="n"/>
      <c r="D278" s="29" t="n"/>
      <c r="E278" s="29" t="n"/>
    </row>
    <row r="279" ht="15" customHeight="1" s="22">
      <c r="A279" s="29" t="n"/>
      <c r="B279" s="29" t="n"/>
      <c r="C279" s="29" t="n"/>
      <c r="D279" s="29" t="n"/>
      <c r="E279" s="29" t="n"/>
    </row>
    <row r="280" ht="15" customHeight="1" s="22">
      <c r="A280" s="29" t="n"/>
      <c r="B280" s="29" t="n"/>
      <c r="C280" s="29" t="n"/>
      <c r="D280" s="29" t="n"/>
      <c r="E280" s="29" t="n"/>
    </row>
    <row r="281" ht="15" customHeight="1" s="22">
      <c r="A281" s="29" t="n"/>
      <c r="B281" s="29" t="n"/>
      <c r="C281" s="29" t="n"/>
      <c r="D281" s="29" t="n"/>
      <c r="E281" s="29" t="n"/>
    </row>
    <row r="282" ht="15" customHeight="1" s="22">
      <c r="A282" s="29" t="n"/>
      <c r="B282" s="29" t="n"/>
      <c r="C282" s="29" t="n"/>
      <c r="D282" s="29" t="n"/>
      <c r="E282" s="29" t="n"/>
    </row>
    <row r="283" ht="15" customHeight="1" s="22">
      <c r="A283" s="29" t="n"/>
      <c r="B283" s="29" t="n"/>
      <c r="C283" s="29" t="n"/>
      <c r="D283" s="29" t="n"/>
      <c r="E283" s="29" t="n"/>
    </row>
    <row r="284" ht="15" customHeight="1" s="22">
      <c r="A284" s="29" t="n"/>
      <c r="B284" s="29" t="n"/>
      <c r="C284" s="29" t="n"/>
      <c r="D284" s="29" t="n"/>
      <c r="E284" s="29" t="n"/>
    </row>
    <row r="285" ht="15" customHeight="1" s="22">
      <c r="A285" s="29" t="n"/>
      <c r="B285" s="29" t="n"/>
      <c r="C285" s="29" t="n"/>
      <c r="D285" s="29" t="n"/>
      <c r="E285" s="29" t="n"/>
    </row>
    <row r="286" ht="15" customHeight="1" s="22">
      <c r="A286" s="29" t="n"/>
      <c r="B286" s="29" t="n"/>
      <c r="C286" s="29" t="n"/>
      <c r="D286" s="29" t="n"/>
      <c r="E286" s="29" t="n"/>
    </row>
    <row r="287" ht="15" customHeight="1" s="22">
      <c r="A287" s="29" t="n"/>
      <c r="B287" s="29" t="n"/>
      <c r="C287" s="29" t="n"/>
      <c r="D287" s="29" t="n"/>
      <c r="E287" s="29" t="n"/>
    </row>
    <row r="288" ht="15" customHeight="1" s="22">
      <c r="A288" s="29" t="n"/>
      <c r="B288" s="29" t="n"/>
      <c r="C288" s="29" t="n"/>
      <c r="D288" s="29" t="n"/>
      <c r="E288" s="29" t="n"/>
    </row>
    <row r="289" ht="15" customHeight="1" s="22">
      <c r="A289" s="29" t="n"/>
      <c r="B289" s="29" t="n"/>
      <c r="C289" s="29" t="n"/>
      <c r="D289" s="29" t="n"/>
      <c r="E289" s="29" t="n"/>
    </row>
    <row r="290" ht="15" customHeight="1" s="22">
      <c r="A290" s="29" t="n"/>
      <c r="B290" s="29" t="n"/>
      <c r="C290" s="29" t="n"/>
      <c r="D290" s="29" t="n"/>
      <c r="E290" s="29" t="n"/>
    </row>
    <row r="291" ht="15" customHeight="1" s="22">
      <c r="A291" s="29" t="n"/>
      <c r="B291" s="29" t="n"/>
      <c r="C291" s="29" t="n"/>
      <c r="D291" s="29" t="n"/>
      <c r="E291" s="29" t="n"/>
    </row>
    <row r="292" ht="15" customHeight="1" s="22">
      <c r="A292" s="29" t="n"/>
      <c r="B292" s="29" t="n"/>
      <c r="C292" s="29" t="n"/>
      <c r="D292" s="29" t="n"/>
      <c r="E292" s="29" t="n"/>
    </row>
    <row r="293" ht="15" customHeight="1" s="22">
      <c r="A293" s="29" t="n"/>
      <c r="B293" s="29" t="n"/>
      <c r="C293" s="29" t="n"/>
      <c r="D293" s="29" t="n"/>
      <c r="E293" s="29" t="n"/>
    </row>
    <row r="294" ht="15" customHeight="1" s="22">
      <c r="A294" s="29" t="n"/>
      <c r="B294" s="29" t="n"/>
      <c r="C294" s="29" t="n"/>
      <c r="D294" s="29" t="n"/>
      <c r="E294" s="29" t="n"/>
    </row>
    <row r="295" ht="15" customHeight="1" s="22">
      <c r="A295" s="29" t="n"/>
      <c r="B295" s="29" t="n"/>
      <c r="C295" s="29" t="n"/>
      <c r="D295" s="29" t="n"/>
      <c r="E295" s="29" t="n"/>
    </row>
    <row r="296" ht="15" customHeight="1" s="22">
      <c r="A296" s="29" t="n"/>
      <c r="B296" s="29" t="n"/>
      <c r="C296" s="29" t="n"/>
      <c r="D296" s="29" t="n"/>
      <c r="E296" s="29" t="n"/>
    </row>
    <row r="297" ht="15" customHeight="1" s="22">
      <c r="A297" s="29" t="n"/>
      <c r="B297" s="29" t="n"/>
      <c r="C297" s="29" t="n"/>
      <c r="D297" s="29" t="n"/>
      <c r="E297" s="29" t="n"/>
    </row>
    <row r="298" ht="15" customHeight="1" s="22">
      <c r="A298" s="29" t="n"/>
      <c r="B298" s="29" t="n"/>
      <c r="C298" s="29" t="n"/>
      <c r="D298" s="29" t="n"/>
      <c r="E298" s="29" t="n"/>
    </row>
    <row r="299" ht="15" customHeight="1" s="22">
      <c r="A299" s="29" t="n"/>
      <c r="B299" s="29" t="n"/>
      <c r="C299" s="29" t="n"/>
      <c r="D299" s="29" t="n"/>
      <c r="E299" s="29" t="n"/>
    </row>
    <row r="300" ht="15" customHeight="1" s="22">
      <c r="A300" s="29" t="n"/>
      <c r="B300" s="29" t="n"/>
      <c r="C300" s="29" t="n"/>
      <c r="D300" s="29" t="n"/>
      <c r="E300" s="29" t="n"/>
    </row>
  </sheetData>
  <autoFilter ref="A2:E300"/>
  <mergeCells count="1">
    <mergeCell ref="A1:E1"/>
  </mergeCells>
  <dataValidations count="1">
    <dataValidation sqref="E3:E300" showDropDown="0" showInputMessage="0" showErrorMessage="0" allowBlank="1" type="list" errorStyle="stop" operator="between">
      <formula1>"O,N"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5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5" customWidth="1" style="21" min="1" max="1"/>
    <col width="14" customWidth="1" style="21" min="2" max="5"/>
    <col width="18" customWidth="1" style="21" min="6" max="7"/>
    <col width="30" customWidth="1" style="21" min="8" max="8"/>
    <col width="14" customWidth="1" style="21" min="9" max="10"/>
    <col width="15" customWidth="1" style="21" min="11" max="11"/>
    <col width="19" customWidth="1" style="21" min="12" max="12"/>
    <col width="15" customWidth="1" style="21" min="13" max="13"/>
    <col width="20" customWidth="1" style="21" min="14" max="14"/>
    <col width="17" customWidth="1" style="21" min="15" max="15"/>
  </cols>
  <sheetData>
    <row r="1" ht="30" customHeight="1" s="22">
      <c r="A1" s="23" t="inlineStr">
        <is>
          <t>GESTION DES ETUDIANTS — FICHES ET INSCRIPTIONS</t>
        </is>
      </c>
    </row>
    <row r="2" ht="31.5" customHeight="1" s="22">
      <c r="A2" s="28" t="inlineStr">
        <is>
          <t>N ordre (*)</t>
        </is>
      </c>
      <c r="B2" s="28" t="inlineStr">
        <is>
          <t>Matricule</t>
        </is>
      </c>
      <c r="C2" s="28" t="inlineStr">
        <is>
          <t>Genre (*)</t>
        </is>
      </c>
      <c r="D2" s="28" t="inlineStr">
        <is>
          <t>Nom</t>
        </is>
      </c>
      <c r="E2" s="28" t="inlineStr">
        <is>
          <t>Prenom</t>
        </is>
      </c>
      <c r="F2" s="28" t="inlineStr">
        <is>
          <t>Date naissance</t>
        </is>
      </c>
      <c r="G2" s="28" t="inlineStr">
        <is>
          <t>Lieu naissance</t>
        </is>
      </c>
      <c r="H2" s="28" t="inlineStr">
        <is>
          <t>Origine / lieu actuel (**)</t>
        </is>
      </c>
      <c r="I2" s="28" t="inlineStr">
        <is>
          <t>Niveau</t>
        </is>
      </c>
      <c r="J2" s="28" t="inlineStr">
        <is>
          <t>Filiere</t>
        </is>
      </c>
      <c r="K2" s="28" t="inlineStr">
        <is>
          <t>Section (*)</t>
        </is>
      </c>
      <c r="L2" s="28" t="inlineStr">
        <is>
          <t>Annee acad. (*)</t>
        </is>
      </c>
      <c r="M2" s="28" t="inlineStr">
        <is>
          <t>Statut (**)</t>
        </is>
      </c>
      <c r="N2" s="28" t="inlineStr">
        <is>
          <t>Date inscription</t>
        </is>
      </c>
      <c r="O2" s="28" t="inlineStr">
        <is>
          <t>Saisi par (*)</t>
        </is>
      </c>
    </row>
    <row r="3" ht="15" customHeight="1" s="22">
      <c r="A3" s="21" t="inlineStr">
        <is>
          <t>1</t>
        </is>
      </c>
      <c r="B3" s="21" t="inlineStr">
        <is>
          <t>76496</t>
        </is>
      </c>
      <c r="C3" s="21" t="inlineStr"/>
      <c r="D3" s="21" t="inlineStr">
        <is>
          <t>ABDILLAH</t>
        </is>
      </c>
      <c r="E3" s="21" t="inlineStr">
        <is>
          <t>AHAMADI</t>
        </is>
      </c>
      <c r="F3" s="21" t="inlineStr">
        <is>
          <t>27/08/1989</t>
        </is>
      </c>
      <c r="G3" s="21" t="inlineStr">
        <is>
          <t>BAMBAO M'TSANGA</t>
        </is>
      </c>
      <c r="H3" s="21" t="inlineStr"/>
      <c r="I3" s="21" t="inlineStr"/>
      <c r="J3" s="21" t="inlineStr">
        <is>
          <t>Aides-soignants</t>
        </is>
      </c>
      <c r="K3" s="21" t="inlineStr"/>
      <c r="L3" s="21" t="inlineStr">
        <is>
          <t>2025-2026</t>
        </is>
      </c>
      <c r="M3" s="21" t="inlineStr">
        <is>
          <t>Inscrit</t>
        </is>
      </c>
      <c r="N3" s="21" t="inlineStr"/>
      <c r="O3" s="21" t="inlineStr">
        <is>
          <t>import</t>
        </is>
      </c>
    </row>
    <row r="4" ht="15" customHeight="1" s="22">
      <c r="A4" s="21" t="inlineStr">
        <is>
          <t>2</t>
        </is>
      </c>
      <c r="B4" s="21" t="inlineStr">
        <is>
          <t>76500</t>
        </is>
      </c>
      <c r="C4" s="21" t="inlineStr"/>
      <c r="D4" s="21" t="inlineStr">
        <is>
          <t>ABDOU</t>
        </is>
      </c>
      <c r="E4" s="21" t="inlineStr">
        <is>
          <t>SOIMADOU OUMMILHOUDA</t>
        </is>
      </c>
      <c r="F4" s="21" t="inlineStr">
        <is>
          <t>20/04/2008</t>
        </is>
      </c>
      <c r="G4" s="21" t="inlineStr">
        <is>
          <t>MORONI</t>
        </is>
      </c>
      <c r="H4" s="21" t="inlineStr"/>
      <c r="I4" s="21" t="inlineStr"/>
      <c r="J4" s="21" t="inlineStr">
        <is>
          <t>Aides-soignants</t>
        </is>
      </c>
      <c r="K4" s="21" t="inlineStr"/>
      <c r="L4" s="21" t="inlineStr">
        <is>
          <t>2025-2026</t>
        </is>
      </c>
      <c r="M4" s="21" t="inlineStr">
        <is>
          <t>Inscrit</t>
        </is>
      </c>
      <c r="N4" s="21" t="inlineStr"/>
      <c r="O4" s="21" t="inlineStr">
        <is>
          <t>import</t>
        </is>
      </c>
    </row>
    <row r="5" ht="15" customHeight="1" s="22">
      <c r="A5" s="21" t="inlineStr">
        <is>
          <t>3</t>
        </is>
      </c>
      <c r="B5" s="21" t="inlineStr">
        <is>
          <t>64934</t>
        </is>
      </c>
      <c r="C5" s="21" t="inlineStr"/>
      <c r="D5" s="21" t="inlineStr">
        <is>
          <t>ABOUDOU</t>
        </is>
      </c>
      <c r="E5" s="21" t="inlineStr">
        <is>
          <t>FAHARDINE SAMIRA</t>
        </is>
      </c>
      <c r="F5" s="21" t="inlineStr">
        <is>
          <t>06/10/2004</t>
        </is>
      </c>
      <c r="G5" s="21" t="inlineStr">
        <is>
          <t>IFOUNDIHE CHAMBOIN</t>
        </is>
      </c>
      <c r="H5" s="21" t="inlineStr"/>
      <c r="I5" s="21" t="inlineStr"/>
      <c r="J5" s="21" t="inlineStr">
        <is>
          <t>Aides-soignants</t>
        </is>
      </c>
      <c r="K5" s="21" t="inlineStr"/>
      <c r="L5" s="21" t="inlineStr">
        <is>
          <t>2025-2026</t>
        </is>
      </c>
      <c r="M5" s="21" t="inlineStr">
        <is>
          <t>Inscrit</t>
        </is>
      </c>
      <c r="N5" s="21" t="inlineStr"/>
      <c r="O5" s="21" t="inlineStr">
        <is>
          <t>import</t>
        </is>
      </c>
    </row>
    <row r="6" ht="15" customHeight="1" s="22">
      <c r="A6" s="21" t="inlineStr">
        <is>
          <t>4</t>
        </is>
      </c>
      <c r="B6" s="21" t="inlineStr">
        <is>
          <t>53338</t>
        </is>
      </c>
      <c r="C6" s="21" t="inlineStr"/>
      <c r="D6" s="21" t="inlineStr">
        <is>
          <t>AINCHAT</t>
        </is>
      </c>
      <c r="E6" s="21" t="inlineStr">
        <is>
          <t>MDOIHOMA</t>
        </is>
      </c>
      <c r="F6" s="21" t="inlineStr">
        <is>
          <t>15/12/1997</t>
        </is>
      </c>
      <c r="G6" s="21" t="inlineStr">
        <is>
          <t>NDZAOUDZE MITSAMIOULI</t>
        </is>
      </c>
      <c r="H6" s="21" t="inlineStr"/>
      <c r="I6" s="21" t="inlineStr"/>
      <c r="J6" s="21" t="inlineStr">
        <is>
          <t>Aides-soignants</t>
        </is>
      </c>
      <c r="K6" s="21" t="inlineStr"/>
      <c r="L6" s="21" t="inlineStr">
        <is>
          <t>2025-2026</t>
        </is>
      </c>
      <c r="M6" s="21" t="inlineStr">
        <is>
          <t>Inscrit</t>
        </is>
      </c>
      <c r="N6" s="21" t="inlineStr"/>
      <c r="O6" s="21" t="inlineStr">
        <is>
          <t>import</t>
        </is>
      </c>
    </row>
    <row r="7" ht="15" customHeight="1" s="22">
      <c r="A7" s="21" t="inlineStr">
        <is>
          <t>5</t>
        </is>
      </c>
      <c r="B7" s="21" t="inlineStr">
        <is>
          <t>73821</t>
        </is>
      </c>
      <c r="C7" s="21" t="inlineStr"/>
      <c r="D7" s="21" t="inlineStr">
        <is>
          <t>ALLAOUIA</t>
        </is>
      </c>
      <c r="E7" s="21" t="inlineStr">
        <is>
          <t>AHAMADA</t>
        </is>
      </c>
      <c r="F7" s="21" t="inlineStr">
        <is>
          <t>23/12/2005</t>
        </is>
      </c>
      <c r="G7" s="21" t="inlineStr">
        <is>
          <t>FOUMBOUDZIVOUNI</t>
        </is>
      </c>
      <c r="H7" s="21" t="inlineStr"/>
      <c r="I7" s="21" t="inlineStr"/>
      <c r="J7" s="21" t="inlineStr">
        <is>
          <t>Aides-soignants</t>
        </is>
      </c>
      <c r="K7" s="21" t="inlineStr"/>
      <c r="L7" s="21" t="inlineStr">
        <is>
          <t>2025-2026</t>
        </is>
      </c>
      <c r="M7" s="21" t="inlineStr">
        <is>
          <t>Inscrit</t>
        </is>
      </c>
      <c r="N7" s="21" t="inlineStr"/>
      <c r="O7" s="21" t="inlineStr">
        <is>
          <t>import</t>
        </is>
      </c>
    </row>
    <row r="8" ht="15" customHeight="1" s="22">
      <c r="A8" s="21" t="inlineStr">
        <is>
          <t>6</t>
        </is>
      </c>
      <c r="B8" s="21" t="inlineStr">
        <is>
          <t>67587</t>
        </is>
      </c>
      <c r="C8" s="21" t="inlineStr"/>
      <c r="D8" s="21" t="inlineStr">
        <is>
          <t>AMINA</t>
        </is>
      </c>
      <c r="E8" s="21" t="inlineStr">
        <is>
          <t>ALI ABDALLAH</t>
        </is>
      </c>
      <c r="F8" s="21" t="inlineStr">
        <is>
          <t>12/09/1999</t>
        </is>
      </c>
      <c r="G8" s="21" t="inlineStr">
        <is>
          <t>BATSA - MITSAMIOULI</t>
        </is>
      </c>
      <c r="H8" s="21" t="inlineStr"/>
      <c r="I8" s="21" t="inlineStr"/>
      <c r="J8" s="21" t="inlineStr">
        <is>
          <t>Aides-soignants</t>
        </is>
      </c>
      <c r="K8" s="21" t="inlineStr"/>
      <c r="L8" s="21" t="inlineStr">
        <is>
          <t>2025-2026</t>
        </is>
      </c>
      <c r="M8" s="21" t="inlineStr">
        <is>
          <t>Inscrit</t>
        </is>
      </c>
      <c r="N8" s="21" t="inlineStr"/>
      <c r="O8" s="21" t="inlineStr">
        <is>
          <t>import</t>
        </is>
      </c>
    </row>
    <row r="9" ht="15" customHeight="1" s="22">
      <c r="A9" s="21" t="inlineStr">
        <is>
          <t>7</t>
        </is>
      </c>
      <c r="B9" s="21" t="inlineStr">
        <is>
          <t>70008</t>
        </is>
      </c>
      <c r="C9" s="21" t="inlineStr"/>
      <c r="D9" s="21" t="inlineStr">
        <is>
          <t>ASMA</t>
        </is>
      </c>
      <c r="E9" s="21" t="inlineStr">
        <is>
          <t>DJAMAL MOURCHID</t>
        </is>
      </c>
      <c r="F9" s="21" t="inlineStr">
        <is>
          <t>20/12/1999</t>
        </is>
      </c>
      <c r="G9" s="21" t="inlineStr">
        <is>
          <t>NDZAOUZE MITSAMIOULI</t>
        </is>
      </c>
      <c r="H9" s="21" t="inlineStr"/>
      <c r="I9" s="21" t="inlineStr"/>
      <c r="J9" s="21" t="inlineStr">
        <is>
          <t>Aides-soignants</t>
        </is>
      </c>
      <c r="K9" s="21" t="inlineStr"/>
      <c r="L9" s="21" t="inlineStr">
        <is>
          <t>2025-2026</t>
        </is>
      </c>
      <c r="M9" s="21" t="inlineStr">
        <is>
          <t>Inscrit</t>
        </is>
      </c>
      <c r="N9" s="21" t="inlineStr"/>
      <c r="O9" s="21" t="inlineStr">
        <is>
          <t>import</t>
        </is>
      </c>
    </row>
    <row r="10" ht="15" customHeight="1" s="22">
      <c r="A10" s="21" t="inlineStr">
        <is>
          <t>8</t>
        </is>
      </c>
      <c r="B10" s="21" t="inlineStr">
        <is>
          <t>73436</t>
        </is>
      </c>
      <c r="C10" s="21" t="inlineStr"/>
      <c r="D10" s="21" t="inlineStr">
        <is>
          <t>ASSIRIA</t>
        </is>
      </c>
      <c r="E10" s="21" t="inlineStr">
        <is>
          <t>MCHANGOUMA</t>
        </is>
      </c>
      <c r="F10" s="21" t="inlineStr">
        <is>
          <t>28/05/2004</t>
        </is>
      </c>
      <c r="G10" s="21" t="inlineStr">
        <is>
          <t>MNOUNGOU</t>
        </is>
      </c>
      <c r="H10" s="21" t="inlineStr"/>
      <c r="I10" s="21" t="inlineStr"/>
      <c r="J10" s="21" t="inlineStr">
        <is>
          <t>Aides-soignants</t>
        </is>
      </c>
      <c r="K10" s="21" t="inlineStr"/>
      <c r="L10" s="21" t="inlineStr">
        <is>
          <t>2025-2026</t>
        </is>
      </c>
      <c r="M10" s="21" t="inlineStr">
        <is>
          <t>Inscrit</t>
        </is>
      </c>
      <c r="N10" s="21" t="inlineStr"/>
      <c r="O10" s="21" t="inlineStr">
        <is>
          <t>import</t>
        </is>
      </c>
    </row>
    <row r="11" ht="15" customHeight="1" s="22">
      <c r="A11" s="21" t="inlineStr">
        <is>
          <t>9</t>
        </is>
      </c>
      <c r="B11" s="21" t="inlineStr">
        <is>
          <t>65358</t>
        </is>
      </c>
      <c r="C11" s="21" t="inlineStr"/>
      <c r="D11" s="21" t="inlineStr">
        <is>
          <t>BIBI</t>
        </is>
      </c>
      <c r="E11" s="21" t="inlineStr">
        <is>
          <t>FATIMA AHAMADA</t>
        </is>
      </c>
      <c r="F11" s="21" t="inlineStr">
        <is>
          <t>09/08/2001</t>
        </is>
      </c>
      <c r="G11" s="21" t="inlineStr">
        <is>
          <t>CHEZANI</t>
        </is>
      </c>
      <c r="H11" s="21" t="inlineStr"/>
      <c r="I11" s="21" t="inlineStr"/>
      <c r="J11" s="21" t="inlineStr">
        <is>
          <t>Aides-soignants</t>
        </is>
      </c>
      <c r="K11" s="21" t="inlineStr"/>
      <c r="L11" s="21" t="inlineStr">
        <is>
          <t>2025-2026</t>
        </is>
      </c>
      <c r="M11" s="21" t="inlineStr">
        <is>
          <t>Inscrit</t>
        </is>
      </c>
      <c r="N11" s="21" t="inlineStr"/>
      <c r="O11" s="21" t="inlineStr">
        <is>
          <t>import</t>
        </is>
      </c>
    </row>
    <row r="12" ht="15" customHeight="1" s="22">
      <c r="A12" s="21" t="inlineStr">
        <is>
          <t>10</t>
        </is>
      </c>
      <c r="B12" s="21" t="inlineStr">
        <is>
          <t>32872</t>
        </is>
      </c>
      <c r="C12" s="21" t="inlineStr"/>
      <c r="D12" s="21" t="inlineStr">
        <is>
          <t>BOINAHERI</t>
        </is>
      </c>
      <c r="E12" s="21" t="inlineStr">
        <is>
          <t>MZAOUIANI</t>
        </is>
      </c>
      <c r="F12" s="21" t="inlineStr">
        <is>
          <t>17/03/1992</t>
        </is>
      </c>
      <c r="G12" s="21" t="inlineStr">
        <is>
          <t>IFOUNDIHE HAMAHAMET</t>
        </is>
      </c>
      <c r="H12" s="21" t="inlineStr"/>
      <c r="I12" s="21" t="inlineStr"/>
      <c r="J12" s="21" t="inlineStr">
        <is>
          <t>Aides-soignants</t>
        </is>
      </c>
      <c r="K12" s="21" t="inlineStr"/>
      <c r="L12" s="21" t="inlineStr">
        <is>
          <t>2025-2026</t>
        </is>
      </c>
      <c r="M12" s="21" t="inlineStr">
        <is>
          <t>Inscrit</t>
        </is>
      </c>
      <c r="N12" s="21" t="inlineStr"/>
      <c r="O12" s="21" t="inlineStr">
        <is>
          <t>import</t>
        </is>
      </c>
    </row>
    <row r="13" ht="15" customHeight="1" s="22">
      <c r="A13" s="21" t="inlineStr">
        <is>
          <t>11</t>
        </is>
      </c>
      <c r="B13" s="21" t="inlineStr">
        <is>
          <t>67561</t>
        </is>
      </c>
      <c r="C13" s="21" t="inlineStr"/>
      <c r="D13" s="21" t="inlineStr">
        <is>
          <t>DHOUMDRATI</t>
        </is>
      </c>
      <c r="E13" s="21" t="inlineStr">
        <is>
          <t>ASMAKOU</t>
        </is>
      </c>
      <c r="F13" s="21" t="inlineStr">
        <is>
          <t>23/03/2001</t>
        </is>
      </c>
      <c r="G13" s="21" t="inlineStr">
        <is>
          <t>MTE D'OUZIO</t>
        </is>
      </c>
      <c r="H13" s="21" t="inlineStr"/>
      <c r="I13" s="21" t="inlineStr"/>
      <c r="J13" s="21" t="inlineStr">
        <is>
          <t>Aides-soignants</t>
        </is>
      </c>
      <c r="K13" s="21" t="inlineStr"/>
      <c r="L13" s="21" t="inlineStr">
        <is>
          <t>2025-2026</t>
        </is>
      </c>
      <c r="M13" s="21" t="inlineStr">
        <is>
          <t>Inscrit</t>
        </is>
      </c>
      <c r="N13" s="21" t="inlineStr"/>
      <c r="O13" s="21" t="inlineStr">
        <is>
          <t>import</t>
        </is>
      </c>
    </row>
    <row r="14" ht="15" customHeight="1" s="22">
      <c r="A14" s="21" t="inlineStr">
        <is>
          <t>12</t>
        </is>
      </c>
      <c r="B14" s="21" t="inlineStr">
        <is>
          <t>76498</t>
        </is>
      </c>
      <c r="C14" s="21" t="inlineStr"/>
      <c r="D14" s="21" t="inlineStr">
        <is>
          <t>DJASSIMI</t>
        </is>
      </c>
      <c r="E14" s="21" t="inlineStr">
        <is>
          <t>YOUSSOUF</t>
        </is>
      </c>
      <c r="F14" s="21" t="inlineStr">
        <is>
          <t>27/11/1989</t>
        </is>
      </c>
      <c r="G14" s="21" t="inlineStr">
        <is>
          <t>DOMONI ANJOUAN</t>
        </is>
      </c>
      <c r="H14" s="21" t="inlineStr"/>
      <c r="I14" s="21" t="inlineStr"/>
      <c r="J14" s="21" t="inlineStr">
        <is>
          <t>Aides-soignants</t>
        </is>
      </c>
      <c r="K14" s="21" t="inlineStr"/>
      <c r="L14" s="21" t="inlineStr">
        <is>
          <t>2025-2026</t>
        </is>
      </c>
      <c r="M14" s="21" t="inlineStr">
        <is>
          <t>Inscrit</t>
        </is>
      </c>
      <c r="N14" s="21" t="inlineStr"/>
      <c r="O14" s="21" t="inlineStr">
        <is>
          <t>import</t>
        </is>
      </c>
    </row>
    <row r="15" ht="15" customHeight="1" s="22">
      <c r="A15" s="21" t="inlineStr">
        <is>
          <t>13</t>
        </is>
      </c>
      <c r="B15" s="21" t="inlineStr">
        <is>
          <t>76501</t>
        </is>
      </c>
      <c r="C15" s="21" t="inlineStr"/>
      <c r="D15" s="21" t="inlineStr">
        <is>
          <t>FAHAMIDINE</t>
        </is>
      </c>
      <c r="E15" s="21" t="inlineStr">
        <is>
          <t>MOHAMED</t>
        </is>
      </c>
      <c r="F15" s="21" t="inlineStr">
        <is>
          <t>09/02/1989</t>
        </is>
      </c>
      <c r="G15" s="21" t="inlineStr">
        <is>
          <t>IFOUNDIHE CHAMBOINI</t>
        </is>
      </c>
      <c r="H15" s="21" t="inlineStr"/>
      <c r="I15" s="21" t="inlineStr"/>
      <c r="J15" s="21" t="inlineStr">
        <is>
          <t>Aides-soignants</t>
        </is>
      </c>
      <c r="K15" s="21" t="inlineStr"/>
      <c r="L15" s="21" t="inlineStr">
        <is>
          <t>2025-2026</t>
        </is>
      </c>
      <c r="M15" s="21" t="inlineStr">
        <is>
          <t>Inscrit</t>
        </is>
      </c>
      <c r="N15" s="21" t="inlineStr"/>
      <c r="O15" s="21" t="inlineStr">
        <is>
          <t>import</t>
        </is>
      </c>
    </row>
    <row r="16" ht="15" customHeight="1" s="22">
      <c r="A16" s="21" t="inlineStr">
        <is>
          <t>14</t>
        </is>
      </c>
      <c r="B16" s="21" t="inlineStr">
        <is>
          <t>67640</t>
        </is>
      </c>
      <c r="C16" s="21" t="inlineStr"/>
      <c r="D16" s="21" t="inlineStr">
        <is>
          <t>FAIZATI</t>
        </is>
      </c>
      <c r="E16" s="21" t="inlineStr">
        <is>
          <t>AHAMADI</t>
        </is>
      </c>
      <c r="F16" s="21" t="inlineStr">
        <is>
          <t>29/03/2001</t>
        </is>
      </c>
      <c r="G16" s="21" t="inlineStr">
        <is>
          <t>MTE DE MORONI</t>
        </is>
      </c>
      <c r="H16" s="21" t="inlineStr"/>
      <c r="I16" s="21" t="inlineStr"/>
      <c r="J16" s="21" t="inlineStr">
        <is>
          <t>Aides-soignants</t>
        </is>
      </c>
      <c r="K16" s="21" t="inlineStr"/>
      <c r="L16" s="21" t="inlineStr">
        <is>
          <t>2025-2026</t>
        </is>
      </c>
      <c r="M16" s="21" t="inlineStr">
        <is>
          <t>Inscrit</t>
        </is>
      </c>
      <c r="N16" s="21" t="inlineStr"/>
      <c r="O16" s="21" t="inlineStr">
        <is>
          <t>import</t>
        </is>
      </c>
    </row>
    <row r="17" ht="15" customHeight="1" s="22">
      <c r="A17" s="21" t="inlineStr">
        <is>
          <t>15</t>
        </is>
      </c>
      <c r="B17" s="21" t="inlineStr">
        <is>
          <t>23301</t>
        </is>
      </c>
      <c r="C17" s="21" t="inlineStr"/>
      <c r="D17" s="21" t="inlineStr">
        <is>
          <t>FAROUK</t>
        </is>
      </c>
      <c r="E17" s="21" t="inlineStr">
        <is>
          <t>IBRAHIM</t>
        </is>
      </c>
      <c r="F17" s="21" t="inlineStr">
        <is>
          <t>07/04/1990</t>
        </is>
      </c>
      <c r="G17" s="21" t="inlineStr">
        <is>
          <t>MATERNITé DE MORONI</t>
        </is>
      </c>
      <c r="H17" s="21" t="inlineStr"/>
      <c r="I17" s="21" t="inlineStr"/>
      <c r="J17" s="21" t="inlineStr">
        <is>
          <t>Aides-soignants</t>
        </is>
      </c>
      <c r="K17" s="21" t="inlineStr"/>
      <c r="L17" s="21" t="inlineStr">
        <is>
          <t>2025-2026</t>
        </is>
      </c>
      <c r="M17" s="21" t="inlineStr">
        <is>
          <t>Inscrit</t>
        </is>
      </c>
      <c r="N17" s="21" t="inlineStr"/>
      <c r="O17" s="21" t="inlineStr">
        <is>
          <t>import</t>
        </is>
      </c>
    </row>
    <row r="18" ht="15" customHeight="1" s="22">
      <c r="A18" s="21" t="inlineStr">
        <is>
          <t>16</t>
        </is>
      </c>
      <c r="B18" s="21" t="inlineStr">
        <is>
          <t>62426</t>
        </is>
      </c>
      <c r="C18" s="21" t="inlineStr"/>
      <c r="D18" s="21" t="inlineStr">
        <is>
          <t>FATIMA</t>
        </is>
      </c>
      <c r="E18" s="21" t="inlineStr">
        <is>
          <t>SAID</t>
        </is>
      </c>
      <c r="F18" s="21" t="inlineStr">
        <is>
          <t>25/03/1997</t>
        </is>
      </c>
      <c r="G18" s="21" t="inlineStr">
        <is>
          <t>BOUENINDI</t>
        </is>
      </c>
      <c r="H18" s="21" t="inlineStr"/>
      <c r="I18" s="21" t="inlineStr"/>
      <c r="J18" s="21" t="inlineStr">
        <is>
          <t>Aides-soignants</t>
        </is>
      </c>
      <c r="K18" s="21" t="inlineStr"/>
      <c r="L18" s="21" t="inlineStr">
        <is>
          <t>2025-2026</t>
        </is>
      </c>
      <c r="M18" s="21" t="inlineStr">
        <is>
          <t>Inscrit</t>
        </is>
      </c>
      <c r="N18" s="21" t="inlineStr"/>
      <c r="O18" s="21" t="inlineStr">
        <is>
          <t>import</t>
        </is>
      </c>
    </row>
    <row r="19" ht="15" customHeight="1" s="22">
      <c r="A19" s="21" t="inlineStr">
        <is>
          <t>17</t>
        </is>
      </c>
      <c r="B19" s="21" t="inlineStr">
        <is>
          <t>76502</t>
        </is>
      </c>
      <c r="C19" s="21" t="inlineStr"/>
      <c r="D19" s="21" t="inlineStr">
        <is>
          <t>HAIDA</t>
        </is>
      </c>
      <c r="E19" s="21" t="inlineStr">
        <is>
          <t>MOHAMED SAID</t>
        </is>
      </c>
      <c r="F19" s="21" t="inlineStr">
        <is>
          <t>26/11/2003</t>
        </is>
      </c>
      <c r="G19" s="21" t="inlineStr">
        <is>
          <t>HACHIPENDA</t>
        </is>
      </c>
      <c r="H19" s="21" t="inlineStr"/>
      <c r="I19" s="21" t="inlineStr"/>
      <c r="J19" s="21" t="inlineStr">
        <is>
          <t>Aides-soignants</t>
        </is>
      </c>
      <c r="K19" s="21" t="inlineStr"/>
      <c r="L19" s="21" t="inlineStr">
        <is>
          <t>2025-2026</t>
        </is>
      </c>
      <c r="M19" s="21" t="inlineStr">
        <is>
          <t>Inscrit</t>
        </is>
      </c>
      <c r="N19" s="21" t="inlineStr"/>
      <c r="O19" s="21" t="inlineStr">
        <is>
          <t>import</t>
        </is>
      </c>
    </row>
    <row r="20" ht="15" customHeight="1" s="22">
      <c r="A20" s="21" t="inlineStr">
        <is>
          <t>18</t>
        </is>
      </c>
      <c r="B20" s="21" t="inlineStr">
        <is>
          <t>73395</t>
        </is>
      </c>
      <c r="C20" s="21" t="inlineStr"/>
      <c r="D20" s="21" t="inlineStr">
        <is>
          <t>HASSANI</t>
        </is>
      </c>
      <c r="E20" s="21" t="inlineStr">
        <is>
          <t>BAHADJATI</t>
        </is>
      </c>
      <c r="F20" s="21" t="inlineStr">
        <is>
          <t>25/12/2005</t>
        </is>
      </c>
      <c r="G20" s="21" t="inlineStr">
        <is>
          <t>MTE DE MTSANGADJOU</t>
        </is>
      </c>
      <c r="H20" s="21" t="inlineStr"/>
      <c r="I20" s="21" t="inlineStr"/>
      <c r="J20" s="21" t="inlineStr">
        <is>
          <t>Aides-soignants</t>
        </is>
      </c>
      <c r="K20" s="21" t="inlineStr"/>
      <c r="L20" s="21" t="inlineStr">
        <is>
          <t>2025-2026</t>
        </is>
      </c>
      <c r="M20" s="21" t="inlineStr">
        <is>
          <t>Doublon a arbitrer</t>
        </is>
      </c>
      <c r="N20" s="21" t="inlineStr"/>
      <c r="O20" s="21" t="inlineStr">
        <is>
          <t>import</t>
        </is>
      </c>
    </row>
    <row r="21" ht="15" customHeight="1" s="22">
      <c r="A21" s="21" t="inlineStr">
        <is>
          <t>19</t>
        </is>
      </c>
      <c r="B21" s="21" t="inlineStr">
        <is>
          <t>62699</t>
        </is>
      </c>
      <c r="C21" s="21" t="inlineStr"/>
      <c r="D21" s="21" t="inlineStr">
        <is>
          <t>HOUSSOUNATA</t>
        </is>
      </c>
      <c r="E21" s="21" t="inlineStr">
        <is>
          <t>DJOHAR</t>
        </is>
      </c>
      <c r="F21" s="21" t="inlineStr">
        <is>
          <t>19/07/1999</t>
        </is>
      </c>
      <c r="G21" s="21" t="inlineStr">
        <is>
          <t>CHEZANI MBOINKOU</t>
        </is>
      </c>
      <c r="H21" s="21" t="inlineStr"/>
      <c r="I21" s="21" t="inlineStr"/>
      <c r="J21" s="21" t="inlineStr">
        <is>
          <t>Aides-soignants</t>
        </is>
      </c>
      <c r="K21" s="21" t="inlineStr"/>
      <c r="L21" s="21" t="inlineStr">
        <is>
          <t>2025-2026</t>
        </is>
      </c>
      <c r="M21" s="21" t="inlineStr">
        <is>
          <t>Inscrit</t>
        </is>
      </c>
      <c r="N21" s="21" t="inlineStr"/>
      <c r="O21" s="21" t="inlineStr">
        <is>
          <t>import</t>
        </is>
      </c>
    </row>
    <row r="22" ht="15" customHeight="1" s="22">
      <c r="A22" s="21" t="inlineStr">
        <is>
          <t>20</t>
        </is>
      </c>
      <c r="B22" s="21" t="inlineStr">
        <is>
          <t>64220</t>
        </is>
      </c>
      <c r="C22" s="21" t="inlineStr"/>
      <c r="D22" s="21" t="inlineStr">
        <is>
          <t>LISSANI</t>
        </is>
      </c>
      <c r="E22" s="21" t="inlineStr">
        <is>
          <t>ABOUBACAR</t>
        </is>
      </c>
      <c r="F22" s="21" t="inlineStr">
        <is>
          <t>28/12/1998</t>
        </is>
      </c>
      <c r="G22" s="21" t="inlineStr">
        <is>
          <t>HANTSINDZI MBOINKOU</t>
        </is>
      </c>
      <c r="H22" s="21" t="inlineStr"/>
      <c r="I22" s="21" t="inlineStr"/>
      <c r="J22" s="21" t="inlineStr">
        <is>
          <t>Aides-soignants</t>
        </is>
      </c>
      <c r="K22" s="21" t="inlineStr"/>
      <c r="L22" s="21" t="inlineStr">
        <is>
          <t>2025-2026</t>
        </is>
      </c>
      <c r="M22" s="21" t="inlineStr">
        <is>
          <t>Inscrit</t>
        </is>
      </c>
      <c r="N22" s="21" t="inlineStr"/>
      <c r="O22" s="21" t="inlineStr">
        <is>
          <t>import</t>
        </is>
      </c>
    </row>
    <row r="23" ht="15" customHeight="1" s="22">
      <c r="A23" s="21" t="inlineStr">
        <is>
          <t>21</t>
        </is>
      </c>
      <c r="B23" s="21" t="inlineStr">
        <is>
          <t>74057</t>
        </is>
      </c>
      <c r="C23" s="21" t="inlineStr"/>
      <c r="D23" s="21" t="inlineStr">
        <is>
          <t>MAHAMOUD</t>
        </is>
      </c>
      <c r="E23" s="21" t="inlineStr">
        <is>
          <t>KALATHOUM</t>
        </is>
      </c>
      <c r="F23" s="21" t="inlineStr">
        <is>
          <t>28/12/2004</t>
        </is>
      </c>
      <c r="G23" s="21" t="inlineStr">
        <is>
          <t>MDJOIEZI - MBOUDE</t>
        </is>
      </c>
      <c r="H23" s="21" t="inlineStr"/>
      <c r="I23" s="21" t="inlineStr"/>
      <c r="J23" s="21" t="inlineStr">
        <is>
          <t>Aides-soignants</t>
        </is>
      </c>
      <c r="K23" s="21" t="inlineStr"/>
      <c r="L23" s="21" t="inlineStr">
        <is>
          <t>2025-2026</t>
        </is>
      </c>
      <c r="M23" s="21" t="inlineStr">
        <is>
          <t>Inscrit</t>
        </is>
      </c>
      <c r="N23" s="21" t="inlineStr"/>
      <c r="O23" s="21" t="inlineStr">
        <is>
          <t>import</t>
        </is>
      </c>
    </row>
    <row r="24" ht="15" customHeight="1" s="22">
      <c r="A24" s="21" t="inlineStr">
        <is>
          <t>22</t>
        </is>
      </c>
      <c r="B24" s="21" t="inlineStr">
        <is>
          <t>61474</t>
        </is>
      </c>
      <c r="C24" s="21" t="inlineStr"/>
      <c r="D24" s="21" t="inlineStr">
        <is>
          <t>MAOULIDA</t>
        </is>
      </c>
      <c r="E24" s="21" t="inlineStr">
        <is>
          <t>AHAMADA</t>
        </is>
      </c>
      <c r="F24" s="21" t="inlineStr">
        <is>
          <t>01/07/2001</t>
        </is>
      </c>
      <c r="G24" s="21" t="inlineStr">
        <is>
          <t>MBENI</t>
        </is>
      </c>
      <c r="H24" s="21" t="inlineStr"/>
      <c r="I24" s="21" t="inlineStr"/>
      <c r="J24" s="21" t="inlineStr">
        <is>
          <t>Aides-soignants</t>
        </is>
      </c>
      <c r="K24" s="21" t="inlineStr"/>
      <c r="L24" s="21" t="inlineStr">
        <is>
          <t>2025-2026</t>
        </is>
      </c>
      <c r="M24" s="21" t="inlineStr">
        <is>
          <t>Inscrit</t>
        </is>
      </c>
      <c r="N24" s="21" t="inlineStr"/>
      <c r="O24" s="21" t="inlineStr">
        <is>
          <t>import</t>
        </is>
      </c>
    </row>
    <row r="25" ht="15" customHeight="1" s="22">
      <c r="A25" s="21" t="inlineStr">
        <is>
          <t>23</t>
        </is>
      </c>
      <c r="B25" s="21" t="inlineStr">
        <is>
          <t>59577</t>
        </is>
      </c>
      <c r="C25" s="21" t="inlineStr"/>
      <c r="D25" s="21" t="inlineStr">
        <is>
          <t>MARIATA</t>
        </is>
      </c>
      <c r="E25" s="21" t="inlineStr">
        <is>
          <t>BEN ALI</t>
        </is>
      </c>
      <c r="F25" s="21" t="inlineStr">
        <is>
          <t>16/01/1992</t>
        </is>
      </c>
      <c r="G25" s="21" t="inlineStr">
        <is>
          <t>BANDAMADJI KOUBOINI</t>
        </is>
      </c>
      <c r="H25" s="21" t="inlineStr"/>
      <c r="I25" s="21" t="inlineStr"/>
      <c r="J25" s="21" t="inlineStr">
        <is>
          <t>Aides-soignants</t>
        </is>
      </c>
      <c r="K25" s="21" t="inlineStr"/>
      <c r="L25" s="21" t="inlineStr">
        <is>
          <t>2025-2026</t>
        </is>
      </c>
      <c r="M25" s="21" t="inlineStr">
        <is>
          <t>Inscrit</t>
        </is>
      </c>
      <c r="N25" s="21" t="inlineStr"/>
      <c r="O25" s="21" t="inlineStr">
        <is>
          <t>import</t>
        </is>
      </c>
    </row>
    <row r="26" ht="15" customHeight="1" s="22">
      <c r="A26" s="21" t="inlineStr">
        <is>
          <t>24</t>
        </is>
      </c>
      <c r="B26" s="21" t="inlineStr">
        <is>
          <t>27206</t>
        </is>
      </c>
      <c r="C26" s="21" t="inlineStr"/>
      <c r="D26" s="21" t="inlineStr">
        <is>
          <t>MOINA BARAKA</t>
        </is>
      </c>
      <c r="E26" s="21" t="inlineStr">
        <is>
          <t>ALI AHAMADA</t>
        </is>
      </c>
      <c r="F26" s="21" t="inlineStr">
        <is>
          <t>08/02/1995</t>
        </is>
      </c>
      <c r="G26" s="21" t="inlineStr">
        <is>
          <t>HELENDJE MBOUDE</t>
        </is>
      </c>
      <c r="H26" s="21" t="inlineStr"/>
      <c r="I26" s="21" t="inlineStr"/>
      <c r="J26" s="21" t="inlineStr">
        <is>
          <t>Aides-soignants</t>
        </is>
      </c>
      <c r="K26" s="21" t="inlineStr"/>
      <c r="L26" s="21" t="inlineStr">
        <is>
          <t>2025-2026</t>
        </is>
      </c>
      <c r="M26" s="21" t="inlineStr">
        <is>
          <t>Inscrit</t>
        </is>
      </c>
      <c r="N26" s="21" t="inlineStr"/>
      <c r="O26" s="21" t="inlineStr">
        <is>
          <t>import</t>
        </is>
      </c>
    </row>
    <row r="27" ht="15" customHeight="1" s="22">
      <c r="A27" s="21" t="inlineStr">
        <is>
          <t>25</t>
        </is>
      </c>
      <c r="B27" s="21" t="inlineStr">
        <is>
          <t>42485</t>
        </is>
      </c>
      <c r="C27" s="21" t="inlineStr"/>
      <c r="D27" s="21" t="inlineStr">
        <is>
          <t>NASSURDINE</t>
        </is>
      </c>
      <c r="E27" s="21" t="inlineStr">
        <is>
          <t>MOUSTADIROINE</t>
        </is>
      </c>
      <c r="F27" s="21" t="inlineStr">
        <is>
          <t>10/03/1992</t>
        </is>
      </c>
      <c r="G27" s="21" t="inlineStr">
        <is>
          <t>MIRONTSY</t>
        </is>
      </c>
      <c r="H27" s="21" t="inlineStr"/>
      <c r="I27" s="21" t="inlineStr"/>
      <c r="J27" s="21" t="inlineStr">
        <is>
          <t>Aides-soignants</t>
        </is>
      </c>
      <c r="K27" s="21" t="inlineStr"/>
      <c r="L27" s="21" t="inlineStr">
        <is>
          <t>2025-2026</t>
        </is>
      </c>
      <c r="M27" s="21" t="inlineStr">
        <is>
          <t>Inscrit</t>
        </is>
      </c>
      <c r="N27" s="21" t="inlineStr"/>
      <c r="O27" s="21" t="inlineStr">
        <is>
          <t>import</t>
        </is>
      </c>
    </row>
    <row r="28" ht="15" customHeight="1" s="22">
      <c r="A28" s="21" t="inlineStr">
        <is>
          <t>26</t>
        </is>
      </c>
      <c r="B28" s="21" t="inlineStr">
        <is>
          <t>69954</t>
        </is>
      </c>
      <c r="C28" s="21" t="inlineStr"/>
      <c r="D28" s="21" t="inlineStr">
        <is>
          <t>NISSIAM</t>
        </is>
      </c>
      <c r="E28" s="21" t="inlineStr">
        <is>
          <t>ABDILLAH</t>
        </is>
      </c>
      <c r="F28" s="21" t="inlineStr">
        <is>
          <t>23/05/2002</t>
        </is>
      </c>
      <c r="G28" s="21" t="inlineStr">
        <is>
          <t>DOMONI MOHELI</t>
        </is>
      </c>
      <c r="H28" s="21" t="inlineStr"/>
      <c r="I28" s="21" t="inlineStr"/>
      <c r="J28" s="21" t="inlineStr">
        <is>
          <t>Aides-soignants</t>
        </is>
      </c>
      <c r="K28" s="21" t="inlineStr"/>
      <c r="L28" s="21" t="inlineStr">
        <is>
          <t>2025-2026</t>
        </is>
      </c>
      <c r="M28" s="21" t="inlineStr">
        <is>
          <t>Inscrit</t>
        </is>
      </c>
      <c r="N28" s="21" t="inlineStr"/>
      <c r="O28" s="21" t="inlineStr">
        <is>
          <t>import</t>
        </is>
      </c>
    </row>
    <row r="29" ht="15" customHeight="1" s="22">
      <c r="A29" s="21" t="inlineStr">
        <is>
          <t>27</t>
        </is>
      </c>
      <c r="B29" s="21" t="inlineStr">
        <is>
          <t>45459</t>
        </is>
      </c>
      <c r="C29" s="21" t="inlineStr"/>
      <c r="D29" s="21" t="inlineStr">
        <is>
          <t>NOURIA</t>
        </is>
      </c>
      <c r="E29" s="21" t="inlineStr">
        <is>
          <t>MMADI</t>
        </is>
      </c>
      <c r="F29" s="21" t="inlineStr">
        <is>
          <t>29/12/2000</t>
        </is>
      </c>
      <c r="G29" s="21" t="inlineStr">
        <is>
          <t>PIDJANI-MITSAMIOULI</t>
        </is>
      </c>
      <c r="H29" s="21" t="inlineStr"/>
      <c r="I29" s="21" t="inlineStr"/>
      <c r="J29" s="21" t="inlineStr">
        <is>
          <t>Aides-soignants</t>
        </is>
      </c>
      <c r="K29" s="21" t="inlineStr"/>
      <c r="L29" s="21" t="inlineStr">
        <is>
          <t>2025-2026</t>
        </is>
      </c>
      <c r="M29" s="21" t="inlineStr">
        <is>
          <t>Inscrit</t>
        </is>
      </c>
      <c r="N29" s="21" t="inlineStr"/>
      <c r="O29" s="21" t="inlineStr">
        <is>
          <t>import</t>
        </is>
      </c>
    </row>
    <row r="30" ht="15" customHeight="1" s="22">
      <c r="A30" s="21" t="inlineStr">
        <is>
          <t>28</t>
        </is>
      </c>
      <c r="B30" s="21" t="inlineStr">
        <is>
          <t>76499</t>
        </is>
      </c>
      <c r="C30" s="21" t="inlineStr"/>
      <c r="D30" s="21" t="inlineStr">
        <is>
          <t>RAYIANA</t>
        </is>
      </c>
      <c r="E30" s="21" t="inlineStr">
        <is>
          <t>MOUSSA ISHAKA</t>
        </is>
      </c>
      <c r="F30" s="21" t="inlineStr">
        <is>
          <t>11/08/1990</t>
        </is>
      </c>
      <c r="G30" s="21" t="inlineStr">
        <is>
          <t>BAMBAO M'TSANGA</t>
        </is>
      </c>
      <c r="H30" s="21" t="inlineStr"/>
      <c r="I30" s="21" t="inlineStr"/>
      <c r="J30" s="21" t="inlineStr">
        <is>
          <t>Aides-soignants</t>
        </is>
      </c>
      <c r="K30" s="21" t="inlineStr"/>
      <c r="L30" s="21" t="inlineStr">
        <is>
          <t>2025-2026</t>
        </is>
      </c>
      <c r="M30" s="21" t="inlineStr">
        <is>
          <t>Inscrit</t>
        </is>
      </c>
      <c r="N30" s="21" t="inlineStr"/>
      <c r="O30" s="21" t="inlineStr">
        <is>
          <t>import</t>
        </is>
      </c>
    </row>
    <row r="31" ht="15" customHeight="1" s="22">
      <c r="A31" s="21" t="inlineStr">
        <is>
          <t>29</t>
        </is>
      </c>
      <c r="B31" s="21" t="inlineStr">
        <is>
          <t>58927</t>
        </is>
      </c>
      <c r="C31" s="21" t="inlineStr"/>
      <c r="D31" s="21" t="inlineStr">
        <is>
          <t>SAMRA</t>
        </is>
      </c>
      <c r="E31" s="21" t="inlineStr">
        <is>
          <t>MAOULIDA</t>
        </is>
      </c>
      <c r="F31" s="21" t="inlineStr">
        <is>
          <t>14/08/2001</t>
        </is>
      </c>
      <c r="G31" s="21" t="inlineStr">
        <is>
          <t>MTE D'OUZIOINI</t>
        </is>
      </c>
      <c r="H31" s="21" t="inlineStr"/>
      <c r="I31" s="21" t="inlineStr"/>
      <c r="J31" s="21" t="inlineStr">
        <is>
          <t>Aides-soignants</t>
        </is>
      </c>
      <c r="K31" s="21" t="inlineStr"/>
      <c r="L31" s="21" t="inlineStr">
        <is>
          <t>2025-2026</t>
        </is>
      </c>
      <c r="M31" s="21" t="inlineStr">
        <is>
          <t>Inscrit</t>
        </is>
      </c>
      <c r="N31" s="21" t="inlineStr"/>
      <c r="O31" s="21" t="inlineStr">
        <is>
          <t>import</t>
        </is>
      </c>
    </row>
    <row r="32" ht="15" customHeight="1" s="22">
      <c r="A32" s="21" t="inlineStr">
        <is>
          <t>30</t>
        </is>
      </c>
      <c r="B32" s="21" t="inlineStr">
        <is>
          <t>63164</t>
        </is>
      </c>
      <c r="C32" s="21" t="inlineStr"/>
      <c r="D32" s="21" t="inlineStr">
        <is>
          <t>SANIA</t>
        </is>
      </c>
      <c r="E32" s="21" t="inlineStr">
        <is>
          <t>DJANFAR</t>
        </is>
      </c>
      <c r="F32" s="21" t="inlineStr">
        <is>
          <t>22/10/2001</t>
        </is>
      </c>
      <c r="G32" s="21" t="inlineStr">
        <is>
          <t>L'HOPITAL DE POMONI</t>
        </is>
      </c>
      <c r="H32" s="21" t="inlineStr"/>
      <c r="I32" s="21" t="inlineStr"/>
      <c r="J32" s="21" t="inlineStr">
        <is>
          <t>Aides-soignants</t>
        </is>
      </c>
      <c r="K32" s="21" t="inlineStr"/>
      <c r="L32" s="21" t="inlineStr">
        <is>
          <t>2025-2026</t>
        </is>
      </c>
      <c r="M32" s="21" t="inlineStr">
        <is>
          <t>Inscrit</t>
        </is>
      </c>
      <c r="N32" s="21" t="inlineStr"/>
      <c r="O32" s="21" t="inlineStr">
        <is>
          <t>import</t>
        </is>
      </c>
    </row>
    <row r="33" ht="15" customHeight="1" s="22">
      <c r="A33" s="21" t="inlineStr">
        <is>
          <t>1</t>
        </is>
      </c>
      <c r="B33" s="21" t="inlineStr">
        <is>
          <t>79044</t>
        </is>
      </c>
      <c r="C33" s="21" t="inlineStr"/>
      <c r="D33" s="21" t="inlineStr">
        <is>
          <t>ABDOURAZAK</t>
        </is>
      </c>
      <c r="E33" s="21" t="inlineStr">
        <is>
          <t>IBRAHIM</t>
        </is>
      </c>
      <c r="F33" s="21" t="inlineStr">
        <is>
          <t>20/04/2005</t>
        </is>
      </c>
      <c r="G33" s="21" t="inlineStr">
        <is>
          <t>MANDZA MBOUDE</t>
        </is>
      </c>
      <c r="H33" s="21" t="inlineStr"/>
      <c r="I33" s="21" t="inlineStr">
        <is>
          <t>L1</t>
        </is>
      </c>
      <c r="J33" s="21" t="inlineStr">
        <is>
          <t>Maintenance biomédicale</t>
        </is>
      </c>
      <c r="K33" s="21" t="inlineStr"/>
      <c r="L33" s="21" t="inlineStr">
        <is>
          <t>2025-2026</t>
        </is>
      </c>
      <c r="M33" s="21" t="inlineStr">
        <is>
          <t>Inscrit</t>
        </is>
      </c>
      <c r="N33" s="21" t="inlineStr"/>
      <c r="O33" s="21" t="inlineStr">
        <is>
          <t>import</t>
        </is>
      </c>
    </row>
    <row r="34" ht="15" customHeight="1" s="22">
      <c r="A34" s="21" t="inlineStr">
        <is>
          <t>2</t>
        </is>
      </c>
      <c r="B34" s="21" t="inlineStr">
        <is>
          <t>70040</t>
        </is>
      </c>
      <c r="C34" s="21" t="inlineStr"/>
      <c r="D34" s="21" t="inlineStr">
        <is>
          <t>ALI MROUMAIZ</t>
        </is>
      </c>
      <c r="E34" s="21" t="inlineStr">
        <is>
          <t>FAMIDA</t>
        </is>
      </c>
      <c r="F34" s="21" t="inlineStr">
        <is>
          <t>07/07/2006</t>
        </is>
      </c>
      <c r="G34" s="21" t="inlineStr">
        <is>
          <t>CLIMIQUE DE L'AMITIE</t>
        </is>
      </c>
      <c r="H34" s="21" t="inlineStr"/>
      <c r="I34" s="21" t="inlineStr">
        <is>
          <t>L1</t>
        </is>
      </c>
      <c r="J34" s="21" t="inlineStr">
        <is>
          <t>Maintenance biomédicale</t>
        </is>
      </c>
      <c r="K34" s="21" t="inlineStr"/>
      <c r="L34" s="21" t="inlineStr">
        <is>
          <t>2025-2026</t>
        </is>
      </c>
      <c r="M34" s="21" t="inlineStr">
        <is>
          <t>Inscrit</t>
        </is>
      </c>
      <c r="N34" s="21" t="inlineStr"/>
      <c r="O34" s="21" t="inlineStr">
        <is>
          <t>import</t>
        </is>
      </c>
    </row>
    <row r="35" ht="15" customHeight="1" s="22">
      <c r="A35" s="21" t="inlineStr">
        <is>
          <t>3</t>
        </is>
      </c>
      <c r="B35" s="21" t="inlineStr">
        <is>
          <t>76381</t>
        </is>
      </c>
      <c r="C35" s="21" t="inlineStr"/>
      <c r="D35" s="21" t="inlineStr">
        <is>
          <t>ANZIMATA</t>
        </is>
      </c>
      <c r="E35" s="21" t="inlineStr">
        <is>
          <t>IBRAHIMA ABDOU</t>
        </is>
      </c>
      <c r="F35" s="21" t="inlineStr">
        <is>
          <t>19/05/2006</t>
        </is>
      </c>
      <c r="G35" s="21" t="inlineStr">
        <is>
          <t>MTE DE MITSOUDJE</t>
        </is>
      </c>
      <c r="H35" s="21" t="inlineStr"/>
      <c r="I35" s="21" t="inlineStr">
        <is>
          <t>L1</t>
        </is>
      </c>
      <c r="J35" s="21" t="inlineStr">
        <is>
          <t>Maintenance biomédicale</t>
        </is>
      </c>
      <c r="K35" s="21" t="inlineStr"/>
      <c r="L35" s="21" t="inlineStr">
        <is>
          <t>2025-2026</t>
        </is>
      </c>
      <c r="M35" s="21" t="inlineStr">
        <is>
          <t>Inscrit</t>
        </is>
      </c>
      <c r="N35" s="21" t="inlineStr"/>
      <c r="O35" s="21" t="inlineStr">
        <is>
          <t>import</t>
        </is>
      </c>
    </row>
    <row r="36" ht="15" customHeight="1" s="22">
      <c r="A36" s="21" t="inlineStr">
        <is>
          <t>4</t>
        </is>
      </c>
      <c r="B36" s="21" t="inlineStr">
        <is>
          <t>80125</t>
        </is>
      </c>
      <c r="C36" s="21" t="inlineStr"/>
      <c r="D36" s="21" t="inlineStr">
        <is>
          <t>AWAD</t>
        </is>
      </c>
      <c r="E36" s="21" t="inlineStr">
        <is>
          <t>YAHAYA MOHAMED</t>
        </is>
      </c>
      <c r="F36" s="21" t="inlineStr">
        <is>
          <t>03/12/2007</t>
        </is>
      </c>
      <c r="G36" s="21" t="inlineStr">
        <is>
          <t>MTE DE MORONI</t>
        </is>
      </c>
      <c r="H36" s="21" t="inlineStr"/>
      <c r="I36" s="21" t="inlineStr">
        <is>
          <t>L1</t>
        </is>
      </c>
      <c r="J36" s="21" t="inlineStr">
        <is>
          <t>Maintenance biomédicale</t>
        </is>
      </c>
      <c r="K36" s="21" t="inlineStr"/>
      <c r="L36" s="21" t="inlineStr">
        <is>
          <t>2025-2026</t>
        </is>
      </c>
      <c r="M36" s="21" t="inlineStr">
        <is>
          <t>Inscrit</t>
        </is>
      </c>
      <c r="N36" s="21" t="inlineStr"/>
      <c r="O36" s="21" t="inlineStr">
        <is>
          <t>import</t>
        </is>
      </c>
    </row>
    <row r="37" ht="15" customHeight="1" s="22">
      <c r="A37" s="21" t="inlineStr">
        <is>
          <t>5</t>
        </is>
      </c>
      <c r="B37" s="21" t="inlineStr">
        <is>
          <t>76331</t>
        </is>
      </c>
      <c r="C37" s="21" t="inlineStr"/>
      <c r="D37" s="21" t="inlineStr">
        <is>
          <t>AYIMANE</t>
        </is>
      </c>
      <c r="E37" s="21" t="inlineStr">
        <is>
          <t>ABABACAR</t>
        </is>
      </c>
      <c r="F37" s="21" t="inlineStr">
        <is>
          <t>24/02/2005</t>
        </is>
      </c>
      <c r="G37" s="21" t="inlineStr">
        <is>
          <t>MTE DE DOUNIANI</t>
        </is>
      </c>
      <c r="H37" s="21" t="inlineStr"/>
      <c r="I37" s="21" t="inlineStr">
        <is>
          <t>L1</t>
        </is>
      </c>
      <c r="J37" s="21" t="inlineStr">
        <is>
          <t>Maintenance biomédicale</t>
        </is>
      </c>
      <c r="K37" s="21" t="inlineStr"/>
      <c r="L37" s="21" t="inlineStr">
        <is>
          <t>2025-2026</t>
        </is>
      </c>
      <c r="M37" s="21" t="inlineStr">
        <is>
          <t>Inscrit</t>
        </is>
      </c>
      <c r="N37" s="21" t="inlineStr"/>
      <c r="O37" s="21" t="inlineStr">
        <is>
          <t>import</t>
        </is>
      </c>
    </row>
    <row r="38" ht="15" customHeight="1" s="22">
      <c r="A38" s="21" t="inlineStr">
        <is>
          <t>6</t>
        </is>
      </c>
      <c r="B38" s="21" t="inlineStr">
        <is>
          <t>72388</t>
        </is>
      </c>
      <c r="C38" s="21" t="inlineStr"/>
      <c r="D38" s="21" t="inlineStr">
        <is>
          <t>AZYA</t>
        </is>
      </c>
      <c r="E38" s="21" t="inlineStr">
        <is>
          <t>BOURHANE</t>
        </is>
      </c>
      <c r="F38" s="21" t="inlineStr">
        <is>
          <t>25/09/2002</t>
        </is>
      </c>
      <c r="G38" s="21" t="inlineStr">
        <is>
          <t>MTE DE MORONI</t>
        </is>
      </c>
      <c r="H38" s="21" t="inlineStr"/>
      <c r="I38" s="21" t="inlineStr">
        <is>
          <t>L1</t>
        </is>
      </c>
      <c r="J38" s="21" t="inlineStr">
        <is>
          <t>Maintenance biomédicale</t>
        </is>
      </c>
      <c r="K38" s="21" t="inlineStr"/>
      <c r="L38" s="21" t="inlineStr">
        <is>
          <t>2025-2026</t>
        </is>
      </c>
      <c r="M38" s="21" t="inlineStr">
        <is>
          <t>Inscrit</t>
        </is>
      </c>
      <c r="N38" s="21" t="inlineStr"/>
      <c r="O38" s="21" t="inlineStr">
        <is>
          <t>import</t>
        </is>
      </c>
    </row>
    <row r="39" ht="15" customHeight="1" s="22">
      <c r="A39" s="21" t="inlineStr">
        <is>
          <t>7</t>
        </is>
      </c>
      <c r="B39" s="21" t="inlineStr">
        <is>
          <t>73389</t>
        </is>
      </c>
      <c r="C39" s="21" t="inlineStr"/>
      <c r="D39" s="21" t="inlineStr">
        <is>
          <t>FAIDA</t>
        </is>
      </c>
      <c r="E39" s="21" t="inlineStr">
        <is>
          <t>MOUHAMADI</t>
        </is>
      </c>
      <c r="F39" s="21" t="inlineStr">
        <is>
          <t>12/05/2006</t>
        </is>
      </c>
      <c r="G39" s="21" t="inlineStr">
        <is>
          <t>MTE SIMA ANJOUAN</t>
        </is>
      </c>
      <c r="H39" s="21" t="inlineStr"/>
      <c r="I39" s="21" t="inlineStr">
        <is>
          <t>L1</t>
        </is>
      </c>
      <c r="J39" s="21" t="inlineStr">
        <is>
          <t>Maintenance biomédicale</t>
        </is>
      </c>
      <c r="K39" s="21" t="inlineStr"/>
      <c r="L39" s="21" t="inlineStr">
        <is>
          <t>2025-2026</t>
        </is>
      </c>
      <c r="M39" s="21" t="inlineStr">
        <is>
          <t>Inscrit</t>
        </is>
      </c>
      <c r="N39" s="21" t="inlineStr"/>
      <c r="O39" s="21" t="inlineStr">
        <is>
          <t>import</t>
        </is>
      </c>
    </row>
    <row r="40" ht="15" customHeight="1" s="22">
      <c r="A40" s="21" t="inlineStr">
        <is>
          <t>8</t>
        </is>
      </c>
      <c r="B40" s="21" t="inlineStr">
        <is>
          <t>73797</t>
        </is>
      </c>
      <c r="C40" s="21" t="inlineStr"/>
      <c r="D40" s="21" t="inlineStr">
        <is>
          <t>FATIMA</t>
        </is>
      </c>
      <c r="E40" s="21" t="inlineStr">
        <is>
          <t>BOINA</t>
        </is>
      </c>
      <c r="F40" s="21" t="inlineStr">
        <is>
          <t>20/02/2005</t>
        </is>
      </c>
      <c r="G40" s="21" t="inlineStr">
        <is>
          <t>MTE RURALE D'OUZIOINI</t>
        </is>
      </c>
      <c r="H40" s="21" t="inlineStr"/>
      <c r="I40" s="21" t="inlineStr">
        <is>
          <t>L1</t>
        </is>
      </c>
      <c r="J40" s="21" t="inlineStr">
        <is>
          <t>Maintenance biomédicale</t>
        </is>
      </c>
      <c r="K40" s="21" t="inlineStr"/>
      <c r="L40" s="21" t="inlineStr">
        <is>
          <t>2025-2026</t>
        </is>
      </c>
      <c r="M40" s="21" t="inlineStr">
        <is>
          <t>Inscrit</t>
        </is>
      </c>
      <c r="N40" s="21" t="inlineStr"/>
      <c r="O40" s="21" t="inlineStr">
        <is>
          <t>import</t>
        </is>
      </c>
    </row>
    <row r="41" ht="15" customHeight="1" s="22">
      <c r="A41" s="21" t="inlineStr">
        <is>
          <t>9</t>
        </is>
      </c>
      <c r="B41" s="21" t="inlineStr">
        <is>
          <t>72845</t>
        </is>
      </c>
      <c r="C41" s="21" t="inlineStr"/>
      <c r="D41" s="21" t="inlineStr">
        <is>
          <t>HIMNATOU</t>
        </is>
      </c>
      <c r="E41" s="21" t="inlineStr">
        <is>
          <t>AHAMADA</t>
        </is>
      </c>
      <c r="F41" s="21" t="inlineStr">
        <is>
          <t>27/03/2004</t>
        </is>
      </c>
      <c r="G41" s="21" t="inlineStr">
        <is>
          <t>MTE DE MORONI</t>
        </is>
      </c>
      <c r="H41" s="21" t="inlineStr"/>
      <c r="I41" s="21" t="inlineStr">
        <is>
          <t>L1</t>
        </is>
      </c>
      <c r="J41" s="21" t="inlineStr">
        <is>
          <t>Maintenance biomédicale</t>
        </is>
      </c>
      <c r="K41" s="21" t="inlineStr"/>
      <c r="L41" s="21" t="inlineStr">
        <is>
          <t>2025-2026</t>
        </is>
      </c>
      <c r="M41" s="21" t="inlineStr">
        <is>
          <t>Inscrit</t>
        </is>
      </c>
      <c r="N41" s="21" t="inlineStr"/>
      <c r="O41" s="21" t="inlineStr">
        <is>
          <t>import</t>
        </is>
      </c>
    </row>
    <row r="42" ht="15" customHeight="1" s="22">
      <c r="A42" s="21" t="inlineStr">
        <is>
          <t>10</t>
        </is>
      </c>
      <c r="B42" s="21" t="inlineStr">
        <is>
          <t>78370</t>
        </is>
      </c>
      <c r="C42" s="21" t="inlineStr"/>
      <c r="D42" s="21" t="inlineStr">
        <is>
          <t>KASSIM</t>
        </is>
      </c>
      <c r="E42" s="21" t="inlineStr">
        <is>
          <t>AVOUKA MBAE</t>
        </is>
      </c>
      <c r="F42" s="21" t="inlineStr">
        <is>
          <t>18/07/2007</t>
        </is>
      </c>
      <c r="G42" s="21" t="inlineStr">
        <is>
          <t>DJOMANI MBOUDE</t>
        </is>
      </c>
      <c r="H42" s="21" t="inlineStr"/>
      <c r="I42" s="21" t="inlineStr">
        <is>
          <t>L1</t>
        </is>
      </c>
      <c r="J42" s="21" t="inlineStr">
        <is>
          <t>Maintenance biomédicale</t>
        </is>
      </c>
      <c r="K42" s="21" t="inlineStr"/>
      <c r="L42" s="21" t="inlineStr">
        <is>
          <t>2025-2026</t>
        </is>
      </c>
      <c r="M42" s="21" t="inlineStr">
        <is>
          <t>Inscrit</t>
        </is>
      </c>
      <c r="N42" s="21" t="inlineStr"/>
      <c r="O42" s="21" t="inlineStr">
        <is>
          <t>import</t>
        </is>
      </c>
    </row>
    <row r="43" ht="15" customHeight="1" s="22">
      <c r="A43" s="21" t="inlineStr">
        <is>
          <t>11</t>
        </is>
      </c>
      <c r="B43" s="21" t="inlineStr">
        <is>
          <t>71450</t>
        </is>
      </c>
      <c r="C43" s="21" t="inlineStr"/>
      <c r="D43" s="21" t="inlineStr">
        <is>
          <t>LOULOU</t>
        </is>
      </c>
      <c r="E43" s="21" t="inlineStr">
        <is>
          <t>AHAMADA</t>
        </is>
      </c>
      <c r="F43" s="21" t="inlineStr">
        <is>
          <t>19/12/2005</t>
        </is>
      </c>
      <c r="G43" s="21" t="inlineStr">
        <is>
          <t>HAHAYA</t>
        </is>
      </c>
      <c r="H43" s="21" t="inlineStr"/>
      <c r="I43" s="21" t="inlineStr">
        <is>
          <t>L1</t>
        </is>
      </c>
      <c r="J43" s="21" t="inlineStr">
        <is>
          <t>Maintenance biomédicale</t>
        </is>
      </c>
      <c r="K43" s="21" t="inlineStr"/>
      <c r="L43" s="21" t="inlineStr">
        <is>
          <t>2025-2026</t>
        </is>
      </c>
      <c r="M43" s="21" t="inlineStr">
        <is>
          <t>Inscrit</t>
        </is>
      </c>
      <c r="N43" s="21" t="inlineStr"/>
      <c r="O43" s="21" t="inlineStr">
        <is>
          <t>import</t>
        </is>
      </c>
    </row>
    <row r="44" ht="15" customHeight="1" s="22">
      <c r="A44" s="21" t="inlineStr">
        <is>
          <t>12</t>
        </is>
      </c>
      <c r="B44" s="21" t="inlineStr">
        <is>
          <t>69323</t>
        </is>
      </c>
      <c r="C44" s="21" t="inlineStr"/>
      <c r="D44" s="21" t="inlineStr">
        <is>
          <t>MOHMED</t>
        </is>
      </c>
      <c r="E44" s="21" t="inlineStr">
        <is>
          <t>SAINDOU</t>
        </is>
      </c>
      <c r="F44" s="21" t="inlineStr">
        <is>
          <t>01/04/2002</t>
        </is>
      </c>
      <c r="G44" s="21" t="inlineStr">
        <is>
          <t>MTE DE SIMA ANJOUAN</t>
        </is>
      </c>
      <c r="H44" s="21" t="inlineStr"/>
      <c r="I44" s="21" t="inlineStr">
        <is>
          <t>L1</t>
        </is>
      </c>
      <c r="J44" s="21" t="inlineStr">
        <is>
          <t>Maintenance biomédicale</t>
        </is>
      </c>
      <c r="K44" s="21" t="inlineStr"/>
      <c r="L44" s="21" t="inlineStr">
        <is>
          <t>2025-2026</t>
        </is>
      </c>
      <c r="M44" s="21" t="inlineStr">
        <is>
          <t>Inscrit</t>
        </is>
      </c>
      <c r="N44" s="21" t="inlineStr"/>
      <c r="O44" s="21" t="inlineStr">
        <is>
          <t>import</t>
        </is>
      </c>
    </row>
    <row r="45" ht="15" customHeight="1" s="22">
      <c r="A45" s="21" t="inlineStr">
        <is>
          <t>13</t>
        </is>
      </c>
      <c r="B45" s="21" t="inlineStr">
        <is>
          <t>77189</t>
        </is>
      </c>
      <c r="C45" s="21" t="inlineStr"/>
      <c r="D45" s="21" t="inlineStr">
        <is>
          <t>NADJILA</t>
        </is>
      </c>
      <c r="E45" s="21" t="inlineStr">
        <is>
          <t>ALI MHAMADI</t>
        </is>
      </c>
      <c r="F45" s="21" t="inlineStr">
        <is>
          <t>18/12/2006</t>
        </is>
      </c>
      <c r="G45" s="21" t="inlineStr">
        <is>
          <t>SIMBOUSSA BADJINI EST</t>
        </is>
      </c>
      <c r="H45" s="21" t="inlineStr"/>
      <c r="I45" s="21" t="inlineStr">
        <is>
          <t>L1</t>
        </is>
      </c>
      <c r="J45" s="21" t="inlineStr">
        <is>
          <t>Maintenance biomédicale</t>
        </is>
      </c>
      <c r="K45" s="21" t="inlineStr"/>
      <c r="L45" s="21" t="inlineStr">
        <is>
          <t>2025-2026</t>
        </is>
      </c>
      <c r="M45" s="21" t="inlineStr">
        <is>
          <t>Inscrit</t>
        </is>
      </c>
      <c r="N45" s="21" t="inlineStr"/>
      <c r="O45" s="21" t="inlineStr">
        <is>
          <t>import</t>
        </is>
      </c>
    </row>
    <row r="46" ht="15" customHeight="1" s="22">
      <c r="A46" s="21" t="inlineStr">
        <is>
          <t>14</t>
        </is>
      </c>
      <c r="B46" s="21" t="inlineStr">
        <is>
          <t>72785</t>
        </is>
      </c>
      <c r="C46" s="21" t="inlineStr"/>
      <c r="D46" s="21" t="inlineStr">
        <is>
          <t>NAILA</t>
        </is>
      </c>
      <c r="E46" s="21" t="inlineStr">
        <is>
          <t>MATOIR</t>
        </is>
      </c>
      <c r="F46" s="21" t="inlineStr">
        <is>
          <t>26/06/2003</t>
        </is>
      </c>
      <c r="G46" s="21" t="inlineStr">
        <is>
          <t>NIOUMAMILIMA BADJINI EST</t>
        </is>
      </c>
      <c r="H46" s="21" t="inlineStr"/>
      <c r="I46" s="21" t="inlineStr">
        <is>
          <t>L1</t>
        </is>
      </c>
      <c r="J46" s="21" t="inlineStr">
        <is>
          <t>Maintenance biomédicale</t>
        </is>
      </c>
      <c r="K46" s="21" t="inlineStr"/>
      <c r="L46" s="21" t="inlineStr">
        <is>
          <t>2025-2026</t>
        </is>
      </c>
      <c r="M46" s="21" t="inlineStr">
        <is>
          <t>Inscrit</t>
        </is>
      </c>
      <c r="N46" s="21" t="inlineStr"/>
      <c r="O46" s="21" t="inlineStr">
        <is>
          <t>import</t>
        </is>
      </c>
    </row>
    <row r="47" ht="15" customHeight="1" s="22">
      <c r="A47" s="21" t="inlineStr">
        <is>
          <t>15</t>
        </is>
      </c>
      <c r="B47" s="21" t="inlineStr">
        <is>
          <t>70691</t>
        </is>
      </c>
      <c r="C47" s="21" t="inlineStr"/>
      <c r="D47" s="21" t="inlineStr">
        <is>
          <t>NAINMA</t>
        </is>
      </c>
      <c r="E47" s="21" t="inlineStr">
        <is>
          <t>YOUSSOUF</t>
        </is>
      </c>
      <c r="F47" s="21" t="inlineStr">
        <is>
          <t>30/04/2006</t>
        </is>
      </c>
      <c r="G47" s="21" t="inlineStr">
        <is>
          <t>À LA MTE DE SIMA</t>
        </is>
      </c>
      <c r="H47" s="21" t="inlineStr"/>
      <c r="I47" s="21" t="inlineStr">
        <is>
          <t>L1</t>
        </is>
      </c>
      <c r="J47" s="21" t="inlineStr">
        <is>
          <t>Maintenance biomédicale</t>
        </is>
      </c>
      <c r="K47" s="21" t="inlineStr"/>
      <c r="L47" s="21" t="inlineStr">
        <is>
          <t>2025-2026</t>
        </is>
      </c>
      <c r="M47" s="21" t="inlineStr">
        <is>
          <t>Inscrit</t>
        </is>
      </c>
      <c r="N47" s="21" t="inlineStr"/>
      <c r="O47" s="21" t="inlineStr">
        <is>
          <t>import</t>
        </is>
      </c>
    </row>
    <row r="48" ht="15" customHeight="1" s="22">
      <c r="A48" s="21" t="inlineStr">
        <is>
          <t>16</t>
        </is>
      </c>
      <c r="B48" s="21" t="inlineStr">
        <is>
          <t>74229</t>
        </is>
      </c>
      <c r="C48" s="21" t="inlineStr"/>
      <c r="D48" s="21" t="inlineStr">
        <is>
          <t>RAYANE</t>
        </is>
      </c>
      <c r="E48" s="21" t="inlineStr">
        <is>
          <t>YOUSSOUF</t>
        </is>
      </c>
      <c r="F48" s="21" t="inlineStr">
        <is>
          <t>06/03/2006</t>
        </is>
      </c>
      <c r="G48" s="21" t="inlineStr">
        <is>
          <t>MTE DE MITSAMIOULI</t>
        </is>
      </c>
      <c r="H48" s="21" t="inlineStr"/>
      <c r="I48" s="21" t="inlineStr">
        <is>
          <t>L1</t>
        </is>
      </c>
      <c r="J48" s="21" t="inlineStr">
        <is>
          <t>Maintenance biomédicale</t>
        </is>
      </c>
      <c r="K48" s="21" t="inlineStr"/>
      <c r="L48" s="21" t="inlineStr">
        <is>
          <t>2025-2026</t>
        </is>
      </c>
      <c r="M48" s="21" t="inlineStr">
        <is>
          <t>Inscrit</t>
        </is>
      </c>
      <c r="N48" s="21" t="inlineStr"/>
      <c r="O48" s="21" t="inlineStr">
        <is>
          <t>import</t>
        </is>
      </c>
    </row>
    <row r="49" ht="15" customHeight="1" s="22">
      <c r="A49" s="21" t="inlineStr">
        <is>
          <t>17</t>
        </is>
      </c>
      <c r="B49" s="21" t="inlineStr">
        <is>
          <t>78826</t>
        </is>
      </c>
      <c r="C49" s="21" t="inlineStr"/>
      <c r="D49" s="21" t="inlineStr">
        <is>
          <t>SOIFAOUDINE</t>
        </is>
      </c>
      <c r="E49" s="21" t="inlineStr">
        <is>
          <t>ABDOU ALI</t>
        </is>
      </c>
      <c r="F49" s="21" t="inlineStr">
        <is>
          <t>24/07/2006</t>
        </is>
      </c>
      <c r="G49" s="21" t="inlineStr">
        <is>
          <t>MTE DE MITSAMIOULI</t>
        </is>
      </c>
      <c r="H49" s="21" t="inlineStr"/>
      <c r="I49" s="21" t="inlineStr">
        <is>
          <t>L1</t>
        </is>
      </c>
      <c r="J49" s="21" t="inlineStr">
        <is>
          <t>Maintenance biomédicale</t>
        </is>
      </c>
      <c r="K49" s="21" t="inlineStr"/>
      <c r="L49" s="21" t="inlineStr">
        <is>
          <t>2025-2026</t>
        </is>
      </c>
      <c r="M49" s="21" t="inlineStr">
        <is>
          <t>Inscrit</t>
        </is>
      </c>
      <c r="N49" s="21" t="inlineStr"/>
      <c r="O49" s="21" t="inlineStr">
        <is>
          <t>import</t>
        </is>
      </c>
    </row>
    <row r="50" ht="15" customHeight="1" s="22">
      <c r="A50" s="21" t="inlineStr">
        <is>
          <t>18</t>
        </is>
      </c>
      <c r="B50" s="21" t="inlineStr">
        <is>
          <t>72800</t>
        </is>
      </c>
      <c r="C50" s="21" t="inlineStr"/>
      <c r="D50" s="21" t="inlineStr">
        <is>
          <t>SOUKEINA</t>
        </is>
      </c>
      <c r="E50" s="21" t="inlineStr">
        <is>
          <t>HASSANE</t>
        </is>
      </c>
      <c r="F50" s="21" t="inlineStr">
        <is>
          <t>17/11/2006</t>
        </is>
      </c>
      <c r="G50" s="21" t="inlineStr">
        <is>
          <t>MTE DE FOUMBOUNI</t>
        </is>
      </c>
      <c r="H50" s="21" t="inlineStr"/>
      <c r="I50" s="21" t="inlineStr">
        <is>
          <t>L1</t>
        </is>
      </c>
      <c r="J50" s="21" t="inlineStr">
        <is>
          <t>Maintenance biomédicale</t>
        </is>
      </c>
      <c r="K50" s="21" t="inlineStr"/>
      <c r="L50" s="21" t="inlineStr">
        <is>
          <t>2025-2026</t>
        </is>
      </c>
      <c r="M50" s="21" t="inlineStr">
        <is>
          <t>Inscrit</t>
        </is>
      </c>
      <c r="N50" s="21" t="inlineStr"/>
      <c r="O50" s="21" t="inlineStr">
        <is>
          <t>import</t>
        </is>
      </c>
    </row>
    <row r="51" ht="15" customHeight="1" s="22">
      <c r="A51" s="21" t="inlineStr">
        <is>
          <t>19</t>
        </is>
      </c>
      <c r="B51" s="21" t="inlineStr">
        <is>
          <t>79019</t>
        </is>
      </c>
      <c r="C51" s="21" t="inlineStr"/>
      <c r="D51" s="21" t="inlineStr">
        <is>
          <t>TOUROUME</t>
        </is>
      </c>
      <c r="E51" s="21" t="inlineStr">
        <is>
          <t>SALWA</t>
        </is>
      </c>
      <c r="F51" s="21" t="inlineStr">
        <is>
          <t>18/12/2006</t>
        </is>
      </c>
      <c r="G51" s="21" t="inlineStr">
        <is>
          <t>MTSANGADJOU DIMANI</t>
        </is>
      </c>
      <c r="H51" s="21" t="inlineStr"/>
      <c r="I51" s="21" t="inlineStr">
        <is>
          <t>L1</t>
        </is>
      </c>
      <c r="J51" s="21" t="inlineStr">
        <is>
          <t>Maintenance biomédicale</t>
        </is>
      </c>
      <c r="K51" s="21" t="inlineStr"/>
      <c r="L51" s="21" t="inlineStr">
        <is>
          <t>2025-2026</t>
        </is>
      </c>
      <c r="M51" s="21" t="inlineStr">
        <is>
          <t>Inscrit</t>
        </is>
      </c>
      <c r="N51" s="21" t="inlineStr"/>
      <c r="O51" s="21" t="inlineStr">
        <is>
          <t>import</t>
        </is>
      </c>
    </row>
    <row r="52" ht="15" customHeight="1" s="22">
      <c r="A52" s="21" t="inlineStr">
        <is>
          <t>20</t>
        </is>
      </c>
      <c r="B52" s="21" t="inlineStr">
        <is>
          <t>78423</t>
        </is>
      </c>
      <c r="C52" s="21" t="inlineStr"/>
      <c r="D52" s="21" t="inlineStr">
        <is>
          <t>YOUSSOUFA</t>
        </is>
      </c>
      <c r="E52" s="21" t="inlineStr">
        <is>
          <t>FATIMA</t>
        </is>
      </c>
      <c r="F52" s="21" t="inlineStr">
        <is>
          <t>19/04/2008</t>
        </is>
      </c>
      <c r="G52" s="21" t="inlineStr">
        <is>
          <t>DIMADJOU HAMAHAMET</t>
        </is>
      </c>
      <c r="H52" s="21" t="inlineStr"/>
      <c r="I52" s="21" t="inlineStr">
        <is>
          <t>L1</t>
        </is>
      </c>
      <c r="J52" s="21" t="inlineStr">
        <is>
          <t>Maintenance biomédicale</t>
        </is>
      </c>
      <c r="K52" s="21" t="inlineStr"/>
      <c r="L52" s="21" t="inlineStr">
        <is>
          <t>2025-2026</t>
        </is>
      </c>
      <c r="M52" s="21" t="inlineStr">
        <is>
          <t>Inscrit</t>
        </is>
      </c>
      <c r="N52" s="21" t="inlineStr"/>
      <c r="O52" s="21" t="inlineStr">
        <is>
          <t>import</t>
        </is>
      </c>
    </row>
    <row r="53" ht="15" customHeight="1" s="22">
      <c r="A53" s="21" t="inlineStr">
        <is>
          <t>1</t>
        </is>
      </c>
      <c r="B53" s="21" t="inlineStr">
        <is>
          <t>74180</t>
        </is>
      </c>
      <c r="C53" s="21" t="inlineStr"/>
      <c r="D53" s="21" t="inlineStr">
        <is>
          <t>ABASSE</t>
        </is>
      </c>
      <c r="E53" s="21" t="inlineStr">
        <is>
          <t>SOIFOIATI</t>
        </is>
      </c>
      <c r="F53" s="21" t="inlineStr">
        <is>
          <t>15/06/2005</t>
        </is>
      </c>
      <c r="G53" s="21" t="inlineStr">
        <is>
          <t>MBANGANI</t>
        </is>
      </c>
      <c r="H53" s="21" t="inlineStr"/>
      <c r="I53" s="21" t="inlineStr">
        <is>
          <t>L1</t>
        </is>
      </c>
      <c r="J53" s="21" t="inlineStr">
        <is>
          <t>Soins infirmiers</t>
        </is>
      </c>
      <c r="K53" s="21" t="inlineStr"/>
      <c r="L53" s="21" t="inlineStr">
        <is>
          <t>2025-2026</t>
        </is>
      </c>
      <c r="M53" s="21" t="inlineStr">
        <is>
          <t>Inscrit</t>
        </is>
      </c>
      <c r="N53" s="21" t="inlineStr"/>
      <c r="O53" s="21" t="inlineStr">
        <is>
          <t>import</t>
        </is>
      </c>
    </row>
    <row r="54" ht="15" customHeight="1" s="22">
      <c r="A54" s="21" t="inlineStr">
        <is>
          <t>2</t>
        </is>
      </c>
      <c r="B54" s="21" t="inlineStr">
        <is>
          <t>79289</t>
        </is>
      </c>
      <c r="C54" s="21" t="inlineStr"/>
      <c r="D54" s="21" t="inlineStr">
        <is>
          <t>ABDOURHAMANE</t>
        </is>
      </c>
      <c r="E54" s="21" t="inlineStr">
        <is>
          <t>FAIRATI</t>
        </is>
      </c>
      <c r="F54" s="21" t="inlineStr">
        <is>
          <t>25/12/2006</t>
        </is>
      </c>
      <c r="G54" s="21" t="inlineStr">
        <is>
          <t>DIMADJOU HAMAHAMET</t>
        </is>
      </c>
      <c r="H54" s="21" t="inlineStr"/>
      <c r="I54" s="21" t="inlineStr">
        <is>
          <t>L1</t>
        </is>
      </c>
      <c r="J54" s="21" t="inlineStr">
        <is>
          <t>Soins infirmiers</t>
        </is>
      </c>
      <c r="K54" s="21" t="inlineStr"/>
      <c r="L54" s="21" t="inlineStr">
        <is>
          <t>2025-2026</t>
        </is>
      </c>
      <c r="M54" s="21" t="inlineStr">
        <is>
          <t>Inscrit</t>
        </is>
      </c>
      <c r="N54" s="21" t="inlineStr"/>
      <c r="O54" s="21" t="inlineStr">
        <is>
          <t>import</t>
        </is>
      </c>
    </row>
    <row r="55" ht="15" customHeight="1" s="22">
      <c r="A55" s="21" t="inlineStr">
        <is>
          <t>3</t>
        </is>
      </c>
      <c r="B55" s="21" t="inlineStr">
        <is>
          <t>74017</t>
        </is>
      </c>
      <c r="C55" s="21" t="inlineStr"/>
      <c r="D55" s="21" t="inlineStr">
        <is>
          <t>ADHOUHOURI</t>
        </is>
      </c>
      <c r="E55" s="21" t="inlineStr">
        <is>
          <t>NAIMA</t>
        </is>
      </c>
      <c r="F55" s="21" t="inlineStr">
        <is>
          <t>22/12/2010</t>
        </is>
      </c>
      <c r="G55" s="21" t="inlineStr">
        <is>
          <t>OUELLAH MITSAMIOULI</t>
        </is>
      </c>
      <c r="H55" s="21" t="inlineStr"/>
      <c r="I55" s="21" t="inlineStr">
        <is>
          <t>L1</t>
        </is>
      </c>
      <c r="J55" s="21" t="inlineStr">
        <is>
          <t>Soins infirmiers</t>
        </is>
      </c>
      <c r="K55" s="21" t="inlineStr"/>
      <c r="L55" s="21" t="inlineStr">
        <is>
          <t>2025-2026</t>
        </is>
      </c>
      <c r="M55" s="21" t="inlineStr">
        <is>
          <t>Inscrit</t>
        </is>
      </c>
      <c r="N55" s="21" t="inlineStr"/>
      <c r="O55" s="21" t="inlineStr">
        <is>
          <t>import</t>
        </is>
      </c>
    </row>
    <row r="56" ht="15" customHeight="1" s="22">
      <c r="A56" s="21" t="inlineStr">
        <is>
          <t>4</t>
        </is>
      </c>
      <c r="B56" s="21" t="inlineStr">
        <is>
          <t>79799</t>
        </is>
      </c>
      <c r="C56" s="21" t="inlineStr"/>
      <c r="D56" s="21" t="inlineStr">
        <is>
          <t>ADJIROI</t>
        </is>
      </c>
      <c r="E56" s="21" t="inlineStr">
        <is>
          <t>SOIFAOUI BEN MOUMINE</t>
        </is>
      </c>
      <c r="F56" s="21" t="inlineStr">
        <is>
          <t>10/02/2007</t>
        </is>
      </c>
      <c r="G56" s="21" t="inlineStr">
        <is>
          <t>MATERNITE DE DOMONI</t>
        </is>
      </c>
      <c r="H56" s="21" t="inlineStr"/>
      <c r="I56" s="21" t="inlineStr">
        <is>
          <t>L1</t>
        </is>
      </c>
      <c r="J56" s="21" t="inlineStr">
        <is>
          <t>Soins infirmiers</t>
        </is>
      </c>
      <c r="K56" s="21" t="inlineStr"/>
      <c r="L56" s="21" t="inlineStr">
        <is>
          <t>2025-2026</t>
        </is>
      </c>
      <c r="M56" s="21" t="inlineStr">
        <is>
          <t>Inscrit</t>
        </is>
      </c>
      <c r="N56" s="21" t="inlineStr"/>
      <c r="O56" s="21" t="inlineStr">
        <is>
          <t>import</t>
        </is>
      </c>
    </row>
    <row r="57" ht="15" customHeight="1" s="22">
      <c r="A57" s="21" t="inlineStr">
        <is>
          <t>5</t>
        </is>
      </c>
      <c r="B57" s="21" t="inlineStr">
        <is>
          <t>76928</t>
        </is>
      </c>
      <c r="C57" s="21" t="inlineStr"/>
      <c r="D57" s="21" t="inlineStr">
        <is>
          <t>AHAMADA</t>
        </is>
      </c>
      <c r="E57" s="21" t="inlineStr">
        <is>
          <t>ROUKAYAT</t>
        </is>
      </c>
      <c r="F57" s="21" t="inlineStr">
        <is>
          <t>10/11/2003</t>
        </is>
      </c>
      <c r="G57" s="21" t="inlineStr">
        <is>
          <t>MALE BADJINI-EST</t>
        </is>
      </c>
      <c r="H57" s="21" t="inlineStr"/>
      <c r="I57" s="21" t="inlineStr">
        <is>
          <t>L1</t>
        </is>
      </c>
      <c r="J57" s="21" t="inlineStr">
        <is>
          <t>Soins infirmiers</t>
        </is>
      </c>
      <c r="K57" s="21" t="inlineStr"/>
      <c r="L57" s="21" t="inlineStr">
        <is>
          <t>2025-2026</t>
        </is>
      </c>
      <c r="M57" s="21" t="inlineStr">
        <is>
          <t>Inscrit</t>
        </is>
      </c>
      <c r="N57" s="21" t="inlineStr"/>
      <c r="O57" s="21" t="inlineStr">
        <is>
          <t>import</t>
        </is>
      </c>
    </row>
    <row r="58" ht="15" customHeight="1" s="22">
      <c r="A58" s="21" t="inlineStr">
        <is>
          <t>6</t>
        </is>
      </c>
      <c r="B58" s="21" t="inlineStr">
        <is>
          <t>78131</t>
        </is>
      </c>
      <c r="C58" s="21" t="inlineStr"/>
      <c r="D58" s="21" t="inlineStr">
        <is>
          <t>ALHADHUIR</t>
        </is>
      </c>
      <c r="E58" s="21" t="inlineStr">
        <is>
          <t>LATUFA</t>
        </is>
      </c>
      <c r="F58" s="21" t="inlineStr">
        <is>
          <t>06/12/2006</t>
        </is>
      </c>
      <c r="G58" s="21" t="inlineStr">
        <is>
          <t>MTE DE MORONI</t>
        </is>
      </c>
      <c r="H58" s="21" t="inlineStr"/>
      <c r="I58" s="21" t="inlineStr">
        <is>
          <t>L1</t>
        </is>
      </c>
      <c r="J58" s="21" t="inlineStr">
        <is>
          <t>Soins infirmiers</t>
        </is>
      </c>
      <c r="K58" s="21" t="inlineStr"/>
      <c r="L58" s="21" t="inlineStr">
        <is>
          <t>2025-2026</t>
        </is>
      </c>
      <c r="M58" s="21" t="inlineStr">
        <is>
          <t>Inscrit</t>
        </is>
      </c>
      <c r="N58" s="21" t="inlineStr"/>
      <c r="O58" s="21" t="inlineStr">
        <is>
          <t>import</t>
        </is>
      </c>
    </row>
    <row r="59" ht="15" customHeight="1" s="22">
      <c r="A59" s="21" t="inlineStr">
        <is>
          <t>7</t>
        </is>
      </c>
      <c r="B59" s="21" t="inlineStr">
        <is>
          <t>78476</t>
        </is>
      </c>
      <c r="C59" s="21" t="inlineStr"/>
      <c r="D59" s="21" t="inlineStr">
        <is>
          <t>AMATOU</t>
        </is>
      </c>
      <c r="E59" s="21" t="inlineStr">
        <is>
          <t>EL ANZIZ SAID</t>
        </is>
      </c>
      <c r="F59" s="21" t="inlineStr">
        <is>
          <t>17/04/2006</t>
        </is>
      </c>
      <c r="G59" s="21" t="inlineStr">
        <is>
          <t>KANDZILE BADJINI OUEST</t>
        </is>
      </c>
      <c r="H59" s="21" t="inlineStr"/>
      <c r="I59" s="21" t="inlineStr">
        <is>
          <t>L1</t>
        </is>
      </c>
      <c r="J59" s="21" t="inlineStr">
        <is>
          <t>Soins infirmiers</t>
        </is>
      </c>
      <c r="K59" s="21" t="inlineStr"/>
      <c r="L59" s="21" t="inlineStr">
        <is>
          <t>2025-2026</t>
        </is>
      </c>
      <c r="M59" s="21" t="inlineStr">
        <is>
          <t>Inscrit</t>
        </is>
      </c>
      <c r="N59" s="21" t="inlineStr"/>
      <c r="O59" s="21" t="inlineStr">
        <is>
          <t>import</t>
        </is>
      </c>
    </row>
    <row r="60" ht="15" customHeight="1" s="22">
      <c r="A60" s="21" t="inlineStr">
        <is>
          <t>8</t>
        </is>
      </c>
      <c r="B60" s="21" t="inlineStr">
        <is>
          <t>78797</t>
        </is>
      </c>
      <c r="C60" s="21" t="inlineStr"/>
      <c r="D60" s="21" t="inlineStr">
        <is>
          <t>AMDJADI</t>
        </is>
      </c>
      <c r="E60" s="21" t="inlineStr">
        <is>
          <t>ISSOUF BACO</t>
        </is>
      </c>
      <c r="F60" s="21" t="inlineStr">
        <is>
          <t>15/03/2007</t>
        </is>
      </c>
      <c r="G60" s="21" t="inlineStr">
        <is>
          <t>BARAKANI - MOHELI</t>
        </is>
      </c>
      <c r="H60" s="21" t="inlineStr"/>
      <c r="I60" s="21" t="inlineStr">
        <is>
          <t>L1</t>
        </is>
      </c>
      <c r="J60" s="21" t="inlineStr">
        <is>
          <t>Soins infirmiers</t>
        </is>
      </c>
      <c r="K60" s="21" t="inlineStr"/>
      <c r="L60" s="21" t="inlineStr">
        <is>
          <t>2025-2026</t>
        </is>
      </c>
      <c r="M60" s="21" t="inlineStr">
        <is>
          <t>Inscrit</t>
        </is>
      </c>
      <c r="N60" s="21" t="inlineStr"/>
      <c r="O60" s="21" t="inlineStr">
        <is>
          <t>import</t>
        </is>
      </c>
    </row>
    <row r="61" ht="15" customHeight="1" s="22">
      <c r="A61" s="21" t="inlineStr">
        <is>
          <t>9</t>
        </is>
      </c>
      <c r="B61" s="21" t="inlineStr">
        <is>
          <t>77245</t>
        </is>
      </c>
      <c r="C61" s="21" t="inlineStr"/>
      <c r="D61" s="21" t="inlineStr">
        <is>
          <t>AMINATA</t>
        </is>
      </c>
      <c r="E61" s="21" t="inlineStr">
        <is>
          <t>ALI AMANE</t>
        </is>
      </c>
      <c r="F61" s="21" t="inlineStr">
        <is>
          <t>19/12/2006</t>
        </is>
      </c>
      <c r="G61" s="21" t="inlineStr">
        <is>
          <t>MORONI</t>
        </is>
      </c>
      <c r="H61" s="21" t="inlineStr"/>
      <c r="I61" s="21" t="inlineStr">
        <is>
          <t>L1</t>
        </is>
      </c>
      <c r="J61" s="21" t="inlineStr">
        <is>
          <t>Soins infirmiers</t>
        </is>
      </c>
      <c r="K61" s="21" t="inlineStr"/>
      <c r="L61" s="21" t="inlineStr">
        <is>
          <t>2025-2026</t>
        </is>
      </c>
      <c r="M61" s="21" t="inlineStr">
        <is>
          <t>Inscrit</t>
        </is>
      </c>
      <c r="N61" s="21" t="inlineStr"/>
      <c r="O61" s="21" t="inlineStr">
        <is>
          <t>import</t>
        </is>
      </c>
    </row>
    <row r="62" ht="15" customHeight="1" s="22">
      <c r="A62" s="21" t="inlineStr">
        <is>
          <t>10</t>
        </is>
      </c>
      <c r="B62" s="21" t="inlineStr">
        <is>
          <t>74012</t>
        </is>
      </c>
      <c r="C62" s="21" t="inlineStr"/>
      <c r="D62" s="21" t="inlineStr">
        <is>
          <t>ANFIFOUDINE</t>
        </is>
      </c>
      <c r="E62" s="21" t="inlineStr">
        <is>
          <t>NASSUF</t>
        </is>
      </c>
      <c r="F62" s="21" t="inlineStr">
        <is>
          <t>30/10/2003</t>
        </is>
      </c>
      <c r="G62" s="21" t="inlineStr">
        <is>
          <t>MROMAGI - ANJOUAN</t>
        </is>
      </c>
      <c r="H62" s="21" t="inlineStr"/>
      <c r="I62" s="21" t="inlineStr">
        <is>
          <t>L1</t>
        </is>
      </c>
      <c r="J62" s="21" t="inlineStr">
        <is>
          <t>Soins infirmiers</t>
        </is>
      </c>
      <c r="K62" s="21" t="inlineStr"/>
      <c r="L62" s="21" t="inlineStr">
        <is>
          <t>2025-2026</t>
        </is>
      </c>
      <c r="M62" s="21" t="inlineStr">
        <is>
          <t>Inscrit</t>
        </is>
      </c>
      <c r="N62" s="21" t="inlineStr"/>
      <c r="O62" s="21" t="inlineStr">
        <is>
          <t>import</t>
        </is>
      </c>
    </row>
    <row r="63" ht="15" customHeight="1" s="22">
      <c r="A63" s="21" t="inlineStr">
        <is>
          <t>11</t>
        </is>
      </c>
      <c r="B63" s="21" t="inlineStr">
        <is>
          <t>74630</t>
        </is>
      </c>
      <c r="C63" s="21" t="inlineStr"/>
      <c r="D63" s="21" t="inlineStr">
        <is>
          <t>ARSAM</t>
        </is>
      </c>
      <c r="E63" s="21" t="inlineStr">
        <is>
          <t>SOIFOINI</t>
        </is>
      </c>
      <c r="F63" s="21" t="inlineStr">
        <is>
          <t>20/12/2003</t>
        </is>
      </c>
      <c r="G63" s="21" t="inlineStr">
        <is>
          <t>MTE D'OUZIOINI</t>
        </is>
      </c>
      <c r="H63" s="21" t="inlineStr"/>
      <c r="I63" s="21" t="inlineStr">
        <is>
          <t>L1</t>
        </is>
      </c>
      <c r="J63" s="21" t="inlineStr">
        <is>
          <t>Soins infirmiers</t>
        </is>
      </c>
      <c r="K63" s="21" t="inlineStr"/>
      <c r="L63" s="21" t="inlineStr">
        <is>
          <t>2025-2026</t>
        </is>
      </c>
      <c r="M63" s="21" t="inlineStr">
        <is>
          <t>Inscrit</t>
        </is>
      </c>
      <c r="N63" s="21" t="inlineStr"/>
      <c r="O63" s="21" t="inlineStr">
        <is>
          <t>import</t>
        </is>
      </c>
    </row>
    <row r="64" ht="15" customHeight="1" s="22">
      <c r="A64" s="21" t="inlineStr">
        <is>
          <t>12</t>
        </is>
      </c>
      <c r="B64" s="21" t="inlineStr">
        <is>
          <t>78526</t>
        </is>
      </c>
      <c r="C64" s="21" t="inlineStr"/>
      <c r="D64" s="21" t="inlineStr">
        <is>
          <t>ASSIA</t>
        </is>
      </c>
      <c r="E64" s="21" t="inlineStr">
        <is>
          <t>BAKAR KASSIM</t>
        </is>
      </c>
      <c r="F64" s="21" t="inlineStr">
        <is>
          <t>26/08/2003</t>
        </is>
      </c>
      <c r="G64" s="21" t="inlineStr">
        <is>
          <t>MTE DE MORONI</t>
        </is>
      </c>
      <c r="H64" s="21" t="inlineStr"/>
      <c r="I64" s="21" t="inlineStr">
        <is>
          <t>L1</t>
        </is>
      </c>
      <c r="J64" s="21" t="inlineStr">
        <is>
          <t>Soins infirmiers</t>
        </is>
      </c>
      <c r="K64" s="21" t="inlineStr"/>
      <c r="L64" s="21" t="inlineStr">
        <is>
          <t>2025-2026</t>
        </is>
      </c>
      <c r="M64" s="21" t="inlineStr">
        <is>
          <t>Inscrit</t>
        </is>
      </c>
      <c r="N64" s="21" t="inlineStr"/>
      <c r="O64" s="21" t="inlineStr">
        <is>
          <t>import</t>
        </is>
      </c>
    </row>
    <row r="65" ht="15" customHeight="1" s="22">
      <c r="A65" s="21" t="inlineStr">
        <is>
          <t>13</t>
        </is>
      </c>
      <c r="B65" s="21" t="inlineStr">
        <is>
          <t>75183</t>
        </is>
      </c>
      <c r="C65" s="21" t="inlineStr"/>
      <c r="D65" s="21" t="inlineStr">
        <is>
          <t>BAROUF</t>
        </is>
      </c>
      <c r="E65" s="21" t="inlineStr">
        <is>
          <t>SAID HADJARA</t>
        </is>
      </c>
      <c r="F65" s="21" t="inlineStr">
        <is>
          <t>03/05/2004</t>
        </is>
      </c>
      <c r="G65" s="21" t="inlineStr">
        <is>
          <t>MTSANGADJOU DIMANI</t>
        </is>
      </c>
      <c r="H65" s="21" t="inlineStr"/>
      <c r="I65" s="21" t="inlineStr">
        <is>
          <t>L1</t>
        </is>
      </c>
      <c r="J65" s="21" t="inlineStr">
        <is>
          <t>Soins infirmiers</t>
        </is>
      </c>
      <c r="K65" s="21" t="inlineStr"/>
      <c r="L65" s="21" t="inlineStr">
        <is>
          <t>2025-2026</t>
        </is>
      </c>
      <c r="M65" s="21" t="inlineStr">
        <is>
          <t>Inscrit</t>
        </is>
      </c>
      <c r="N65" s="21" t="inlineStr"/>
      <c r="O65" s="21" t="inlineStr">
        <is>
          <t>import</t>
        </is>
      </c>
    </row>
    <row r="66" ht="15" customHeight="1" s="22">
      <c r="A66" s="21" t="inlineStr">
        <is>
          <t>14</t>
        </is>
      </c>
      <c r="B66" s="21" t="inlineStr">
        <is>
          <t>72788</t>
        </is>
      </c>
      <c r="C66" s="21" t="inlineStr"/>
      <c r="D66" s="21" t="inlineStr">
        <is>
          <t>BINNOURE</t>
        </is>
      </c>
      <c r="E66" s="21" t="inlineStr">
        <is>
          <t>MAOULIDA ABDOU</t>
        </is>
      </c>
      <c r="F66" s="21" t="inlineStr">
        <is>
          <t>08/07/2004</t>
        </is>
      </c>
      <c r="G66" s="21" t="inlineStr">
        <is>
          <t>BAMBADJANI</t>
        </is>
      </c>
      <c r="H66" s="21" t="inlineStr"/>
      <c r="I66" s="21" t="inlineStr">
        <is>
          <t>L1</t>
        </is>
      </c>
      <c r="J66" s="21" t="inlineStr">
        <is>
          <t>Soins infirmiers</t>
        </is>
      </c>
      <c r="K66" s="21" t="inlineStr"/>
      <c r="L66" s="21" t="inlineStr">
        <is>
          <t>2025-2026</t>
        </is>
      </c>
      <c r="M66" s="21" t="inlineStr">
        <is>
          <t>Inscrit</t>
        </is>
      </c>
      <c r="N66" s="21" t="inlineStr"/>
      <c r="O66" s="21" t="inlineStr">
        <is>
          <t>import</t>
        </is>
      </c>
    </row>
    <row r="67" ht="15" customHeight="1" s="22">
      <c r="A67" s="21" t="inlineStr">
        <is>
          <t>15</t>
        </is>
      </c>
      <c r="B67" s="21" t="inlineStr">
        <is>
          <t>78253</t>
        </is>
      </c>
      <c r="C67" s="21" t="inlineStr"/>
      <c r="D67" s="21" t="inlineStr">
        <is>
          <t>CHAINOUR</t>
        </is>
      </c>
      <c r="E67" s="21" t="inlineStr">
        <is>
          <t>MOHAMED IDAROUSSE</t>
        </is>
      </c>
      <c r="F67" s="21" t="inlineStr">
        <is>
          <t>23/12/2005</t>
        </is>
      </c>
      <c r="G67" s="21" t="inlineStr">
        <is>
          <t>TSIDJE ITSANDRA</t>
        </is>
      </c>
      <c r="H67" s="21" t="inlineStr"/>
      <c r="I67" s="21" t="inlineStr">
        <is>
          <t>L1</t>
        </is>
      </c>
      <c r="J67" s="21" t="inlineStr">
        <is>
          <t>Soins infirmiers</t>
        </is>
      </c>
      <c r="K67" s="21" t="inlineStr"/>
      <c r="L67" s="21" t="inlineStr">
        <is>
          <t>2025-2026</t>
        </is>
      </c>
      <c r="M67" s="21" t="inlineStr">
        <is>
          <t>Inscrit</t>
        </is>
      </c>
      <c r="N67" s="21" t="inlineStr"/>
      <c r="O67" s="21" t="inlineStr">
        <is>
          <t>import</t>
        </is>
      </c>
    </row>
    <row r="68" ht="15" customHeight="1" s="22">
      <c r="A68" s="21" t="inlineStr">
        <is>
          <t>16</t>
        </is>
      </c>
      <c r="B68" s="21" t="inlineStr">
        <is>
          <t>78737</t>
        </is>
      </c>
      <c r="C68" s="21" t="inlineStr"/>
      <c r="D68" s="21" t="inlineStr">
        <is>
          <t>CHEIK</t>
        </is>
      </c>
      <c r="E68" s="21" t="inlineStr">
        <is>
          <t>MOUSSA NARDA</t>
        </is>
      </c>
      <c r="F68" s="21" t="inlineStr">
        <is>
          <t>30/10/2007</t>
        </is>
      </c>
      <c r="G68" s="21" t="inlineStr">
        <is>
          <t>NIOUMACHOI MOHELI</t>
        </is>
      </c>
      <c r="H68" s="21" t="inlineStr"/>
      <c r="I68" s="21" t="inlineStr">
        <is>
          <t>L1</t>
        </is>
      </c>
      <c r="J68" s="21" t="inlineStr">
        <is>
          <t>Soins infirmiers</t>
        </is>
      </c>
      <c r="K68" s="21" t="inlineStr"/>
      <c r="L68" s="21" t="inlineStr">
        <is>
          <t>2025-2026</t>
        </is>
      </c>
      <c r="M68" s="21" t="inlineStr">
        <is>
          <t>Inscrit</t>
        </is>
      </c>
      <c r="N68" s="21" t="inlineStr"/>
      <c r="O68" s="21" t="inlineStr">
        <is>
          <t>import</t>
        </is>
      </c>
    </row>
    <row r="69" ht="15" customHeight="1" s="22">
      <c r="A69" s="21" t="inlineStr">
        <is>
          <t>17</t>
        </is>
      </c>
      <c r="B69" s="21" t="inlineStr">
        <is>
          <t>78578</t>
        </is>
      </c>
      <c r="C69" s="21" t="inlineStr"/>
      <c r="D69" s="21" t="inlineStr">
        <is>
          <t>DAINA</t>
        </is>
      </c>
      <c r="E69" s="21" t="inlineStr">
        <is>
          <t>MOUSTOIFA CHAMI</t>
        </is>
      </c>
      <c r="F69" s="21" t="inlineStr">
        <is>
          <t>02/01/2004</t>
        </is>
      </c>
      <c r="G69" s="21" t="inlineStr">
        <is>
          <t>NGANDZALE ANJOUAN</t>
        </is>
      </c>
      <c r="H69" s="21" t="inlineStr"/>
      <c r="I69" s="21" t="inlineStr">
        <is>
          <t>L1</t>
        </is>
      </c>
      <c r="J69" s="21" t="inlineStr">
        <is>
          <t>Soins infirmiers</t>
        </is>
      </c>
      <c r="K69" s="21" t="inlineStr"/>
      <c r="L69" s="21" t="inlineStr">
        <is>
          <t>2025-2026</t>
        </is>
      </c>
      <c r="M69" s="21" t="inlineStr">
        <is>
          <t>Inscrit</t>
        </is>
      </c>
      <c r="N69" s="21" t="inlineStr"/>
      <c r="O69" s="21" t="inlineStr">
        <is>
          <t>import</t>
        </is>
      </c>
    </row>
    <row r="70" ht="15" customHeight="1" s="22">
      <c r="A70" s="21" t="inlineStr">
        <is>
          <t>18</t>
        </is>
      </c>
      <c r="B70" s="21" t="inlineStr">
        <is>
          <t>78917</t>
        </is>
      </c>
      <c r="C70" s="21" t="inlineStr"/>
      <c r="D70" s="21" t="inlineStr">
        <is>
          <t>DHOULHEDJI</t>
        </is>
      </c>
      <c r="E70" s="21" t="inlineStr">
        <is>
          <t>YOUSSOUF</t>
        </is>
      </c>
      <c r="F70" s="21" t="inlineStr">
        <is>
          <t>26/12/2006</t>
        </is>
      </c>
      <c r="G70" s="21" t="inlineStr">
        <is>
          <t>MTE DE FOUMBOUNI</t>
        </is>
      </c>
      <c r="H70" s="21" t="inlineStr"/>
      <c r="I70" s="21" t="inlineStr">
        <is>
          <t>L1</t>
        </is>
      </c>
      <c r="J70" s="21" t="inlineStr">
        <is>
          <t>Soins infirmiers</t>
        </is>
      </c>
      <c r="K70" s="21" t="inlineStr"/>
      <c r="L70" s="21" t="inlineStr">
        <is>
          <t>2025-2026</t>
        </is>
      </c>
      <c r="M70" s="21" t="inlineStr">
        <is>
          <t>Inscrit</t>
        </is>
      </c>
      <c r="N70" s="21" t="inlineStr"/>
      <c r="O70" s="21" t="inlineStr">
        <is>
          <t>import</t>
        </is>
      </c>
    </row>
    <row r="71" ht="15" customHeight="1" s="22">
      <c r="A71" s="21" t="inlineStr">
        <is>
          <t>19</t>
        </is>
      </c>
      <c r="B71" s="21" t="inlineStr">
        <is>
          <t>79957</t>
        </is>
      </c>
      <c r="C71" s="21" t="inlineStr"/>
      <c r="D71" s="21" t="inlineStr">
        <is>
          <t>DHOURIA</t>
        </is>
      </c>
      <c r="E71" s="21" t="inlineStr">
        <is>
          <t>KASSIM</t>
        </is>
      </c>
      <c r="F71" s="21" t="inlineStr">
        <is>
          <t>25/05/2005</t>
        </is>
      </c>
      <c r="G71" s="21" t="inlineStr">
        <is>
          <t>M'REMANI ANJOUAN</t>
        </is>
      </c>
      <c r="H71" s="21" t="inlineStr"/>
      <c r="I71" s="21" t="inlineStr">
        <is>
          <t>L1</t>
        </is>
      </c>
      <c r="J71" s="21" t="inlineStr">
        <is>
          <t>Soins infirmiers</t>
        </is>
      </c>
      <c r="K71" s="21" t="inlineStr"/>
      <c r="L71" s="21" t="inlineStr">
        <is>
          <t>2025-2026</t>
        </is>
      </c>
      <c r="M71" s="21" t="inlineStr">
        <is>
          <t>Inscrit</t>
        </is>
      </c>
      <c r="N71" s="21" t="inlineStr"/>
      <c r="O71" s="21" t="inlineStr">
        <is>
          <t>import</t>
        </is>
      </c>
    </row>
    <row r="72" ht="15" customHeight="1" s="22">
      <c r="A72" s="21" t="inlineStr">
        <is>
          <t>20</t>
        </is>
      </c>
      <c r="B72" s="21" t="inlineStr">
        <is>
          <t>78363</t>
        </is>
      </c>
      <c r="C72" s="21" t="inlineStr"/>
      <c r="D72" s="21" t="inlineStr">
        <is>
          <t>DJALOUDI</t>
        </is>
      </c>
      <c r="E72" s="21" t="inlineStr">
        <is>
          <t>ISSOUFI HOUMADI</t>
        </is>
      </c>
      <c r="F72" s="21" t="inlineStr">
        <is>
          <t>27/12/2005</t>
        </is>
      </c>
      <c r="G72" s="21" t="inlineStr">
        <is>
          <t>KONI-DJODJO - ANJOUAN</t>
        </is>
      </c>
      <c r="H72" s="21" t="inlineStr"/>
      <c r="I72" s="21" t="inlineStr">
        <is>
          <t>L1</t>
        </is>
      </c>
      <c r="J72" s="21" t="inlineStr">
        <is>
          <t>Soins infirmiers</t>
        </is>
      </c>
      <c r="K72" s="21" t="inlineStr"/>
      <c r="L72" s="21" t="inlineStr">
        <is>
          <t>2025-2026</t>
        </is>
      </c>
      <c r="M72" s="21" t="inlineStr">
        <is>
          <t>Inscrit</t>
        </is>
      </c>
      <c r="N72" s="21" t="inlineStr"/>
      <c r="O72" s="21" t="inlineStr">
        <is>
          <t>import</t>
        </is>
      </c>
    </row>
    <row r="73" ht="15" customHeight="1" s="22">
      <c r="A73" s="21" t="inlineStr">
        <is>
          <t>21</t>
        </is>
      </c>
      <c r="B73" s="21" t="inlineStr">
        <is>
          <t>79013</t>
        </is>
      </c>
      <c r="C73" s="21" t="inlineStr"/>
      <c r="D73" s="21" t="inlineStr">
        <is>
          <t>ECHATA</t>
        </is>
      </c>
      <c r="E73" s="21" t="inlineStr">
        <is>
          <t>SAID ABDOULKARIM</t>
        </is>
      </c>
      <c r="F73" s="21" t="inlineStr">
        <is>
          <t>28/12/2007</t>
        </is>
      </c>
      <c r="G73" s="21" t="inlineStr">
        <is>
          <t>MBENI</t>
        </is>
      </c>
      <c r="H73" s="21" t="inlineStr"/>
      <c r="I73" s="21" t="inlineStr">
        <is>
          <t>L1</t>
        </is>
      </c>
      <c r="J73" s="21" t="inlineStr">
        <is>
          <t>Soins infirmiers</t>
        </is>
      </c>
      <c r="K73" s="21" t="inlineStr"/>
      <c r="L73" s="21" t="inlineStr">
        <is>
          <t>2025-2026</t>
        </is>
      </c>
      <c r="M73" s="21" t="inlineStr">
        <is>
          <t>Inscrit</t>
        </is>
      </c>
      <c r="N73" s="21" t="inlineStr"/>
      <c r="O73" s="21" t="inlineStr">
        <is>
          <t>import</t>
        </is>
      </c>
    </row>
    <row r="74" ht="15" customHeight="1" s="22">
      <c r="A74" s="21" t="inlineStr">
        <is>
          <t>22</t>
        </is>
      </c>
      <c r="B74" s="21" t="inlineStr">
        <is>
          <t>78629</t>
        </is>
      </c>
      <c r="C74" s="21" t="inlineStr"/>
      <c r="D74" s="21" t="inlineStr">
        <is>
          <t>FAOULDINE</t>
        </is>
      </c>
      <c r="E74" s="21" t="inlineStr">
        <is>
          <t>BOINALI</t>
        </is>
      </c>
      <c r="F74" s="21" t="inlineStr">
        <is>
          <t>24/09/2007</t>
        </is>
      </c>
      <c r="G74" s="21" t="inlineStr">
        <is>
          <t>LA CLINIQUE SALAMA MORONI</t>
        </is>
      </c>
      <c r="H74" s="21" t="inlineStr"/>
      <c r="I74" s="21" t="inlineStr">
        <is>
          <t>L1</t>
        </is>
      </c>
      <c r="J74" s="21" t="inlineStr">
        <is>
          <t>Soins infirmiers</t>
        </is>
      </c>
      <c r="K74" s="21" t="inlineStr"/>
      <c r="L74" s="21" t="inlineStr">
        <is>
          <t>2025-2026</t>
        </is>
      </c>
      <c r="M74" s="21" t="inlineStr">
        <is>
          <t>Inscrit</t>
        </is>
      </c>
      <c r="N74" s="21" t="inlineStr"/>
      <c r="O74" s="21" t="inlineStr">
        <is>
          <t>import</t>
        </is>
      </c>
    </row>
    <row r="75" ht="15" customHeight="1" s="22">
      <c r="A75" s="21" t="inlineStr">
        <is>
          <t>23</t>
        </is>
      </c>
      <c r="B75" s="21" t="inlineStr">
        <is>
          <t>77998</t>
        </is>
      </c>
      <c r="C75" s="21" t="inlineStr"/>
      <c r="D75" s="21" t="inlineStr">
        <is>
          <t>FAOURIA</t>
        </is>
      </c>
      <c r="E75" s="21" t="inlineStr">
        <is>
          <t>SUDIKI MOILIM</t>
        </is>
      </c>
      <c r="F75" s="21" t="inlineStr">
        <is>
          <t>31/12/2008</t>
        </is>
      </c>
      <c r="G75" s="21" t="inlineStr">
        <is>
          <t>HOANI - MOHELI</t>
        </is>
      </c>
      <c r="H75" s="21" t="inlineStr"/>
      <c r="I75" s="21" t="inlineStr">
        <is>
          <t>L1</t>
        </is>
      </c>
      <c r="J75" s="21" t="inlineStr">
        <is>
          <t>Soins infirmiers</t>
        </is>
      </c>
      <c r="K75" s="21" t="inlineStr"/>
      <c r="L75" s="21" t="inlineStr">
        <is>
          <t>2025-2026</t>
        </is>
      </c>
      <c r="M75" s="21" t="inlineStr">
        <is>
          <t>Inscrit</t>
        </is>
      </c>
      <c r="N75" s="21" t="inlineStr"/>
      <c r="O75" s="21" t="inlineStr">
        <is>
          <t>import</t>
        </is>
      </c>
    </row>
    <row r="76" ht="15" customHeight="1" s="22">
      <c r="A76" s="21" t="inlineStr">
        <is>
          <t>24</t>
        </is>
      </c>
      <c r="B76" s="21" t="inlineStr">
        <is>
          <t>78869</t>
        </is>
      </c>
      <c r="C76" s="21" t="inlineStr"/>
      <c r="D76" s="21" t="inlineStr">
        <is>
          <t>FAYEL</t>
        </is>
      </c>
      <c r="E76" s="21" t="inlineStr">
        <is>
          <t>CHARAFOUDINE</t>
        </is>
      </c>
      <c r="F76" s="21" t="inlineStr">
        <is>
          <t>23/07/2006</t>
        </is>
      </c>
      <c r="G76" s="21" t="inlineStr">
        <is>
          <t>OUANI - ANJOUAN</t>
        </is>
      </c>
      <c r="H76" s="21" t="inlineStr"/>
      <c r="I76" s="21" t="inlineStr">
        <is>
          <t>L1</t>
        </is>
      </c>
      <c r="J76" s="21" t="inlineStr">
        <is>
          <t>Soins infirmiers</t>
        </is>
      </c>
      <c r="K76" s="21" t="inlineStr"/>
      <c r="L76" s="21" t="inlineStr">
        <is>
          <t>2025-2026</t>
        </is>
      </c>
      <c r="M76" s="21" t="inlineStr">
        <is>
          <t>Inscrit</t>
        </is>
      </c>
      <c r="N76" s="21" t="inlineStr"/>
      <c r="O76" s="21" t="inlineStr">
        <is>
          <t>import</t>
        </is>
      </c>
    </row>
    <row r="77" ht="15" customHeight="1" s="22">
      <c r="A77" s="21" t="inlineStr">
        <is>
          <t>25</t>
        </is>
      </c>
      <c r="B77" s="21" t="inlineStr">
        <is>
          <t>78487</t>
        </is>
      </c>
      <c r="C77" s="21" t="inlineStr"/>
      <c r="D77" s="21" t="inlineStr">
        <is>
          <t>FAYLANE</t>
        </is>
      </c>
      <c r="E77" s="21" t="inlineStr">
        <is>
          <t>MOHAMED TOIBIB</t>
        </is>
      </c>
      <c r="F77" s="21" t="inlineStr">
        <is>
          <t>01/06/2005</t>
        </is>
      </c>
      <c r="G77" s="21" t="inlineStr">
        <is>
          <t>DIMADJOU - HAMAHAMET</t>
        </is>
      </c>
      <c r="H77" s="21" t="inlineStr"/>
      <c r="I77" s="21" t="inlineStr">
        <is>
          <t>L1</t>
        </is>
      </c>
      <c r="J77" s="21" t="inlineStr">
        <is>
          <t>Soins infirmiers</t>
        </is>
      </c>
      <c r="K77" s="21" t="inlineStr"/>
      <c r="L77" s="21" t="inlineStr">
        <is>
          <t>2025-2026</t>
        </is>
      </c>
      <c r="M77" s="21" t="inlineStr">
        <is>
          <t>Inscrit</t>
        </is>
      </c>
      <c r="N77" s="21" t="inlineStr"/>
      <c r="O77" s="21" t="inlineStr">
        <is>
          <t>import</t>
        </is>
      </c>
    </row>
    <row r="78" ht="15" customHeight="1" s="22">
      <c r="A78" s="21" t="inlineStr">
        <is>
          <t>26</t>
        </is>
      </c>
      <c r="B78" s="21" t="inlineStr">
        <is>
          <t>79071</t>
        </is>
      </c>
      <c r="C78" s="21" t="inlineStr"/>
      <c r="D78" s="21" t="inlineStr">
        <is>
          <t>FLEURLIZE</t>
        </is>
      </c>
      <c r="E78" s="21" t="inlineStr">
        <is>
          <t>DJAENFFAR</t>
        </is>
      </c>
      <c r="F78" s="21" t="inlineStr">
        <is>
          <t>11/07/2002</t>
        </is>
      </c>
      <c r="G78" s="21" t="inlineStr">
        <is>
          <t>NGANDZALE ANJOUAN</t>
        </is>
      </c>
      <c r="H78" s="21" t="inlineStr"/>
      <c r="I78" s="21" t="inlineStr">
        <is>
          <t>L1</t>
        </is>
      </c>
      <c r="J78" s="21" t="inlineStr">
        <is>
          <t>Soins infirmiers</t>
        </is>
      </c>
      <c r="K78" s="21" t="inlineStr"/>
      <c r="L78" s="21" t="inlineStr">
        <is>
          <t>2025-2026</t>
        </is>
      </c>
      <c r="M78" s="21" t="inlineStr">
        <is>
          <t>Inscrit</t>
        </is>
      </c>
      <c r="N78" s="21" t="inlineStr"/>
      <c r="O78" s="21" t="inlineStr">
        <is>
          <t>import</t>
        </is>
      </c>
    </row>
    <row r="79" ht="15" customHeight="1" s="22">
      <c r="A79" s="21" t="inlineStr">
        <is>
          <t>27</t>
        </is>
      </c>
      <c r="B79" s="21" t="inlineStr">
        <is>
          <t>76717</t>
        </is>
      </c>
      <c r="C79" s="21" t="inlineStr"/>
      <c r="D79" s="21" t="inlineStr">
        <is>
          <t>HADJI</t>
        </is>
      </c>
      <c r="E79" s="21" t="inlineStr">
        <is>
          <t>MSAIDIE</t>
        </is>
      </c>
      <c r="F79" s="21" t="inlineStr">
        <is>
          <t>19/02/2007</t>
        </is>
      </c>
      <c r="G79" s="21" t="inlineStr">
        <is>
          <t>MTE DE MITSAMIOULI</t>
        </is>
      </c>
      <c r="H79" s="21" t="inlineStr"/>
      <c r="I79" s="21" t="inlineStr">
        <is>
          <t>L1</t>
        </is>
      </c>
      <c r="J79" s="21" t="inlineStr">
        <is>
          <t>Soins infirmiers</t>
        </is>
      </c>
      <c r="K79" s="21" t="inlineStr"/>
      <c r="L79" s="21" t="inlineStr">
        <is>
          <t>2025-2026</t>
        </is>
      </c>
      <c r="M79" s="21" t="inlineStr">
        <is>
          <t>Inscrit</t>
        </is>
      </c>
      <c r="N79" s="21" t="inlineStr"/>
      <c r="O79" s="21" t="inlineStr">
        <is>
          <t>import</t>
        </is>
      </c>
    </row>
    <row r="80" ht="15" customHeight="1" s="22">
      <c r="A80" s="21" t="inlineStr">
        <is>
          <t>28</t>
        </is>
      </c>
      <c r="B80" s="21" t="inlineStr">
        <is>
          <t>79225</t>
        </is>
      </c>
      <c r="C80" s="21" t="inlineStr"/>
      <c r="D80" s="21" t="inlineStr">
        <is>
          <t>HAIRATI</t>
        </is>
      </c>
      <c r="E80" s="21" t="inlineStr">
        <is>
          <t>ALI SAID</t>
        </is>
      </c>
      <c r="F80" s="21" t="inlineStr">
        <is>
          <t>19/09/2004</t>
        </is>
      </c>
      <c r="G80" s="21" t="inlineStr">
        <is>
          <t>MTE KOIMBANI</t>
        </is>
      </c>
      <c r="H80" s="21" t="inlineStr"/>
      <c r="I80" s="21" t="inlineStr">
        <is>
          <t>L1</t>
        </is>
      </c>
      <c r="J80" s="21" t="inlineStr">
        <is>
          <t>Soins infirmiers</t>
        </is>
      </c>
      <c r="K80" s="21" t="inlineStr"/>
      <c r="L80" s="21" t="inlineStr">
        <is>
          <t>2025-2026</t>
        </is>
      </c>
      <c r="M80" s="21" t="inlineStr">
        <is>
          <t>Inscrit</t>
        </is>
      </c>
      <c r="N80" s="21" t="inlineStr"/>
      <c r="O80" s="21" t="inlineStr">
        <is>
          <t>import</t>
        </is>
      </c>
    </row>
    <row r="81" ht="15" customHeight="1" s="22">
      <c r="A81" s="21" t="inlineStr">
        <is>
          <t>29</t>
        </is>
      </c>
      <c r="B81" s="21" t="inlineStr">
        <is>
          <t>77273</t>
        </is>
      </c>
      <c r="C81" s="21" t="inlineStr"/>
      <c r="D81" s="21" t="inlineStr">
        <is>
          <t>HALIM</t>
        </is>
      </c>
      <c r="E81" s="21" t="inlineStr">
        <is>
          <t>SOIFADDINE</t>
        </is>
      </c>
      <c r="F81" s="21" t="inlineStr">
        <is>
          <t>07/04/2007</t>
        </is>
      </c>
      <c r="G81" s="21" t="inlineStr">
        <is>
          <t>MTE DE M'RAMANI ANJOUAN</t>
        </is>
      </c>
      <c r="H81" s="21" t="inlineStr"/>
      <c r="I81" s="21" t="inlineStr">
        <is>
          <t>L1</t>
        </is>
      </c>
      <c r="J81" s="21" t="inlineStr">
        <is>
          <t>Soins infirmiers</t>
        </is>
      </c>
      <c r="K81" s="21" t="inlineStr"/>
      <c r="L81" s="21" t="inlineStr">
        <is>
          <t>2025-2026</t>
        </is>
      </c>
      <c r="M81" s="21" t="inlineStr">
        <is>
          <t>Inscrit</t>
        </is>
      </c>
      <c r="N81" s="21" t="inlineStr"/>
      <c r="O81" s="21" t="inlineStr">
        <is>
          <t>import</t>
        </is>
      </c>
    </row>
    <row r="82" ht="15" customHeight="1" s="22">
      <c r="A82" s="21" t="inlineStr">
        <is>
          <t>30</t>
        </is>
      </c>
      <c r="B82" s="21" t="inlineStr">
        <is>
          <t>77914</t>
        </is>
      </c>
      <c r="C82" s="21" t="inlineStr"/>
      <c r="D82" s="21" t="inlineStr">
        <is>
          <t>HAMADI</t>
        </is>
      </c>
      <c r="E82" s="21" t="inlineStr">
        <is>
          <t>ALI CHARMILA</t>
        </is>
      </c>
      <c r="F82" s="21" t="inlineStr">
        <is>
          <t>27/10/2005</t>
        </is>
      </c>
      <c r="G82" s="21" t="inlineStr">
        <is>
          <t>MBOUDE DIMANI</t>
        </is>
      </c>
      <c r="H82" s="21" t="inlineStr"/>
      <c r="I82" s="21" t="inlineStr">
        <is>
          <t>L1</t>
        </is>
      </c>
      <c r="J82" s="21" t="inlineStr">
        <is>
          <t>Soins infirmiers</t>
        </is>
      </c>
      <c r="K82" s="21" t="inlineStr"/>
      <c r="L82" s="21" t="inlineStr">
        <is>
          <t>2025-2026</t>
        </is>
      </c>
      <c r="M82" s="21" t="inlineStr">
        <is>
          <t>Inscrit</t>
        </is>
      </c>
      <c r="N82" s="21" t="inlineStr"/>
      <c r="O82" s="21" t="inlineStr">
        <is>
          <t>import</t>
        </is>
      </c>
    </row>
    <row r="83" ht="15" customHeight="1" s="22">
      <c r="A83" s="21" t="inlineStr">
        <is>
          <t>31</t>
        </is>
      </c>
      <c r="B83" s="21" t="inlineStr">
        <is>
          <t>70183</t>
        </is>
      </c>
      <c r="C83" s="21" t="inlineStr"/>
      <c r="D83" s="21" t="inlineStr">
        <is>
          <t>HAMIDA</t>
        </is>
      </c>
      <c r="E83" s="21" t="inlineStr">
        <is>
          <t>YOUSSOUF ABDOU</t>
        </is>
      </c>
      <c r="F83" s="21" t="inlineStr">
        <is>
          <t>30/04/2001</t>
        </is>
      </c>
      <c r="G83" s="21" t="inlineStr">
        <is>
          <t>MTE DE FOMBONI - MOHELI</t>
        </is>
      </c>
      <c r="H83" s="21" t="inlineStr"/>
      <c r="I83" s="21" t="inlineStr">
        <is>
          <t>L1</t>
        </is>
      </c>
      <c r="J83" s="21" t="inlineStr">
        <is>
          <t>Soins infirmiers</t>
        </is>
      </c>
      <c r="K83" s="21" t="inlineStr"/>
      <c r="L83" s="21" t="inlineStr">
        <is>
          <t>2025-2026</t>
        </is>
      </c>
      <c r="M83" s="21" t="inlineStr">
        <is>
          <t>Inscrit</t>
        </is>
      </c>
      <c r="N83" s="21" t="inlineStr"/>
      <c r="O83" s="21" t="inlineStr">
        <is>
          <t>import</t>
        </is>
      </c>
    </row>
    <row r="84" ht="15" customHeight="1" s="22">
      <c r="A84" s="21" t="inlineStr">
        <is>
          <t>32</t>
        </is>
      </c>
      <c r="B84" s="21" t="inlineStr">
        <is>
          <t>79149</t>
        </is>
      </c>
      <c r="C84" s="21" t="inlineStr"/>
      <c r="D84" s="21" t="inlineStr">
        <is>
          <t>HANIFA</t>
        </is>
      </c>
      <c r="E84" s="21" t="inlineStr">
        <is>
          <t>ANSOIRE PAPA</t>
        </is>
      </c>
      <c r="F84" s="21" t="inlineStr">
        <is>
          <t>14/01/2008</t>
        </is>
      </c>
      <c r="G84" s="21" t="inlineStr">
        <is>
          <t>MATERNITE DE MORONI</t>
        </is>
      </c>
      <c r="H84" s="21" t="inlineStr"/>
      <c r="I84" s="21" t="inlineStr">
        <is>
          <t>L1</t>
        </is>
      </c>
      <c r="J84" s="21" t="inlineStr">
        <is>
          <t>Soins infirmiers</t>
        </is>
      </c>
      <c r="K84" s="21" t="inlineStr"/>
      <c r="L84" s="21" t="inlineStr">
        <is>
          <t>2025-2026</t>
        </is>
      </c>
      <c r="M84" s="21" t="inlineStr">
        <is>
          <t>Inscrit</t>
        </is>
      </c>
      <c r="N84" s="21" t="inlineStr"/>
      <c r="O84" s="21" t="inlineStr">
        <is>
          <t>import</t>
        </is>
      </c>
    </row>
    <row r="85" ht="15" customHeight="1" s="22">
      <c r="A85" s="21" t="inlineStr">
        <is>
          <t>33</t>
        </is>
      </c>
      <c r="B85" s="21" t="inlineStr">
        <is>
          <t>78463</t>
        </is>
      </c>
      <c r="C85" s="21" t="inlineStr"/>
      <c r="D85" s="21" t="inlineStr">
        <is>
          <t>HASNAT</t>
        </is>
      </c>
      <c r="E85" s="21" t="inlineStr">
        <is>
          <t>AHAMADA IBRAHIM</t>
        </is>
      </c>
      <c r="F85" s="21" t="inlineStr">
        <is>
          <t>29/09/2004</t>
        </is>
      </c>
      <c r="G85" s="21" t="inlineStr">
        <is>
          <t>MATERNITE DE MORONI</t>
        </is>
      </c>
      <c r="H85" s="21" t="inlineStr"/>
      <c r="I85" s="21" t="inlineStr">
        <is>
          <t>L1</t>
        </is>
      </c>
      <c r="J85" s="21" t="inlineStr">
        <is>
          <t>Soins infirmiers</t>
        </is>
      </c>
      <c r="K85" s="21" t="inlineStr"/>
      <c r="L85" s="21" t="inlineStr">
        <is>
          <t>2025-2026</t>
        </is>
      </c>
      <c r="M85" s="21" t="inlineStr">
        <is>
          <t>Inscrit</t>
        </is>
      </c>
      <c r="N85" s="21" t="inlineStr"/>
      <c r="O85" s="21" t="inlineStr">
        <is>
          <t>import</t>
        </is>
      </c>
    </row>
    <row r="86" ht="15" customHeight="1" s="22">
      <c r="A86" s="21" t="inlineStr">
        <is>
          <t>34</t>
        </is>
      </c>
      <c r="B86" s="21" t="inlineStr">
        <is>
          <t>78808</t>
        </is>
      </c>
      <c r="C86" s="21" t="inlineStr"/>
      <c r="D86" s="21" t="inlineStr">
        <is>
          <t>HASSANI</t>
        </is>
      </c>
      <c r="E86" s="21" t="inlineStr">
        <is>
          <t>MBAE MOINA LOUBNA</t>
        </is>
      </c>
      <c r="F86" s="21" t="inlineStr">
        <is>
          <t>16/11/2005</t>
        </is>
      </c>
      <c r="G86" s="21" t="inlineStr">
        <is>
          <t>MTE DE MORONI</t>
        </is>
      </c>
      <c r="H86" s="21" t="inlineStr"/>
      <c r="I86" s="21" t="inlineStr">
        <is>
          <t>L1</t>
        </is>
      </c>
      <c r="J86" s="21" t="inlineStr">
        <is>
          <t>Soins infirmiers</t>
        </is>
      </c>
      <c r="K86" s="21" t="inlineStr"/>
      <c r="L86" s="21" t="inlineStr">
        <is>
          <t>2025-2026</t>
        </is>
      </c>
      <c r="M86" s="21" t="inlineStr">
        <is>
          <t>Inscrit</t>
        </is>
      </c>
      <c r="N86" s="21" t="inlineStr"/>
      <c r="O86" s="21" t="inlineStr">
        <is>
          <t>import</t>
        </is>
      </c>
    </row>
    <row r="87" ht="15" customHeight="1" s="22">
      <c r="A87" s="21" t="inlineStr">
        <is>
          <t>35</t>
        </is>
      </c>
      <c r="B87" s="21" t="inlineStr">
        <is>
          <t>79674</t>
        </is>
      </c>
      <c r="C87" s="21" t="inlineStr"/>
      <c r="D87" s="21" t="inlineStr">
        <is>
          <t>HASSANI</t>
        </is>
      </c>
      <c r="E87" s="21" t="inlineStr">
        <is>
          <t>NACHIRATI</t>
        </is>
      </c>
      <c r="F87" s="21" t="inlineStr">
        <is>
          <t>04/05/2006</t>
        </is>
      </c>
      <c r="G87" s="21" t="inlineStr">
        <is>
          <t>MALE BADJINI EST</t>
        </is>
      </c>
      <c r="H87" s="21" t="inlineStr"/>
      <c r="I87" s="21" t="inlineStr">
        <is>
          <t>L1</t>
        </is>
      </c>
      <c r="J87" s="21" t="inlineStr">
        <is>
          <t>Soins infirmiers</t>
        </is>
      </c>
      <c r="K87" s="21" t="inlineStr"/>
      <c r="L87" s="21" t="inlineStr">
        <is>
          <t>2025-2026</t>
        </is>
      </c>
      <c r="M87" s="21" t="inlineStr">
        <is>
          <t>Inscrit</t>
        </is>
      </c>
      <c r="N87" s="21" t="inlineStr"/>
      <c r="O87" s="21" t="inlineStr">
        <is>
          <t>import</t>
        </is>
      </c>
    </row>
    <row r="88" ht="15" customHeight="1" s="22">
      <c r="A88" s="21" t="inlineStr">
        <is>
          <t>36</t>
        </is>
      </c>
      <c r="B88" s="21" t="inlineStr">
        <is>
          <t>78501</t>
        </is>
      </c>
      <c r="C88" s="21" t="inlineStr"/>
      <c r="D88" s="21" t="inlineStr">
        <is>
          <t>HATUYA</t>
        </is>
      </c>
      <c r="E88" s="21" t="inlineStr">
        <is>
          <t>MOHAMED</t>
        </is>
      </c>
      <c r="F88" s="21" t="inlineStr">
        <is>
          <t>04/11/2003</t>
        </is>
      </c>
      <c r="G88" s="21" t="inlineStr">
        <is>
          <t>MTE DE MORONI</t>
        </is>
      </c>
      <c r="H88" s="21" t="inlineStr"/>
      <c r="I88" s="21" t="inlineStr">
        <is>
          <t>L1</t>
        </is>
      </c>
      <c r="J88" s="21" t="inlineStr">
        <is>
          <t>Soins infirmiers</t>
        </is>
      </c>
      <c r="K88" s="21" t="inlineStr"/>
      <c r="L88" s="21" t="inlineStr">
        <is>
          <t>2025-2026</t>
        </is>
      </c>
      <c r="M88" s="21" t="inlineStr">
        <is>
          <t>Inscrit</t>
        </is>
      </c>
      <c r="N88" s="21" t="inlineStr"/>
      <c r="O88" s="21" t="inlineStr">
        <is>
          <t>import</t>
        </is>
      </c>
    </row>
    <row r="89" ht="15" customHeight="1" s="22">
      <c r="A89" s="21" t="inlineStr">
        <is>
          <t>37</t>
        </is>
      </c>
      <c r="B89" s="21" t="inlineStr">
        <is>
          <t>78374</t>
        </is>
      </c>
      <c r="C89" s="21" t="inlineStr"/>
      <c r="D89" s="21" t="inlineStr">
        <is>
          <t>HAYATI</t>
        </is>
      </c>
      <c r="E89" s="21" t="inlineStr">
        <is>
          <t>MMADI MMADI</t>
        </is>
      </c>
      <c r="F89" s="21" t="inlineStr">
        <is>
          <t>25/08/2006</t>
        </is>
      </c>
      <c r="G89" s="21" t="inlineStr">
        <is>
          <t>DZAHANI II</t>
        </is>
      </c>
      <c r="H89" s="21" t="inlineStr"/>
      <c r="I89" s="21" t="inlineStr">
        <is>
          <t>L1</t>
        </is>
      </c>
      <c r="J89" s="21" t="inlineStr">
        <is>
          <t>Soins infirmiers</t>
        </is>
      </c>
      <c r="K89" s="21" t="inlineStr"/>
      <c r="L89" s="21" t="inlineStr">
        <is>
          <t>2025-2026</t>
        </is>
      </c>
      <c r="M89" s="21" t="inlineStr">
        <is>
          <t>Inscrit</t>
        </is>
      </c>
      <c r="N89" s="21" t="inlineStr"/>
      <c r="O89" s="21" t="inlineStr">
        <is>
          <t>import</t>
        </is>
      </c>
    </row>
    <row r="90" ht="15" customHeight="1" s="22">
      <c r="A90" s="21" t="inlineStr">
        <is>
          <t>38</t>
        </is>
      </c>
      <c r="B90" s="21" t="inlineStr">
        <is>
          <t>74291</t>
        </is>
      </c>
      <c r="C90" s="21" t="inlineStr"/>
      <c r="D90" s="21" t="inlineStr">
        <is>
          <t>HOUSNIA</t>
        </is>
      </c>
      <c r="E90" s="21" t="inlineStr">
        <is>
          <t>ABDOU ELANFOUR</t>
        </is>
      </c>
      <c r="F90" s="21" t="inlineStr">
        <is>
          <t>10/12/2005</t>
        </is>
      </c>
      <c r="G90" s="21" t="inlineStr">
        <is>
          <t>KANDZILE BADJINI OUEST</t>
        </is>
      </c>
      <c r="H90" s="21" t="inlineStr"/>
      <c r="I90" s="21" t="inlineStr">
        <is>
          <t>L1</t>
        </is>
      </c>
      <c r="J90" s="21" t="inlineStr">
        <is>
          <t>Soins infirmiers</t>
        </is>
      </c>
      <c r="K90" s="21" t="inlineStr"/>
      <c r="L90" s="21" t="inlineStr">
        <is>
          <t>2025-2026</t>
        </is>
      </c>
      <c r="M90" s="21" t="inlineStr">
        <is>
          <t>Inscrit</t>
        </is>
      </c>
      <c r="N90" s="21" t="inlineStr"/>
      <c r="O90" s="21" t="inlineStr">
        <is>
          <t>import</t>
        </is>
      </c>
    </row>
    <row r="91" ht="15" customHeight="1" s="22">
      <c r="A91" s="21" t="inlineStr">
        <is>
          <t>39</t>
        </is>
      </c>
      <c r="B91" s="21" t="inlineStr">
        <is>
          <t>79785</t>
        </is>
      </c>
      <c r="C91" s="21" t="inlineStr"/>
      <c r="D91" s="21" t="inlineStr">
        <is>
          <t>IBRAHIM</t>
        </is>
      </c>
      <c r="E91" s="21" t="inlineStr">
        <is>
          <t>DAOUD MELINA</t>
        </is>
      </c>
      <c r="F91" s="21" t="inlineStr">
        <is>
          <t>05/09/2006</t>
        </is>
      </c>
      <c r="G91" s="21" t="inlineStr">
        <is>
          <t>MLIMANI B/O</t>
        </is>
      </c>
      <c r="H91" s="21" t="inlineStr"/>
      <c r="I91" s="21" t="inlineStr">
        <is>
          <t>L1</t>
        </is>
      </c>
      <c r="J91" s="21" t="inlineStr">
        <is>
          <t>Soins infirmiers</t>
        </is>
      </c>
      <c r="K91" s="21" t="inlineStr"/>
      <c r="L91" s="21" t="inlineStr">
        <is>
          <t>2025-2026</t>
        </is>
      </c>
      <c r="M91" s="21" t="inlineStr">
        <is>
          <t>Inscrit</t>
        </is>
      </c>
      <c r="N91" s="21" t="inlineStr"/>
      <c r="O91" s="21" t="inlineStr">
        <is>
          <t>import</t>
        </is>
      </c>
    </row>
    <row r="92" ht="15" customHeight="1" s="22">
      <c r="A92" s="21" t="inlineStr">
        <is>
          <t>40</t>
        </is>
      </c>
      <c r="B92" s="21" t="inlineStr">
        <is>
          <t>79365</t>
        </is>
      </c>
      <c r="C92" s="21" t="inlineStr"/>
      <c r="D92" s="21" t="inlineStr">
        <is>
          <t>INAM</t>
        </is>
      </c>
      <c r="E92" s="21" t="inlineStr">
        <is>
          <t>DANIEL SALIM</t>
        </is>
      </c>
      <c r="F92" s="21" t="inlineStr">
        <is>
          <t>02/02/2005</t>
        </is>
      </c>
      <c r="G92" s="21" t="inlineStr">
        <is>
          <t>MTE DE POMONI - ANJOUAN</t>
        </is>
      </c>
      <c r="H92" s="21" t="inlineStr"/>
      <c r="I92" s="21" t="inlineStr">
        <is>
          <t>L1</t>
        </is>
      </c>
      <c r="J92" s="21" t="inlineStr">
        <is>
          <t>Soins infirmiers</t>
        </is>
      </c>
      <c r="K92" s="21" t="inlineStr"/>
      <c r="L92" s="21" t="inlineStr">
        <is>
          <t>2025-2026</t>
        </is>
      </c>
      <c r="M92" s="21" t="inlineStr">
        <is>
          <t>Inscrit</t>
        </is>
      </c>
      <c r="N92" s="21" t="inlineStr"/>
      <c r="O92" s="21" t="inlineStr">
        <is>
          <t>import</t>
        </is>
      </c>
    </row>
    <row r="93" ht="15" customHeight="1" s="22">
      <c r="A93" s="21" t="inlineStr">
        <is>
          <t>41</t>
        </is>
      </c>
      <c r="B93" s="21" t="inlineStr">
        <is>
          <t>78989</t>
        </is>
      </c>
      <c r="C93" s="21" t="inlineStr"/>
      <c r="D93" s="21" t="inlineStr">
        <is>
          <t>IRHAF</t>
        </is>
      </c>
      <c r="E93" s="21" t="inlineStr">
        <is>
          <t>INOUSSA</t>
        </is>
      </c>
      <c r="F93" s="21" t="inlineStr">
        <is>
          <t>13/05/2008</t>
        </is>
      </c>
      <c r="G93" s="21" t="inlineStr">
        <is>
          <t>MAGNASSINI</t>
        </is>
      </c>
      <c r="H93" s="21" t="inlineStr"/>
      <c r="I93" s="21" t="inlineStr">
        <is>
          <t>L1</t>
        </is>
      </c>
      <c r="J93" s="21" t="inlineStr">
        <is>
          <t>Soins infirmiers</t>
        </is>
      </c>
      <c r="K93" s="21" t="inlineStr"/>
      <c r="L93" s="21" t="inlineStr">
        <is>
          <t>2025-2026</t>
        </is>
      </c>
      <c r="M93" s="21" t="inlineStr">
        <is>
          <t>Inscrit</t>
        </is>
      </c>
      <c r="N93" s="21" t="inlineStr"/>
      <c r="O93" s="21" t="inlineStr">
        <is>
          <t>import</t>
        </is>
      </c>
    </row>
    <row r="94" ht="15" customHeight="1" s="22">
      <c r="A94" s="21" t="inlineStr">
        <is>
          <t>42</t>
        </is>
      </c>
      <c r="B94" s="21" t="inlineStr">
        <is>
          <t>74764</t>
        </is>
      </c>
      <c r="C94" s="21" t="inlineStr"/>
      <c r="D94" s="21" t="inlineStr">
        <is>
          <t>KAMLATI</t>
        </is>
      </c>
      <c r="E94" s="21" t="inlineStr">
        <is>
          <t>MBAE</t>
        </is>
      </c>
      <c r="F94" s="21" t="inlineStr">
        <is>
          <t>23/10/2006</t>
        </is>
      </c>
      <c r="G94" s="21" t="inlineStr">
        <is>
          <t>MTE DE MORONI</t>
        </is>
      </c>
      <c r="H94" s="21" t="inlineStr"/>
      <c r="I94" s="21" t="inlineStr">
        <is>
          <t>L1</t>
        </is>
      </c>
      <c r="J94" s="21" t="inlineStr">
        <is>
          <t>Soins infirmiers</t>
        </is>
      </c>
      <c r="K94" s="21" t="inlineStr"/>
      <c r="L94" s="21" t="inlineStr">
        <is>
          <t>2025-2026</t>
        </is>
      </c>
      <c r="M94" s="21" t="inlineStr">
        <is>
          <t>Inscrit</t>
        </is>
      </c>
      <c r="N94" s="21" t="inlineStr"/>
      <c r="O94" s="21" t="inlineStr">
        <is>
          <t>import</t>
        </is>
      </c>
    </row>
    <row r="95" ht="15" customHeight="1" s="22">
      <c r="A95" s="21" t="inlineStr">
        <is>
          <t>43</t>
        </is>
      </c>
      <c r="B95" s="21" t="inlineStr">
        <is>
          <t>74248</t>
        </is>
      </c>
      <c r="C95" s="21" t="inlineStr"/>
      <c r="D95" s="21" t="inlineStr">
        <is>
          <t>LAYENTI</t>
        </is>
      </c>
      <c r="E95" s="21" t="inlineStr">
        <is>
          <t>DHOIMIR</t>
        </is>
      </c>
      <c r="F95" s="21" t="inlineStr">
        <is>
          <t>24/01/2000</t>
        </is>
      </c>
      <c r="G95" s="21" t="inlineStr">
        <is>
          <t>BAMBAO MTSANGA ANJOUAN</t>
        </is>
      </c>
      <c r="H95" s="21" t="inlineStr"/>
      <c r="I95" s="21" t="inlineStr">
        <is>
          <t>L1</t>
        </is>
      </c>
      <c r="J95" s="21" t="inlineStr">
        <is>
          <t>Soins infirmiers</t>
        </is>
      </c>
      <c r="K95" s="21" t="inlineStr"/>
      <c r="L95" s="21" t="inlineStr">
        <is>
          <t>2025-2026</t>
        </is>
      </c>
      <c r="M95" s="21" t="inlineStr">
        <is>
          <t>Inscrit</t>
        </is>
      </c>
      <c r="N95" s="21" t="inlineStr"/>
      <c r="O95" s="21" t="inlineStr">
        <is>
          <t>import</t>
        </is>
      </c>
    </row>
    <row r="96" ht="15" customHeight="1" s="22">
      <c r="A96" s="21" t="inlineStr">
        <is>
          <t>44</t>
        </is>
      </c>
      <c r="B96" s="21" t="inlineStr">
        <is>
          <t>77426</t>
        </is>
      </c>
      <c r="C96" s="21" t="inlineStr"/>
      <c r="D96" s="21" t="inlineStr">
        <is>
          <t>LILINA</t>
        </is>
      </c>
      <c r="E96" s="21" t="inlineStr">
        <is>
          <t>ENSSUR ANLI</t>
        </is>
      </c>
      <c r="F96" s="21" t="inlineStr">
        <is>
          <t>28/06/2005</t>
        </is>
      </c>
      <c r="G96" s="21" t="inlineStr">
        <is>
          <t>NGANDZALE ANJOUAN</t>
        </is>
      </c>
      <c r="H96" s="21" t="inlineStr"/>
      <c r="I96" s="21" t="inlineStr">
        <is>
          <t>L1</t>
        </is>
      </c>
      <c r="J96" s="21" t="inlineStr">
        <is>
          <t>Soins infirmiers</t>
        </is>
      </c>
      <c r="K96" s="21" t="inlineStr"/>
      <c r="L96" s="21" t="inlineStr">
        <is>
          <t>2025-2026</t>
        </is>
      </c>
      <c r="M96" s="21" t="inlineStr">
        <is>
          <t>Inscrit</t>
        </is>
      </c>
      <c r="N96" s="21" t="inlineStr"/>
      <c r="O96" s="21" t="inlineStr">
        <is>
          <t>import</t>
        </is>
      </c>
    </row>
    <row r="97" ht="15" customHeight="1" s="22">
      <c r="A97" s="21" t="inlineStr">
        <is>
          <t>45</t>
        </is>
      </c>
      <c r="B97" s="21" t="inlineStr">
        <is>
          <t>74715</t>
        </is>
      </c>
      <c r="C97" s="21" t="inlineStr"/>
      <c r="D97" s="21" t="inlineStr">
        <is>
          <t>LOUIZAT</t>
        </is>
      </c>
      <c r="E97" s="21" t="inlineStr">
        <is>
          <t>BOUAZIZ AHAMED</t>
        </is>
      </c>
      <c r="F97" s="21" t="inlineStr">
        <is>
          <t>13/07/2005</t>
        </is>
      </c>
      <c r="G97" s="21" t="inlineStr">
        <is>
          <t>MRAMANI ANJOUAN</t>
        </is>
      </c>
      <c r="H97" s="21" t="inlineStr"/>
      <c r="I97" s="21" t="inlineStr">
        <is>
          <t>L1</t>
        </is>
      </c>
      <c r="J97" s="21" t="inlineStr">
        <is>
          <t>Soins infirmiers</t>
        </is>
      </c>
      <c r="K97" s="21" t="inlineStr"/>
      <c r="L97" s="21" t="inlineStr">
        <is>
          <t>2025-2026</t>
        </is>
      </c>
      <c r="M97" s="21" t="inlineStr">
        <is>
          <t>Inscrit</t>
        </is>
      </c>
      <c r="N97" s="21" t="inlineStr"/>
      <c r="O97" s="21" t="inlineStr">
        <is>
          <t>import</t>
        </is>
      </c>
    </row>
    <row r="98" ht="15" customHeight="1" s="22">
      <c r="A98" s="21" t="inlineStr">
        <is>
          <t>46</t>
        </is>
      </c>
      <c r="B98" s="21" t="inlineStr">
        <is>
          <t>76817</t>
        </is>
      </c>
      <c r="C98" s="21" t="inlineStr"/>
      <c r="D98" s="21" t="inlineStr">
        <is>
          <t>MAENDI</t>
        </is>
      </c>
      <c r="E98" s="21" t="inlineStr">
        <is>
          <t>ALI MADI</t>
        </is>
      </c>
      <c r="F98" s="21" t="inlineStr">
        <is>
          <t>08/01/2006</t>
        </is>
      </c>
      <c r="G98" s="21" t="inlineStr">
        <is>
          <t>MTE DE FOMBONI MOHELI</t>
        </is>
      </c>
      <c r="H98" s="21" t="inlineStr"/>
      <c r="I98" s="21" t="inlineStr">
        <is>
          <t>L1</t>
        </is>
      </c>
      <c r="J98" s="21" t="inlineStr">
        <is>
          <t>Soins infirmiers</t>
        </is>
      </c>
      <c r="K98" s="21" t="inlineStr"/>
      <c r="L98" s="21" t="inlineStr">
        <is>
          <t>2025-2026</t>
        </is>
      </c>
      <c r="M98" s="21" t="inlineStr">
        <is>
          <t>Inscrit</t>
        </is>
      </c>
      <c r="N98" s="21" t="inlineStr"/>
      <c r="O98" s="21" t="inlineStr">
        <is>
          <t>import</t>
        </is>
      </c>
    </row>
    <row r="99" ht="15" customHeight="1" s="22">
      <c r="A99" s="21" t="inlineStr">
        <is>
          <t>47</t>
        </is>
      </c>
      <c r="B99" s="21" t="inlineStr">
        <is>
          <t>63345</t>
        </is>
      </c>
      <c r="C99" s="21" t="inlineStr"/>
      <c r="D99" s="21" t="inlineStr">
        <is>
          <t>MANSOIB</t>
        </is>
      </c>
      <c r="E99" s="21" t="inlineStr">
        <is>
          <t>SOULE</t>
        </is>
      </c>
      <c r="F99" s="21" t="inlineStr">
        <is>
          <t>31/08/2000</t>
        </is>
      </c>
      <c r="G99" s="21" t="inlineStr">
        <is>
          <t>MTE DE KOIMBANI</t>
        </is>
      </c>
      <c r="H99" s="21" t="inlineStr"/>
      <c r="I99" s="21" t="inlineStr">
        <is>
          <t>L1</t>
        </is>
      </c>
      <c r="J99" s="21" t="inlineStr">
        <is>
          <t>Soins infirmiers</t>
        </is>
      </c>
      <c r="K99" s="21" t="inlineStr"/>
      <c r="L99" s="21" t="inlineStr">
        <is>
          <t>2025-2026</t>
        </is>
      </c>
      <c r="M99" s="21" t="inlineStr">
        <is>
          <t>Inscrit</t>
        </is>
      </c>
      <c r="N99" s="21" t="inlineStr"/>
      <c r="O99" s="21" t="inlineStr">
        <is>
          <t>import</t>
        </is>
      </c>
    </row>
    <row r="100" ht="15" customHeight="1" s="22">
      <c r="A100" s="21" t="inlineStr">
        <is>
          <t>48</t>
        </is>
      </c>
      <c r="B100" s="21" t="inlineStr">
        <is>
          <t>77967</t>
        </is>
      </c>
      <c r="C100" s="21" t="inlineStr"/>
      <c r="D100" s="21" t="inlineStr">
        <is>
          <t>MAOULIDA</t>
        </is>
      </c>
      <c r="E100" s="21" t="inlineStr">
        <is>
          <t>ABDOU ALLAOUI</t>
        </is>
      </c>
      <c r="F100" s="21" t="inlineStr">
        <is>
          <t>11/08/2007</t>
        </is>
      </c>
      <c r="G100" s="21" t="inlineStr">
        <is>
          <t>CENTRE DE SANTE DE TSEMBEHOU ANJOUAN</t>
        </is>
      </c>
      <c r="H100" s="21" t="inlineStr"/>
      <c r="I100" s="21" t="inlineStr">
        <is>
          <t>L1</t>
        </is>
      </c>
      <c r="J100" s="21" t="inlineStr">
        <is>
          <t>Soins infirmiers</t>
        </is>
      </c>
      <c r="K100" s="21" t="inlineStr"/>
      <c r="L100" s="21" t="inlineStr">
        <is>
          <t>2025-2026</t>
        </is>
      </c>
      <c r="M100" s="21" t="inlineStr">
        <is>
          <t>Inscrit</t>
        </is>
      </c>
      <c r="N100" s="21" t="inlineStr"/>
      <c r="O100" s="21" t="inlineStr">
        <is>
          <t>import</t>
        </is>
      </c>
    </row>
    <row r="101" ht="15" customHeight="1" s="22">
      <c r="A101" s="21" t="inlineStr">
        <is>
          <t>49</t>
        </is>
      </c>
      <c r="B101" s="21" t="inlineStr">
        <is>
          <t>78637</t>
        </is>
      </c>
      <c r="C101" s="21" t="inlineStr"/>
      <c r="D101" s="21" t="inlineStr">
        <is>
          <t>MARIAMA</t>
        </is>
      </c>
      <c r="E101" s="21" t="inlineStr">
        <is>
          <t>SAID OUMOURI</t>
        </is>
      </c>
      <c r="F101" s="21" t="inlineStr">
        <is>
          <t>03/01/2005</t>
        </is>
      </c>
      <c r="G101" s="21" t="inlineStr">
        <is>
          <t>DZAHANI II</t>
        </is>
      </c>
      <c r="H101" s="21" t="inlineStr"/>
      <c r="I101" s="21" t="inlineStr">
        <is>
          <t>L1</t>
        </is>
      </c>
      <c r="J101" s="21" t="inlineStr">
        <is>
          <t>Soins infirmiers</t>
        </is>
      </c>
      <c r="K101" s="21" t="inlineStr"/>
      <c r="L101" s="21" t="inlineStr">
        <is>
          <t>2025-2026</t>
        </is>
      </c>
      <c r="M101" s="21" t="inlineStr">
        <is>
          <t>Inscrit</t>
        </is>
      </c>
      <c r="N101" s="21" t="inlineStr"/>
      <c r="O101" s="21" t="inlineStr">
        <is>
          <t>import</t>
        </is>
      </c>
    </row>
    <row r="102" ht="15" customHeight="1" s="22">
      <c r="A102" s="21" t="inlineStr">
        <is>
          <t>50</t>
        </is>
      </c>
      <c r="B102" s="21" t="inlineStr">
        <is>
          <t>78414</t>
        </is>
      </c>
      <c r="C102" s="21" t="inlineStr"/>
      <c r="D102" s="21" t="inlineStr">
        <is>
          <t>MBAE</t>
        </is>
      </c>
      <c r="E102" s="21" t="inlineStr">
        <is>
          <t>NADJLATI</t>
        </is>
      </c>
      <c r="F102" s="21" t="inlineStr">
        <is>
          <t>20/06/2007</t>
        </is>
      </c>
      <c r="G102" s="21" t="inlineStr">
        <is>
          <t>MBENI - HAMAHAMET</t>
        </is>
      </c>
      <c r="H102" s="21" t="inlineStr"/>
      <c r="I102" s="21" t="inlineStr">
        <is>
          <t>L1</t>
        </is>
      </c>
      <c r="J102" s="21" t="inlineStr">
        <is>
          <t>Soins infirmiers</t>
        </is>
      </c>
      <c r="K102" s="21" t="inlineStr"/>
      <c r="L102" s="21" t="inlineStr">
        <is>
          <t>2025-2026</t>
        </is>
      </c>
      <c r="M102" s="21" t="inlineStr">
        <is>
          <t>Inscrit</t>
        </is>
      </c>
      <c r="N102" s="21" t="inlineStr"/>
      <c r="O102" s="21" t="inlineStr">
        <is>
          <t>import</t>
        </is>
      </c>
    </row>
    <row r="103" ht="15" customHeight="1" s="22">
      <c r="A103" s="21" t="inlineStr">
        <is>
          <t>51</t>
        </is>
      </c>
      <c r="B103" s="21" t="inlineStr">
        <is>
          <t>78333</t>
        </is>
      </c>
      <c r="C103" s="21" t="inlineStr"/>
      <c r="D103" s="21" t="inlineStr">
        <is>
          <t>MMADI</t>
        </is>
      </c>
      <c r="E103" s="21" t="inlineStr">
        <is>
          <t>NAYWAD</t>
        </is>
      </c>
      <c r="F103" s="21" t="inlineStr">
        <is>
          <t>08/11/2007</t>
        </is>
      </c>
      <c r="G103" s="21" t="inlineStr">
        <is>
          <t>MAOUENI DIMANI</t>
        </is>
      </c>
      <c r="H103" s="21" t="inlineStr"/>
      <c r="I103" s="21" t="inlineStr">
        <is>
          <t>L1</t>
        </is>
      </c>
      <c r="J103" s="21" t="inlineStr">
        <is>
          <t>Soins infirmiers</t>
        </is>
      </c>
      <c r="K103" s="21" t="inlineStr"/>
      <c r="L103" s="21" t="inlineStr">
        <is>
          <t>2025-2026</t>
        </is>
      </c>
      <c r="M103" s="21" t="inlineStr">
        <is>
          <t>Inscrit</t>
        </is>
      </c>
      <c r="N103" s="21" t="inlineStr"/>
      <c r="O103" s="21" t="inlineStr">
        <is>
          <t>import</t>
        </is>
      </c>
    </row>
    <row r="104" ht="15" customHeight="1" s="22">
      <c r="A104" s="21" t="inlineStr">
        <is>
          <t>52</t>
        </is>
      </c>
      <c r="B104" s="21" t="inlineStr">
        <is>
          <t>78442</t>
        </is>
      </c>
      <c r="C104" s="21" t="inlineStr"/>
      <c r="D104" s="21" t="inlineStr">
        <is>
          <t>MMADI</t>
        </is>
      </c>
      <c r="E104" s="21" t="inlineStr">
        <is>
          <t>SWAYMATA</t>
        </is>
      </c>
      <c r="F104" s="21" t="inlineStr">
        <is>
          <t>25/09/2001</t>
        </is>
      </c>
      <c r="G104" s="21" t="inlineStr">
        <is>
          <t>MBANGANI - HAMANVOU</t>
        </is>
      </c>
      <c r="H104" s="21" t="inlineStr"/>
      <c r="I104" s="21" t="inlineStr">
        <is>
          <t>L1</t>
        </is>
      </c>
      <c r="J104" s="21" t="inlineStr">
        <is>
          <t>Soins infirmiers</t>
        </is>
      </c>
      <c r="K104" s="21" t="inlineStr"/>
      <c r="L104" s="21" t="inlineStr">
        <is>
          <t>2025-2026</t>
        </is>
      </c>
      <c r="M104" s="21" t="inlineStr">
        <is>
          <t>Inscrit</t>
        </is>
      </c>
      <c r="N104" s="21" t="inlineStr"/>
      <c r="O104" s="21" t="inlineStr">
        <is>
          <t>import</t>
        </is>
      </c>
    </row>
    <row r="105" ht="15" customHeight="1" s="22">
      <c r="A105" s="21" t="inlineStr">
        <is>
          <t>53</t>
        </is>
      </c>
      <c r="B105" s="21" t="inlineStr">
        <is>
          <t>77697</t>
        </is>
      </c>
      <c r="C105" s="21" t="inlineStr"/>
      <c r="D105" s="21" t="inlineStr">
        <is>
          <t>MOHAMED</t>
        </is>
      </c>
      <c r="E105" s="21" t="inlineStr">
        <is>
          <t>OUIZIRATI</t>
        </is>
      </c>
      <c r="F105" s="21" t="inlineStr">
        <is>
          <t>06/10/2006</t>
        </is>
      </c>
      <c r="G105" s="21" t="inlineStr">
        <is>
          <t>MTE DE KOIMBANI OICHILI</t>
        </is>
      </c>
      <c r="H105" s="21" t="inlineStr"/>
      <c r="I105" s="21" t="inlineStr">
        <is>
          <t>L1</t>
        </is>
      </c>
      <c r="J105" s="21" t="inlineStr">
        <is>
          <t>Soins infirmiers</t>
        </is>
      </c>
      <c r="K105" s="21" t="inlineStr"/>
      <c r="L105" s="21" t="inlineStr">
        <is>
          <t>2025-2026</t>
        </is>
      </c>
      <c r="M105" s="21" t="inlineStr">
        <is>
          <t>Inscrit</t>
        </is>
      </c>
      <c r="N105" s="21" t="inlineStr"/>
      <c r="O105" s="21" t="inlineStr">
        <is>
          <t>import</t>
        </is>
      </c>
    </row>
    <row r="106" ht="15" customHeight="1" s="22">
      <c r="A106" s="21" t="inlineStr">
        <is>
          <t>54</t>
        </is>
      </c>
      <c r="B106" s="21" t="inlineStr">
        <is>
          <t>79839</t>
        </is>
      </c>
      <c r="C106" s="21" t="inlineStr"/>
      <c r="D106" s="21" t="inlineStr">
        <is>
          <t>MOHAMED</t>
        </is>
      </c>
      <c r="E106" s="21" t="inlineStr">
        <is>
          <t>SOIFIATA</t>
        </is>
      </c>
      <c r="F106" s="21" t="inlineStr">
        <is>
          <t>24/03/2006</t>
        </is>
      </c>
      <c r="G106" s="21" t="inlineStr">
        <is>
          <t>MTE DE MORONI</t>
        </is>
      </c>
      <c r="H106" s="21" t="inlineStr"/>
      <c r="I106" s="21" t="inlineStr">
        <is>
          <t>L1</t>
        </is>
      </c>
      <c r="J106" s="21" t="inlineStr">
        <is>
          <t>Soins infirmiers</t>
        </is>
      </c>
      <c r="K106" s="21" t="inlineStr"/>
      <c r="L106" s="21" t="inlineStr">
        <is>
          <t>2025-2026</t>
        </is>
      </c>
      <c r="M106" s="21" t="inlineStr">
        <is>
          <t>Inscrit</t>
        </is>
      </c>
      <c r="N106" s="21" t="inlineStr"/>
      <c r="O106" s="21" t="inlineStr">
        <is>
          <t>import</t>
        </is>
      </c>
    </row>
    <row r="107" ht="15" customHeight="1" s="22">
      <c r="A107" s="21" t="inlineStr">
        <is>
          <t>55</t>
        </is>
      </c>
      <c r="B107" s="21" t="inlineStr">
        <is>
          <t>78882</t>
        </is>
      </c>
      <c r="C107" s="21" t="inlineStr"/>
      <c r="D107" s="21" t="inlineStr">
        <is>
          <t>MOHAMED ABDOU</t>
        </is>
      </c>
      <c r="E107" s="21" t="inlineStr">
        <is>
          <t>NABILA</t>
        </is>
      </c>
      <c r="F107" s="21" t="inlineStr">
        <is>
          <t>03/04/2004</t>
        </is>
      </c>
      <c r="G107" s="21" t="inlineStr">
        <is>
          <t>MTE DE MORONI</t>
        </is>
      </c>
      <c r="H107" s="21" t="inlineStr"/>
      <c r="I107" s="21" t="inlineStr">
        <is>
          <t>L1</t>
        </is>
      </c>
      <c r="J107" s="21" t="inlineStr">
        <is>
          <t>Soins infirmiers</t>
        </is>
      </c>
      <c r="K107" s="21" t="inlineStr"/>
      <c r="L107" s="21" t="inlineStr">
        <is>
          <t>2025-2026</t>
        </is>
      </c>
      <c r="M107" s="21" t="inlineStr">
        <is>
          <t>Inscrit</t>
        </is>
      </c>
      <c r="N107" s="21" t="inlineStr"/>
      <c r="O107" s="21" t="inlineStr">
        <is>
          <t>import</t>
        </is>
      </c>
    </row>
    <row r="108" ht="15" customHeight="1" s="22">
      <c r="A108" s="21" t="inlineStr">
        <is>
          <t>56</t>
        </is>
      </c>
      <c r="B108" s="21" t="inlineStr">
        <is>
          <t>78546</t>
        </is>
      </c>
      <c r="C108" s="21" t="inlineStr"/>
      <c r="D108" s="21" t="inlineStr">
        <is>
          <t>MOUNDHIR</t>
        </is>
      </c>
      <c r="E108" s="21" t="inlineStr">
        <is>
          <t>ASSOUMANI</t>
        </is>
      </c>
      <c r="F108" s="21" t="inlineStr">
        <is>
          <t>26/05/2004</t>
        </is>
      </c>
      <c r="G108" s="21" t="inlineStr">
        <is>
          <t>MTE DE MORONI</t>
        </is>
      </c>
      <c r="H108" s="21" t="inlineStr"/>
      <c r="I108" s="21" t="inlineStr">
        <is>
          <t>L1</t>
        </is>
      </c>
      <c r="J108" s="21" t="inlineStr">
        <is>
          <t>Soins infirmiers</t>
        </is>
      </c>
      <c r="K108" s="21" t="inlineStr"/>
      <c r="L108" s="21" t="inlineStr">
        <is>
          <t>2025-2026</t>
        </is>
      </c>
      <c r="M108" s="21" t="inlineStr">
        <is>
          <t>Inscrit</t>
        </is>
      </c>
      <c r="N108" s="21" t="inlineStr"/>
      <c r="O108" s="21" t="inlineStr">
        <is>
          <t>import</t>
        </is>
      </c>
    </row>
    <row r="109" ht="15" customHeight="1" s="22">
      <c r="A109" s="21" t="inlineStr">
        <is>
          <t>57</t>
        </is>
      </c>
      <c r="B109" s="21" t="inlineStr">
        <is>
          <t>73526</t>
        </is>
      </c>
      <c r="C109" s="21" t="inlineStr"/>
      <c r="D109" s="21" t="inlineStr">
        <is>
          <t>MOUNIATI</t>
        </is>
      </c>
      <c r="E109" s="21" t="inlineStr">
        <is>
          <t>ABDILLAH</t>
        </is>
      </c>
      <c r="F109" s="21" t="inlineStr">
        <is>
          <t>08/12/2005</t>
        </is>
      </c>
      <c r="G109" s="21" t="inlineStr">
        <is>
          <t>MOIDJA HAMAHAMET</t>
        </is>
      </c>
      <c r="H109" s="21" t="inlineStr"/>
      <c r="I109" s="21" t="inlineStr">
        <is>
          <t>L1</t>
        </is>
      </c>
      <c r="J109" s="21" t="inlineStr">
        <is>
          <t>Soins infirmiers</t>
        </is>
      </c>
      <c r="K109" s="21" t="inlineStr"/>
      <c r="L109" s="21" t="inlineStr">
        <is>
          <t>2025-2026</t>
        </is>
      </c>
      <c r="M109" s="21" t="inlineStr">
        <is>
          <t>Inscrit</t>
        </is>
      </c>
      <c r="N109" s="21" t="inlineStr"/>
      <c r="O109" s="21" t="inlineStr">
        <is>
          <t>import</t>
        </is>
      </c>
    </row>
    <row r="110" ht="15" customHeight="1" s="22">
      <c r="A110" s="21" t="inlineStr">
        <is>
          <t>58</t>
        </is>
      </c>
      <c r="B110" s="21" t="inlineStr">
        <is>
          <t>79777</t>
        </is>
      </c>
      <c r="C110" s="21" t="inlineStr"/>
      <c r="D110" s="21" t="inlineStr">
        <is>
          <t>MOURTADHOI</t>
        </is>
      </c>
      <c r="E110" s="21" t="inlineStr">
        <is>
          <t>ZIDINE MAKIA</t>
        </is>
      </c>
      <c r="F110" s="21" t="inlineStr">
        <is>
          <t>25/12/2006</t>
        </is>
      </c>
      <c r="G110" s="21" t="inlineStr">
        <is>
          <t>BAMBADJANI HAMAHAMET</t>
        </is>
      </c>
      <c r="H110" s="21" t="inlineStr"/>
      <c r="I110" s="21" t="inlineStr">
        <is>
          <t>L1</t>
        </is>
      </c>
      <c r="J110" s="21" t="inlineStr">
        <is>
          <t>Soins infirmiers</t>
        </is>
      </c>
      <c r="K110" s="21" t="inlineStr"/>
      <c r="L110" s="21" t="inlineStr">
        <is>
          <t>2025-2026</t>
        </is>
      </c>
      <c r="M110" s="21" t="inlineStr">
        <is>
          <t>Inscrit</t>
        </is>
      </c>
      <c r="N110" s="21" t="inlineStr"/>
      <c r="O110" s="21" t="inlineStr">
        <is>
          <t>import</t>
        </is>
      </c>
    </row>
    <row r="111" ht="15" customHeight="1" s="22">
      <c r="A111" s="21" t="inlineStr">
        <is>
          <t>59</t>
        </is>
      </c>
      <c r="B111" s="21" t="inlineStr">
        <is>
          <t>76943</t>
        </is>
      </c>
      <c r="C111" s="21" t="inlineStr"/>
      <c r="D111" s="21" t="inlineStr">
        <is>
          <t>MROIVILI</t>
        </is>
      </c>
      <c r="E111" s="21" t="inlineStr">
        <is>
          <t>NOURFATE MOHAMED CHEHA</t>
        </is>
      </c>
      <c r="F111" s="21" t="inlineStr">
        <is>
          <t>23/12/2009</t>
        </is>
      </c>
      <c r="G111" s="21" t="inlineStr">
        <is>
          <t>CHISTY SHIFA CLINIC PORT LOUIS MAURICE</t>
        </is>
      </c>
      <c r="H111" s="21" t="inlineStr"/>
      <c r="I111" s="21" t="inlineStr">
        <is>
          <t>L1</t>
        </is>
      </c>
      <c r="J111" s="21" t="inlineStr">
        <is>
          <t>Soins infirmiers</t>
        </is>
      </c>
      <c r="K111" s="21" t="inlineStr"/>
      <c r="L111" s="21" t="inlineStr">
        <is>
          <t>2025-2026</t>
        </is>
      </c>
      <c r="M111" s="21" t="inlineStr">
        <is>
          <t>Inscrit</t>
        </is>
      </c>
      <c r="N111" s="21" t="inlineStr"/>
      <c r="O111" s="21" t="inlineStr">
        <is>
          <t>import</t>
        </is>
      </c>
    </row>
    <row r="112" ht="15" customHeight="1" s="22">
      <c r="A112" s="21" t="inlineStr">
        <is>
          <t>60</t>
        </is>
      </c>
      <c r="B112" s="21" t="inlineStr">
        <is>
          <t>78336</t>
        </is>
      </c>
      <c r="C112" s="21" t="inlineStr"/>
      <c r="D112" s="21" t="inlineStr">
        <is>
          <t>NADAYA</t>
        </is>
      </c>
      <c r="E112" s="21" t="inlineStr">
        <is>
          <t>SAID HOUMADI</t>
        </is>
      </c>
      <c r="F112" s="21" t="inlineStr">
        <is>
          <t>19/09/2005</t>
        </is>
      </c>
      <c r="G112" s="21" t="inlineStr">
        <is>
          <t>LIMBY ANJOUAN</t>
        </is>
      </c>
      <c r="H112" s="21" t="inlineStr"/>
      <c r="I112" s="21" t="inlineStr">
        <is>
          <t>L1</t>
        </is>
      </c>
      <c r="J112" s="21" t="inlineStr">
        <is>
          <t>Soins infirmiers</t>
        </is>
      </c>
      <c r="K112" s="21" t="inlineStr"/>
      <c r="L112" s="21" t="inlineStr">
        <is>
          <t>2025-2026</t>
        </is>
      </c>
      <c r="M112" s="21" t="inlineStr">
        <is>
          <t>Inscrit</t>
        </is>
      </c>
      <c r="N112" s="21" t="inlineStr"/>
      <c r="O112" s="21" t="inlineStr">
        <is>
          <t>import</t>
        </is>
      </c>
    </row>
    <row r="113" ht="15" customHeight="1" s="22">
      <c r="A113" s="21" t="inlineStr">
        <is>
          <t>61</t>
        </is>
      </c>
      <c r="B113" s="21" t="inlineStr">
        <is>
          <t>79347</t>
        </is>
      </c>
      <c r="C113" s="21" t="inlineStr"/>
      <c r="D113" s="21" t="inlineStr">
        <is>
          <t>NADJRATI</t>
        </is>
      </c>
      <c r="E113" s="21" t="inlineStr">
        <is>
          <t>AHAMADA MMADI</t>
        </is>
      </c>
      <c r="F113" s="21" t="inlineStr">
        <is>
          <t>28/04/2006</t>
        </is>
      </c>
      <c r="G113" s="21" t="inlineStr">
        <is>
          <t>MATERNITE DE DOUNIANI</t>
        </is>
      </c>
      <c r="H113" s="21" t="inlineStr"/>
      <c r="I113" s="21" t="inlineStr">
        <is>
          <t>L1</t>
        </is>
      </c>
      <c r="J113" s="21" t="inlineStr">
        <is>
          <t>Soins infirmiers</t>
        </is>
      </c>
      <c r="K113" s="21" t="inlineStr"/>
      <c r="L113" s="21" t="inlineStr">
        <is>
          <t>2025-2026</t>
        </is>
      </c>
      <c r="M113" s="21" t="inlineStr">
        <is>
          <t>Inscrit</t>
        </is>
      </c>
      <c r="N113" s="21" t="inlineStr"/>
      <c r="O113" s="21" t="inlineStr">
        <is>
          <t>import</t>
        </is>
      </c>
    </row>
    <row r="114" ht="15" customHeight="1" s="22">
      <c r="A114" s="21" t="inlineStr">
        <is>
          <t>62</t>
        </is>
      </c>
      <c r="B114" s="21" t="inlineStr">
        <is>
          <t>78617</t>
        </is>
      </c>
      <c r="C114" s="21" t="inlineStr"/>
      <c r="D114" s="21" t="inlineStr">
        <is>
          <t>NAENCHI</t>
        </is>
      </c>
      <c r="E114" s="21" t="inlineStr">
        <is>
          <t>DJAMBAE SOULE</t>
        </is>
      </c>
      <c r="F114" s="21" t="inlineStr">
        <is>
          <t>20/08/2006</t>
        </is>
      </c>
      <c r="G114" s="21" t="inlineStr">
        <is>
          <t>MTE DE MORONI</t>
        </is>
      </c>
      <c r="H114" s="21" t="inlineStr"/>
      <c r="I114" s="21" t="inlineStr">
        <is>
          <t>L1</t>
        </is>
      </c>
      <c r="J114" s="21" t="inlineStr">
        <is>
          <t>Soins infirmiers</t>
        </is>
      </c>
      <c r="K114" s="21" t="inlineStr"/>
      <c r="L114" s="21" t="inlineStr">
        <is>
          <t>2025-2026</t>
        </is>
      </c>
      <c r="M114" s="21" t="inlineStr">
        <is>
          <t>Inscrit</t>
        </is>
      </c>
      <c r="N114" s="21" t="inlineStr"/>
      <c r="O114" s="21" t="inlineStr">
        <is>
          <t>import</t>
        </is>
      </c>
    </row>
    <row r="115" ht="15" customHeight="1" s="22">
      <c r="A115" s="21" t="inlineStr">
        <is>
          <t>63</t>
        </is>
      </c>
      <c r="B115" s="21" t="inlineStr">
        <is>
          <t>78407</t>
        </is>
      </c>
      <c r="C115" s="21" t="inlineStr"/>
      <c r="D115" s="21" t="inlineStr">
        <is>
          <t>NAHIMINA</t>
        </is>
      </c>
      <c r="E115" s="21" t="inlineStr">
        <is>
          <t>SOILIHI</t>
        </is>
      </c>
      <c r="F115" s="21" t="inlineStr">
        <is>
          <t>11/02/2008</t>
        </is>
      </c>
      <c r="G115" s="21" t="inlineStr">
        <is>
          <t>MTE DE HOMBO ANJOUAN</t>
        </is>
      </c>
      <c r="H115" s="21" t="inlineStr"/>
      <c r="I115" s="21" t="inlineStr">
        <is>
          <t>L1</t>
        </is>
      </c>
      <c r="J115" s="21" t="inlineStr">
        <is>
          <t>Soins infirmiers</t>
        </is>
      </c>
      <c r="K115" s="21" t="inlineStr"/>
      <c r="L115" s="21" t="inlineStr">
        <is>
          <t>2025-2026</t>
        </is>
      </c>
      <c r="M115" s="21" t="inlineStr">
        <is>
          <t>Inscrit</t>
        </is>
      </c>
      <c r="N115" s="21" t="inlineStr"/>
      <c r="O115" s="21" t="inlineStr">
        <is>
          <t>import</t>
        </is>
      </c>
    </row>
    <row r="116" ht="15" customHeight="1" s="22">
      <c r="A116" s="21" t="inlineStr">
        <is>
          <t>64</t>
        </is>
      </c>
      <c r="B116" s="21" t="inlineStr">
        <is>
          <t>79031</t>
        </is>
      </c>
      <c r="C116" s="21" t="inlineStr"/>
      <c r="D116" s="21" t="inlineStr">
        <is>
          <t>NAIMATA</t>
        </is>
      </c>
      <c r="E116" s="21" t="inlineStr">
        <is>
          <t>ALI CHANFI</t>
        </is>
      </c>
      <c r="F116" s="21" t="inlineStr">
        <is>
          <t>24/11/2006</t>
        </is>
      </c>
      <c r="G116" s="21" t="inlineStr">
        <is>
          <t>BAHANI ITSANDRA</t>
        </is>
      </c>
      <c r="H116" s="21" t="inlineStr"/>
      <c r="I116" s="21" t="inlineStr">
        <is>
          <t>L1</t>
        </is>
      </c>
      <c r="J116" s="21" t="inlineStr">
        <is>
          <t>Soins infirmiers</t>
        </is>
      </c>
      <c r="K116" s="21" t="inlineStr"/>
      <c r="L116" s="21" t="inlineStr">
        <is>
          <t>2025-2026</t>
        </is>
      </c>
      <c r="M116" s="21" t="inlineStr">
        <is>
          <t>Inscrit</t>
        </is>
      </c>
      <c r="N116" s="21" t="inlineStr"/>
      <c r="O116" s="21" t="inlineStr">
        <is>
          <t>import</t>
        </is>
      </c>
    </row>
    <row r="117" ht="15" customHeight="1" s="22">
      <c r="A117" s="21" t="inlineStr">
        <is>
          <t>65</t>
        </is>
      </c>
      <c r="B117" s="21" t="inlineStr">
        <is>
          <t>74397</t>
        </is>
      </c>
      <c r="C117" s="21" t="inlineStr"/>
      <c r="D117" s="21" t="inlineStr">
        <is>
          <t>NASMI</t>
        </is>
      </c>
      <c r="E117" s="21" t="inlineStr">
        <is>
          <t>YOUSSOUF</t>
        </is>
      </c>
      <c r="F117" s="21" t="inlineStr">
        <is>
          <t>21/02/2005</t>
        </is>
      </c>
      <c r="G117" s="21" t="inlineStr">
        <is>
          <t>NIOUMADZAHA BAMBAO</t>
        </is>
      </c>
      <c r="H117" s="21" t="inlineStr"/>
      <c r="I117" s="21" t="inlineStr">
        <is>
          <t>L1</t>
        </is>
      </c>
      <c r="J117" s="21" t="inlineStr">
        <is>
          <t>Soins infirmiers</t>
        </is>
      </c>
      <c r="K117" s="21" t="inlineStr"/>
      <c r="L117" s="21" t="inlineStr">
        <is>
          <t>2025-2026</t>
        </is>
      </c>
      <c r="M117" s="21" t="inlineStr">
        <is>
          <t>Inscrit</t>
        </is>
      </c>
      <c r="N117" s="21" t="inlineStr"/>
      <c r="O117" s="21" t="inlineStr">
        <is>
          <t>import</t>
        </is>
      </c>
    </row>
    <row r="118" ht="15" customHeight="1" s="22">
      <c r="A118" s="21" t="inlineStr">
        <is>
          <t>66</t>
        </is>
      </c>
      <c r="B118" s="21" t="inlineStr">
        <is>
          <t>77961</t>
        </is>
      </c>
      <c r="C118" s="21" t="inlineStr"/>
      <c r="D118" s="21" t="inlineStr">
        <is>
          <t>NASSERDINE</t>
        </is>
      </c>
      <c r="E118" s="21" t="inlineStr">
        <is>
          <t>MOUHAMADI SOIDRI</t>
        </is>
      </c>
      <c r="F118" s="21" t="inlineStr">
        <is>
          <t>06/06/2005</t>
        </is>
      </c>
      <c r="G118" s="21" t="inlineStr">
        <is>
          <t>MTE DE TSEMBEHOU - ANJOUAN</t>
        </is>
      </c>
      <c r="H118" s="21" t="inlineStr"/>
      <c r="I118" s="21" t="inlineStr">
        <is>
          <t>L1</t>
        </is>
      </c>
      <c r="J118" s="21" t="inlineStr">
        <is>
          <t>Soins infirmiers</t>
        </is>
      </c>
      <c r="K118" s="21" t="inlineStr"/>
      <c r="L118" s="21" t="inlineStr">
        <is>
          <t>2025-2026</t>
        </is>
      </c>
      <c r="M118" s="21" t="inlineStr">
        <is>
          <t>Inscrit</t>
        </is>
      </c>
      <c r="N118" s="21" t="inlineStr"/>
      <c r="O118" s="21" t="inlineStr">
        <is>
          <t>import</t>
        </is>
      </c>
    </row>
    <row r="119" ht="15" customHeight="1" s="22">
      <c r="A119" s="21" t="inlineStr">
        <is>
          <t>67</t>
        </is>
      </c>
      <c r="B119" s="21" t="inlineStr">
        <is>
          <t>78213</t>
        </is>
      </c>
      <c r="C119" s="21" t="inlineStr"/>
      <c r="D119" s="21" t="inlineStr">
        <is>
          <t>NASSUF</t>
        </is>
      </c>
      <c r="E119" s="21" t="inlineStr">
        <is>
          <t>NAFOUANTI</t>
        </is>
      </c>
      <c r="F119" s="21" t="inlineStr">
        <is>
          <t>02/03/2007</t>
        </is>
      </c>
      <c r="G119" s="21" t="inlineStr">
        <is>
          <t>BOUNI HAMAHAMET</t>
        </is>
      </c>
      <c r="H119" s="21" t="inlineStr"/>
      <c r="I119" s="21" t="inlineStr">
        <is>
          <t>L1</t>
        </is>
      </c>
      <c r="J119" s="21" t="inlineStr">
        <is>
          <t>Soins infirmiers</t>
        </is>
      </c>
      <c r="K119" s="21" t="inlineStr"/>
      <c r="L119" s="21" t="inlineStr">
        <is>
          <t>2025-2026</t>
        </is>
      </c>
      <c r="M119" s="21" t="inlineStr">
        <is>
          <t>Inscrit</t>
        </is>
      </c>
      <c r="N119" s="21" t="inlineStr"/>
      <c r="O119" s="21" t="inlineStr">
        <is>
          <t>import</t>
        </is>
      </c>
    </row>
    <row r="120" ht="15" customHeight="1" s="22">
      <c r="A120" s="21" t="inlineStr">
        <is>
          <t>68</t>
        </is>
      </c>
      <c r="B120" s="21" t="inlineStr">
        <is>
          <t>75338</t>
        </is>
      </c>
      <c r="C120" s="21" t="inlineStr"/>
      <c r="D120" s="21" t="inlineStr">
        <is>
          <t>NAWADI</t>
        </is>
      </c>
      <c r="E120" s="21" t="inlineStr">
        <is>
          <t>ELI</t>
        </is>
      </c>
      <c r="F120" s="21" t="inlineStr">
        <is>
          <t>25/12/2004</t>
        </is>
      </c>
      <c r="G120" s="21" t="inlineStr">
        <is>
          <t>DIMADJOU HAMAHAMET</t>
        </is>
      </c>
      <c r="H120" s="21" t="inlineStr"/>
      <c r="I120" s="21" t="inlineStr">
        <is>
          <t>L1</t>
        </is>
      </c>
      <c r="J120" s="21" t="inlineStr">
        <is>
          <t>Soins infirmiers</t>
        </is>
      </c>
      <c r="K120" s="21" t="inlineStr"/>
      <c r="L120" s="21" t="inlineStr">
        <is>
          <t>2025-2026</t>
        </is>
      </c>
      <c r="M120" s="21" t="inlineStr">
        <is>
          <t>Inscrit</t>
        </is>
      </c>
      <c r="N120" s="21" t="inlineStr"/>
      <c r="O120" s="21" t="inlineStr">
        <is>
          <t>import</t>
        </is>
      </c>
    </row>
    <row r="121" ht="15" customHeight="1" s="22">
      <c r="A121" s="21" t="inlineStr">
        <is>
          <t>69</t>
        </is>
      </c>
      <c r="B121" s="21" t="inlineStr">
        <is>
          <t>76321</t>
        </is>
      </c>
      <c r="C121" s="21" t="inlineStr"/>
      <c r="D121" s="21" t="inlineStr">
        <is>
          <t>PAUL</t>
        </is>
      </c>
      <c r="E121" s="21" t="inlineStr">
        <is>
          <t>NAFISSA</t>
        </is>
      </c>
      <c r="F121" s="21" t="inlineStr">
        <is>
          <t>10/04/2004</t>
        </is>
      </c>
      <c r="G121" s="21" t="inlineStr">
        <is>
          <t>NTSOUDJINI</t>
        </is>
      </c>
      <c r="H121" s="21" t="inlineStr"/>
      <c r="I121" s="21" t="inlineStr">
        <is>
          <t>L1</t>
        </is>
      </c>
      <c r="J121" s="21" t="inlineStr">
        <is>
          <t>Soins infirmiers</t>
        </is>
      </c>
      <c r="K121" s="21" t="inlineStr"/>
      <c r="L121" s="21" t="inlineStr">
        <is>
          <t>2025-2026</t>
        </is>
      </c>
      <c r="M121" s="21" t="inlineStr">
        <is>
          <t>Inscrit</t>
        </is>
      </c>
      <c r="N121" s="21" t="inlineStr"/>
      <c r="O121" s="21" t="inlineStr">
        <is>
          <t>import</t>
        </is>
      </c>
    </row>
    <row r="122" ht="15" customHeight="1" s="22">
      <c r="A122" s="21" t="inlineStr">
        <is>
          <t>70</t>
        </is>
      </c>
      <c r="B122" s="21" t="inlineStr">
        <is>
          <t>78475</t>
        </is>
      </c>
      <c r="C122" s="21" t="inlineStr"/>
      <c r="D122" s="21" t="inlineStr">
        <is>
          <t>RAHIMINA</t>
        </is>
      </c>
      <c r="E122" s="21" t="inlineStr">
        <is>
          <t>MOHAMED SAID MANINE</t>
        </is>
      </c>
      <c r="F122" s="21" t="inlineStr">
        <is>
          <t>25/08/2007</t>
        </is>
      </c>
      <c r="G122" s="21" t="inlineStr">
        <is>
          <t>NIOUMACHOI MOHELI</t>
        </is>
      </c>
      <c r="H122" s="21" t="inlineStr"/>
      <c r="I122" s="21" t="inlineStr">
        <is>
          <t>L1</t>
        </is>
      </c>
      <c r="J122" s="21" t="inlineStr">
        <is>
          <t>Soins infirmiers</t>
        </is>
      </c>
      <c r="K122" s="21" t="inlineStr"/>
      <c r="L122" s="21" t="inlineStr">
        <is>
          <t>2025-2026</t>
        </is>
      </c>
      <c r="M122" s="21" t="inlineStr">
        <is>
          <t>Inscrit</t>
        </is>
      </c>
      <c r="N122" s="21" t="inlineStr"/>
      <c r="O122" s="21" t="inlineStr">
        <is>
          <t>import</t>
        </is>
      </c>
    </row>
    <row r="123" ht="15" customHeight="1" s="22">
      <c r="A123" s="21" t="inlineStr">
        <is>
          <t>71</t>
        </is>
      </c>
      <c r="B123" s="21" t="inlineStr">
        <is>
          <t>77448</t>
        </is>
      </c>
      <c r="C123" s="21" t="inlineStr"/>
      <c r="D123" s="21" t="inlineStr">
        <is>
          <t>RAICHA</t>
        </is>
      </c>
      <c r="E123" s="21" t="inlineStr">
        <is>
          <t>ANTOINE</t>
        </is>
      </c>
      <c r="F123" s="21" t="inlineStr">
        <is>
          <t>17/12/2005</t>
        </is>
      </c>
      <c r="G123" s="21" t="inlineStr">
        <is>
          <t>CHOUANI HAMBOU</t>
        </is>
      </c>
      <c r="H123" s="21" t="inlineStr"/>
      <c r="I123" s="21" t="inlineStr">
        <is>
          <t>L1</t>
        </is>
      </c>
      <c r="J123" s="21" t="inlineStr">
        <is>
          <t>Soins infirmiers</t>
        </is>
      </c>
      <c r="K123" s="21" t="inlineStr"/>
      <c r="L123" s="21" t="inlineStr">
        <is>
          <t>2025-2026</t>
        </is>
      </c>
      <c r="M123" s="21" t="inlineStr">
        <is>
          <t>Inscrit</t>
        </is>
      </c>
      <c r="N123" s="21" t="inlineStr"/>
      <c r="O123" s="21" t="inlineStr">
        <is>
          <t>import</t>
        </is>
      </c>
    </row>
    <row r="124" ht="15" customHeight="1" s="22">
      <c r="A124" s="21" t="inlineStr">
        <is>
          <t>72</t>
        </is>
      </c>
      <c r="B124" s="21" t="inlineStr">
        <is>
          <t>77447</t>
        </is>
      </c>
      <c r="C124" s="21" t="inlineStr"/>
      <c r="D124" s="21" t="inlineStr">
        <is>
          <t>RAIDA</t>
        </is>
      </c>
      <c r="E124" s="21" t="inlineStr">
        <is>
          <t>ANTOINE</t>
        </is>
      </c>
      <c r="F124" s="21" t="inlineStr">
        <is>
          <t>28/10/2006</t>
        </is>
      </c>
      <c r="G124" s="21" t="inlineStr">
        <is>
          <t>MTE DE MORONI</t>
        </is>
      </c>
      <c r="H124" s="21" t="inlineStr"/>
      <c r="I124" s="21" t="inlineStr">
        <is>
          <t>L1</t>
        </is>
      </c>
      <c r="J124" s="21" t="inlineStr">
        <is>
          <t>Soins infirmiers</t>
        </is>
      </c>
      <c r="K124" s="21" t="inlineStr"/>
      <c r="L124" s="21" t="inlineStr">
        <is>
          <t>2025-2026</t>
        </is>
      </c>
      <c r="M124" s="21" t="inlineStr">
        <is>
          <t>Inscrit</t>
        </is>
      </c>
      <c r="N124" s="21" t="inlineStr"/>
      <c r="O124" s="21" t="inlineStr">
        <is>
          <t>import</t>
        </is>
      </c>
    </row>
    <row r="125" ht="15" customHeight="1" s="22">
      <c r="A125" s="21" t="inlineStr">
        <is>
          <t>73</t>
        </is>
      </c>
      <c r="B125" s="21" t="inlineStr">
        <is>
          <t>79047</t>
        </is>
      </c>
      <c r="C125" s="21" t="inlineStr"/>
      <c r="D125" s="21" t="inlineStr">
        <is>
          <t>RAINIA</t>
        </is>
      </c>
      <c r="E125" s="21" t="inlineStr">
        <is>
          <t>RIDHIOINE</t>
        </is>
      </c>
      <c r="F125" s="21" t="inlineStr">
        <is>
          <t>13/06/2007</t>
        </is>
      </c>
      <c r="G125" s="21" t="inlineStr">
        <is>
          <t>MTE DE FOMBONI - MOHELI</t>
        </is>
      </c>
      <c r="H125" s="21" t="inlineStr"/>
      <c r="I125" s="21" t="inlineStr">
        <is>
          <t>L1</t>
        </is>
      </c>
      <c r="J125" s="21" t="inlineStr">
        <is>
          <t>Soins infirmiers</t>
        </is>
      </c>
      <c r="K125" s="21" t="inlineStr"/>
      <c r="L125" s="21" t="inlineStr">
        <is>
          <t>2025-2026</t>
        </is>
      </c>
      <c r="M125" s="21" t="inlineStr">
        <is>
          <t>Inscrit</t>
        </is>
      </c>
      <c r="N125" s="21" t="inlineStr"/>
      <c r="O125" s="21" t="inlineStr">
        <is>
          <t>import</t>
        </is>
      </c>
    </row>
    <row r="126" ht="15" customHeight="1" s="22">
      <c r="A126" s="21" t="inlineStr">
        <is>
          <t>74</t>
        </is>
      </c>
      <c r="B126" s="21" t="inlineStr">
        <is>
          <t>78670</t>
        </is>
      </c>
      <c r="C126" s="21" t="inlineStr"/>
      <c r="D126" s="21" t="inlineStr">
        <is>
          <t>RAINIYA</t>
        </is>
      </c>
      <c r="E126" s="21" t="inlineStr">
        <is>
          <t>AHMED</t>
        </is>
      </c>
      <c r="F126" s="21" t="inlineStr">
        <is>
          <t>01/02/2004</t>
        </is>
      </c>
      <c r="G126" s="21" t="inlineStr">
        <is>
          <t>FOMBONI</t>
        </is>
      </c>
      <c r="H126" s="21" t="inlineStr"/>
      <c r="I126" s="21" t="inlineStr">
        <is>
          <t>L1</t>
        </is>
      </c>
      <c r="J126" s="21" t="inlineStr">
        <is>
          <t>Soins infirmiers</t>
        </is>
      </c>
      <c r="K126" s="21" t="inlineStr"/>
      <c r="L126" s="21" t="inlineStr">
        <is>
          <t>2025-2026</t>
        </is>
      </c>
      <c r="M126" s="21" t="inlineStr">
        <is>
          <t>Inscrit</t>
        </is>
      </c>
      <c r="N126" s="21" t="inlineStr"/>
      <c r="O126" s="21" t="inlineStr">
        <is>
          <t>import</t>
        </is>
      </c>
    </row>
    <row r="127" ht="15" customHeight="1" s="22">
      <c r="A127" s="21" t="inlineStr">
        <is>
          <t>75</t>
        </is>
      </c>
      <c r="B127" s="21" t="inlineStr">
        <is>
          <t>77490</t>
        </is>
      </c>
      <c r="C127" s="21" t="inlineStr"/>
      <c r="D127" s="21" t="inlineStr">
        <is>
          <t>RAISSA</t>
        </is>
      </c>
      <c r="E127" s="21" t="inlineStr">
        <is>
          <t>AHAMADI</t>
        </is>
      </c>
      <c r="F127" s="21" t="inlineStr">
        <is>
          <t>22/01/2007</t>
        </is>
      </c>
      <c r="G127" s="21" t="inlineStr">
        <is>
          <t>MTE DE CMB MTROUNI - ANJOUAN</t>
        </is>
      </c>
      <c r="H127" s="21" t="inlineStr"/>
      <c r="I127" s="21" t="inlineStr">
        <is>
          <t>L1</t>
        </is>
      </c>
      <c r="J127" s="21" t="inlineStr">
        <is>
          <t>Soins infirmiers</t>
        </is>
      </c>
      <c r="K127" s="21" t="inlineStr"/>
      <c r="L127" s="21" t="inlineStr">
        <is>
          <t>2025-2026</t>
        </is>
      </c>
      <c r="M127" s="21" t="inlineStr">
        <is>
          <t>Inscrit</t>
        </is>
      </c>
      <c r="N127" s="21" t="inlineStr"/>
      <c r="O127" s="21" t="inlineStr">
        <is>
          <t>import</t>
        </is>
      </c>
    </row>
    <row r="128" ht="15" customHeight="1" s="22">
      <c r="A128" s="21" t="inlineStr">
        <is>
          <t>76</t>
        </is>
      </c>
      <c r="B128" s="21" t="inlineStr">
        <is>
          <t>77708</t>
        </is>
      </c>
      <c r="C128" s="21" t="inlineStr"/>
      <c r="D128" s="21" t="inlineStr">
        <is>
          <t>RAKIZA</t>
        </is>
      </c>
      <c r="E128" s="21" t="inlineStr">
        <is>
          <t>AHAMADA OUSSOUF</t>
        </is>
      </c>
      <c r="F128" s="21" t="inlineStr">
        <is>
          <t>14/11/2006</t>
        </is>
      </c>
      <c r="G128" s="21" t="inlineStr">
        <is>
          <t>MTE MITSAMIHOULI</t>
        </is>
      </c>
      <c r="H128" s="21" t="inlineStr"/>
      <c r="I128" s="21" t="inlineStr">
        <is>
          <t>L1</t>
        </is>
      </c>
      <c r="J128" s="21" t="inlineStr">
        <is>
          <t>Soins infirmiers</t>
        </is>
      </c>
      <c r="K128" s="21" t="inlineStr"/>
      <c r="L128" s="21" t="inlineStr">
        <is>
          <t>2025-2026</t>
        </is>
      </c>
      <c r="M128" s="21" t="inlineStr">
        <is>
          <t>Inscrit</t>
        </is>
      </c>
      <c r="N128" s="21" t="inlineStr"/>
      <c r="O128" s="21" t="inlineStr">
        <is>
          <t>import</t>
        </is>
      </c>
    </row>
    <row r="129" ht="15" customHeight="1" s="22">
      <c r="A129" s="21" t="inlineStr">
        <is>
          <t>77</t>
        </is>
      </c>
      <c r="B129" s="21" t="inlineStr">
        <is>
          <t>79679</t>
        </is>
      </c>
      <c r="C129" s="21" t="inlineStr"/>
      <c r="D129" s="21" t="inlineStr">
        <is>
          <t>RASMI</t>
        </is>
      </c>
      <c r="E129" s="21" t="inlineStr">
        <is>
          <t>AHAMADI HOUMADI</t>
        </is>
      </c>
      <c r="F129" s="21" t="inlineStr">
        <is>
          <t>08/12/2006</t>
        </is>
      </c>
      <c r="G129" s="21" t="inlineStr">
        <is>
          <t>M'REMANI - ANJOUAN</t>
        </is>
      </c>
      <c r="H129" s="21" t="inlineStr"/>
      <c r="I129" s="21" t="inlineStr">
        <is>
          <t>L1</t>
        </is>
      </c>
      <c r="J129" s="21" t="inlineStr">
        <is>
          <t>Soins infirmiers</t>
        </is>
      </c>
      <c r="K129" s="21" t="inlineStr"/>
      <c r="L129" s="21" t="inlineStr">
        <is>
          <t>2025-2026</t>
        </is>
      </c>
      <c r="M129" s="21" t="inlineStr">
        <is>
          <t>Inscrit</t>
        </is>
      </c>
      <c r="N129" s="21" t="inlineStr"/>
      <c r="O129" s="21" t="inlineStr">
        <is>
          <t>import</t>
        </is>
      </c>
    </row>
    <row r="130" ht="15" customHeight="1" s="22">
      <c r="A130" s="21" t="inlineStr">
        <is>
          <t>78</t>
        </is>
      </c>
      <c r="B130" s="21" t="inlineStr">
        <is>
          <t>79214</t>
        </is>
      </c>
      <c r="C130" s="21" t="inlineStr"/>
      <c r="D130" s="21" t="inlineStr">
        <is>
          <t>ROIYILA</t>
        </is>
      </c>
      <c r="E130" s="21" t="inlineStr">
        <is>
          <t>WAKIDOU</t>
        </is>
      </c>
      <c r="F130" s="21" t="inlineStr">
        <is>
          <t>25/03/2006</t>
        </is>
      </c>
      <c r="G130" s="21" t="inlineStr">
        <is>
          <t>MTE DE MORONI</t>
        </is>
      </c>
      <c r="H130" s="21" t="inlineStr"/>
      <c r="I130" s="21" t="inlineStr">
        <is>
          <t>L1</t>
        </is>
      </c>
      <c r="J130" s="21" t="inlineStr">
        <is>
          <t>Soins infirmiers</t>
        </is>
      </c>
      <c r="K130" s="21" t="inlineStr"/>
      <c r="L130" s="21" t="inlineStr">
        <is>
          <t>2025-2026</t>
        </is>
      </c>
      <c r="M130" s="21" t="inlineStr">
        <is>
          <t>Inscrit</t>
        </is>
      </c>
      <c r="N130" s="21" t="inlineStr"/>
      <c r="O130" s="21" t="inlineStr">
        <is>
          <t>import</t>
        </is>
      </c>
    </row>
    <row r="131" ht="15" customHeight="1" s="22">
      <c r="A131" s="21" t="inlineStr">
        <is>
          <t>79</t>
        </is>
      </c>
      <c r="B131" s="21" t="inlineStr">
        <is>
          <t>78260</t>
        </is>
      </c>
      <c r="C131" s="21" t="inlineStr"/>
      <c r="D131" s="21" t="inlineStr">
        <is>
          <t>ROUKAINA</t>
        </is>
      </c>
      <c r="E131" s="21" t="inlineStr">
        <is>
          <t>SAID</t>
        </is>
      </c>
      <c r="F131" s="21" t="inlineStr">
        <is>
          <t>21/09/2008</t>
        </is>
      </c>
      <c r="G131" s="21" t="inlineStr">
        <is>
          <t>MTE DE MORONI</t>
        </is>
      </c>
      <c r="H131" s="21" t="inlineStr"/>
      <c r="I131" s="21" t="inlineStr">
        <is>
          <t>L1</t>
        </is>
      </c>
      <c r="J131" s="21" t="inlineStr">
        <is>
          <t>Soins infirmiers</t>
        </is>
      </c>
      <c r="K131" s="21" t="inlineStr"/>
      <c r="L131" s="21" t="inlineStr">
        <is>
          <t>2025-2026</t>
        </is>
      </c>
      <c r="M131" s="21" t="inlineStr">
        <is>
          <t>Inscrit</t>
        </is>
      </c>
      <c r="N131" s="21" t="inlineStr"/>
      <c r="O131" s="21" t="inlineStr">
        <is>
          <t>import</t>
        </is>
      </c>
    </row>
    <row r="132" ht="15" customHeight="1" s="22">
      <c r="A132" s="21" t="inlineStr">
        <is>
          <t>80</t>
        </is>
      </c>
      <c r="B132" s="21" t="inlineStr">
        <is>
          <t>72486</t>
        </is>
      </c>
      <c r="C132" s="21" t="inlineStr"/>
      <c r="D132" s="21" t="inlineStr">
        <is>
          <t>ROUKIA</t>
        </is>
      </c>
      <c r="E132" s="21" t="inlineStr">
        <is>
          <t>MASSOUNDI</t>
        </is>
      </c>
      <c r="F132" s="21" t="inlineStr">
        <is>
          <t>25/10/2001</t>
        </is>
      </c>
      <c r="G132" s="21" t="inlineStr">
        <is>
          <t>MATERNITÃ DE MORONI</t>
        </is>
      </c>
      <c r="H132" s="21" t="inlineStr"/>
      <c r="I132" s="21" t="inlineStr">
        <is>
          <t>L1</t>
        </is>
      </c>
      <c r="J132" s="21" t="inlineStr">
        <is>
          <t>Soins infirmiers</t>
        </is>
      </c>
      <c r="K132" s="21" t="inlineStr"/>
      <c r="L132" s="21" t="inlineStr">
        <is>
          <t>2025-2026</t>
        </is>
      </c>
      <c r="M132" s="21" t="inlineStr">
        <is>
          <t>Inscrit</t>
        </is>
      </c>
      <c r="N132" s="21" t="inlineStr"/>
      <c r="O132" s="21" t="inlineStr">
        <is>
          <t>import</t>
        </is>
      </c>
    </row>
    <row r="133" ht="15" customHeight="1" s="22">
      <c r="A133" s="21" t="inlineStr">
        <is>
          <t>81</t>
        </is>
      </c>
      <c r="B133" s="21" t="inlineStr">
        <is>
          <t>74244</t>
        </is>
      </c>
      <c r="C133" s="21" t="inlineStr"/>
      <c r="D133" s="21" t="inlineStr">
        <is>
          <t>SAANDI</t>
        </is>
      </c>
      <c r="E133" s="21" t="inlineStr">
        <is>
          <t>SOULMA</t>
        </is>
      </c>
      <c r="F133" s="21" t="inlineStr">
        <is>
          <t>08/04/2004</t>
        </is>
      </c>
      <c r="G133" s="21" t="inlineStr">
        <is>
          <t>MDJIHARI HAMAHAMET</t>
        </is>
      </c>
      <c r="H133" s="21" t="inlineStr"/>
      <c r="I133" s="21" t="inlineStr">
        <is>
          <t>L1</t>
        </is>
      </c>
      <c r="J133" s="21" t="inlineStr">
        <is>
          <t>Soins infirmiers</t>
        </is>
      </c>
      <c r="K133" s="21" t="inlineStr"/>
      <c r="L133" s="21" t="inlineStr">
        <is>
          <t>2025-2026</t>
        </is>
      </c>
      <c r="M133" s="21" t="inlineStr">
        <is>
          <t>Inscrit</t>
        </is>
      </c>
      <c r="N133" s="21" t="inlineStr"/>
      <c r="O133" s="21" t="inlineStr">
        <is>
          <t>import</t>
        </is>
      </c>
    </row>
    <row r="134" ht="15" customHeight="1" s="22">
      <c r="A134" s="21" t="inlineStr">
        <is>
          <t>82</t>
        </is>
      </c>
      <c r="B134" s="21" t="inlineStr">
        <is>
          <t>77108</t>
        </is>
      </c>
      <c r="C134" s="21" t="inlineStr"/>
      <c r="D134" s="21" t="inlineStr">
        <is>
          <t>SALIM</t>
        </is>
      </c>
      <c r="E134" s="21" t="inlineStr">
        <is>
          <t>HOUMADI HILDA</t>
        </is>
      </c>
      <c r="F134" s="21" t="inlineStr">
        <is>
          <t>16/11/2001</t>
        </is>
      </c>
      <c r="G134" s="21" t="inlineStr">
        <is>
          <t>ONGOJOU ANJOUAN</t>
        </is>
      </c>
      <c r="H134" s="21" t="inlineStr"/>
      <c r="I134" s="21" t="inlineStr">
        <is>
          <t>L1</t>
        </is>
      </c>
      <c r="J134" s="21" t="inlineStr">
        <is>
          <t>Soins infirmiers</t>
        </is>
      </c>
      <c r="K134" s="21" t="inlineStr"/>
      <c r="L134" s="21" t="inlineStr">
        <is>
          <t>2025-2026</t>
        </is>
      </c>
      <c r="M134" s="21" t="inlineStr">
        <is>
          <t>Inscrit</t>
        </is>
      </c>
      <c r="N134" s="21" t="inlineStr"/>
      <c r="O134" s="21" t="inlineStr">
        <is>
          <t>import</t>
        </is>
      </c>
    </row>
    <row r="135" ht="15" customHeight="1" s="22">
      <c r="A135" s="21" t="inlineStr">
        <is>
          <t>83</t>
        </is>
      </c>
      <c r="B135" s="21" t="inlineStr">
        <is>
          <t>78451</t>
        </is>
      </c>
      <c r="C135" s="21" t="inlineStr"/>
      <c r="D135" s="21" t="inlineStr">
        <is>
          <t>SALIMA</t>
        </is>
      </c>
      <c r="E135" s="21" t="inlineStr">
        <is>
          <t>ATTOUMANE AHAMADI</t>
        </is>
      </c>
      <c r="F135" s="21" t="inlineStr">
        <is>
          <t>23/03/2005</t>
        </is>
      </c>
      <c r="G135" s="21" t="inlineStr">
        <is>
          <t>HACHIPENDA - ANJOUAN</t>
        </is>
      </c>
      <c r="H135" s="21" t="inlineStr"/>
      <c r="I135" s="21" t="inlineStr">
        <is>
          <t>L1</t>
        </is>
      </c>
      <c r="J135" s="21" t="inlineStr">
        <is>
          <t>Soins infirmiers</t>
        </is>
      </c>
      <c r="K135" s="21" t="inlineStr"/>
      <c r="L135" s="21" t="inlineStr">
        <is>
          <t>2025-2026</t>
        </is>
      </c>
      <c r="M135" s="21" t="inlineStr">
        <is>
          <t>Inscrit</t>
        </is>
      </c>
      <c r="N135" s="21" t="inlineStr"/>
      <c r="O135" s="21" t="inlineStr">
        <is>
          <t>import</t>
        </is>
      </c>
    </row>
    <row r="136" ht="15" customHeight="1" s="22">
      <c r="A136" s="21" t="inlineStr">
        <is>
          <t>84</t>
        </is>
      </c>
      <c r="B136" s="21" t="inlineStr">
        <is>
          <t>76152</t>
        </is>
      </c>
      <c r="C136" s="21" t="inlineStr"/>
      <c r="D136" s="21" t="inlineStr">
        <is>
          <t>SAMIRA</t>
        </is>
      </c>
      <c r="E136" s="21" t="inlineStr">
        <is>
          <t>YOUSSOUF</t>
        </is>
      </c>
      <c r="F136" s="21" t="inlineStr">
        <is>
          <t>10/11/2005</t>
        </is>
      </c>
      <c r="G136" s="21" t="inlineStr">
        <is>
          <t>BAMBADJANI HAMAHAMET</t>
        </is>
      </c>
      <c r="H136" s="21" t="inlineStr"/>
      <c r="I136" s="21" t="inlineStr">
        <is>
          <t>L1</t>
        </is>
      </c>
      <c r="J136" s="21" t="inlineStr">
        <is>
          <t>Soins infirmiers</t>
        </is>
      </c>
      <c r="K136" s="21" t="inlineStr"/>
      <c r="L136" s="21" t="inlineStr">
        <is>
          <t>2025-2026</t>
        </is>
      </c>
      <c r="M136" s="21" t="inlineStr">
        <is>
          <t>Inscrit</t>
        </is>
      </c>
      <c r="N136" s="21" t="inlineStr"/>
      <c r="O136" s="21" t="inlineStr">
        <is>
          <t>import</t>
        </is>
      </c>
    </row>
    <row r="137" ht="15" customHeight="1" s="22">
      <c r="A137" s="21" t="inlineStr">
        <is>
          <t>85</t>
        </is>
      </c>
      <c r="B137" s="21" t="inlineStr">
        <is>
          <t>78844</t>
        </is>
      </c>
      <c r="C137" s="21" t="inlineStr"/>
      <c r="D137" s="21" t="inlineStr">
        <is>
          <t>SAMNIA</t>
        </is>
      </c>
      <c r="E137" s="21" t="inlineStr">
        <is>
          <t>SOIBAHADINE</t>
        </is>
      </c>
      <c r="F137" s="21" t="inlineStr">
        <is>
          <t>26/07/2008</t>
        </is>
      </c>
      <c r="G137" s="21" t="inlineStr">
        <is>
          <t>MTE DE FOMBONI - MOHELI</t>
        </is>
      </c>
      <c r="H137" s="21" t="inlineStr"/>
      <c r="I137" s="21" t="inlineStr">
        <is>
          <t>L1</t>
        </is>
      </c>
      <c r="J137" s="21" t="inlineStr">
        <is>
          <t>Soins infirmiers</t>
        </is>
      </c>
      <c r="K137" s="21" t="inlineStr"/>
      <c r="L137" s="21" t="inlineStr">
        <is>
          <t>2025-2026</t>
        </is>
      </c>
      <c r="M137" s="21" t="inlineStr">
        <is>
          <t>Inscrit</t>
        </is>
      </c>
      <c r="N137" s="21" t="inlineStr"/>
      <c r="O137" s="21" t="inlineStr">
        <is>
          <t>import</t>
        </is>
      </c>
    </row>
    <row r="138" ht="15" customHeight="1" s="22">
      <c r="A138" s="21" t="inlineStr">
        <is>
          <t>86</t>
        </is>
      </c>
      <c r="B138" s="21" t="inlineStr">
        <is>
          <t>74293</t>
        </is>
      </c>
      <c r="C138" s="21" t="inlineStr"/>
      <c r="D138" s="21" t="inlineStr">
        <is>
          <t>SANIA</t>
        </is>
      </c>
      <c r="E138" s="21" t="inlineStr">
        <is>
          <t>ALI</t>
        </is>
      </c>
      <c r="F138" s="21" t="inlineStr">
        <is>
          <t>23/04/2005</t>
        </is>
      </c>
      <c r="G138" s="21" t="inlineStr">
        <is>
          <t>NTSOUDJINI ITSANDRA</t>
        </is>
      </c>
      <c r="H138" s="21" t="inlineStr"/>
      <c r="I138" s="21" t="inlineStr">
        <is>
          <t>L1</t>
        </is>
      </c>
      <c r="J138" s="21" t="inlineStr">
        <is>
          <t>Soins infirmiers</t>
        </is>
      </c>
      <c r="K138" s="21" t="inlineStr"/>
      <c r="L138" s="21" t="inlineStr">
        <is>
          <t>2025-2026</t>
        </is>
      </c>
      <c r="M138" s="21" t="inlineStr">
        <is>
          <t>Inscrit</t>
        </is>
      </c>
      <c r="N138" s="21" t="inlineStr"/>
      <c r="O138" s="21" t="inlineStr">
        <is>
          <t>import</t>
        </is>
      </c>
    </row>
    <row r="139" ht="15" customHeight="1" s="22">
      <c r="A139" s="21" t="inlineStr">
        <is>
          <t>87</t>
        </is>
      </c>
      <c r="B139" s="21" t="inlineStr">
        <is>
          <t>78799</t>
        </is>
      </c>
      <c r="C139" s="21" t="inlineStr"/>
      <c r="D139" s="21" t="inlineStr">
        <is>
          <t>SARA</t>
        </is>
      </c>
      <c r="E139" s="21" t="inlineStr">
        <is>
          <t>ABDILLAH</t>
        </is>
      </c>
      <c r="F139" s="21" t="inlineStr">
        <is>
          <t>05/05/2004</t>
        </is>
      </c>
      <c r="G139" s="21" t="inlineStr">
        <is>
          <t>MORONI</t>
        </is>
      </c>
      <c r="H139" s="21" t="inlineStr"/>
      <c r="I139" s="21" t="inlineStr">
        <is>
          <t>L1</t>
        </is>
      </c>
      <c r="J139" s="21" t="inlineStr">
        <is>
          <t>Soins infirmiers</t>
        </is>
      </c>
      <c r="K139" s="21" t="inlineStr"/>
      <c r="L139" s="21" t="inlineStr">
        <is>
          <t>2025-2026</t>
        </is>
      </c>
      <c r="M139" s="21" t="inlineStr">
        <is>
          <t>Inscrit</t>
        </is>
      </c>
      <c r="N139" s="21" t="inlineStr"/>
      <c r="O139" s="21" t="inlineStr">
        <is>
          <t>import</t>
        </is>
      </c>
    </row>
    <row r="140" ht="15" customHeight="1" s="22">
      <c r="A140" s="21" t="inlineStr">
        <is>
          <t>88</t>
        </is>
      </c>
      <c r="B140" s="21" t="inlineStr">
        <is>
          <t>75185</t>
        </is>
      </c>
      <c r="C140" s="21" t="inlineStr"/>
      <c r="D140" s="21" t="inlineStr">
        <is>
          <t>SOIFIA</t>
        </is>
      </c>
      <c r="E140" s="21" t="inlineStr">
        <is>
          <t>HACHIM SAID</t>
        </is>
      </c>
      <c r="F140" s="21" t="inlineStr">
        <is>
          <t>23/04/2002</t>
        </is>
      </c>
      <c r="G140" s="21" t="inlineStr">
        <is>
          <t>DIMADJOU HAMAHAMET</t>
        </is>
      </c>
      <c r="H140" s="21" t="inlineStr"/>
      <c r="I140" s="21" t="inlineStr">
        <is>
          <t>L1</t>
        </is>
      </c>
      <c r="J140" s="21" t="inlineStr">
        <is>
          <t>Soins infirmiers</t>
        </is>
      </c>
      <c r="K140" s="21" t="inlineStr"/>
      <c r="L140" s="21" t="inlineStr">
        <is>
          <t>2025-2026</t>
        </is>
      </c>
      <c r="M140" s="21" t="inlineStr">
        <is>
          <t>Inscrit</t>
        </is>
      </c>
      <c r="N140" s="21" t="inlineStr"/>
      <c r="O140" s="21" t="inlineStr">
        <is>
          <t>import</t>
        </is>
      </c>
    </row>
    <row r="141" ht="15" customHeight="1" s="22">
      <c r="A141" s="21" t="inlineStr">
        <is>
          <t>89</t>
        </is>
      </c>
      <c r="B141" s="21" t="inlineStr">
        <is>
          <t>78324</t>
        </is>
      </c>
      <c r="C141" s="21" t="inlineStr"/>
      <c r="D141" s="21" t="inlineStr">
        <is>
          <t>SOUDJOUDANE</t>
        </is>
      </c>
      <c r="E141" s="21" t="inlineStr">
        <is>
          <t>SAID BACAR</t>
        </is>
      </c>
      <c r="F141" s="21" t="inlineStr">
        <is>
          <t>28/05/2006</t>
        </is>
      </c>
      <c r="G141" s="21" t="inlineStr">
        <is>
          <t>OUANI - ANJOUAN</t>
        </is>
      </c>
      <c r="H141" s="21" t="inlineStr"/>
      <c r="I141" s="21" t="inlineStr">
        <is>
          <t>L1</t>
        </is>
      </c>
      <c r="J141" s="21" t="inlineStr">
        <is>
          <t>Soins infirmiers</t>
        </is>
      </c>
      <c r="K141" s="21" t="inlineStr"/>
      <c r="L141" s="21" t="inlineStr">
        <is>
          <t>2025-2026</t>
        </is>
      </c>
      <c r="M141" s="21" t="inlineStr">
        <is>
          <t>Inscrit</t>
        </is>
      </c>
      <c r="N141" s="21" t="inlineStr"/>
      <c r="O141" s="21" t="inlineStr">
        <is>
          <t>import</t>
        </is>
      </c>
    </row>
    <row r="142" ht="15" customHeight="1" s="22">
      <c r="A142" s="21" t="inlineStr">
        <is>
          <t>90</t>
        </is>
      </c>
      <c r="B142" s="21" t="inlineStr">
        <is>
          <t>69248</t>
        </is>
      </c>
      <c r="C142" s="21" t="inlineStr"/>
      <c r="D142" s="21" t="inlineStr">
        <is>
          <t>SOUMAYA</t>
        </is>
      </c>
      <c r="E142" s="21" t="inlineStr">
        <is>
          <t>YOUSSOUF</t>
        </is>
      </c>
      <c r="F142" s="21" t="inlineStr">
        <is>
          <t>08/10/2002</t>
        </is>
      </c>
      <c r="G142" s="21" t="inlineStr">
        <is>
          <t>MATERNITE DE MORONI</t>
        </is>
      </c>
      <c r="H142" s="21" t="inlineStr"/>
      <c r="I142" s="21" t="inlineStr">
        <is>
          <t>L1</t>
        </is>
      </c>
      <c r="J142" s="21" t="inlineStr">
        <is>
          <t>Soins infirmiers</t>
        </is>
      </c>
      <c r="K142" s="21" t="inlineStr"/>
      <c r="L142" s="21" t="inlineStr">
        <is>
          <t>2025-2026</t>
        </is>
      </c>
      <c r="M142" s="21" t="inlineStr">
        <is>
          <t>Inscrit</t>
        </is>
      </c>
      <c r="N142" s="21" t="inlineStr"/>
      <c r="O142" s="21" t="inlineStr">
        <is>
          <t>import</t>
        </is>
      </c>
    </row>
    <row r="143" ht="15" customHeight="1" s="22">
      <c r="A143" s="21" t="inlineStr">
        <is>
          <t>91</t>
        </is>
      </c>
      <c r="B143" s="21" t="inlineStr">
        <is>
          <t>77933</t>
        </is>
      </c>
      <c r="C143" s="21" t="inlineStr"/>
      <c r="D143" s="21" t="inlineStr">
        <is>
          <t>SOUROYA</t>
        </is>
      </c>
      <c r="E143" s="21" t="inlineStr">
        <is>
          <t>AHAMADI</t>
        </is>
      </c>
      <c r="F143" s="21" t="inlineStr">
        <is>
          <t>04/02/2006</t>
        </is>
      </c>
      <c r="G143" s="21" t="inlineStr">
        <is>
          <t>DIDJONI BADJINI EST</t>
        </is>
      </c>
      <c r="H143" s="21" t="inlineStr"/>
      <c r="I143" s="21" t="inlineStr">
        <is>
          <t>L1</t>
        </is>
      </c>
      <c r="J143" s="21" t="inlineStr">
        <is>
          <t>Soins infirmiers</t>
        </is>
      </c>
      <c r="K143" s="21" t="inlineStr"/>
      <c r="L143" s="21" t="inlineStr">
        <is>
          <t>2025-2026</t>
        </is>
      </c>
      <c r="M143" s="21" t="inlineStr">
        <is>
          <t>Inscrit</t>
        </is>
      </c>
      <c r="N143" s="21" t="inlineStr"/>
      <c r="O143" s="21" t="inlineStr">
        <is>
          <t>import</t>
        </is>
      </c>
    </row>
    <row r="144" ht="15" customHeight="1" s="22">
      <c r="A144" s="21" t="inlineStr">
        <is>
          <t>92</t>
        </is>
      </c>
      <c r="B144" s="21" t="inlineStr">
        <is>
          <t>78498</t>
        </is>
      </c>
      <c r="C144" s="21" t="inlineStr"/>
      <c r="D144" s="21" t="inlineStr">
        <is>
          <t>SUTUHATI</t>
        </is>
      </c>
      <c r="E144" s="21" t="inlineStr">
        <is>
          <t>SOUMAILA</t>
        </is>
      </c>
      <c r="F144" s="21" t="inlineStr">
        <is>
          <t>25/08/2005</t>
        </is>
      </c>
      <c r="G144" s="21" t="inlineStr">
        <is>
          <t>NGANDZALE ANJOUAN</t>
        </is>
      </c>
      <c r="H144" s="21" t="inlineStr"/>
      <c r="I144" s="21" t="inlineStr">
        <is>
          <t>L1</t>
        </is>
      </c>
      <c r="J144" s="21" t="inlineStr">
        <is>
          <t>Soins infirmiers</t>
        </is>
      </c>
      <c r="K144" s="21" t="inlineStr"/>
      <c r="L144" s="21" t="inlineStr">
        <is>
          <t>2025-2026</t>
        </is>
      </c>
      <c r="M144" s="21" t="inlineStr">
        <is>
          <t>Inscrit</t>
        </is>
      </c>
      <c r="N144" s="21" t="inlineStr"/>
      <c r="O144" s="21" t="inlineStr">
        <is>
          <t>import</t>
        </is>
      </c>
    </row>
    <row r="145" ht="15" customHeight="1" s="22">
      <c r="A145" s="21" t="inlineStr">
        <is>
          <t>93</t>
        </is>
      </c>
      <c r="B145" s="21" t="inlineStr">
        <is>
          <t>79706</t>
        </is>
      </c>
      <c r="C145" s="21" t="inlineStr"/>
      <c r="D145" s="21" t="inlineStr">
        <is>
          <t>THOUAIBA</t>
        </is>
      </c>
      <c r="E145" s="21" t="inlineStr">
        <is>
          <t>SOULE</t>
        </is>
      </c>
      <c r="F145" s="21" t="inlineStr">
        <is>
          <t>05/10/2007</t>
        </is>
      </c>
      <c r="G145" s="21" t="inlineStr">
        <is>
          <t>NTSORALE DIMANI</t>
        </is>
      </c>
      <c r="H145" s="21" t="inlineStr"/>
      <c r="I145" s="21" t="inlineStr">
        <is>
          <t>L1</t>
        </is>
      </c>
      <c r="J145" s="21" t="inlineStr">
        <is>
          <t>Soins infirmiers</t>
        </is>
      </c>
      <c r="K145" s="21" t="inlineStr"/>
      <c r="L145" s="21" t="inlineStr">
        <is>
          <t>2025-2026</t>
        </is>
      </c>
      <c r="M145" s="21" t="inlineStr">
        <is>
          <t>Inscrit</t>
        </is>
      </c>
      <c r="N145" s="21" t="inlineStr"/>
      <c r="O145" s="21" t="inlineStr">
        <is>
          <t>import</t>
        </is>
      </c>
    </row>
    <row r="146" ht="15" customHeight="1" s="22">
      <c r="A146" s="21" t="inlineStr">
        <is>
          <t>94</t>
        </is>
      </c>
      <c r="B146" s="21" t="inlineStr">
        <is>
          <t>74501</t>
        </is>
      </c>
      <c r="C146" s="21" t="inlineStr"/>
      <c r="D146" s="21" t="inlineStr">
        <is>
          <t>TOUFOULATI</t>
        </is>
      </c>
      <c r="E146" s="21" t="inlineStr">
        <is>
          <t>AHAMED</t>
        </is>
      </c>
      <c r="F146" s="21" t="inlineStr">
        <is>
          <t>07/01/2004</t>
        </is>
      </c>
      <c r="G146" s="21" t="inlineStr">
        <is>
          <t>M'REMANI - ANJOUAN</t>
        </is>
      </c>
      <c r="H146" s="21" t="inlineStr"/>
      <c r="I146" s="21" t="inlineStr">
        <is>
          <t>L1</t>
        </is>
      </c>
      <c r="J146" s="21" t="inlineStr">
        <is>
          <t>Soins infirmiers</t>
        </is>
      </c>
      <c r="K146" s="21" t="inlineStr"/>
      <c r="L146" s="21" t="inlineStr">
        <is>
          <t>2025-2026</t>
        </is>
      </c>
      <c r="M146" s="21" t="inlineStr">
        <is>
          <t>Inscrit</t>
        </is>
      </c>
      <c r="N146" s="21" t="inlineStr"/>
      <c r="O146" s="21" t="inlineStr">
        <is>
          <t>import</t>
        </is>
      </c>
    </row>
    <row r="147" ht="15" customHeight="1" s="22">
      <c r="A147" s="21" t="inlineStr">
        <is>
          <t>95</t>
        </is>
      </c>
      <c r="B147" s="21" t="inlineStr">
        <is>
          <t>78924</t>
        </is>
      </c>
      <c r="C147" s="21" t="inlineStr"/>
      <c r="D147" s="21" t="inlineStr">
        <is>
          <t>TOUROUME</t>
        </is>
      </c>
      <c r="E147" s="21" t="inlineStr">
        <is>
          <t>NATIDJA</t>
        </is>
      </c>
      <c r="F147" s="21" t="inlineStr">
        <is>
          <t>18/12/2006</t>
        </is>
      </c>
      <c r="G147" s="21" t="inlineStr">
        <is>
          <t>MTSANGADJOU DIMANI</t>
        </is>
      </c>
      <c r="H147" s="21" t="inlineStr"/>
      <c r="I147" s="21" t="inlineStr">
        <is>
          <t>L1</t>
        </is>
      </c>
      <c r="J147" s="21" t="inlineStr">
        <is>
          <t>Soins infirmiers</t>
        </is>
      </c>
      <c r="K147" s="21" t="inlineStr"/>
      <c r="L147" s="21" t="inlineStr">
        <is>
          <t>2025-2026</t>
        </is>
      </c>
      <c r="M147" s="21" t="inlineStr">
        <is>
          <t>Inscrit</t>
        </is>
      </c>
      <c r="N147" s="21" t="inlineStr"/>
      <c r="O147" s="21" t="inlineStr">
        <is>
          <t>import</t>
        </is>
      </c>
    </row>
    <row r="148" ht="15" customHeight="1" s="22">
      <c r="A148" s="21" t="inlineStr">
        <is>
          <t>96</t>
        </is>
      </c>
      <c r="B148" s="21" t="inlineStr">
        <is>
          <t>75674</t>
        </is>
      </c>
      <c r="C148" s="21" t="inlineStr"/>
      <c r="D148" s="21" t="inlineStr">
        <is>
          <t>YASMINA</t>
        </is>
      </c>
      <c r="E148" s="21" t="inlineStr">
        <is>
          <t>ABDILLAH SAID</t>
        </is>
      </c>
      <c r="F148" s="21" t="inlineStr">
        <is>
          <t>26/02/2005</t>
        </is>
      </c>
      <c r="G148" s="21" t="inlineStr">
        <is>
          <t>MTE DE MORONI</t>
        </is>
      </c>
      <c r="H148" s="21" t="inlineStr"/>
      <c r="I148" s="21" t="inlineStr">
        <is>
          <t>L1</t>
        </is>
      </c>
      <c r="J148" s="21" t="inlineStr">
        <is>
          <t>Soins infirmiers</t>
        </is>
      </c>
      <c r="K148" s="21" t="inlineStr"/>
      <c r="L148" s="21" t="inlineStr">
        <is>
          <t>2025-2026</t>
        </is>
      </c>
      <c r="M148" s="21" t="inlineStr">
        <is>
          <t>Inscrit</t>
        </is>
      </c>
      <c r="N148" s="21" t="inlineStr"/>
      <c r="O148" s="21" t="inlineStr">
        <is>
          <t>import</t>
        </is>
      </c>
    </row>
    <row r="149" ht="15" customHeight="1" s="22">
      <c r="A149" s="21" t="inlineStr">
        <is>
          <t>97</t>
        </is>
      </c>
      <c r="B149" s="21" t="inlineStr">
        <is>
          <t>78223</t>
        </is>
      </c>
      <c r="C149" s="21" t="inlineStr"/>
      <c r="D149" s="21" t="inlineStr">
        <is>
          <t>YOUMNA</t>
        </is>
      </c>
      <c r="E149" s="21" t="inlineStr">
        <is>
          <t>SIAKA OUSSENE CHWARI</t>
        </is>
      </c>
      <c r="F149" s="21" t="inlineStr">
        <is>
          <t>31/12/2005</t>
        </is>
      </c>
      <c r="G149" s="21" t="inlineStr">
        <is>
          <t>ONGOJOU - ANJOUAN</t>
        </is>
      </c>
      <c r="H149" s="21" t="inlineStr"/>
      <c r="I149" s="21" t="inlineStr">
        <is>
          <t>L1</t>
        </is>
      </c>
      <c r="J149" s="21" t="inlineStr">
        <is>
          <t>Soins infirmiers</t>
        </is>
      </c>
      <c r="K149" s="21" t="inlineStr"/>
      <c r="L149" s="21" t="inlineStr">
        <is>
          <t>2025-2026</t>
        </is>
      </c>
      <c r="M149" s="21" t="inlineStr">
        <is>
          <t>Inscrit</t>
        </is>
      </c>
      <c r="N149" s="21" t="inlineStr"/>
      <c r="O149" s="21" t="inlineStr">
        <is>
          <t>import</t>
        </is>
      </c>
    </row>
    <row r="150" ht="15" customHeight="1" s="22">
      <c r="A150" s="21" t="inlineStr">
        <is>
          <t>98</t>
        </is>
      </c>
      <c r="B150" s="21" t="inlineStr">
        <is>
          <t>79337</t>
        </is>
      </c>
      <c r="C150" s="21" t="inlineStr"/>
      <c r="D150" s="21" t="inlineStr">
        <is>
          <t>YOUSSOUF</t>
        </is>
      </c>
      <c r="E150" s="21" t="inlineStr">
        <is>
          <t>MARIAM</t>
        </is>
      </c>
      <c r="F150" s="21" t="inlineStr">
        <is>
          <t>23/03/2007</t>
        </is>
      </c>
      <c r="G150" s="21" t="inlineStr">
        <is>
          <t>MTE DE MITSAMIOULI</t>
        </is>
      </c>
      <c r="H150" s="21" t="inlineStr"/>
      <c r="I150" s="21" t="inlineStr">
        <is>
          <t>L1</t>
        </is>
      </c>
      <c r="J150" s="21" t="inlineStr">
        <is>
          <t>Soins infirmiers</t>
        </is>
      </c>
      <c r="K150" s="21" t="inlineStr"/>
      <c r="L150" s="21" t="inlineStr">
        <is>
          <t>2025-2026</t>
        </is>
      </c>
      <c r="M150" s="21" t="inlineStr">
        <is>
          <t>Inscrit</t>
        </is>
      </c>
      <c r="N150" s="21" t="inlineStr"/>
      <c r="O150" s="21" t="inlineStr">
        <is>
          <t>import</t>
        </is>
      </c>
    </row>
    <row r="151" ht="15" customHeight="1" s="22">
      <c r="A151" s="21" t="inlineStr">
        <is>
          <t>99</t>
        </is>
      </c>
      <c r="B151" s="21" t="inlineStr">
        <is>
          <t>78514</t>
        </is>
      </c>
      <c r="C151" s="21" t="inlineStr"/>
      <c r="D151" s="21" t="inlineStr">
        <is>
          <t>ZAIDATI</t>
        </is>
      </c>
      <c r="E151" s="21" t="inlineStr">
        <is>
          <t>MOHAMED</t>
        </is>
      </c>
      <c r="F151" s="21" t="inlineStr">
        <is>
          <t>19/11/2006</t>
        </is>
      </c>
      <c r="G151" s="21" t="inlineStr">
        <is>
          <t>CHANDRA - ANJOUAN</t>
        </is>
      </c>
      <c r="H151" s="21" t="inlineStr"/>
      <c r="I151" s="21" t="inlineStr">
        <is>
          <t>L1</t>
        </is>
      </c>
      <c r="J151" s="21" t="inlineStr">
        <is>
          <t>Soins infirmiers</t>
        </is>
      </c>
      <c r="K151" s="21" t="inlineStr"/>
      <c r="L151" s="21" t="inlineStr">
        <is>
          <t>2025-2026</t>
        </is>
      </c>
      <c r="M151" s="21" t="inlineStr">
        <is>
          <t>Inscrit</t>
        </is>
      </c>
      <c r="N151" s="21" t="inlineStr"/>
      <c r="O151" s="21" t="inlineStr">
        <is>
          <t>import</t>
        </is>
      </c>
    </row>
    <row r="152" ht="15" customHeight="1" s="22">
      <c r="A152" s="21" t="inlineStr">
        <is>
          <t>100</t>
        </is>
      </c>
      <c r="B152" s="21" t="inlineStr">
        <is>
          <t>78402</t>
        </is>
      </c>
      <c r="C152" s="21" t="inlineStr"/>
      <c r="D152" s="21" t="inlineStr">
        <is>
          <t>ZIADATI</t>
        </is>
      </c>
      <c r="E152" s="21" t="inlineStr">
        <is>
          <t>BOUCHRAKI</t>
        </is>
      </c>
      <c r="F152" s="21" t="inlineStr">
        <is>
          <t>06/05/2007</t>
        </is>
      </c>
      <c r="G152" s="21" t="inlineStr">
        <is>
          <t>POSTE DE SANTE DE HOANI - MOHELI</t>
        </is>
      </c>
      <c r="H152" s="21" t="inlineStr"/>
      <c r="I152" s="21" t="inlineStr">
        <is>
          <t>L1</t>
        </is>
      </c>
      <c r="J152" s="21" t="inlineStr">
        <is>
          <t>Soins infirmiers</t>
        </is>
      </c>
      <c r="K152" s="21" t="inlineStr"/>
      <c r="L152" s="21" t="inlineStr">
        <is>
          <t>2025-2026</t>
        </is>
      </c>
      <c r="M152" s="21" t="inlineStr">
        <is>
          <t>Inscrit</t>
        </is>
      </c>
      <c r="N152" s="21" t="inlineStr"/>
      <c r="O152" s="21" t="inlineStr">
        <is>
          <t>import</t>
        </is>
      </c>
    </row>
    <row r="153" ht="15" customHeight="1" s="22">
      <c r="A153" s="21" t="inlineStr">
        <is>
          <t>1</t>
        </is>
      </c>
      <c r="B153" s="21" t="inlineStr">
        <is>
          <t>78314</t>
        </is>
      </c>
      <c r="C153" s="21" t="inlineStr"/>
      <c r="D153" s="21" t="inlineStr">
        <is>
          <t>ABDILLAH</t>
        </is>
      </c>
      <c r="E153" s="21" t="inlineStr">
        <is>
          <t>ANISSATI</t>
        </is>
      </c>
      <c r="F153" s="21" t="inlineStr">
        <is>
          <t>18/03/2005</t>
        </is>
      </c>
      <c r="G153" s="21" t="inlineStr">
        <is>
          <t>MIDJENDJENI BADJINI EST</t>
        </is>
      </c>
      <c r="H153" s="21" t="inlineStr"/>
      <c r="I153" s="21" t="inlineStr">
        <is>
          <t>L1</t>
        </is>
      </c>
      <c r="J153" s="21" t="inlineStr">
        <is>
          <t>Soins obstétricaux</t>
        </is>
      </c>
      <c r="K153" s="21" t="inlineStr"/>
      <c r="L153" s="21" t="inlineStr">
        <is>
          <t>2025-2026</t>
        </is>
      </c>
      <c r="M153" s="21" t="inlineStr">
        <is>
          <t>Inscrit</t>
        </is>
      </c>
      <c r="N153" s="21" t="inlineStr"/>
      <c r="O153" s="21" t="inlineStr">
        <is>
          <t>import</t>
        </is>
      </c>
    </row>
    <row r="154" ht="15" customHeight="1" s="22">
      <c r="A154" s="21" t="inlineStr">
        <is>
          <t>2</t>
        </is>
      </c>
      <c r="B154" s="21" t="inlineStr">
        <is>
          <t>78241</t>
        </is>
      </c>
      <c r="C154" s="21" t="inlineStr"/>
      <c r="D154" s="21" t="inlineStr">
        <is>
          <t>AHAMADA</t>
        </is>
      </c>
      <c r="E154" s="21" t="inlineStr">
        <is>
          <t>ANISSATI</t>
        </is>
      </c>
      <c r="F154" s="21" t="inlineStr">
        <is>
          <t>06/05/2006</t>
        </is>
      </c>
      <c r="G154" s="21" t="inlineStr">
        <is>
          <t>BIBAVOU - HAMANVOU</t>
        </is>
      </c>
      <c r="H154" s="21" t="inlineStr"/>
      <c r="I154" s="21" t="inlineStr">
        <is>
          <t>L1</t>
        </is>
      </c>
      <c r="J154" s="21" t="inlineStr">
        <is>
          <t>Soins obstétricaux</t>
        </is>
      </c>
      <c r="K154" s="21" t="inlineStr"/>
      <c r="L154" s="21" t="inlineStr">
        <is>
          <t>2025-2026</t>
        </is>
      </c>
      <c r="M154" s="21" t="inlineStr">
        <is>
          <t>Inscrit</t>
        </is>
      </c>
      <c r="N154" s="21" t="inlineStr"/>
      <c r="O154" s="21" t="inlineStr">
        <is>
          <t>import</t>
        </is>
      </c>
    </row>
    <row r="155" ht="15" customHeight="1" s="22">
      <c r="A155" s="21" t="inlineStr">
        <is>
          <t>3</t>
        </is>
      </c>
      <c r="B155" s="21" t="inlineStr">
        <is>
          <t>79456</t>
        </is>
      </c>
      <c r="C155" s="21" t="inlineStr"/>
      <c r="D155" s="21" t="inlineStr">
        <is>
          <t>AHAMADA</t>
        </is>
      </c>
      <c r="E155" s="21" t="inlineStr">
        <is>
          <t>IDJABOU FATIMA</t>
        </is>
      </c>
      <c r="F155" s="21" t="inlineStr">
        <is>
          <t>18/02/2008</t>
        </is>
      </c>
      <c r="G155" s="21" t="inlineStr">
        <is>
          <t>SELEANI HAMAHAMET</t>
        </is>
      </c>
      <c r="H155" s="21" t="inlineStr"/>
      <c r="I155" s="21" t="inlineStr">
        <is>
          <t>L1</t>
        </is>
      </c>
      <c r="J155" s="21" t="inlineStr">
        <is>
          <t>Soins obstétricaux</t>
        </is>
      </c>
      <c r="K155" s="21" t="inlineStr"/>
      <c r="L155" s="21" t="inlineStr">
        <is>
          <t>2025-2026</t>
        </is>
      </c>
      <c r="M155" s="21" t="inlineStr">
        <is>
          <t>Inscrit</t>
        </is>
      </c>
      <c r="N155" s="21" t="inlineStr"/>
      <c r="O155" s="21" t="inlineStr">
        <is>
          <t>import</t>
        </is>
      </c>
    </row>
    <row r="156" ht="15" customHeight="1" s="22">
      <c r="A156" s="21" t="inlineStr">
        <is>
          <t>4</t>
        </is>
      </c>
      <c r="B156" s="21" t="inlineStr">
        <is>
          <t>79176</t>
        </is>
      </c>
      <c r="C156" s="21" t="inlineStr"/>
      <c r="D156" s="21" t="inlineStr">
        <is>
          <t>ALI</t>
        </is>
      </c>
      <c r="E156" s="21" t="inlineStr">
        <is>
          <t>SAMIRA</t>
        </is>
      </c>
      <c r="F156" s="21" t="inlineStr">
        <is>
          <t>20/07/2009</t>
        </is>
      </c>
      <c r="G156" s="21" t="inlineStr">
        <is>
          <t>MVOUNI</t>
        </is>
      </c>
      <c r="H156" s="21" t="inlineStr"/>
      <c r="I156" s="21" t="inlineStr">
        <is>
          <t>L1</t>
        </is>
      </c>
      <c r="J156" s="21" t="inlineStr">
        <is>
          <t>Soins obstétricaux</t>
        </is>
      </c>
      <c r="K156" s="21" t="inlineStr"/>
      <c r="L156" s="21" t="inlineStr">
        <is>
          <t>2025-2026</t>
        </is>
      </c>
      <c r="M156" s="21" t="inlineStr">
        <is>
          <t>Inscrit</t>
        </is>
      </c>
      <c r="N156" s="21" t="inlineStr"/>
      <c r="O156" s="21" t="inlineStr">
        <is>
          <t>import</t>
        </is>
      </c>
    </row>
    <row r="157" ht="15" customHeight="1" s="22">
      <c r="A157" s="21" t="inlineStr">
        <is>
          <t>5</t>
        </is>
      </c>
      <c r="B157" s="21" t="inlineStr">
        <is>
          <t>78807</t>
        </is>
      </c>
      <c r="C157" s="21" t="inlineStr"/>
      <c r="D157" s="21" t="inlineStr">
        <is>
          <t>ALIBOU</t>
        </is>
      </c>
      <c r="E157" s="21" t="inlineStr">
        <is>
          <t>NADJILA</t>
        </is>
      </c>
      <c r="F157" s="21" t="inlineStr">
        <is>
          <t>10/03/2004</t>
        </is>
      </c>
      <c r="G157" s="21" t="inlineStr">
        <is>
          <t>OUNGONI DOMBA</t>
        </is>
      </c>
      <c r="H157" s="21" t="inlineStr"/>
      <c r="I157" s="21" t="inlineStr">
        <is>
          <t>L1</t>
        </is>
      </c>
      <c r="J157" s="21" t="inlineStr">
        <is>
          <t>Soins obstétricaux</t>
        </is>
      </c>
      <c r="K157" s="21" t="inlineStr"/>
      <c r="L157" s="21" t="inlineStr">
        <is>
          <t>2025-2026</t>
        </is>
      </c>
      <c r="M157" s="21" t="inlineStr">
        <is>
          <t>Inscrit</t>
        </is>
      </c>
      <c r="N157" s="21" t="inlineStr"/>
      <c r="O157" s="21" t="inlineStr">
        <is>
          <t>import</t>
        </is>
      </c>
    </row>
    <row r="158" ht="15" customHeight="1" s="22">
      <c r="A158" s="21" t="inlineStr">
        <is>
          <t>6</t>
        </is>
      </c>
      <c r="B158" s="21" t="inlineStr">
        <is>
          <t>78700</t>
        </is>
      </c>
      <c r="C158" s="21" t="inlineStr"/>
      <c r="D158" s="21" t="inlineStr">
        <is>
          <t>ALLAOUI</t>
        </is>
      </c>
      <c r="E158" s="21" t="inlineStr">
        <is>
          <t>ABOUHARIA</t>
        </is>
      </c>
      <c r="F158" s="21" t="inlineStr">
        <is>
          <t>15/04/2003</t>
        </is>
      </c>
      <c r="G158" s="21" t="inlineStr">
        <is>
          <t>MAOUENI - ITANDRA</t>
        </is>
      </c>
      <c r="H158" s="21" t="inlineStr"/>
      <c r="I158" s="21" t="inlineStr">
        <is>
          <t>L1</t>
        </is>
      </c>
      <c r="J158" s="21" t="inlineStr">
        <is>
          <t>Soins obstétricaux</t>
        </is>
      </c>
      <c r="K158" s="21" t="inlineStr"/>
      <c r="L158" s="21" t="inlineStr">
        <is>
          <t>2025-2026</t>
        </is>
      </c>
      <c r="M158" s="21" t="inlineStr">
        <is>
          <t>Inscrit</t>
        </is>
      </c>
      <c r="N158" s="21" t="inlineStr"/>
      <c r="O158" s="21" t="inlineStr">
        <is>
          <t>import</t>
        </is>
      </c>
    </row>
    <row r="159" ht="15" customHeight="1" s="22">
      <c r="A159" s="21" t="inlineStr">
        <is>
          <t>7</t>
        </is>
      </c>
      <c r="B159" s="21" t="inlineStr">
        <is>
          <t>78527</t>
        </is>
      </c>
      <c r="C159" s="21" t="inlineStr"/>
      <c r="D159" s="21" t="inlineStr">
        <is>
          <t>AMINA</t>
        </is>
      </c>
      <c r="E159" s="21" t="inlineStr">
        <is>
          <t>ABDOU OUSSENE</t>
        </is>
      </c>
      <c r="F159" s="21" t="inlineStr">
        <is>
          <t>02/12/2006</t>
        </is>
      </c>
      <c r="G159" s="21" t="inlineStr">
        <is>
          <t>NGANDZALE - ANJOUAN</t>
        </is>
      </c>
      <c r="H159" s="21" t="inlineStr"/>
      <c r="I159" s="21" t="inlineStr">
        <is>
          <t>L1</t>
        </is>
      </c>
      <c r="J159" s="21" t="inlineStr">
        <is>
          <t>Soins obstétricaux</t>
        </is>
      </c>
      <c r="K159" s="21" t="inlineStr"/>
      <c r="L159" s="21" t="inlineStr">
        <is>
          <t>2025-2026</t>
        </is>
      </c>
      <c r="M159" s="21" t="inlineStr">
        <is>
          <t>Inscrit</t>
        </is>
      </c>
      <c r="N159" s="21" t="inlineStr"/>
      <c r="O159" s="21" t="inlineStr">
        <is>
          <t>import</t>
        </is>
      </c>
    </row>
    <row r="160" ht="15" customHeight="1" s="22">
      <c r="A160" s="21" t="inlineStr">
        <is>
          <t>8</t>
        </is>
      </c>
      <c r="B160" s="21" t="inlineStr">
        <is>
          <t>78343</t>
        </is>
      </c>
      <c r="C160" s="21" t="inlineStr"/>
      <c r="D160" s="21" t="inlineStr">
        <is>
          <t>AMNA</t>
        </is>
      </c>
      <c r="E160" s="21" t="inlineStr">
        <is>
          <t>ALI MOUANDHOIMI</t>
        </is>
      </c>
      <c r="F160" s="21" t="inlineStr">
        <is>
          <t>27/10/2005</t>
        </is>
      </c>
      <c r="G160" s="21" t="inlineStr">
        <is>
          <t>MIRINGONI - MOHELI</t>
        </is>
      </c>
      <c r="H160" s="21" t="inlineStr"/>
      <c r="I160" s="21" t="inlineStr">
        <is>
          <t>L1</t>
        </is>
      </c>
      <c r="J160" s="21" t="inlineStr">
        <is>
          <t>Soins obstétricaux</t>
        </is>
      </c>
      <c r="K160" s="21" t="inlineStr"/>
      <c r="L160" s="21" t="inlineStr">
        <is>
          <t>2025-2026</t>
        </is>
      </c>
      <c r="M160" s="21" t="inlineStr">
        <is>
          <t>Inscrit</t>
        </is>
      </c>
      <c r="N160" s="21" t="inlineStr"/>
      <c r="O160" s="21" t="inlineStr">
        <is>
          <t>import</t>
        </is>
      </c>
    </row>
    <row r="161" ht="15" customHeight="1" s="22">
      <c r="A161" s="21" t="inlineStr">
        <is>
          <t>9</t>
        </is>
      </c>
      <c r="B161" s="21" t="inlineStr">
        <is>
          <t>73901</t>
        </is>
      </c>
      <c r="C161" s="21" t="inlineStr"/>
      <c r="D161" s="21" t="inlineStr">
        <is>
          <t>AN-YCHA</t>
        </is>
      </c>
      <c r="E161" s="21" t="inlineStr">
        <is>
          <t>HABIB</t>
        </is>
      </c>
      <c r="F161" s="21" t="inlineStr">
        <is>
          <t>23/12/2004</t>
        </is>
      </c>
      <c r="G161" s="21" t="inlineStr">
        <is>
          <t>POMONI</t>
        </is>
      </c>
      <c r="H161" s="21" t="inlineStr"/>
      <c r="I161" s="21" t="inlineStr">
        <is>
          <t>L1</t>
        </is>
      </c>
      <c r="J161" s="21" t="inlineStr">
        <is>
          <t>Soins obstétricaux</t>
        </is>
      </c>
      <c r="K161" s="21" t="inlineStr"/>
      <c r="L161" s="21" t="inlineStr">
        <is>
          <t>2025-2026</t>
        </is>
      </c>
      <c r="M161" s="21" t="inlineStr">
        <is>
          <t>Inscrit</t>
        </is>
      </c>
      <c r="N161" s="21" t="inlineStr"/>
      <c r="O161" s="21" t="inlineStr">
        <is>
          <t>import</t>
        </is>
      </c>
    </row>
    <row r="162" ht="15" customHeight="1" s="22">
      <c r="A162" s="21" t="inlineStr">
        <is>
          <t>10</t>
        </is>
      </c>
      <c r="B162" s="21" t="inlineStr">
        <is>
          <t>74640</t>
        </is>
      </c>
      <c r="C162" s="21" t="inlineStr"/>
      <c r="D162" s="21" t="inlineStr">
        <is>
          <t>ANISSA</t>
        </is>
      </c>
      <c r="E162" s="21" t="inlineStr">
        <is>
          <t>MOHAMED</t>
        </is>
      </c>
      <c r="F162" s="21" t="inlineStr">
        <is>
          <t>15/08/2006</t>
        </is>
      </c>
      <c r="G162" s="21" t="inlineStr">
        <is>
          <t>MORONI</t>
        </is>
      </c>
      <c r="H162" s="21" t="inlineStr"/>
      <c r="I162" s="21" t="inlineStr">
        <is>
          <t>L1</t>
        </is>
      </c>
      <c r="J162" s="21" t="inlineStr">
        <is>
          <t>Soins obstétricaux</t>
        </is>
      </c>
      <c r="K162" s="21" t="inlineStr"/>
      <c r="L162" s="21" t="inlineStr">
        <is>
          <t>2025-2026</t>
        </is>
      </c>
      <c r="M162" s="21" t="inlineStr">
        <is>
          <t>Inscrit</t>
        </is>
      </c>
      <c r="N162" s="21" t="inlineStr"/>
      <c r="O162" s="21" t="inlineStr">
        <is>
          <t>import</t>
        </is>
      </c>
    </row>
    <row r="163" ht="15" customHeight="1" s="22">
      <c r="A163" s="21" t="inlineStr">
        <is>
          <t>11</t>
        </is>
      </c>
      <c r="B163" s="21" t="inlineStr">
        <is>
          <t>73486</t>
        </is>
      </c>
      <c r="C163" s="21" t="inlineStr"/>
      <c r="D163" s="21" t="inlineStr">
        <is>
          <t>ANRFIAT</t>
        </is>
      </c>
      <c r="E163" s="21" t="inlineStr">
        <is>
          <t>MOHAMED</t>
        </is>
      </c>
      <c r="F163" s="21" t="inlineStr">
        <is>
          <t>07/05/2004</t>
        </is>
      </c>
      <c r="G163" s="21" t="inlineStr">
        <is>
          <t>HACHIPENDA - ANJOUAN</t>
        </is>
      </c>
      <c r="H163" s="21" t="inlineStr"/>
      <c r="I163" s="21" t="inlineStr">
        <is>
          <t>L1</t>
        </is>
      </c>
      <c r="J163" s="21" t="inlineStr">
        <is>
          <t>Soins obstétricaux</t>
        </is>
      </c>
      <c r="K163" s="21" t="inlineStr"/>
      <c r="L163" s="21" t="inlineStr">
        <is>
          <t>2025-2026</t>
        </is>
      </c>
      <c r="M163" s="21" t="inlineStr">
        <is>
          <t>Inscrit</t>
        </is>
      </c>
      <c r="N163" s="21" t="inlineStr"/>
      <c r="O163" s="21" t="inlineStr">
        <is>
          <t>import</t>
        </is>
      </c>
    </row>
    <row r="164" ht="15" customHeight="1" s="22">
      <c r="A164" s="21" t="inlineStr">
        <is>
          <t>12</t>
        </is>
      </c>
      <c r="B164" s="21" t="inlineStr">
        <is>
          <t>76545</t>
        </is>
      </c>
      <c r="C164" s="21" t="inlineStr"/>
      <c r="D164" s="21" t="inlineStr">
        <is>
          <t>ASMA</t>
        </is>
      </c>
      <c r="E164" s="21" t="inlineStr">
        <is>
          <t>AHMED</t>
        </is>
      </c>
      <c r="F164" s="21" t="inlineStr">
        <is>
          <t>21/12/2005</t>
        </is>
      </c>
      <c r="G164" s="21" t="inlineStr">
        <is>
          <t>MATERNITE DE MORONI</t>
        </is>
      </c>
      <c r="H164" s="21" t="inlineStr"/>
      <c r="I164" s="21" t="inlineStr">
        <is>
          <t>L1</t>
        </is>
      </c>
      <c r="J164" s="21" t="inlineStr">
        <is>
          <t>Soins obstétricaux</t>
        </is>
      </c>
      <c r="K164" s="21" t="inlineStr"/>
      <c r="L164" s="21" t="inlineStr">
        <is>
          <t>2025-2026</t>
        </is>
      </c>
      <c r="M164" s="21" t="inlineStr">
        <is>
          <t>Inscrit</t>
        </is>
      </c>
      <c r="N164" s="21" t="inlineStr"/>
      <c r="O164" s="21" t="inlineStr">
        <is>
          <t>import</t>
        </is>
      </c>
    </row>
    <row r="165" ht="15" customHeight="1" s="22">
      <c r="A165" s="21" t="inlineStr">
        <is>
          <t>13</t>
        </is>
      </c>
      <c r="B165" s="21" t="inlineStr">
        <is>
          <t>78600</t>
        </is>
      </c>
      <c r="C165" s="21" t="inlineStr"/>
      <c r="D165" s="21" t="inlineStr">
        <is>
          <t>ASMA</t>
        </is>
      </c>
      <c r="E165" s="21" t="inlineStr">
        <is>
          <t>DJAILANE</t>
        </is>
      </c>
      <c r="F165" s="21" t="inlineStr">
        <is>
          <t>11/08/2006</t>
        </is>
      </c>
      <c r="G165" s="21" t="inlineStr">
        <is>
          <t>MTE DE MORONI</t>
        </is>
      </c>
      <c r="H165" s="21" t="inlineStr"/>
      <c r="I165" s="21" t="inlineStr">
        <is>
          <t>L1</t>
        </is>
      </c>
      <c r="J165" s="21" t="inlineStr">
        <is>
          <t>Soins obstétricaux</t>
        </is>
      </c>
      <c r="K165" s="21" t="inlineStr"/>
      <c r="L165" s="21" t="inlineStr">
        <is>
          <t>2025-2026</t>
        </is>
      </c>
      <c r="M165" s="21" t="inlineStr">
        <is>
          <t>Inscrit</t>
        </is>
      </c>
      <c r="N165" s="21" t="inlineStr"/>
      <c r="O165" s="21" t="inlineStr">
        <is>
          <t>import</t>
        </is>
      </c>
    </row>
    <row r="166" ht="15" customHeight="1" s="22">
      <c r="A166" s="21" t="inlineStr">
        <is>
          <t>14</t>
        </is>
      </c>
      <c r="B166" s="21" t="inlineStr">
        <is>
          <t>78918</t>
        </is>
      </c>
      <c r="C166" s="21" t="inlineStr"/>
      <c r="D166" s="21" t="inlineStr">
        <is>
          <t>ASSIAT</t>
        </is>
      </c>
      <c r="E166" s="21" t="inlineStr">
        <is>
          <t>AHAMADA MBAE</t>
        </is>
      </c>
      <c r="F166" s="21" t="inlineStr">
        <is>
          <t>19/06/2007</t>
        </is>
      </c>
      <c r="G166" s="21" t="inlineStr">
        <is>
          <t>MTE DE MORONI</t>
        </is>
      </c>
      <c r="H166" s="21" t="inlineStr"/>
      <c r="I166" s="21" t="inlineStr">
        <is>
          <t>L1</t>
        </is>
      </c>
      <c r="J166" s="21" t="inlineStr">
        <is>
          <t>Soins obstétricaux</t>
        </is>
      </c>
      <c r="K166" s="21" t="inlineStr"/>
      <c r="L166" s="21" t="inlineStr">
        <is>
          <t>2025-2026</t>
        </is>
      </c>
      <c r="M166" s="21" t="inlineStr">
        <is>
          <t>Inscrit</t>
        </is>
      </c>
      <c r="N166" s="21" t="inlineStr"/>
      <c r="O166" s="21" t="inlineStr">
        <is>
          <t>import</t>
        </is>
      </c>
    </row>
    <row r="167" ht="15" customHeight="1" s="22">
      <c r="A167" s="21" t="inlineStr">
        <is>
          <t>15</t>
        </is>
      </c>
      <c r="B167" s="21" t="inlineStr">
        <is>
          <t>78751</t>
        </is>
      </c>
      <c r="C167" s="21" t="inlineStr"/>
      <c r="D167" s="21" t="inlineStr">
        <is>
          <t>BAHATI</t>
        </is>
      </c>
      <c r="E167" s="21" t="inlineStr">
        <is>
          <t>SAINDOU SOILIHI</t>
        </is>
      </c>
      <c r="F167" s="21" t="inlineStr">
        <is>
          <t>06/08/2006</t>
        </is>
      </c>
      <c r="G167" s="21" t="inlineStr">
        <is>
          <t>MTE DE MORONI</t>
        </is>
      </c>
      <c r="H167" s="21" t="inlineStr"/>
      <c r="I167" s="21" t="inlineStr">
        <is>
          <t>L1</t>
        </is>
      </c>
      <c r="J167" s="21" t="inlineStr">
        <is>
          <t>Soins obstétricaux</t>
        </is>
      </c>
      <c r="K167" s="21" t="inlineStr"/>
      <c r="L167" s="21" t="inlineStr">
        <is>
          <t>2025-2026</t>
        </is>
      </c>
      <c r="M167" s="21" t="inlineStr">
        <is>
          <t>Inscrit</t>
        </is>
      </c>
      <c r="N167" s="21" t="inlineStr"/>
      <c r="O167" s="21" t="inlineStr">
        <is>
          <t>import</t>
        </is>
      </c>
    </row>
    <row r="168" ht="15" customHeight="1" s="22">
      <c r="A168" s="21" t="inlineStr">
        <is>
          <t>16</t>
        </is>
      </c>
      <c r="B168" s="21" t="inlineStr">
        <is>
          <t>78446</t>
        </is>
      </c>
      <c r="C168" s="21" t="inlineStr"/>
      <c r="D168" s="21" t="inlineStr">
        <is>
          <t>BIHAWA</t>
        </is>
      </c>
      <c r="E168" s="21" t="inlineStr">
        <is>
          <t>HAMIDOU HAMADA</t>
        </is>
      </c>
      <c r="F168" s="21" t="inlineStr">
        <is>
          <t>21/04/2007</t>
        </is>
      </c>
      <c r="G168" s="21" t="inlineStr">
        <is>
          <t>MORONI</t>
        </is>
      </c>
      <c r="H168" s="21" t="inlineStr"/>
      <c r="I168" s="21" t="inlineStr">
        <is>
          <t>L1</t>
        </is>
      </c>
      <c r="J168" s="21" t="inlineStr">
        <is>
          <t>Soins obstétricaux</t>
        </is>
      </c>
      <c r="K168" s="21" t="inlineStr"/>
      <c r="L168" s="21" t="inlineStr">
        <is>
          <t>2025-2026</t>
        </is>
      </c>
      <c r="M168" s="21" t="inlineStr">
        <is>
          <t>Inscrit</t>
        </is>
      </c>
      <c r="N168" s="21" t="inlineStr"/>
      <c r="O168" s="21" t="inlineStr">
        <is>
          <t>import</t>
        </is>
      </c>
    </row>
    <row r="169" ht="15" customHeight="1" s="22">
      <c r="A169" s="21" t="inlineStr">
        <is>
          <t>17</t>
        </is>
      </c>
      <c r="B169" s="21" t="inlineStr">
        <is>
          <t>78285</t>
        </is>
      </c>
      <c r="C169" s="21" t="inlineStr"/>
      <c r="D169" s="21" t="inlineStr">
        <is>
          <t>BINOUR</t>
        </is>
      </c>
      <c r="E169" s="21" t="inlineStr">
        <is>
          <t>AHAMADA</t>
        </is>
      </c>
      <c r="F169" s="21" t="inlineStr">
        <is>
          <t>12/04/2007</t>
        </is>
      </c>
      <c r="G169" s="21" t="inlineStr">
        <is>
          <t>MATERNITE DE MORONI</t>
        </is>
      </c>
      <c r="H169" s="21" t="inlineStr"/>
      <c r="I169" s="21" t="inlineStr">
        <is>
          <t>L1</t>
        </is>
      </c>
      <c r="J169" s="21" t="inlineStr">
        <is>
          <t>Soins obstétricaux</t>
        </is>
      </c>
      <c r="K169" s="21" t="inlineStr"/>
      <c r="L169" s="21" t="inlineStr">
        <is>
          <t>2025-2026</t>
        </is>
      </c>
      <c r="M169" s="21" t="inlineStr">
        <is>
          <t>Inscrit</t>
        </is>
      </c>
      <c r="N169" s="21" t="inlineStr"/>
      <c r="O169" s="21" t="inlineStr">
        <is>
          <t>import</t>
        </is>
      </c>
    </row>
    <row r="170" ht="15" customHeight="1" s="22">
      <c r="A170" s="21" t="inlineStr">
        <is>
          <t>18</t>
        </is>
      </c>
      <c r="B170" s="21" t="inlineStr">
        <is>
          <t>79049</t>
        </is>
      </c>
      <c r="C170" s="21" t="inlineStr"/>
      <c r="D170" s="21" t="inlineStr">
        <is>
          <t>CHAFIKA</t>
        </is>
      </c>
      <c r="E170" s="21" t="inlineStr">
        <is>
          <t>ALI MOUSSA</t>
        </is>
      </c>
      <c r="F170" s="21" t="inlineStr">
        <is>
          <t>23/06/2003</t>
        </is>
      </c>
      <c r="G170" s="21" t="inlineStr">
        <is>
          <t>MTE D'OUZIOINI</t>
        </is>
      </c>
      <c r="H170" s="21" t="inlineStr"/>
      <c r="I170" s="21" t="inlineStr">
        <is>
          <t>L1</t>
        </is>
      </c>
      <c r="J170" s="21" t="inlineStr">
        <is>
          <t>Soins obstétricaux</t>
        </is>
      </c>
      <c r="K170" s="21" t="inlineStr"/>
      <c r="L170" s="21" t="inlineStr">
        <is>
          <t>2025-2026</t>
        </is>
      </c>
      <c r="M170" s="21" t="inlineStr">
        <is>
          <t>Inscrit</t>
        </is>
      </c>
      <c r="N170" s="21" t="inlineStr"/>
      <c r="O170" s="21" t="inlineStr">
        <is>
          <t>import</t>
        </is>
      </c>
    </row>
    <row r="171" ht="15" customHeight="1" s="22">
      <c r="A171" s="21" t="inlineStr">
        <is>
          <t>19</t>
        </is>
      </c>
      <c r="B171" s="21" t="inlineStr">
        <is>
          <t>77875</t>
        </is>
      </c>
      <c r="C171" s="21" t="inlineStr"/>
      <c r="D171" s="21" t="inlineStr">
        <is>
          <t>CHAMASSI</t>
        </is>
      </c>
      <c r="E171" s="21" t="inlineStr">
        <is>
          <t>NEMATA</t>
        </is>
      </c>
      <c r="F171" s="21" t="inlineStr">
        <is>
          <t>21/06/2007</t>
        </is>
      </c>
      <c r="G171" s="21" t="inlineStr">
        <is>
          <t>MBENI</t>
        </is>
      </c>
      <c r="H171" s="21" t="inlineStr"/>
      <c r="I171" s="21" t="inlineStr">
        <is>
          <t>L1</t>
        </is>
      </c>
      <c r="J171" s="21" t="inlineStr">
        <is>
          <t>Soins obstétricaux</t>
        </is>
      </c>
      <c r="K171" s="21" t="inlineStr"/>
      <c r="L171" s="21" t="inlineStr">
        <is>
          <t>2025-2026</t>
        </is>
      </c>
      <c r="M171" s="21" t="inlineStr">
        <is>
          <t>Inscrit</t>
        </is>
      </c>
      <c r="N171" s="21" t="inlineStr"/>
      <c r="O171" s="21" t="inlineStr">
        <is>
          <t>import</t>
        </is>
      </c>
    </row>
    <row r="172" ht="15" customHeight="1" s="22">
      <c r="A172" s="21" t="inlineStr">
        <is>
          <t>20</t>
        </is>
      </c>
      <c r="B172" s="21" t="inlineStr">
        <is>
          <t>77521</t>
        </is>
      </c>
      <c r="C172" s="21" t="inlineStr"/>
      <c r="D172" s="21" t="inlineStr">
        <is>
          <t>CHOURANIYA</t>
        </is>
      </c>
      <c r="E172" s="21" t="inlineStr">
        <is>
          <t>ALI AHMED</t>
        </is>
      </c>
      <c r="F172" s="21" t="inlineStr">
        <is>
          <t>09/03/2006</t>
        </is>
      </c>
      <c r="G172" s="21" t="inlineStr">
        <is>
          <t>MTE DE HOMBO ANJOUAN</t>
        </is>
      </c>
      <c r="H172" s="21" t="inlineStr"/>
      <c r="I172" s="21" t="inlineStr">
        <is>
          <t>L1</t>
        </is>
      </c>
      <c r="J172" s="21" t="inlineStr">
        <is>
          <t>Soins obstétricaux</t>
        </is>
      </c>
      <c r="K172" s="21" t="inlineStr"/>
      <c r="L172" s="21" t="inlineStr">
        <is>
          <t>2025-2026</t>
        </is>
      </c>
      <c r="M172" s="21" t="inlineStr">
        <is>
          <t>Inscrit</t>
        </is>
      </c>
      <c r="N172" s="21" t="inlineStr"/>
      <c r="O172" s="21" t="inlineStr">
        <is>
          <t>import</t>
        </is>
      </c>
    </row>
    <row r="173" ht="15" customHeight="1" s="22">
      <c r="A173" s="21" t="inlineStr">
        <is>
          <t>21</t>
        </is>
      </c>
      <c r="B173" s="21" t="inlineStr">
        <is>
          <t>75128</t>
        </is>
      </c>
      <c r="C173" s="21" t="inlineStr"/>
      <c r="D173" s="21" t="inlineStr">
        <is>
          <t>COMBO</t>
        </is>
      </c>
      <c r="E173" s="21" t="inlineStr">
        <is>
          <t>FASSOULA</t>
        </is>
      </c>
      <c r="F173" s="21" t="inlineStr">
        <is>
          <t>20/11/2006</t>
        </is>
      </c>
      <c r="G173" s="21" t="inlineStr">
        <is>
          <t>CS TSEMBEHOU ANJOUAN</t>
        </is>
      </c>
      <c r="H173" s="21" t="inlineStr"/>
      <c r="I173" s="21" t="inlineStr">
        <is>
          <t>L1</t>
        </is>
      </c>
      <c r="J173" s="21" t="inlineStr">
        <is>
          <t>Soins obstétricaux</t>
        </is>
      </c>
      <c r="K173" s="21" t="inlineStr"/>
      <c r="L173" s="21" t="inlineStr">
        <is>
          <t>2025-2026</t>
        </is>
      </c>
      <c r="M173" s="21" t="inlineStr">
        <is>
          <t>Inscrit</t>
        </is>
      </c>
      <c r="N173" s="21" t="inlineStr"/>
      <c r="O173" s="21" t="inlineStr">
        <is>
          <t>import</t>
        </is>
      </c>
    </row>
    <row r="174" ht="15" customHeight="1" s="22">
      <c r="A174" s="21" t="inlineStr">
        <is>
          <t>22</t>
        </is>
      </c>
      <c r="B174" s="21" t="inlineStr">
        <is>
          <t>76790</t>
        </is>
      </c>
      <c r="C174" s="21" t="inlineStr"/>
      <c r="D174" s="21" t="inlineStr">
        <is>
          <t>DJAOUOIRIA</t>
        </is>
      </c>
      <c r="E174" s="21" t="inlineStr">
        <is>
          <t>ADJILANE</t>
        </is>
      </c>
      <c r="F174" s="21" t="inlineStr">
        <is>
          <t>29/11/2008</t>
        </is>
      </c>
      <c r="G174" s="21" t="inlineStr">
        <is>
          <t>MTE DE BANDAMADJI - DOMBA</t>
        </is>
      </c>
      <c r="H174" s="21" t="inlineStr"/>
      <c r="I174" s="21" t="inlineStr">
        <is>
          <t>L1</t>
        </is>
      </c>
      <c r="J174" s="21" t="inlineStr">
        <is>
          <t>Soins obstétricaux</t>
        </is>
      </c>
      <c r="K174" s="21" t="inlineStr"/>
      <c r="L174" s="21" t="inlineStr">
        <is>
          <t>2025-2026</t>
        </is>
      </c>
      <c r="M174" s="21" t="inlineStr">
        <is>
          <t>Inscrit</t>
        </is>
      </c>
      <c r="N174" s="21" t="inlineStr"/>
      <c r="O174" s="21" t="inlineStr">
        <is>
          <t>import</t>
        </is>
      </c>
    </row>
    <row r="175" ht="15" customHeight="1" s="22">
      <c r="A175" s="21" t="inlineStr">
        <is>
          <t>23</t>
        </is>
      </c>
      <c r="B175" s="21" t="inlineStr">
        <is>
          <t>75756</t>
        </is>
      </c>
      <c r="C175" s="21" t="inlineStr"/>
      <c r="D175" s="21" t="inlineStr">
        <is>
          <t>DJOURDATI</t>
        </is>
      </c>
      <c r="E175" s="21" t="inlineStr">
        <is>
          <t>AHAMADA</t>
        </is>
      </c>
      <c r="F175" s="21" t="inlineStr">
        <is>
          <t>28/03/2004</t>
        </is>
      </c>
      <c r="G175" s="21" t="inlineStr">
        <is>
          <t>KOVE BADJINI EST</t>
        </is>
      </c>
      <c r="H175" s="21" t="inlineStr"/>
      <c r="I175" s="21" t="inlineStr">
        <is>
          <t>L1</t>
        </is>
      </c>
      <c r="J175" s="21" t="inlineStr">
        <is>
          <t>Soins obstétricaux</t>
        </is>
      </c>
      <c r="K175" s="21" t="inlineStr"/>
      <c r="L175" s="21" t="inlineStr">
        <is>
          <t>2025-2026</t>
        </is>
      </c>
      <c r="M175" s="21" t="inlineStr">
        <is>
          <t>Inscrit</t>
        </is>
      </c>
      <c r="N175" s="21" t="inlineStr"/>
      <c r="O175" s="21" t="inlineStr">
        <is>
          <t>import</t>
        </is>
      </c>
    </row>
    <row r="176" ht="15" customHeight="1" s="22">
      <c r="A176" s="21" t="inlineStr">
        <is>
          <t>24</t>
        </is>
      </c>
      <c r="B176" s="21" t="inlineStr">
        <is>
          <t>78574</t>
        </is>
      </c>
      <c r="C176" s="21" t="inlineStr"/>
      <c r="D176" s="21" t="inlineStr">
        <is>
          <t>FAIDHOITI</t>
        </is>
      </c>
      <c r="E176" s="21" t="inlineStr">
        <is>
          <t>NABOUHANE</t>
        </is>
      </c>
      <c r="F176" s="21" t="inlineStr">
        <is>
          <t>28/06/2006</t>
        </is>
      </c>
      <c r="G176" s="21" t="inlineStr">
        <is>
          <t>HOPITAL DE TSEMBEHOU - ANJOUAN</t>
        </is>
      </c>
      <c r="H176" s="21" t="inlineStr"/>
      <c r="I176" s="21" t="inlineStr">
        <is>
          <t>L1</t>
        </is>
      </c>
      <c r="J176" s="21" t="inlineStr">
        <is>
          <t>Soins obstétricaux</t>
        </is>
      </c>
      <c r="K176" s="21" t="inlineStr"/>
      <c r="L176" s="21" t="inlineStr">
        <is>
          <t>2025-2026</t>
        </is>
      </c>
      <c r="M176" s="21" t="inlineStr">
        <is>
          <t>Inscrit</t>
        </is>
      </c>
      <c r="N176" s="21" t="inlineStr"/>
      <c r="O176" s="21" t="inlineStr">
        <is>
          <t>import</t>
        </is>
      </c>
    </row>
    <row r="177" ht="15" customHeight="1" s="22">
      <c r="A177" s="21" t="inlineStr">
        <is>
          <t>25</t>
        </is>
      </c>
      <c r="B177" s="21" t="inlineStr">
        <is>
          <t>78810</t>
        </is>
      </c>
      <c r="C177" s="21" t="inlineStr"/>
      <c r="D177" s="21" t="inlineStr">
        <is>
          <t>FAOULA</t>
        </is>
      </c>
      <c r="E177" s="21" t="inlineStr">
        <is>
          <t>YOUSSOUF</t>
        </is>
      </c>
      <c r="F177" s="21" t="inlineStr">
        <is>
          <t>19/12/2006</t>
        </is>
      </c>
      <c r="G177" s="21" t="inlineStr">
        <is>
          <t>OUNGONI DOMBA</t>
        </is>
      </c>
      <c r="H177" s="21" t="inlineStr"/>
      <c r="I177" s="21" t="inlineStr">
        <is>
          <t>L1</t>
        </is>
      </c>
      <c r="J177" s="21" t="inlineStr">
        <is>
          <t>Soins obstétricaux</t>
        </is>
      </c>
      <c r="K177" s="21" t="inlineStr"/>
      <c r="L177" s="21" t="inlineStr">
        <is>
          <t>2025-2026</t>
        </is>
      </c>
      <c r="M177" s="21" t="inlineStr">
        <is>
          <t>Inscrit</t>
        </is>
      </c>
      <c r="N177" s="21" t="inlineStr"/>
      <c r="O177" s="21" t="inlineStr">
        <is>
          <t>import</t>
        </is>
      </c>
    </row>
    <row r="178" ht="15" customHeight="1" s="22">
      <c r="A178" s="21" t="inlineStr">
        <is>
          <t>26</t>
        </is>
      </c>
      <c r="B178" s="21" t="inlineStr">
        <is>
          <t>78312</t>
        </is>
      </c>
      <c r="C178" s="21" t="inlineStr"/>
      <c r="D178" s="21" t="inlineStr">
        <is>
          <t>FATIMA</t>
        </is>
      </c>
      <c r="E178" s="21" t="inlineStr">
        <is>
          <t>ALI</t>
        </is>
      </c>
      <c r="F178" s="21" t="inlineStr">
        <is>
          <t>07/02/2004</t>
        </is>
      </c>
      <c r="G178" s="21" t="inlineStr">
        <is>
          <t>MAMOUDZOU MAYOTTE</t>
        </is>
      </c>
      <c r="H178" s="21" t="inlineStr"/>
      <c r="I178" s="21" t="inlineStr">
        <is>
          <t>L1</t>
        </is>
      </c>
      <c r="J178" s="21" t="inlineStr">
        <is>
          <t>Soins obstétricaux</t>
        </is>
      </c>
      <c r="K178" s="21" t="inlineStr"/>
      <c r="L178" s="21" t="inlineStr">
        <is>
          <t>2025-2026</t>
        </is>
      </c>
      <c r="M178" s="21" t="inlineStr">
        <is>
          <t>Inscrit</t>
        </is>
      </c>
      <c r="N178" s="21" t="inlineStr"/>
      <c r="O178" s="21" t="inlineStr">
        <is>
          <t>import</t>
        </is>
      </c>
    </row>
    <row r="179" ht="15" customHeight="1" s="22">
      <c r="A179" s="21" t="inlineStr">
        <is>
          <t>27</t>
        </is>
      </c>
      <c r="B179" s="21" t="inlineStr">
        <is>
          <t>79008</t>
        </is>
      </c>
      <c r="C179" s="21" t="inlineStr"/>
      <c r="D179" s="21" t="inlineStr">
        <is>
          <t>FATIMA</t>
        </is>
      </c>
      <c r="E179" s="21" t="inlineStr">
        <is>
          <t>BEN ABDOU SOA</t>
        </is>
      </c>
      <c r="F179" s="21" t="inlineStr">
        <is>
          <t>18/10/2006</t>
        </is>
      </c>
      <c r="G179" s="21" t="inlineStr">
        <is>
          <t>MTE DE MORONI</t>
        </is>
      </c>
      <c r="H179" s="21" t="inlineStr"/>
      <c r="I179" s="21" t="inlineStr">
        <is>
          <t>L1</t>
        </is>
      </c>
      <c r="J179" s="21" t="inlineStr">
        <is>
          <t>Soins obstétricaux</t>
        </is>
      </c>
      <c r="K179" s="21" t="inlineStr"/>
      <c r="L179" s="21" t="inlineStr">
        <is>
          <t>2025-2026</t>
        </is>
      </c>
      <c r="M179" s="21" t="inlineStr">
        <is>
          <t>Inscrit</t>
        </is>
      </c>
      <c r="N179" s="21" t="inlineStr"/>
      <c r="O179" s="21" t="inlineStr">
        <is>
          <t>import</t>
        </is>
      </c>
    </row>
    <row r="180" ht="15" customHeight="1" s="22">
      <c r="A180" s="21" t="inlineStr">
        <is>
          <t>28</t>
        </is>
      </c>
      <c r="B180" s="21" t="inlineStr">
        <is>
          <t>80051</t>
        </is>
      </c>
      <c r="C180" s="21" t="inlineStr"/>
      <c r="D180" s="21" t="inlineStr">
        <is>
          <t>HADIDJA</t>
        </is>
      </c>
      <c r="E180" s="21" t="inlineStr">
        <is>
          <t>MOHAMED</t>
        </is>
      </c>
      <c r="F180" s="21" t="inlineStr">
        <is>
          <t>11/03/2007</t>
        </is>
      </c>
      <c r="G180" s="21" t="inlineStr">
        <is>
          <t>MTE DE MORONI</t>
        </is>
      </c>
      <c r="H180" s="21" t="inlineStr"/>
      <c r="I180" s="21" t="inlineStr">
        <is>
          <t>L1</t>
        </is>
      </c>
      <c r="J180" s="21" t="inlineStr">
        <is>
          <t>Soins obstétricaux</t>
        </is>
      </c>
      <c r="K180" s="21" t="inlineStr"/>
      <c r="L180" s="21" t="inlineStr">
        <is>
          <t>2025-2026</t>
        </is>
      </c>
      <c r="M180" s="21" t="inlineStr">
        <is>
          <t>Inscrit</t>
        </is>
      </c>
      <c r="N180" s="21" t="inlineStr"/>
      <c r="O180" s="21" t="inlineStr">
        <is>
          <t>import</t>
        </is>
      </c>
    </row>
    <row r="181" ht="15" customHeight="1" s="22">
      <c r="A181" s="21" t="inlineStr">
        <is>
          <t>29</t>
        </is>
      </c>
      <c r="B181" s="21" t="inlineStr">
        <is>
          <t>80223</t>
        </is>
      </c>
      <c r="C181" s="21" t="inlineStr"/>
      <c r="D181" s="21" t="inlineStr">
        <is>
          <t>HADIDJA</t>
        </is>
      </c>
      <c r="E181" s="21" t="inlineStr">
        <is>
          <t>MOURDI DJAZA</t>
        </is>
      </c>
      <c r="F181" s="21" t="inlineStr">
        <is>
          <t>15/03/2005</t>
        </is>
      </c>
      <c r="G181" s="21" t="inlineStr">
        <is>
          <t>KANGANI - MOHELI</t>
        </is>
      </c>
      <c r="H181" s="21" t="inlineStr"/>
      <c r="I181" s="21" t="inlineStr">
        <is>
          <t>L1</t>
        </is>
      </c>
      <c r="J181" s="21" t="inlineStr">
        <is>
          <t>Soins obstétricaux</t>
        </is>
      </c>
      <c r="K181" s="21" t="inlineStr"/>
      <c r="L181" s="21" t="inlineStr">
        <is>
          <t>2025-2026</t>
        </is>
      </c>
      <c r="M181" s="21" t="inlineStr">
        <is>
          <t>Inscrit</t>
        </is>
      </c>
      <c r="N181" s="21" t="inlineStr"/>
      <c r="O181" s="21" t="inlineStr">
        <is>
          <t>import</t>
        </is>
      </c>
    </row>
    <row r="182" ht="15" customHeight="1" s="22">
      <c r="A182" s="21" t="inlineStr">
        <is>
          <t>30</t>
        </is>
      </c>
      <c r="B182" s="21" t="inlineStr">
        <is>
          <t>78760</t>
        </is>
      </c>
      <c r="C182" s="21" t="inlineStr"/>
      <c r="D182" s="21" t="inlineStr">
        <is>
          <t>HASSANI</t>
        </is>
      </c>
      <c r="E182" s="21" t="inlineStr">
        <is>
          <t>FAZILA</t>
        </is>
      </c>
      <c r="F182" s="21" t="inlineStr">
        <is>
          <t>22/04/2008</t>
        </is>
      </c>
      <c r="G182" s="21" t="inlineStr">
        <is>
          <t>MORONI</t>
        </is>
      </c>
      <c r="H182" s="21" t="inlineStr"/>
      <c r="I182" s="21" t="inlineStr">
        <is>
          <t>L1</t>
        </is>
      </c>
      <c r="J182" s="21" t="inlineStr">
        <is>
          <t>Soins obstétricaux</t>
        </is>
      </c>
      <c r="K182" s="21" t="inlineStr"/>
      <c r="L182" s="21" t="inlineStr">
        <is>
          <t>2025-2026</t>
        </is>
      </c>
      <c r="M182" s="21" t="inlineStr">
        <is>
          <t>Inscrit</t>
        </is>
      </c>
      <c r="N182" s="21" t="inlineStr"/>
      <c r="O182" s="21" t="inlineStr">
        <is>
          <t>import</t>
        </is>
      </c>
    </row>
    <row r="183" ht="15" customHeight="1" s="22">
      <c r="A183" s="21" t="inlineStr">
        <is>
          <t>31</t>
        </is>
      </c>
      <c r="B183" s="21" t="inlineStr">
        <is>
          <t>78975</t>
        </is>
      </c>
      <c r="C183" s="21" t="inlineStr"/>
      <c r="D183" s="21" t="inlineStr">
        <is>
          <t>HASSANI</t>
        </is>
      </c>
      <c r="E183" s="21" t="inlineStr">
        <is>
          <t>NASRIAT</t>
        </is>
      </c>
      <c r="F183" s="21" t="inlineStr">
        <is>
          <t>24/10/2005</t>
        </is>
      </c>
      <c r="G183" s="21" t="inlineStr">
        <is>
          <t>SAMBAMBODONI ITSANDRA</t>
        </is>
      </c>
      <c r="H183" s="21" t="inlineStr"/>
      <c r="I183" s="21" t="inlineStr">
        <is>
          <t>L1</t>
        </is>
      </c>
      <c r="J183" s="21" t="inlineStr">
        <is>
          <t>Soins obstétricaux</t>
        </is>
      </c>
      <c r="K183" s="21" t="inlineStr"/>
      <c r="L183" s="21" t="inlineStr">
        <is>
          <t>2025-2026</t>
        </is>
      </c>
      <c r="M183" s="21" t="inlineStr">
        <is>
          <t>Inscrit</t>
        </is>
      </c>
      <c r="N183" s="21" t="inlineStr"/>
      <c r="O183" s="21" t="inlineStr">
        <is>
          <t>import</t>
        </is>
      </c>
    </row>
    <row r="184" ht="15" customHeight="1" s="22">
      <c r="A184" s="21" t="inlineStr">
        <is>
          <t>32</t>
        </is>
      </c>
      <c r="B184" s="21" t="inlineStr">
        <is>
          <t>78103</t>
        </is>
      </c>
      <c r="C184" s="21" t="inlineStr"/>
      <c r="D184" s="21" t="inlineStr">
        <is>
          <t>ISTIFHAM</t>
        </is>
      </c>
      <c r="E184" s="21" t="inlineStr">
        <is>
          <t>BINTY KASSIM AHAMADA</t>
        </is>
      </c>
      <c r="F184" s="21" t="inlineStr">
        <is>
          <t>14/02/2007</t>
        </is>
      </c>
      <c r="G184" s="21" t="inlineStr">
        <is>
          <t>MTE DE FOMBONI - MOHELI</t>
        </is>
      </c>
      <c r="H184" s="21" t="inlineStr"/>
      <c r="I184" s="21" t="inlineStr">
        <is>
          <t>L1</t>
        </is>
      </c>
      <c r="J184" s="21" t="inlineStr">
        <is>
          <t>Soins obstétricaux</t>
        </is>
      </c>
      <c r="K184" s="21" t="inlineStr"/>
      <c r="L184" s="21" t="inlineStr">
        <is>
          <t>2025-2026</t>
        </is>
      </c>
      <c r="M184" s="21" t="inlineStr">
        <is>
          <t>Inscrit</t>
        </is>
      </c>
      <c r="N184" s="21" t="inlineStr"/>
      <c r="O184" s="21" t="inlineStr">
        <is>
          <t>import</t>
        </is>
      </c>
    </row>
    <row r="185" ht="15" customHeight="1" s="22">
      <c r="A185" s="21" t="inlineStr">
        <is>
          <t>33</t>
        </is>
      </c>
      <c r="B185" s="21" t="inlineStr">
        <is>
          <t>78142</t>
        </is>
      </c>
      <c r="C185" s="21" t="inlineStr"/>
      <c r="D185" s="21" t="inlineStr">
        <is>
          <t>KARIMA</t>
        </is>
      </c>
      <c r="E185" s="21" t="inlineStr">
        <is>
          <t>BINTI MANSOUR MOHAMED</t>
        </is>
      </c>
      <c r="F185" s="21" t="inlineStr">
        <is>
          <t>21/02/2006</t>
        </is>
      </c>
      <c r="G185" s="21" t="inlineStr">
        <is>
          <t>FOMBONI - MOHELI</t>
        </is>
      </c>
      <c r="H185" s="21" t="inlineStr"/>
      <c r="I185" s="21" t="inlineStr">
        <is>
          <t>L1</t>
        </is>
      </c>
      <c r="J185" s="21" t="inlineStr">
        <is>
          <t>Soins obstétricaux</t>
        </is>
      </c>
      <c r="K185" s="21" t="inlineStr"/>
      <c r="L185" s="21" t="inlineStr">
        <is>
          <t>2025-2026</t>
        </is>
      </c>
      <c r="M185" s="21" t="inlineStr">
        <is>
          <t>Inscrit</t>
        </is>
      </c>
      <c r="N185" s="21" t="inlineStr"/>
      <c r="O185" s="21" t="inlineStr">
        <is>
          <t>import</t>
        </is>
      </c>
    </row>
    <row r="186" ht="15" customHeight="1" s="22">
      <c r="A186" s="21" t="inlineStr">
        <is>
          <t>34</t>
        </is>
      </c>
      <c r="B186" s="21" t="inlineStr">
        <is>
          <t>76512</t>
        </is>
      </c>
      <c r="C186" s="21" t="inlineStr"/>
      <c r="D186" s="21" t="inlineStr">
        <is>
          <t>KASSIM</t>
        </is>
      </c>
      <c r="E186" s="21" t="inlineStr">
        <is>
          <t>ABHARIA</t>
        </is>
      </c>
      <c r="F186" s="21" t="inlineStr">
        <is>
          <t>18/04/2005</t>
        </is>
      </c>
      <c r="G186" s="21" t="inlineStr">
        <is>
          <t>MANDZA MBOUDE</t>
        </is>
      </c>
      <c r="H186" s="21" t="inlineStr"/>
      <c r="I186" s="21" t="inlineStr">
        <is>
          <t>L1</t>
        </is>
      </c>
      <c r="J186" s="21" t="inlineStr">
        <is>
          <t>Soins obstétricaux</t>
        </is>
      </c>
      <c r="K186" s="21" t="inlineStr"/>
      <c r="L186" s="21" t="inlineStr">
        <is>
          <t>2025-2026</t>
        </is>
      </c>
      <c r="M186" s="21" t="inlineStr">
        <is>
          <t>Inscrit</t>
        </is>
      </c>
      <c r="N186" s="21" t="inlineStr"/>
      <c r="O186" s="21" t="inlineStr">
        <is>
          <t>import</t>
        </is>
      </c>
    </row>
    <row r="187" ht="15" customHeight="1" s="22">
      <c r="A187" s="21" t="inlineStr">
        <is>
          <t>35</t>
        </is>
      </c>
      <c r="B187" s="21" t="inlineStr">
        <is>
          <t>78674</t>
        </is>
      </c>
      <c r="C187" s="21" t="inlineStr"/>
      <c r="D187" s="21" t="inlineStr">
        <is>
          <t>LAYNE</t>
        </is>
      </c>
      <c r="E187" s="21" t="inlineStr">
        <is>
          <t>IBRAHIM</t>
        </is>
      </c>
      <c r="F187" s="21" t="inlineStr">
        <is>
          <t>28/09/2003</t>
        </is>
      </c>
      <c r="G187" s="21" t="inlineStr">
        <is>
          <t>MRAMANI ANJOUAN</t>
        </is>
      </c>
      <c r="H187" s="21" t="inlineStr"/>
      <c r="I187" s="21" t="inlineStr">
        <is>
          <t>L1</t>
        </is>
      </c>
      <c r="J187" s="21" t="inlineStr">
        <is>
          <t>Soins obstétricaux</t>
        </is>
      </c>
      <c r="K187" s="21" t="inlineStr"/>
      <c r="L187" s="21" t="inlineStr">
        <is>
          <t>2025-2026</t>
        </is>
      </c>
      <c r="M187" s="21" t="inlineStr">
        <is>
          <t>Inscrit</t>
        </is>
      </c>
      <c r="N187" s="21" t="inlineStr"/>
      <c r="O187" s="21" t="inlineStr">
        <is>
          <t>import</t>
        </is>
      </c>
    </row>
    <row r="188" ht="15" customHeight="1" s="22">
      <c r="A188" s="21" t="inlineStr">
        <is>
          <t>36</t>
        </is>
      </c>
      <c r="B188" s="21" t="inlineStr">
        <is>
          <t>78452</t>
        </is>
      </c>
      <c r="C188" s="21" t="inlineStr"/>
      <c r="D188" s="21" t="inlineStr">
        <is>
          <t>LINA</t>
        </is>
      </c>
      <c r="E188" s="21" t="inlineStr">
        <is>
          <t>MOHAMED CHOUDJAY</t>
        </is>
      </c>
      <c r="F188" s="21" t="inlineStr">
        <is>
          <t>25/08/2004</t>
        </is>
      </c>
      <c r="G188" s="21" t="inlineStr">
        <is>
          <t>MATERNITE DE MITSOUDJE</t>
        </is>
      </c>
      <c r="H188" s="21" t="inlineStr"/>
      <c r="I188" s="21" t="inlineStr">
        <is>
          <t>L1</t>
        </is>
      </c>
      <c r="J188" s="21" t="inlineStr">
        <is>
          <t>Soins obstétricaux</t>
        </is>
      </c>
      <c r="K188" s="21" t="inlineStr"/>
      <c r="L188" s="21" t="inlineStr">
        <is>
          <t>2025-2026</t>
        </is>
      </c>
      <c r="M188" s="21" t="inlineStr">
        <is>
          <t>Inscrit</t>
        </is>
      </c>
      <c r="N188" s="21" t="inlineStr"/>
      <c r="O188" s="21" t="inlineStr">
        <is>
          <t>import</t>
        </is>
      </c>
    </row>
    <row r="189" ht="15" customHeight="1" s="22">
      <c r="A189" s="21" t="inlineStr">
        <is>
          <t>37</t>
        </is>
      </c>
      <c r="B189" s="21" t="inlineStr">
        <is>
          <t>73370</t>
        </is>
      </c>
      <c r="C189" s="21" t="inlineStr"/>
      <c r="D189" s="21" t="inlineStr">
        <is>
          <t>MAIMOUNA</t>
        </is>
      </c>
      <c r="E189" s="21" t="inlineStr">
        <is>
          <t>BINTI ABDOU BACAR</t>
        </is>
      </c>
      <c r="F189" s="21" t="inlineStr">
        <is>
          <t>01/01/2008</t>
        </is>
      </c>
      <c r="G189" s="21" t="inlineStr">
        <is>
          <t>HAGNAMOIDA - MOHELI</t>
        </is>
      </c>
      <c r="H189" s="21" t="inlineStr"/>
      <c r="I189" s="21" t="inlineStr">
        <is>
          <t>L1</t>
        </is>
      </c>
      <c r="J189" s="21" t="inlineStr">
        <is>
          <t>Soins obstétricaux</t>
        </is>
      </c>
      <c r="K189" s="21" t="inlineStr"/>
      <c r="L189" s="21" t="inlineStr">
        <is>
          <t>2025-2026</t>
        </is>
      </c>
      <c r="M189" s="21" t="inlineStr">
        <is>
          <t>Inscrit</t>
        </is>
      </c>
      <c r="N189" s="21" t="inlineStr"/>
      <c r="O189" s="21" t="inlineStr">
        <is>
          <t>import</t>
        </is>
      </c>
    </row>
    <row r="190" ht="15" customHeight="1" s="22">
      <c r="A190" s="21" t="inlineStr">
        <is>
          <t>38</t>
        </is>
      </c>
      <c r="B190" s="21" t="inlineStr">
        <is>
          <t>79858</t>
        </is>
      </c>
      <c r="C190" s="21" t="inlineStr"/>
      <c r="D190" s="21" t="inlineStr">
        <is>
          <t>MAISSARAT</t>
        </is>
      </c>
      <c r="E190" s="21" t="inlineStr">
        <is>
          <t>AKAMARDINE</t>
        </is>
      </c>
      <c r="F190" s="21" t="inlineStr">
        <is>
          <t>25/11/2007</t>
        </is>
      </c>
      <c r="G190" s="21" t="inlineStr">
        <is>
          <t>DARSALAMA - ANJOUAN</t>
        </is>
      </c>
      <c r="H190" s="21" t="inlineStr"/>
      <c r="I190" s="21" t="inlineStr">
        <is>
          <t>L1</t>
        </is>
      </c>
      <c r="J190" s="21" t="inlineStr">
        <is>
          <t>Soins obstétricaux</t>
        </is>
      </c>
      <c r="K190" s="21" t="inlineStr"/>
      <c r="L190" s="21" t="inlineStr">
        <is>
          <t>2025-2026</t>
        </is>
      </c>
      <c r="M190" s="21" t="inlineStr">
        <is>
          <t>Inscrit</t>
        </is>
      </c>
      <c r="N190" s="21" t="inlineStr"/>
      <c r="O190" s="21" t="inlineStr">
        <is>
          <t>import</t>
        </is>
      </c>
    </row>
    <row r="191" ht="15" customHeight="1" s="22">
      <c r="A191" s="21" t="inlineStr">
        <is>
          <t>39</t>
        </is>
      </c>
      <c r="B191" s="21" t="inlineStr">
        <is>
          <t>77330</t>
        </is>
      </c>
      <c r="C191" s="21" t="inlineStr"/>
      <c r="D191" s="21" t="inlineStr">
        <is>
          <t>MARIAMA</t>
        </is>
      </c>
      <c r="E191" s="21" t="inlineStr">
        <is>
          <t>YOUSSOUF</t>
        </is>
      </c>
      <c r="F191" s="21" t="inlineStr">
        <is>
          <t>05/01/2002</t>
        </is>
      </c>
      <c r="G191" s="21" t="inlineStr">
        <is>
          <t>MATERNITE DE MORONI</t>
        </is>
      </c>
      <c r="H191" s="21" t="inlineStr"/>
      <c r="I191" s="21" t="inlineStr">
        <is>
          <t>L1</t>
        </is>
      </c>
      <c r="J191" s="21" t="inlineStr">
        <is>
          <t>Soins obstétricaux</t>
        </is>
      </c>
      <c r="K191" s="21" t="inlineStr"/>
      <c r="L191" s="21" t="inlineStr">
        <is>
          <t>2025-2026</t>
        </is>
      </c>
      <c r="M191" s="21" t="inlineStr">
        <is>
          <t>Inscrit</t>
        </is>
      </c>
      <c r="N191" s="21" t="inlineStr"/>
      <c r="O191" s="21" t="inlineStr">
        <is>
          <t>import</t>
        </is>
      </c>
    </row>
    <row r="192" ht="15" customHeight="1" s="22">
      <c r="A192" s="21" t="inlineStr">
        <is>
          <t>40</t>
        </is>
      </c>
      <c r="B192" s="21" t="inlineStr">
        <is>
          <t>78824</t>
        </is>
      </c>
      <c r="C192" s="21" t="inlineStr"/>
      <c r="D192" s="21" t="inlineStr">
        <is>
          <t>MMADI</t>
        </is>
      </c>
      <c r="E192" s="21" t="inlineStr">
        <is>
          <t>ANIATA</t>
        </is>
      </c>
      <c r="F192" s="21" t="inlineStr">
        <is>
          <t>05/02/2009</t>
        </is>
      </c>
      <c r="G192" s="21" t="inlineStr">
        <is>
          <t>OUNGONI DOMBA</t>
        </is>
      </c>
      <c r="H192" s="21" t="inlineStr"/>
      <c r="I192" s="21" t="inlineStr">
        <is>
          <t>L1</t>
        </is>
      </c>
      <c r="J192" s="21" t="inlineStr">
        <is>
          <t>Soins obstétricaux</t>
        </is>
      </c>
      <c r="K192" s="21" t="inlineStr"/>
      <c r="L192" s="21" t="inlineStr">
        <is>
          <t>2025-2026</t>
        </is>
      </c>
      <c r="M192" s="21" t="inlineStr">
        <is>
          <t>Inscrit</t>
        </is>
      </c>
      <c r="N192" s="21" t="inlineStr"/>
      <c r="O192" s="21" t="inlineStr">
        <is>
          <t>import</t>
        </is>
      </c>
    </row>
    <row r="193" ht="15" customHeight="1" s="22">
      <c r="A193" s="21" t="inlineStr">
        <is>
          <t>41</t>
        </is>
      </c>
      <c r="B193" s="21" t="inlineStr">
        <is>
          <t>78766</t>
        </is>
      </c>
      <c r="C193" s="21" t="inlineStr"/>
      <c r="D193" s="21" t="inlineStr">
        <is>
          <t>MMADI</t>
        </is>
      </c>
      <c r="E193" s="21" t="inlineStr">
        <is>
          <t>TASLIMA</t>
        </is>
      </c>
      <c r="F193" s="21" t="inlineStr">
        <is>
          <t>25/12/2007</t>
        </is>
      </c>
      <c r="G193" s="21" t="inlineStr">
        <is>
          <t>OUNGONI DOMBA</t>
        </is>
      </c>
      <c r="H193" s="21" t="inlineStr"/>
      <c r="I193" s="21" t="inlineStr">
        <is>
          <t>L1</t>
        </is>
      </c>
      <c r="J193" s="21" t="inlineStr">
        <is>
          <t>Soins obstétricaux</t>
        </is>
      </c>
      <c r="K193" s="21" t="inlineStr"/>
      <c r="L193" s="21" t="inlineStr">
        <is>
          <t>2025-2026</t>
        </is>
      </c>
      <c r="M193" s="21" t="inlineStr">
        <is>
          <t>Inscrit</t>
        </is>
      </c>
      <c r="N193" s="21" t="inlineStr"/>
      <c r="O193" s="21" t="inlineStr">
        <is>
          <t>import</t>
        </is>
      </c>
    </row>
    <row r="194" ht="15" customHeight="1" s="22">
      <c r="A194" s="21" t="inlineStr">
        <is>
          <t>42</t>
        </is>
      </c>
      <c r="B194" s="21" t="inlineStr">
        <is>
          <t>76366</t>
        </is>
      </c>
      <c r="C194" s="21" t="inlineStr"/>
      <c r="D194" s="21" t="inlineStr">
        <is>
          <t>MOHAMED</t>
        </is>
      </c>
      <c r="E194" s="21" t="inlineStr">
        <is>
          <t>IBRAHIM NAFASSI</t>
        </is>
      </c>
      <c r="F194" s="21" t="inlineStr">
        <is>
          <t>03/09/2003</t>
        </is>
      </c>
      <c r="G194" s="21" t="inlineStr">
        <is>
          <t>DIMADJOU ITSANDRA</t>
        </is>
      </c>
      <c r="H194" s="21" t="inlineStr"/>
      <c r="I194" s="21" t="inlineStr">
        <is>
          <t>L1</t>
        </is>
      </c>
      <c r="J194" s="21" t="inlineStr">
        <is>
          <t>Soins obstétricaux</t>
        </is>
      </c>
      <c r="K194" s="21" t="inlineStr"/>
      <c r="L194" s="21" t="inlineStr">
        <is>
          <t>2025-2026</t>
        </is>
      </c>
      <c r="M194" s="21" t="inlineStr">
        <is>
          <t>Inscrit</t>
        </is>
      </c>
      <c r="N194" s="21" t="inlineStr"/>
      <c r="O194" s="21" t="inlineStr">
        <is>
          <t>import</t>
        </is>
      </c>
    </row>
    <row r="195" ht="15" customHeight="1" s="22">
      <c r="A195" s="21" t="inlineStr">
        <is>
          <t>43</t>
        </is>
      </c>
      <c r="B195" s="21" t="inlineStr">
        <is>
          <t>78401</t>
        </is>
      </c>
      <c r="C195" s="21" t="inlineStr"/>
      <c r="D195" s="21" t="inlineStr">
        <is>
          <t>MOU-OUMINAT</t>
        </is>
      </c>
      <c r="E195" s="21" t="inlineStr">
        <is>
          <t>BADHIROU</t>
        </is>
      </c>
      <c r="F195" s="21" t="inlineStr">
        <is>
          <t>17/04/2006</t>
        </is>
      </c>
      <c r="G195" s="21" t="inlineStr">
        <is>
          <t>MTEDE NIOUMACHOI MOHELI</t>
        </is>
      </c>
      <c r="H195" s="21" t="inlineStr"/>
      <c r="I195" s="21" t="inlineStr">
        <is>
          <t>L1</t>
        </is>
      </c>
      <c r="J195" s="21" t="inlineStr">
        <is>
          <t>Soins obstétricaux</t>
        </is>
      </c>
      <c r="K195" s="21" t="inlineStr"/>
      <c r="L195" s="21" t="inlineStr">
        <is>
          <t>2025-2026</t>
        </is>
      </c>
      <c r="M195" s="21" t="inlineStr">
        <is>
          <t>Inscrit</t>
        </is>
      </c>
      <c r="N195" s="21" t="inlineStr"/>
      <c r="O195" s="21" t="inlineStr">
        <is>
          <t>import</t>
        </is>
      </c>
    </row>
    <row r="196" ht="15" customHeight="1" s="22">
      <c r="A196" s="21" t="inlineStr">
        <is>
          <t>44</t>
        </is>
      </c>
      <c r="B196" s="21" t="inlineStr">
        <is>
          <t>78704</t>
        </is>
      </c>
      <c r="C196" s="21" t="inlineStr"/>
      <c r="D196" s="21" t="inlineStr">
        <is>
          <t>MOUNAIDJATI</t>
        </is>
      </c>
      <c r="E196" s="21" t="inlineStr">
        <is>
          <t>MOHAMEDI</t>
        </is>
      </c>
      <c r="F196" s="21" t="inlineStr">
        <is>
          <t>13/12/2005</t>
        </is>
      </c>
      <c r="G196" s="21" t="inlineStr">
        <is>
          <t>MTE DE TSEMBEHOU ANJOUAN</t>
        </is>
      </c>
      <c r="H196" s="21" t="inlineStr"/>
      <c r="I196" s="21" t="inlineStr">
        <is>
          <t>L1</t>
        </is>
      </c>
      <c r="J196" s="21" t="inlineStr">
        <is>
          <t>Soins obstétricaux</t>
        </is>
      </c>
      <c r="K196" s="21" t="inlineStr"/>
      <c r="L196" s="21" t="inlineStr">
        <is>
          <t>2025-2026</t>
        </is>
      </c>
      <c r="M196" s="21" t="inlineStr">
        <is>
          <t>Inscrit</t>
        </is>
      </c>
      <c r="N196" s="21" t="inlineStr"/>
      <c r="O196" s="21" t="inlineStr">
        <is>
          <t>import</t>
        </is>
      </c>
    </row>
    <row r="197" ht="15" customHeight="1" s="22">
      <c r="A197" s="21" t="inlineStr">
        <is>
          <t>45</t>
        </is>
      </c>
      <c r="B197" s="21" t="inlineStr">
        <is>
          <t>78357</t>
        </is>
      </c>
      <c r="C197" s="21" t="inlineStr"/>
      <c r="D197" s="21" t="inlineStr">
        <is>
          <t>MOUNIRA</t>
        </is>
      </c>
      <c r="E197" s="21" t="inlineStr">
        <is>
          <t>SORODA</t>
        </is>
      </c>
      <c r="F197" s="21" t="inlineStr">
        <is>
          <t>23/05/2007</t>
        </is>
      </c>
      <c r="G197" s="21" t="inlineStr">
        <is>
          <t>MTE DE MORONI</t>
        </is>
      </c>
      <c r="H197" s="21" t="inlineStr"/>
      <c r="I197" s="21" t="inlineStr">
        <is>
          <t>L1</t>
        </is>
      </c>
      <c r="J197" s="21" t="inlineStr">
        <is>
          <t>Soins obstétricaux</t>
        </is>
      </c>
      <c r="K197" s="21" t="inlineStr"/>
      <c r="L197" s="21" t="inlineStr">
        <is>
          <t>2025-2026</t>
        </is>
      </c>
      <c r="M197" s="21" t="inlineStr">
        <is>
          <t>Inscrit</t>
        </is>
      </c>
      <c r="N197" s="21" t="inlineStr"/>
      <c r="O197" s="21" t="inlineStr">
        <is>
          <t>import</t>
        </is>
      </c>
    </row>
    <row r="198" ht="15" customHeight="1" s="22">
      <c r="A198" s="21" t="inlineStr">
        <is>
          <t>46</t>
        </is>
      </c>
      <c r="B198" s="21" t="inlineStr">
        <is>
          <t>77941</t>
        </is>
      </c>
      <c r="C198" s="21" t="inlineStr"/>
      <c r="D198" s="21" t="inlineStr">
        <is>
          <t>MOUUMINATI</t>
        </is>
      </c>
      <c r="E198" s="21" t="inlineStr">
        <is>
          <t>AHAMADI</t>
        </is>
      </c>
      <c r="F198" s="21" t="inlineStr">
        <is>
          <t>20/06/2005</t>
        </is>
      </c>
      <c r="G198" s="21" t="inlineStr">
        <is>
          <t>CENTRE DE SANTE DE TSEMBEHOU ANJOUAN</t>
        </is>
      </c>
      <c r="H198" s="21" t="inlineStr"/>
      <c r="I198" s="21" t="inlineStr">
        <is>
          <t>L1</t>
        </is>
      </c>
      <c r="J198" s="21" t="inlineStr">
        <is>
          <t>Soins obstétricaux</t>
        </is>
      </c>
      <c r="K198" s="21" t="inlineStr"/>
      <c r="L198" s="21" t="inlineStr">
        <is>
          <t>2025-2026</t>
        </is>
      </c>
      <c r="M198" s="21" t="inlineStr">
        <is>
          <t>Inscrit</t>
        </is>
      </c>
      <c r="N198" s="21" t="inlineStr"/>
      <c r="O198" s="21" t="inlineStr">
        <is>
          <t>import</t>
        </is>
      </c>
    </row>
    <row r="199" ht="15" customHeight="1" s="22">
      <c r="A199" s="21" t="inlineStr">
        <is>
          <t>47</t>
        </is>
      </c>
      <c r="B199" s="21" t="inlineStr">
        <is>
          <t>76815</t>
        </is>
      </c>
      <c r="C199" s="21" t="inlineStr"/>
      <c r="D199" s="21" t="inlineStr">
        <is>
          <t>MOUZDAYA</t>
        </is>
      </c>
      <c r="E199" s="21" t="inlineStr">
        <is>
          <t>MSAIDIE</t>
        </is>
      </c>
      <c r="F199" s="21" t="inlineStr">
        <is>
          <t>22/03/2006</t>
        </is>
      </c>
      <c r="G199" s="21" t="inlineStr">
        <is>
          <t>HEROUMBILI</t>
        </is>
      </c>
      <c r="H199" s="21" t="inlineStr"/>
      <c r="I199" s="21" t="inlineStr">
        <is>
          <t>L1</t>
        </is>
      </c>
      <c r="J199" s="21" t="inlineStr">
        <is>
          <t>Soins obstétricaux</t>
        </is>
      </c>
      <c r="K199" s="21" t="inlineStr"/>
      <c r="L199" s="21" t="inlineStr">
        <is>
          <t>2025-2026</t>
        </is>
      </c>
      <c r="M199" s="21" t="inlineStr">
        <is>
          <t>Inscrit</t>
        </is>
      </c>
      <c r="N199" s="21" t="inlineStr"/>
      <c r="O199" s="21" t="inlineStr">
        <is>
          <t>import</t>
        </is>
      </c>
    </row>
    <row r="200" ht="15" customHeight="1" s="22">
      <c r="A200" s="21" t="inlineStr">
        <is>
          <t>48</t>
        </is>
      </c>
      <c r="B200" s="21" t="inlineStr">
        <is>
          <t>79832</t>
        </is>
      </c>
      <c r="C200" s="21" t="inlineStr"/>
      <c r="D200" s="21" t="inlineStr">
        <is>
          <t>MSA</t>
        </is>
      </c>
      <c r="E200" s="21" t="inlineStr">
        <is>
          <t>AMATILAH</t>
        </is>
      </c>
      <c r="F200" s="21" t="inlineStr">
        <is>
          <t>07/11/2004</t>
        </is>
      </c>
      <c r="G200" s="21" t="inlineStr">
        <is>
          <t>OUELLAH - MITSAMIOULI</t>
        </is>
      </c>
      <c r="H200" s="21" t="inlineStr"/>
      <c r="I200" s="21" t="inlineStr">
        <is>
          <t>L1</t>
        </is>
      </c>
      <c r="J200" s="21" t="inlineStr">
        <is>
          <t>Soins obstétricaux</t>
        </is>
      </c>
      <c r="K200" s="21" t="inlineStr"/>
      <c r="L200" s="21" t="inlineStr">
        <is>
          <t>2025-2026</t>
        </is>
      </c>
      <c r="M200" s="21" t="inlineStr">
        <is>
          <t>Inscrit</t>
        </is>
      </c>
      <c r="N200" s="21" t="inlineStr"/>
      <c r="O200" s="21" t="inlineStr">
        <is>
          <t>import</t>
        </is>
      </c>
    </row>
    <row r="201" ht="15" customHeight="1" s="22">
      <c r="A201" s="21" t="inlineStr">
        <is>
          <t>49</t>
        </is>
      </c>
      <c r="B201" s="21" t="inlineStr">
        <is>
          <t>78494</t>
        </is>
      </c>
      <c r="C201" s="21" t="inlineStr"/>
      <c r="D201" s="21" t="inlineStr">
        <is>
          <t>MYRIAM</t>
        </is>
      </c>
      <c r="E201" s="21" t="inlineStr">
        <is>
          <t>RIZIKI ALI</t>
        </is>
      </c>
      <c r="F201" s="21" t="inlineStr">
        <is>
          <t>13/06/2006</t>
        </is>
      </c>
      <c r="G201" s="21" t="inlineStr">
        <is>
          <t>MTE DE MORONI</t>
        </is>
      </c>
      <c r="H201" s="21" t="inlineStr"/>
      <c r="I201" s="21" t="inlineStr">
        <is>
          <t>L1</t>
        </is>
      </c>
      <c r="J201" s="21" t="inlineStr">
        <is>
          <t>Soins obstétricaux</t>
        </is>
      </c>
      <c r="K201" s="21" t="inlineStr"/>
      <c r="L201" s="21" t="inlineStr">
        <is>
          <t>2025-2026</t>
        </is>
      </c>
      <c r="M201" s="21" t="inlineStr">
        <is>
          <t>Inscrit</t>
        </is>
      </c>
      <c r="N201" s="21" t="inlineStr"/>
      <c r="O201" s="21" t="inlineStr">
        <is>
          <t>import</t>
        </is>
      </c>
    </row>
    <row r="202" ht="15" customHeight="1" s="22">
      <c r="A202" s="21" t="inlineStr">
        <is>
          <t>50</t>
        </is>
      </c>
      <c r="B202" s="21" t="inlineStr">
        <is>
          <t>78197</t>
        </is>
      </c>
      <c r="C202" s="21" t="inlineStr"/>
      <c r="D202" s="21" t="inlineStr">
        <is>
          <t>NADJIMA</t>
        </is>
      </c>
      <c r="E202" s="21" t="inlineStr">
        <is>
          <t>IBRAHIMA</t>
        </is>
      </c>
      <c r="F202" s="21" t="inlineStr">
        <is>
          <t>21/04/2004</t>
        </is>
      </c>
      <c r="G202" s="21" t="inlineStr">
        <is>
          <t>MORONI</t>
        </is>
      </c>
      <c r="H202" s="21" t="inlineStr"/>
      <c r="I202" s="21" t="inlineStr">
        <is>
          <t>L1</t>
        </is>
      </c>
      <c r="J202" s="21" t="inlineStr">
        <is>
          <t>Soins obstétricaux</t>
        </is>
      </c>
      <c r="K202" s="21" t="inlineStr"/>
      <c r="L202" s="21" t="inlineStr">
        <is>
          <t>2025-2026</t>
        </is>
      </c>
      <c r="M202" s="21" t="inlineStr">
        <is>
          <t>Inscrit</t>
        </is>
      </c>
      <c r="N202" s="21" t="inlineStr"/>
      <c r="O202" s="21" t="inlineStr">
        <is>
          <t>import</t>
        </is>
      </c>
    </row>
    <row r="203" ht="15" customHeight="1" s="22">
      <c r="A203" s="21" t="inlineStr">
        <is>
          <t>51</t>
        </is>
      </c>
      <c r="B203" s="21" t="inlineStr">
        <is>
          <t>78119</t>
        </is>
      </c>
      <c r="C203" s="21" t="inlineStr"/>
      <c r="D203" s="21" t="inlineStr">
        <is>
          <t>NAFIDA</t>
        </is>
      </c>
      <c r="E203" s="21" t="inlineStr">
        <is>
          <t>MALIDE ABDOU</t>
        </is>
      </c>
      <c r="F203" s="21" t="inlineStr">
        <is>
          <t>19/12/2005</t>
        </is>
      </c>
      <c r="G203" s="21" t="inlineStr">
        <is>
          <t>KONI-DJODJO - ANJOUAN</t>
        </is>
      </c>
      <c r="H203" s="21" t="inlineStr"/>
      <c r="I203" s="21" t="inlineStr">
        <is>
          <t>L1</t>
        </is>
      </c>
      <c r="J203" s="21" t="inlineStr">
        <is>
          <t>Soins obstétricaux</t>
        </is>
      </c>
      <c r="K203" s="21" t="inlineStr"/>
      <c r="L203" s="21" t="inlineStr">
        <is>
          <t>2025-2026</t>
        </is>
      </c>
      <c r="M203" s="21" t="inlineStr">
        <is>
          <t>Inscrit</t>
        </is>
      </c>
      <c r="N203" s="21" t="inlineStr"/>
      <c r="O203" s="21" t="inlineStr">
        <is>
          <t>import</t>
        </is>
      </c>
    </row>
    <row r="204" ht="15" customHeight="1" s="22">
      <c r="A204" s="21" t="inlineStr">
        <is>
          <t>52</t>
        </is>
      </c>
      <c r="B204" s="21" t="inlineStr">
        <is>
          <t>77642</t>
        </is>
      </c>
      <c r="C204" s="21" t="inlineStr"/>
      <c r="D204" s="21" t="inlineStr">
        <is>
          <t>NAHADHAT</t>
        </is>
      </c>
      <c r="E204" s="21" t="inlineStr">
        <is>
          <t>BINT SAINDOU</t>
        </is>
      </c>
      <c r="F204" s="21" t="inlineStr">
        <is>
          <t>08/05/1997</t>
        </is>
      </c>
      <c r="G204" s="21" t="inlineStr">
        <is>
          <t>MTE DE OUANI</t>
        </is>
      </c>
      <c r="H204" s="21" t="inlineStr"/>
      <c r="I204" s="21" t="inlineStr">
        <is>
          <t>L1</t>
        </is>
      </c>
      <c r="J204" s="21" t="inlineStr">
        <is>
          <t>Soins obstétricaux</t>
        </is>
      </c>
      <c r="K204" s="21" t="inlineStr"/>
      <c r="L204" s="21" t="inlineStr">
        <is>
          <t>2025-2026</t>
        </is>
      </c>
      <c r="M204" s="21" t="inlineStr">
        <is>
          <t>Inscrit</t>
        </is>
      </c>
      <c r="N204" s="21" t="inlineStr"/>
      <c r="O204" s="21" t="inlineStr">
        <is>
          <t>import</t>
        </is>
      </c>
    </row>
    <row r="205" ht="15" customHeight="1" s="22">
      <c r="A205" s="21" t="inlineStr">
        <is>
          <t>53</t>
        </is>
      </c>
      <c r="B205" s="21" t="inlineStr">
        <is>
          <t>78060</t>
        </is>
      </c>
      <c r="C205" s="21" t="inlineStr"/>
      <c r="D205" s="21" t="inlineStr">
        <is>
          <t>NAHYATI</t>
        </is>
      </c>
      <c r="E205" s="21" t="inlineStr">
        <is>
          <t>THOUENI AHAMADI</t>
        </is>
      </c>
      <c r="F205" s="21" t="inlineStr">
        <is>
          <t>21/01/2006</t>
        </is>
      </c>
      <c r="G205" s="21" t="inlineStr">
        <is>
          <t>MTE DE MORONI</t>
        </is>
      </c>
      <c r="H205" s="21" t="inlineStr"/>
      <c r="I205" s="21" t="inlineStr">
        <is>
          <t>L1</t>
        </is>
      </c>
      <c r="J205" s="21" t="inlineStr">
        <is>
          <t>Soins obstétricaux</t>
        </is>
      </c>
      <c r="K205" s="21" t="inlineStr"/>
      <c r="L205" s="21" t="inlineStr">
        <is>
          <t>2025-2026</t>
        </is>
      </c>
      <c r="M205" s="21" t="inlineStr">
        <is>
          <t>Inscrit</t>
        </is>
      </c>
      <c r="N205" s="21" t="inlineStr"/>
      <c r="O205" s="21" t="inlineStr">
        <is>
          <t>import</t>
        </is>
      </c>
    </row>
    <row r="206" ht="15" customHeight="1" s="22">
      <c r="A206" s="21" t="inlineStr">
        <is>
          <t>54</t>
        </is>
      </c>
      <c r="B206" s="21" t="inlineStr">
        <is>
          <t>76706</t>
        </is>
      </c>
      <c r="C206" s="21" t="inlineStr"/>
      <c r="D206" s="21" t="inlineStr">
        <is>
          <t>NAIDA</t>
        </is>
      </c>
      <c r="E206" s="21" t="inlineStr">
        <is>
          <t>AMIR</t>
        </is>
      </c>
      <c r="F206" s="21" t="inlineStr">
        <is>
          <t>24/12/2004</t>
        </is>
      </c>
      <c r="G206" s="21" t="inlineStr">
        <is>
          <t>IVEMBENI</t>
        </is>
      </c>
      <c r="H206" s="21" t="inlineStr"/>
      <c r="I206" s="21" t="inlineStr">
        <is>
          <t>L1</t>
        </is>
      </c>
      <c r="J206" s="21" t="inlineStr">
        <is>
          <t>Soins obstétricaux</t>
        </is>
      </c>
      <c r="K206" s="21" t="inlineStr"/>
      <c r="L206" s="21" t="inlineStr">
        <is>
          <t>2025-2026</t>
        </is>
      </c>
      <c r="M206" s="21" t="inlineStr">
        <is>
          <t>Inscrit</t>
        </is>
      </c>
      <c r="N206" s="21" t="inlineStr"/>
      <c r="O206" s="21" t="inlineStr">
        <is>
          <t>import</t>
        </is>
      </c>
    </row>
    <row r="207" ht="15" customHeight="1" s="22">
      <c r="A207" s="21" t="inlineStr">
        <is>
          <t>55</t>
        </is>
      </c>
      <c r="B207" s="21" t="inlineStr">
        <is>
          <t>77098</t>
        </is>
      </c>
      <c r="C207" s="21" t="inlineStr"/>
      <c r="D207" s="21" t="inlineStr">
        <is>
          <t>NAIMA</t>
        </is>
      </c>
      <c r="E207" s="21" t="inlineStr">
        <is>
          <t>SOILIHI ALI</t>
        </is>
      </c>
      <c r="F207" s="21" t="inlineStr">
        <is>
          <t>25/12/2005</t>
        </is>
      </c>
      <c r="G207" s="21" t="inlineStr">
        <is>
          <t>VANADJOU ITSANDRA</t>
        </is>
      </c>
      <c r="H207" s="21" t="inlineStr"/>
      <c r="I207" s="21" t="inlineStr">
        <is>
          <t>L1</t>
        </is>
      </c>
      <c r="J207" s="21" t="inlineStr">
        <is>
          <t>Soins obstétricaux</t>
        </is>
      </c>
      <c r="K207" s="21" t="inlineStr"/>
      <c r="L207" s="21" t="inlineStr">
        <is>
          <t>2025-2026</t>
        </is>
      </c>
      <c r="M207" s="21" t="inlineStr">
        <is>
          <t>Inscrit</t>
        </is>
      </c>
      <c r="N207" s="21" t="inlineStr"/>
      <c r="O207" s="21" t="inlineStr">
        <is>
          <t>import</t>
        </is>
      </c>
    </row>
    <row r="208" ht="15" customHeight="1" s="22">
      <c r="A208" s="21" t="inlineStr">
        <is>
          <t>56</t>
        </is>
      </c>
      <c r="B208" s="21" t="inlineStr">
        <is>
          <t>75199</t>
        </is>
      </c>
      <c r="C208" s="21" t="inlineStr"/>
      <c r="D208" s="21" t="inlineStr">
        <is>
          <t>NAKCHAMI</t>
        </is>
      </c>
      <c r="E208" s="21" t="inlineStr">
        <is>
          <t>ANDILI</t>
        </is>
      </c>
      <c r="F208" s="21" t="inlineStr">
        <is>
          <t>15/05/2000</t>
        </is>
      </c>
      <c r="G208" s="21" t="inlineStr">
        <is>
          <t>MUTSAMUDU - ANJOUAN</t>
        </is>
      </c>
      <c r="H208" s="21" t="inlineStr"/>
      <c r="I208" s="21" t="inlineStr">
        <is>
          <t>L1</t>
        </is>
      </c>
      <c r="J208" s="21" t="inlineStr">
        <is>
          <t>Soins obstétricaux</t>
        </is>
      </c>
      <c r="K208" s="21" t="inlineStr"/>
      <c r="L208" s="21" t="inlineStr">
        <is>
          <t>2025-2026</t>
        </is>
      </c>
      <c r="M208" s="21" t="inlineStr">
        <is>
          <t>Inscrit</t>
        </is>
      </c>
      <c r="N208" s="21" t="inlineStr"/>
      <c r="O208" s="21" t="inlineStr">
        <is>
          <t>import</t>
        </is>
      </c>
    </row>
    <row r="209" ht="15" customHeight="1" s="22">
      <c r="A209" s="21" t="inlineStr">
        <is>
          <t>57</t>
        </is>
      </c>
      <c r="B209" s="21" t="inlineStr">
        <is>
          <t>78216</t>
        </is>
      </c>
      <c r="C209" s="21" t="inlineStr"/>
      <c r="D209" s="21" t="inlineStr">
        <is>
          <t>NASMA</t>
        </is>
      </c>
      <c r="E209" s="21" t="inlineStr">
        <is>
          <t>MOURDASSI</t>
        </is>
      </c>
      <c r="F209" s="21" t="inlineStr">
        <is>
          <t>18/02/2006</t>
        </is>
      </c>
      <c r="G209" s="21" t="inlineStr">
        <is>
          <t>MROMAGI ANJOUAN</t>
        </is>
      </c>
      <c r="H209" s="21" t="inlineStr"/>
      <c r="I209" s="21" t="inlineStr">
        <is>
          <t>L1</t>
        </is>
      </c>
      <c r="J209" s="21" t="inlineStr">
        <is>
          <t>Soins obstétricaux</t>
        </is>
      </c>
      <c r="K209" s="21" t="inlineStr"/>
      <c r="L209" s="21" t="inlineStr">
        <is>
          <t>2025-2026</t>
        </is>
      </c>
      <c r="M209" s="21" t="inlineStr">
        <is>
          <t>Inscrit</t>
        </is>
      </c>
      <c r="N209" s="21" t="inlineStr"/>
      <c r="O209" s="21" t="inlineStr">
        <is>
          <t>import</t>
        </is>
      </c>
    </row>
    <row r="210" ht="15" customHeight="1" s="22">
      <c r="A210" s="21" t="inlineStr">
        <is>
          <t>58</t>
        </is>
      </c>
      <c r="B210" s="21" t="inlineStr">
        <is>
          <t>78298</t>
        </is>
      </c>
      <c r="C210" s="21" t="inlineStr"/>
      <c r="D210" s="21" t="inlineStr">
        <is>
          <t>NASMAT</t>
        </is>
      </c>
      <c r="E210" s="21" t="inlineStr">
        <is>
          <t>IDRISSA IBRAHIM</t>
        </is>
      </c>
      <c r="F210" s="21" t="inlineStr">
        <is>
          <t>18/07/2007</t>
        </is>
      </c>
      <c r="G210" s="21" t="inlineStr">
        <is>
          <t>MTE DE MORONI</t>
        </is>
      </c>
      <c r="H210" s="21" t="inlineStr"/>
      <c r="I210" s="21" t="inlineStr">
        <is>
          <t>L1</t>
        </is>
      </c>
      <c r="J210" s="21" t="inlineStr">
        <is>
          <t>Soins obstétricaux</t>
        </is>
      </c>
      <c r="K210" s="21" t="inlineStr"/>
      <c r="L210" s="21" t="inlineStr">
        <is>
          <t>2025-2026</t>
        </is>
      </c>
      <c r="M210" s="21" t="inlineStr">
        <is>
          <t>Inscrit</t>
        </is>
      </c>
      <c r="N210" s="21" t="inlineStr"/>
      <c r="O210" s="21" t="inlineStr">
        <is>
          <t>import</t>
        </is>
      </c>
    </row>
    <row r="211" ht="15" customHeight="1" s="22">
      <c r="A211" s="21" t="inlineStr">
        <is>
          <t>59</t>
        </is>
      </c>
      <c r="B211" s="21" t="inlineStr">
        <is>
          <t>78183</t>
        </is>
      </c>
      <c r="C211" s="21" t="inlineStr"/>
      <c r="D211" s="21" t="inlineStr">
        <is>
          <t>NASMI</t>
        </is>
      </c>
      <c r="E211" s="21" t="inlineStr">
        <is>
          <t>SAID ABDALLAH</t>
        </is>
      </c>
      <c r="F211" s="21" t="inlineStr">
        <is>
          <t>27/08/2004</t>
        </is>
      </c>
      <c r="G211" s="21" t="inlineStr">
        <is>
          <t>MOUZDALIFA FOMBONI - MOHELI</t>
        </is>
      </c>
      <c r="H211" s="21" t="inlineStr"/>
      <c r="I211" s="21" t="inlineStr">
        <is>
          <t>L1</t>
        </is>
      </c>
      <c r="J211" s="21" t="inlineStr">
        <is>
          <t>Soins obstétricaux</t>
        </is>
      </c>
      <c r="K211" s="21" t="inlineStr"/>
      <c r="L211" s="21" t="inlineStr">
        <is>
          <t>2025-2026</t>
        </is>
      </c>
      <c r="M211" s="21" t="inlineStr">
        <is>
          <t>Inscrit</t>
        </is>
      </c>
      <c r="N211" s="21" t="inlineStr"/>
      <c r="O211" s="21" t="inlineStr">
        <is>
          <t>import</t>
        </is>
      </c>
    </row>
    <row r="212" ht="15" customHeight="1" s="22">
      <c r="A212" s="21" t="inlineStr">
        <is>
          <t>60</t>
        </is>
      </c>
      <c r="B212" s="21" t="inlineStr">
        <is>
          <t>78815</t>
        </is>
      </c>
      <c r="C212" s="21" t="inlineStr"/>
      <c r="D212" s="21" t="inlineStr">
        <is>
          <t>NAWA</t>
        </is>
      </c>
      <c r="E212" s="21" t="inlineStr">
        <is>
          <t>ABDEREMANE BEN ISSOUF</t>
        </is>
      </c>
      <c r="F212" s="21" t="inlineStr">
        <is>
          <t>14/12/2006</t>
        </is>
      </c>
      <c r="G212" s="21" t="inlineStr">
        <is>
          <t>MTE DE WANANI - MOHELI</t>
        </is>
      </c>
      <c r="H212" s="21" t="inlineStr"/>
      <c r="I212" s="21" t="inlineStr">
        <is>
          <t>L1</t>
        </is>
      </c>
      <c r="J212" s="21" t="inlineStr">
        <is>
          <t>Soins obstétricaux</t>
        </is>
      </c>
      <c r="K212" s="21" t="inlineStr"/>
      <c r="L212" s="21" t="inlineStr">
        <is>
          <t>2025-2026</t>
        </is>
      </c>
      <c r="M212" s="21" t="inlineStr">
        <is>
          <t>Inscrit</t>
        </is>
      </c>
      <c r="N212" s="21" t="inlineStr"/>
      <c r="O212" s="21" t="inlineStr">
        <is>
          <t>import</t>
        </is>
      </c>
    </row>
    <row r="213" ht="15" customHeight="1" s="22">
      <c r="A213" s="21" t="inlineStr">
        <is>
          <t>61</t>
        </is>
      </c>
      <c r="B213" s="21" t="inlineStr">
        <is>
          <t>79700</t>
        </is>
      </c>
      <c r="C213" s="21" t="inlineStr"/>
      <c r="D213" s="21" t="inlineStr">
        <is>
          <t>NOURMI</t>
        </is>
      </c>
      <c r="E213" s="21" t="inlineStr">
        <is>
          <t>ISSOUFA SAID</t>
        </is>
      </c>
      <c r="F213" s="21" t="inlineStr">
        <is>
          <t>14/01/2004</t>
        </is>
      </c>
      <c r="G213" s="21" t="inlineStr">
        <is>
          <t>SADA - MAYOTTE</t>
        </is>
      </c>
      <c r="H213" s="21" t="inlineStr"/>
      <c r="I213" s="21" t="inlineStr">
        <is>
          <t>L1</t>
        </is>
      </c>
      <c r="J213" s="21" t="inlineStr">
        <is>
          <t>Soins obstétricaux</t>
        </is>
      </c>
      <c r="K213" s="21" t="inlineStr"/>
      <c r="L213" s="21" t="inlineStr">
        <is>
          <t>2025-2026</t>
        </is>
      </c>
      <c r="M213" s="21" t="inlineStr">
        <is>
          <t>Inscrit</t>
        </is>
      </c>
      <c r="N213" s="21" t="inlineStr"/>
      <c r="O213" s="21" t="inlineStr">
        <is>
          <t>import</t>
        </is>
      </c>
    </row>
    <row r="214" ht="15" customHeight="1" s="22">
      <c r="A214" s="21" t="inlineStr">
        <is>
          <t>62</t>
        </is>
      </c>
      <c r="B214" s="21" t="inlineStr">
        <is>
          <t>76627</t>
        </is>
      </c>
      <c r="C214" s="21" t="inlineStr"/>
      <c r="D214" s="21" t="inlineStr">
        <is>
          <t>NOUROI</t>
        </is>
      </c>
      <c r="E214" s="21" t="inlineStr">
        <is>
          <t>ALI DJANFFAR</t>
        </is>
      </c>
      <c r="F214" s="21" t="inlineStr">
        <is>
          <t>14/04/2006</t>
        </is>
      </c>
      <c r="G214" s="21" t="inlineStr">
        <is>
          <t>MTE DE SIMA ANJOUAN</t>
        </is>
      </c>
      <c r="H214" s="21" t="inlineStr"/>
      <c r="I214" s="21" t="inlineStr">
        <is>
          <t>L1</t>
        </is>
      </c>
      <c r="J214" s="21" t="inlineStr">
        <is>
          <t>Soins obstétricaux</t>
        </is>
      </c>
      <c r="K214" s="21" t="inlineStr"/>
      <c r="L214" s="21" t="inlineStr">
        <is>
          <t>2025-2026</t>
        </is>
      </c>
      <c r="M214" s="21" t="inlineStr">
        <is>
          <t>Inscrit</t>
        </is>
      </c>
      <c r="N214" s="21" t="inlineStr"/>
      <c r="O214" s="21" t="inlineStr">
        <is>
          <t>import</t>
        </is>
      </c>
    </row>
    <row r="215" ht="15" customHeight="1" s="22">
      <c r="A215" s="21" t="inlineStr">
        <is>
          <t>63</t>
        </is>
      </c>
      <c r="B215" s="21" t="inlineStr">
        <is>
          <t>78052</t>
        </is>
      </c>
      <c r="C215" s="21" t="inlineStr"/>
      <c r="D215" s="21" t="inlineStr">
        <is>
          <t>OUSSOUF</t>
        </is>
      </c>
      <c r="E215" s="21" t="inlineStr">
        <is>
          <t>ZAINABA HAMADI</t>
        </is>
      </c>
      <c r="F215" s="21" t="inlineStr">
        <is>
          <t>07/08/2007</t>
        </is>
      </c>
      <c r="G215" s="21" t="inlineStr">
        <is>
          <t>MTE D'ANKIRIHIRY TOAMASSINA</t>
        </is>
      </c>
      <c r="H215" s="21" t="inlineStr"/>
      <c r="I215" s="21" t="inlineStr">
        <is>
          <t>L1</t>
        </is>
      </c>
      <c r="J215" s="21" t="inlineStr">
        <is>
          <t>Soins obstétricaux</t>
        </is>
      </c>
      <c r="K215" s="21" t="inlineStr"/>
      <c r="L215" s="21" t="inlineStr">
        <is>
          <t>2025-2026</t>
        </is>
      </c>
      <c r="M215" s="21" t="inlineStr">
        <is>
          <t>Inscrit</t>
        </is>
      </c>
      <c r="N215" s="21" t="inlineStr"/>
      <c r="O215" s="21" t="inlineStr">
        <is>
          <t>import</t>
        </is>
      </c>
    </row>
    <row r="216" ht="15" customHeight="1" s="22">
      <c r="A216" s="21" t="inlineStr">
        <is>
          <t>64</t>
        </is>
      </c>
      <c r="B216" s="21" t="inlineStr">
        <is>
          <t>80121</t>
        </is>
      </c>
      <c r="C216" s="21" t="inlineStr"/>
      <c r="D216" s="21" t="inlineStr">
        <is>
          <t>RAHAMA</t>
        </is>
      </c>
      <c r="E216" s="21" t="inlineStr">
        <is>
          <t>HAMIDOU</t>
        </is>
      </c>
      <c r="F216" s="21" t="inlineStr">
        <is>
          <t>22/12/2006</t>
        </is>
      </c>
      <c r="G216" s="21" t="inlineStr">
        <is>
          <t>OUNGONI - DOMBA</t>
        </is>
      </c>
      <c r="H216" s="21" t="inlineStr"/>
      <c r="I216" s="21" t="inlineStr">
        <is>
          <t>L1</t>
        </is>
      </c>
      <c r="J216" s="21" t="inlineStr">
        <is>
          <t>Soins obstétricaux</t>
        </is>
      </c>
      <c r="K216" s="21" t="inlineStr"/>
      <c r="L216" s="21" t="inlineStr">
        <is>
          <t>2025-2026</t>
        </is>
      </c>
      <c r="M216" s="21" t="inlineStr">
        <is>
          <t>Inscrit</t>
        </is>
      </c>
      <c r="N216" s="21" t="inlineStr"/>
      <c r="O216" s="21" t="inlineStr">
        <is>
          <t>import</t>
        </is>
      </c>
    </row>
    <row r="217" ht="15" customHeight="1" s="22">
      <c r="A217" s="21" t="inlineStr">
        <is>
          <t>65</t>
        </is>
      </c>
      <c r="B217" s="21" t="inlineStr">
        <is>
          <t>74889</t>
        </is>
      </c>
      <c r="C217" s="21" t="inlineStr"/>
      <c r="D217" s="21" t="inlineStr">
        <is>
          <t>REHEMA</t>
        </is>
      </c>
      <c r="E217" s="21" t="inlineStr">
        <is>
          <t>YOUSSOUF IBOUROI</t>
        </is>
      </c>
      <c r="F217" s="21" t="inlineStr">
        <is>
          <t>23/05/2004</t>
        </is>
      </c>
      <c r="G217" s="21" t="inlineStr">
        <is>
          <t>MTE DE MORONI</t>
        </is>
      </c>
      <c r="H217" s="21" t="inlineStr"/>
      <c r="I217" s="21" t="inlineStr">
        <is>
          <t>L1</t>
        </is>
      </c>
      <c r="J217" s="21" t="inlineStr">
        <is>
          <t>Soins obstétricaux</t>
        </is>
      </c>
      <c r="K217" s="21" t="inlineStr"/>
      <c r="L217" s="21" t="inlineStr">
        <is>
          <t>2025-2026</t>
        </is>
      </c>
      <c r="M217" s="21" t="inlineStr">
        <is>
          <t>Inscrit</t>
        </is>
      </c>
      <c r="N217" s="21" t="inlineStr"/>
      <c r="O217" s="21" t="inlineStr">
        <is>
          <t>import</t>
        </is>
      </c>
    </row>
    <row r="218" ht="15" customHeight="1" s="22">
      <c r="A218" s="21" t="inlineStr">
        <is>
          <t>66</t>
        </is>
      </c>
      <c r="B218" s="21" t="inlineStr">
        <is>
          <t>78268</t>
        </is>
      </c>
      <c r="C218" s="21" t="inlineStr"/>
      <c r="D218" s="21" t="inlineStr">
        <is>
          <t>ROUCHDA</t>
        </is>
      </c>
      <c r="E218" s="21" t="inlineStr">
        <is>
          <t>BACAR MMADI</t>
        </is>
      </c>
      <c r="F218" s="21" t="inlineStr">
        <is>
          <t>27/04/2006</t>
        </is>
      </c>
      <c r="G218" s="21" t="inlineStr">
        <is>
          <t>MATERNITE DE MORONI</t>
        </is>
      </c>
      <c r="H218" s="21" t="inlineStr"/>
      <c r="I218" s="21" t="inlineStr">
        <is>
          <t>L1</t>
        </is>
      </c>
      <c r="J218" s="21" t="inlineStr">
        <is>
          <t>Soins obstétricaux</t>
        </is>
      </c>
      <c r="K218" s="21" t="inlineStr"/>
      <c r="L218" s="21" t="inlineStr">
        <is>
          <t>2025-2026</t>
        </is>
      </c>
      <c r="M218" s="21" t="inlineStr">
        <is>
          <t>Inscrit</t>
        </is>
      </c>
      <c r="N218" s="21" t="inlineStr"/>
      <c r="O218" s="21" t="inlineStr">
        <is>
          <t>import</t>
        </is>
      </c>
    </row>
    <row r="219" ht="15" customHeight="1" s="22">
      <c r="A219" s="21" t="inlineStr">
        <is>
          <t>67</t>
        </is>
      </c>
      <c r="B219" s="21" t="inlineStr">
        <is>
          <t>78943</t>
        </is>
      </c>
      <c r="C219" s="21" t="inlineStr"/>
      <c r="D219" s="21" t="inlineStr">
        <is>
          <t>ROYCHA</t>
        </is>
      </c>
      <c r="E219" s="21" t="inlineStr">
        <is>
          <t>BINTI AHAMED</t>
        </is>
      </c>
      <c r="F219" s="21" t="inlineStr">
        <is>
          <t>22/12/2007</t>
        </is>
      </c>
      <c r="G219" s="21" t="inlineStr">
        <is>
          <t>MAGNASSINI - ANJOUAN</t>
        </is>
      </c>
      <c r="H219" s="21" t="inlineStr"/>
      <c r="I219" s="21" t="inlineStr">
        <is>
          <t>L1</t>
        </is>
      </c>
      <c r="J219" s="21" t="inlineStr">
        <is>
          <t>Soins obstétricaux</t>
        </is>
      </c>
      <c r="K219" s="21" t="inlineStr"/>
      <c r="L219" s="21" t="inlineStr">
        <is>
          <t>2025-2026</t>
        </is>
      </c>
      <c r="M219" s="21" t="inlineStr">
        <is>
          <t>Inscrit</t>
        </is>
      </c>
      <c r="N219" s="21" t="inlineStr"/>
      <c r="O219" s="21" t="inlineStr">
        <is>
          <t>import</t>
        </is>
      </c>
    </row>
    <row r="220" ht="15" customHeight="1" s="22">
      <c r="A220" s="21" t="inlineStr">
        <is>
          <t>68</t>
        </is>
      </c>
      <c r="B220" s="21" t="inlineStr">
        <is>
          <t>80044</t>
        </is>
      </c>
      <c r="C220" s="21" t="inlineStr"/>
      <c r="D220" s="21" t="inlineStr">
        <is>
          <t>SAID</t>
        </is>
      </c>
      <c r="E220" s="21" t="inlineStr">
        <is>
          <t>ASSOUMANI ISTABRAK</t>
        </is>
      </c>
      <c r="F220" s="21" t="inlineStr">
        <is>
          <t>13/08/2006</t>
        </is>
      </c>
      <c r="G220" s="21" t="inlineStr">
        <is>
          <t>IDJINKOUNDZI DIMANI</t>
        </is>
      </c>
      <c r="H220" s="21" t="inlineStr"/>
      <c r="I220" s="21" t="inlineStr">
        <is>
          <t>L1</t>
        </is>
      </c>
      <c r="J220" s="21" t="inlineStr">
        <is>
          <t>Soins obstétricaux</t>
        </is>
      </c>
      <c r="K220" s="21" t="inlineStr"/>
      <c r="L220" s="21" t="inlineStr">
        <is>
          <t>2025-2026</t>
        </is>
      </c>
      <c r="M220" s="21" t="inlineStr">
        <is>
          <t>Inscrit</t>
        </is>
      </c>
      <c r="N220" s="21" t="inlineStr"/>
      <c r="O220" s="21" t="inlineStr">
        <is>
          <t>import</t>
        </is>
      </c>
    </row>
    <row r="221" ht="15" customHeight="1" s="22">
      <c r="A221" s="21" t="inlineStr">
        <is>
          <t>69</t>
        </is>
      </c>
      <c r="B221" s="21" t="inlineStr">
        <is>
          <t>79114</t>
        </is>
      </c>
      <c r="C221" s="21" t="inlineStr"/>
      <c r="D221" s="21" t="inlineStr">
        <is>
          <t>SAMY</t>
        </is>
      </c>
      <c r="E221" s="21" t="inlineStr">
        <is>
          <t>YOUSSOUF</t>
        </is>
      </c>
      <c r="F221" s="21" t="inlineStr">
        <is>
          <t>17/11/2006</t>
        </is>
      </c>
      <c r="G221" s="21" t="inlineStr">
        <is>
          <t>MAERNITE DE MORONI</t>
        </is>
      </c>
      <c r="H221" s="21" t="inlineStr"/>
      <c r="I221" s="21" t="inlineStr">
        <is>
          <t>L1</t>
        </is>
      </c>
      <c r="J221" s="21" t="inlineStr">
        <is>
          <t>Soins obstétricaux</t>
        </is>
      </c>
      <c r="K221" s="21" t="inlineStr"/>
      <c r="L221" s="21" t="inlineStr">
        <is>
          <t>2025-2026</t>
        </is>
      </c>
      <c r="M221" s="21" t="inlineStr">
        <is>
          <t>Inscrit</t>
        </is>
      </c>
      <c r="N221" s="21" t="inlineStr"/>
      <c r="O221" s="21" t="inlineStr">
        <is>
          <t>import</t>
        </is>
      </c>
    </row>
    <row r="222" ht="15" customHeight="1" s="22">
      <c r="A222" s="21" t="inlineStr">
        <is>
          <t>70</t>
        </is>
      </c>
      <c r="B222" s="21" t="inlineStr">
        <is>
          <t>76641</t>
        </is>
      </c>
      <c r="C222" s="21" t="inlineStr"/>
      <c r="D222" s="21" t="inlineStr">
        <is>
          <t>SARAFINA</t>
        </is>
      </c>
      <c r="E222" s="21" t="inlineStr">
        <is>
          <t>ALI BEN ALI</t>
        </is>
      </c>
      <c r="F222" s="21" t="inlineStr">
        <is>
          <t>13/05/2006</t>
        </is>
      </c>
      <c r="G222" s="21" t="inlineStr">
        <is>
          <t>MATERNITE DE MORONI</t>
        </is>
      </c>
      <c r="H222" s="21" t="inlineStr"/>
      <c r="I222" s="21" t="inlineStr">
        <is>
          <t>L1</t>
        </is>
      </c>
      <c r="J222" s="21" t="inlineStr">
        <is>
          <t>Soins obstétricaux</t>
        </is>
      </c>
      <c r="K222" s="21" t="inlineStr"/>
      <c r="L222" s="21" t="inlineStr">
        <is>
          <t>2025-2026</t>
        </is>
      </c>
      <c r="M222" s="21" t="inlineStr">
        <is>
          <t>Inscrit</t>
        </is>
      </c>
      <c r="N222" s="21" t="inlineStr"/>
      <c r="O222" s="21" t="inlineStr">
        <is>
          <t>import</t>
        </is>
      </c>
    </row>
    <row r="223" ht="15" customHeight="1" s="22">
      <c r="A223" s="21" t="inlineStr">
        <is>
          <t>71</t>
        </is>
      </c>
      <c r="B223" s="21" t="inlineStr">
        <is>
          <t>73914</t>
        </is>
      </c>
      <c r="C223" s="21" t="inlineStr"/>
      <c r="D223" s="21" t="inlineStr">
        <is>
          <t>SITTI</t>
        </is>
      </c>
      <c r="E223" s="21" t="inlineStr">
        <is>
          <t>HALIMA IBRAHIM</t>
        </is>
      </c>
      <c r="F223" s="21" t="inlineStr">
        <is>
          <t>21/06/2004</t>
        </is>
      </c>
      <c r="G223" s="21" t="inlineStr">
        <is>
          <t>DINDRI - ANJOUAN</t>
        </is>
      </c>
      <c r="H223" s="21" t="inlineStr"/>
      <c r="I223" s="21" t="inlineStr">
        <is>
          <t>L1</t>
        </is>
      </c>
      <c r="J223" s="21" t="inlineStr">
        <is>
          <t>Soins obstétricaux</t>
        </is>
      </c>
      <c r="K223" s="21" t="inlineStr"/>
      <c r="L223" s="21" t="inlineStr">
        <is>
          <t>2025-2026</t>
        </is>
      </c>
      <c r="M223" s="21" t="inlineStr">
        <is>
          <t>Inscrit</t>
        </is>
      </c>
      <c r="N223" s="21" t="inlineStr"/>
      <c r="O223" s="21" t="inlineStr">
        <is>
          <t>import</t>
        </is>
      </c>
    </row>
    <row r="224" ht="15" customHeight="1" s="22">
      <c r="A224" s="21" t="inlineStr">
        <is>
          <t>72</t>
        </is>
      </c>
      <c r="B224" s="21" t="inlineStr">
        <is>
          <t>78510</t>
        </is>
      </c>
      <c r="C224" s="21" t="inlineStr"/>
      <c r="D224" s="21" t="inlineStr">
        <is>
          <t>SITTY</t>
        </is>
      </c>
      <c r="E224" s="21" t="inlineStr">
        <is>
          <t>SAID MIDILADJI</t>
        </is>
      </c>
      <c r="F224" s="21" t="inlineStr">
        <is>
          <t>26/08/2005</t>
        </is>
      </c>
      <c r="G224" s="21" t="inlineStr">
        <is>
          <t>MALE BADJINI-EST</t>
        </is>
      </c>
      <c r="H224" s="21" t="inlineStr"/>
      <c r="I224" s="21" t="inlineStr">
        <is>
          <t>L1</t>
        </is>
      </c>
      <c r="J224" s="21" t="inlineStr">
        <is>
          <t>Soins obstétricaux</t>
        </is>
      </c>
      <c r="K224" s="21" t="inlineStr"/>
      <c r="L224" s="21" t="inlineStr">
        <is>
          <t>2025-2026</t>
        </is>
      </c>
      <c r="M224" s="21" t="inlineStr">
        <is>
          <t>Inscrit</t>
        </is>
      </c>
      <c r="N224" s="21" t="inlineStr"/>
      <c r="O224" s="21" t="inlineStr">
        <is>
          <t>import</t>
        </is>
      </c>
    </row>
    <row r="225" ht="15" customHeight="1" s="22">
      <c r="A225" s="21" t="inlineStr">
        <is>
          <t>73</t>
        </is>
      </c>
      <c r="B225" s="21" t="inlineStr">
        <is>
          <t>79308</t>
        </is>
      </c>
      <c r="C225" s="21" t="inlineStr"/>
      <c r="D225" s="21" t="inlineStr">
        <is>
          <t>SOIBAHATI</t>
        </is>
      </c>
      <c r="E225" s="21" t="inlineStr">
        <is>
          <t>BACAR AHMED</t>
        </is>
      </c>
      <c r="F225" s="21" t="inlineStr">
        <is>
          <t>13/08/2006</t>
        </is>
      </c>
      <c r="G225" s="21" t="inlineStr">
        <is>
          <t>CLINIQUE SALAMA MORONI</t>
        </is>
      </c>
      <c r="H225" s="21" t="inlineStr"/>
      <c r="I225" s="21" t="inlineStr">
        <is>
          <t>L1</t>
        </is>
      </c>
      <c r="J225" s="21" t="inlineStr">
        <is>
          <t>Soins obstétricaux</t>
        </is>
      </c>
      <c r="K225" s="21" t="inlineStr"/>
      <c r="L225" s="21" t="inlineStr">
        <is>
          <t>2025-2026</t>
        </is>
      </c>
      <c r="M225" s="21" t="inlineStr">
        <is>
          <t>Inscrit</t>
        </is>
      </c>
      <c r="N225" s="21" t="inlineStr"/>
      <c r="O225" s="21" t="inlineStr">
        <is>
          <t>import</t>
        </is>
      </c>
    </row>
    <row r="226" ht="15" customHeight="1" s="22">
      <c r="A226" s="21" t="inlineStr">
        <is>
          <t>74</t>
        </is>
      </c>
      <c r="B226" s="21" t="inlineStr">
        <is>
          <t>78850</t>
        </is>
      </c>
      <c r="C226" s="21" t="inlineStr"/>
      <c r="D226" s="21" t="inlineStr">
        <is>
          <t>SOILHIA</t>
        </is>
      </c>
      <c r="E226" s="21" t="inlineStr">
        <is>
          <t>SAID</t>
        </is>
      </c>
      <c r="F226" s="21" t="inlineStr">
        <is>
          <t>09/12/2005</t>
        </is>
      </c>
      <c r="G226" s="21" t="inlineStr">
        <is>
          <t>MTE D'OUZIOINI</t>
        </is>
      </c>
      <c r="H226" s="21" t="inlineStr"/>
      <c r="I226" s="21" t="inlineStr">
        <is>
          <t>L1</t>
        </is>
      </c>
      <c r="J226" s="21" t="inlineStr">
        <is>
          <t>Soins obstétricaux</t>
        </is>
      </c>
      <c r="K226" s="21" t="inlineStr"/>
      <c r="L226" s="21" t="inlineStr">
        <is>
          <t>2025-2026</t>
        </is>
      </c>
      <c r="M226" s="21" t="inlineStr">
        <is>
          <t>Inscrit</t>
        </is>
      </c>
      <c r="N226" s="21" t="inlineStr"/>
      <c r="O226" s="21" t="inlineStr">
        <is>
          <t>import</t>
        </is>
      </c>
    </row>
    <row r="227" ht="15" customHeight="1" s="22">
      <c r="A227" s="21" t="inlineStr">
        <is>
          <t>75</t>
        </is>
      </c>
      <c r="B227" s="21" t="inlineStr">
        <is>
          <t>78225</t>
        </is>
      </c>
      <c r="C227" s="21" t="inlineStr"/>
      <c r="D227" s="21" t="inlineStr">
        <is>
          <t>SOUKAYINA</t>
        </is>
      </c>
      <c r="E227" s="21" t="inlineStr">
        <is>
          <t>MOUHOUTAR</t>
        </is>
      </c>
      <c r="F227" s="21" t="inlineStr">
        <is>
          <t>30/06/2004</t>
        </is>
      </c>
      <c r="G227" s="21" t="inlineStr">
        <is>
          <t>LIMBY ANJOUAN</t>
        </is>
      </c>
      <c r="H227" s="21" t="inlineStr"/>
      <c r="I227" s="21" t="inlineStr">
        <is>
          <t>L1</t>
        </is>
      </c>
      <c r="J227" s="21" t="inlineStr">
        <is>
          <t>Soins obstétricaux</t>
        </is>
      </c>
      <c r="K227" s="21" t="inlineStr"/>
      <c r="L227" s="21" t="inlineStr">
        <is>
          <t>2025-2026</t>
        </is>
      </c>
      <c r="M227" s="21" t="inlineStr">
        <is>
          <t>Inscrit</t>
        </is>
      </c>
      <c r="N227" s="21" t="inlineStr"/>
      <c r="O227" s="21" t="inlineStr">
        <is>
          <t>import</t>
        </is>
      </c>
    </row>
    <row r="228" ht="15" customHeight="1" s="22">
      <c r="A228" s="21" t="inlineStr">
        <is>
          <t>76</t>
        </is>
      </c>
      <c r="B228" s="21" t="inlineStr">
        <is>
          <t>78186</t>
        </is>
      </c>
      <c r="C228" s="21" t="inlineStr"/>
      <c r="D228" s="21" t="inlineStr">
        <is>
          <t>SOULE</t>
        </is>
      </c>
      <c r="E228" s="21" t="inlineStr">
        <is>
          <t>FAZLATI</t>
        </is>
      </c>
      <c r="F228" s="21" t="inlineStr">
        <is>
          <t>05/03/2010</t>
        </is>
      </c>
      <c r="G228" s="21" t="inlineStr">
        <is>
          <t>PIDJANI DOMBA</t>
        </is>
      </c>
      <c r="H228" s="21" t="inlineStr"/>
      <c r="I228" s="21" t="inlineStr">
        <is>
          <t>L1</t>
        </is>
      </c>
      <c r="J228" s="21" t="inlineStr">
        <is>
          <t>Soins obstétricaux</t>
        </is>
      </c>
      <c r="K228" s="21" t="inlineStr"/>
      <c r="L228" s="21" t="inlineStr">
        <is>
          <t>2025-2026</t>
        </is>
      </c>
      <c r="M228" s="21" t="inlineStr">
        <is>
          <t>Inscrit</t>
        </is>
      </c>
      <c r="N228" s="21" t="inlineStr"/>
      <c r="O228" s="21" t="inlineStr">
        <is>
          <t>import</t>
        </is>
      </c>
    </row>
    <row r="229" ht="15" customHeight="1" s="22">
      <c r="A229" s="21" t="inlineStr">
        <is>
          <t>77</t>
        </is>
      </c>
      <c r="B229" s="21" t="inlineStr">
        <is>
          <t>78740</t>
        </is>
      </c>
      <c r="C229" s="21" t="inlineStr"/>
      <c r="D229" s="21" t="inlineStr">
        <is>
          <t>SOUMAYAT</t>
        </is>
      </c>
      <c r="E229" s="21" t="inlineStr">
        <is>
          <t>SOULA MALIDE</t>
        </is>
      </c>
      <c r="F229" s="21" t="inlineStr">
        <is>
          <t>30/06/2007</t>
        </is>
      </c>
      <c r="G229" s="21" t="inlineStr">
        <is>
          <t>MATERNITE DE MORONI</t>
        </is>
      </c>
      <c r="H229" s="21" t="inlineStr"/>
      <c r="I229" s="21" t="inlineStr">
        <is>
          <t>L1</t>
        </is>
      </c>
      <c r="J229" s="21" t="inlineStr">
        <is>
          <t>Soins obstétricaux</t>
        </is>
      </c>
      <c r="K229" s="21" t="inlineStr"/>
      <c r="L229" s="21" t="inlineStr">
        <is>
          <t>2025-2026</t>
        </is>
      </c>
      <c r="M229" s="21" t="inlineStr">
        <is>
          <t>Inscrit</t>
        </is>
      </c>
      <c r="N229" s="21" t="inlineStr"/>
      <c r="O229" s="21" t="inlineStr">
        <is>
          <t>import</t>
        </is>
      </c>
    </row>
    <row r="230" ht="15" customHeight="1" s="22">
      <c r="A230" s="21" t="inlineStr">
        <is>
          <t>78</t>
        </is>
      </c>
      <c r="B230" s="21" t="inlineStr">
        <is>
          <t>77690</t>
        </is>
      </c>
      <c r="C230" s="21" t="inlineStr"/>
      <c r="D230" s="21" t="inlineStr">
        <is>
          <t>SOUMAYATA</t>
        </is>
      </c>
      <c r="E230" s="21" t="inlineStr">
        <is>
          <t>ALI</t>
        </is>
      </c>
      <c r="F230" s="21" t="inlineStr">
        <is>
          <t>13/01/2005</t>
        </is>
      </c>
      <c r="G230" s="21" t="inlineStr">
        <is>
          <t>SAMBA MADI OICHILI</t>
        </is>
      </c>
      <c r="H230" s="21" t="inlineStr"/>
      <c r="I230" s="21" t="inlineStr">
        <is>
          <t>L1</t>
        </is>
      </c>
      <c r="J230" s="21" t="inlineStr">
        <is>
          <t>Soins obstétricaux</t>
        </is>
      </c>
      <c r="K230" s="21" t="inlineStr"/>
      <c r="L230" s="21" t="inlineStr">
        <is>
          <t>2025-2026</t>
        </is>
      </c>
      <c r="M230" s="21" t="inlineStr">
        <is>
          <t>Inscrit</t>
        </is>
      </c>
      <c r="N230" s="21" t="inlineStr"/>
      <c r="O230" s="21" t="inlineStr">
        <is>
          <t>import</t>
        </is>
      </c>
    </row>
    <row r="231" ht="15" customHeight="1" s="22">
      <c r="A231" s="21" t="inlineStr">
        <is>
          <t>79</t>
        </is>
      </c>
      <c r="B231" s="21" t="inlineStr">
        <is>
          <t>76862</t>
        </is>
      </c>
      <c r="C231" s="21" t="inlineStr"/>
      <c r="D231" s="21" t="inlineStr">
        <is>
          <t>SOUROIYAT</t>
        </is>
      </c>
      <c r="E231" s="21" t="inlineStr">
        <is>
          <t>MASSOUNDI</t>
        </is>
      </c>
      <c r="F231" s="21" t="inlineStr">
        <is>
          <t>20/09/2007</t>
        </is>
      </c>
      <c r="G231" s="21" t="inlineStr">
        <is>
          <t>MTE DE MOIDJA</t>
        </is>
      </c>
      <c r="H231" s="21" t="inlineStr"/>
      <c r="I231" s="21" t="inlineStr">
        <is>
          <t>L1</t>
        </is>
      </c>
      <c r="J231" s="21" t="inlineStr">
        <is>
          <t>Soins obstétricaux</t>
        </is>
      </c>
      <c r="K231" s="21" t="inlineStr"/>
      <c r="L231" s="21" t="inlineStr">
        <is>
          <t>2025-2026</t>
        </is>
      </c>
      <c r="M231" s="21" t="inlineStr">
        <is>
          <t>Inscrit</t>
        </is>
      </c>
      <c r="N231" s="21" t="inlineStr"/>
      <c r="O231" s="21" t="inlineStr">
        <is>
          <t>import</t>
        </is>
      </c>
    </row>
    <row r="232" ht="15" customHeight="1" s="22">
      <c r="A232" s="21" t="inlineStr">
        <is>
          <t>80</t>
        </is>
      </c>
      <c r="B232" s="21" t="inlineStr">
        <is>
          <t>77488</t>
        </is>
      </c>
      <c r="C232" s="21" t="inlineStr"/>
      <c r="D232" s="21" t="inlineStr">
        <is>
          <t>YOUMNA</t>
        </is>
      </c>
      <c r="E232" s="21" t="inlineStr">
        <is>
          <t>YACOUB ASSOUMANI</t>
        </is>
      </c>
      <c r="F232" s="21" t="inlineStr">
        <is>
          <t>14/04/2007</t>
        </is>
      </c>
      <c r="G232" s="21" t="inlineStr">
        <is>
          <t>MTE DE MORONI</t>
        </is>
      </c>
      <c r="H232" s="21" t="inlineStr"/>
      <c r="I232" s="21" t="inlineStr">
        <is>
          <t>L1</t>
        </is>
      </c>
      <c r="J232" s="21" t="inlineStr">
        <is>
          <t>Soins obstétricaux</t>
        </is>
      </c>
      <c r="K232" s="21" t="inlineStr"/>
      <c r="L232" s="21" t="inlineStr">
        <is>
          <t>2025-2026</t>
        </is>
      </c>
      <c r="M232" s="21" t="inlineStr">
        <is>
          <t>Inscrit</t>
        </is>
      </c>
      <c r="N232" s="21" t="inlineStr"/>
      <c r="O232" s="21" t="inlineStr">
        <is>
          <t>import</t>
        </is>
      </c>
    </row>
    <row r="233" ht="15" customHeight="1" s="22">
      <c r="A233" s="21" t="inlineStr">
        <is>
          <t>81</t>
        </is>
      </c>
      <c r="B233" s="21" t="inlineStr">
        <is>
          <t>74337</t>
        </is>
      </c>
      <c r="C233" s="21" t="inlineStr"/>
      <c r="D233" s="21" t="inlineStr">
        <is>
          <t>YOUTLA</t>
        </is>
      </c>
      <c r="E233" s="21" t="inlineStr">
        <is>
          <t>ALI</t>
        </is>
      </c>
      <c r="F233" s="21" t="inlineStr">
        <is>
          <t>21/11/2004</t>
        </is>
      </c>
      <c r="G233" s="21" t="inlineStr">
        <is>
          <t>GNAMBENI</t>
        </is>
      </c>
      <c r="H233" s="21" t="inlineStr"/>
      <c r="I233" s="21" t="inlineStr">
        <is>
          <t>L1</t>
        </is>
      </c>
      <c r="J233" s="21" t="inlineStr">
        <is>
          <t>Soins obstétricaux</t>
        </is>
      </c>
      <c r="K233" s="21" t="inlineStr"/>
      <c r="L233" s="21" t="inlineStr">
        <is>
          <t>2025-2026</t>
        </is>
      </c>
      <c r="M233" s="21" t="inlineStr">
        <is>
          <t>Inscrit</t>
        </is>
      </c>
      <c r="N233" s="21" t="inlineStr"/>
      <c r="O233" s="21" t="inlineStr">
        <is>
          <t>import</t>
        </is>
      </c>
    </row>
    <row r="234" ht="15" customHeight="1" s="22">
      <c r="A234" s="21" t="inlineStr">
        <is>
          <t>82</t>
        </is>
      </c>
      <c r="B234" s="21" t="inlineStr">
        <is>
          <t>76628</t>
        </is>
      </c>
      <c r="C234" s="21" t="inlineStr"/>
      <c r="D234" s="21" t="inlineStr">
        <is>
          <t>ZAKIA</t>
        </is>
      </c>
      <c r="E234" s="21" t="inlineStr">
        <is>
          <t>AHAMADI MAJANI</t>
        </is>
      </c>
      <c r="F234" s="21" t="inlineStr">
        <is>
          <t>18/01/2007</t>
        </is>
      </c>
      <c r="G234" s="21" t="inlineStr">
        <is>
          <t>MTE DE DOMONI ANJOUAN</t>
        </is>
      </c>
      <c r="H234" s="21" t="inlineStr"/>
      <c r="I234" s="21" t="inlineStr">
        <is>
          <t>L1</t>
        </is>
      </c>
      <c r="J234" s="21" t="inlineStr">
        <is>
          <t>Soins obstétricaux</t>
        </is>
      </c>
      <c r="K234" s="21" t="inlineStr"/>
      <c r="L234" s="21" t="inlineStr">
        <is>
          <t>2025-2026</t>
        </is>
      </c>
      <c r="M234" s="21" t="inlineStr">
        <is>
          <t>Inscrit</t>
        </is>
      </c>
      <c r="N234" s="21" t="inlineStr"/>
      <c r="O234" s="21" t="inlineStr">
        <is>
          <t>import</t>
        </is>
      </c>
    </row>
    <row r="235" ht="15" customHeight="1" s="22">
      <c r="A235" s="21" t="inlineStr">
        <is>
          <t>83</t>
        </is>
      </c>
      <c r="B235" s="21" t="inlineStr">
        <is>
          <t>73414</t>
        </is>
      </c>
      <c r="C235" s="21" t="inlineStr"/>
      <c r="D235" s="21" t="inlineStr">
        <is>
          <t>ZAMOUANTI</t>
        </is>
      </c>
      <c r="E235" s="21" t="inlineStr">
        <is>
          <t>BEN ALI</t>
        </is>
      </c>
      <c r="F235" s="21" t="inlineStr">
        <is>
          <t>10/12/2004</t>
        </is>
      </c>
      <c r="G235" s="21" t="inlineStr">
        <is>
          <t>MIRERENI DIMANI</t>
        </is>
      </c>
      <c r="H235" s="21" t="inlineStr"/>
      <c r="I235" s="21" t="inlineStr">
        <is>
          <t>L1</t>
        </is>
      </c>
      <c r="J235" s="21" t="inlineStr">
        <is>
          <t>Soins obstétricaux</t>
        </is>
      </c>
      <c r="K235" s="21" t="inlineStr"/>
      <c r="L235" s="21" t="inlineStr">
        <is>
          <t>2025-2026</t>
        </is>
      </c>
      <c r="M235" s="21" t="inlineStr">
        <is>
          <t>Inscrit</t>
        </is>
      </c>
      <c r="N235" s="21" t="inlineStr"/>
      <c r="O235" s="21" t="inlineStr">
        <is>
          <t>import</t>
        </is>
      </c>
    </row>
    <row r="236" ht="15" customHeight="1" s="22">
      <c r="A236" s="21" t="inlineStr">
        <is>
          <t>1</t>
        </is>
      </c>
      <c r="B236" s="21" t="inlineStr">
        <is>
          <t>79310</t>
        </is>
      </c>
      <c r="C236" s="21" t="inlineStr"/>
      <c r="D236" s="21" t="inlineStr">
        <is>
          <t>ABDALLAH</t>
        </is>
      </c>
      <c r="E236" s="21" t="inlineStr">
        <is>
          <t>RIFKA</t>
        </is>
      </c>
      <c r="F236" s="21" t="inlineStr">
        <is>
          <t>18/06/2004</t>
        </is>
      </c>
      <c r="G236" s="21" t="inlineStr">
        <is>
          <t>MBOUDADJOU BAMBAO</t>
        </is>
      </c>
      <c r="H236" s="21" t="inlineStr"/>
      <c r="I236" s="21" t="inlineStr">
        <is>
          <t>L1</t>
        </is>
      </c>
      <c r="J236" s="21" t="inlineStr">
        <is>
          <t>Imagerie médicale</t>
        </is>
      </c>
      <c r="K236" s="21" t="inlineStr"/>
      <c r="L236" s="21" t="inlineStr">
        <is>
          <t>2025-2026</t>
        </is>
      </c>
      <c r="M236" s="21" t="inlineStr">
        <is>
          <t>Inscrit</t>
        </is>
      </c>
      <c r="N236" s="21" t="inlineStr"/>
      <c r="O236" s="21" t="inlineStr">
        <is>
          <t>import</t>
        </is>
      </c>
    </row>
    <row r="237" ht="15" customHeight="1" s="22">
      <c r="A237" s="21" t="inlineStr">
        <is>
          <t>2</t>
        </is>
      </c>
      <c r="B237" s="21" t="inlineStr">
        <is>
          <t>79740</t>
        </is>
      </c>
      <c r="C237" s="21" t="inlineStr"/>
      <c r="D237" s="21" t="inlineStr">
        <is>
          <t>ABDOUROIHAMANE</t>
        </is>
      </c>
      <c r="E237" s="21" t="inlineStr">
        <is>
          <t>ASSANE</t>
        </is>
      </c>
      <c r="F237" s="21" t="inlineStr">
        <is>
          <t>04/05/2003</t>
        </is>
      </c>
      <c r="G237" s="21" t="inlineStr">
        <is>
          <t>MTE DE M'REMANI</t>
        </is>
      </c>
      <c r="H237" s="21" t="inlineStr"/>
      <c r="I237" s="21" t="inlineStr">
        <is>
          <t>L1</t>
        </is>
      </c>
      <c r="J237" s="21" t="inlineStr">
        <is>
          <t>Imagerie médicale</t>
        </is>
      </c>
      <c r="K237" s="21" t="inlineStr"/>
      <c r="L237" s="21" t="inlineStr">
        <is>
          <t>2025-2026</t>
        </is>
      </c>
      <c r="M237" s="21" t="inlineStr">
        <is>
          <t>Inscrit</t>
        </is>
      </c>
      <c r="N237" s="21" t="inlineStr"/>
      <c r="O237" s="21" t="inlineStr">
        <is>
          <t>import</t>
        </is>
      </c>
    </row>
    <row r="238" ht="15" customHeight="1" s="22">
      <c r="A238" s="21" t="inlineStr">
        <is>
          <t>3</t>
        </is>
      </c>
      <c r="B238" s="21" t="inlineStr">
        <is>
          <t>78150</t>
        </is>
      </c>
      <c r="C238" s="21" t="inlineStr"/>
      <c r="D238" s="21" t="inlineStr">
        <is>
          <t>ABIL-HER</t>
        </is>
      </c>
      <c r="E238" s="21" t="inlineStr">
        <is>
          <t>KANANE</t>
        </is>
      </c>
      <c r="F238" s="21" t="inlineStr">
        <is>
          <t>29/03/2008</t>
        </is>
      </c>
      <c r="G238" s="21" t="inlineStr">
        <is>
          <t>MITSAMIOULI</t>
        </is>
      </c>
      <c r="H238" s="21" t="inlineStr"/>
      <c r="I238" s="21" t="inlineStr">
        <is>
          <t>L1</t>
        </is>
      </c>
      <c r="J238" s="21" t="inlineStr">
        <is>
          <t>Imagerie médicale</t>
        </is>
      </c>
      <c r="K238" s="21" t="inlineStr"/>
      <c r="L238" s="21" t="inlineStr">
        <is>
          <t>2025-2026</t>
        </is>
      </c>
      <c r="M238" s="21" t="inlineStr">
        <is>
          <t>Inscrit</t>
        </is>
      </c>
      <c r="N238" s="21" t="inlineStr"/>
      <c r="O238" s="21" t="inlineStr">
        <is>
          <t>import</t>
        </is>
      </c>
    </row>
    <row r="239" ht="15" customHeight="1" s="22">
      <c r="A239" s="21" t="inlineStr">
        <is>
          <t>4</t>
        </is>
      </c>
      <c r="B239" s="21" t="inlineStr">
        <is>
          <t>78783</t>
        </is>
      </c>
      <c r="C239" s="21" t="inlineStr"/>
      <c r="D239" s="21" t="inlineStr">
        <is>
          <t>AHAMADA</t>
        </is>
      </c>
      <c r="E239" s="21" t="inlineStr">
        <is>
          <t>ALI MOUNIRA SAMIRA</t>
        </is>
      </c>
      <c r="F239" s="21" t="inlineStr">
        <is>
          <t>08/04/2006</t>
        </is>
      </c>
      <c r="G239" s="21" t="inlineStr">
        <is>
          <t>MATERNITE ANOSY - AVARATRA - MDG</t>
        </is>
      </c>
      <c r="H239" s="21" t="inlineStr"/>
      <c r="I239" s="21" t="inlineStr">
        <is>
          <t>L1</t>
        </is>
      </c>
      <c r="J239" s="21" t="inlineStr">
        <is>
          <t>Imagerie médicale</t>
        </is>
      </c>
      <c r="K239" s="21" t="inlineStr"/>
      <c r="L239" s="21" t="inlineStr">
        <is>
          <t>2025-2026</t>
        </is>
      </c>
      <c r="M239" s="21" t="inlineStr">
        <is>
          <t>Inscrit</t>
        </is>
      </c>
      <c r="N239" s="21" t="inlineStr"/>
      <c r="O239" s="21" t="inlineStr">
        <is>
          <t>import</t>
        </is>
      </c>
    </row>
    <row r="240" ht="15" customHeight="1" s="22">
      <c r="A240" s="21" t="inlineStr">
        <is>
          <t>5</t>
        </is>
      </c>
      <c r="B240" s="21" t="inlineStr">
        <is>
          <t>74771</t>
        </is>
      </c>
      <c r="C240" s="21" t="inlineStr"/>
      <c r="D240" s="21" t="inlineStr">
        <is>
          <t>ALI</t>
        </is>
      </c>
      <c r="E240" s="21" t="inlineStr">
        <is>
          <t>ANTUF ANSKALANE</t>
        </is>
      </c>
      <c r="F240" s="21" t="inlineStr">
        <is>
          <t>04/04/2008</t>
        </is>
      </c>
      <c r="G240" s="21" t="inlineStr">
        <is>
          <t>NTSAOUENI</t>
        </is>
      </c>
      <c r="H240" s="21" t="inlineStr"/>
      <c r="I240" s="21" t="inlineStr">
        <is>
          <t>L1</t>
        </is>
      </c>
      <c r="J240" s="21" t="inlineStr">
        <is>
          <t>Imagerie médicale</t>
        </is>
      </c>
      <c r="K240" s="21" t="inlineStr"/>
      <c r="L240" s="21" t="inlineStr">
        <is>
          <t>2025-2026</t>
        </is>
      </c>
      <c r="M240" s="21" t="inlineStr">
        <is>
          <t>Inscrit</t>
        </is>
      </c>
      <c r="N240" s="21" t="inlineStr"/>
      <c r="O240" s="21" t="inlineStr">
        <is>
          <t>import</t>
        </is>
      </c>
    </row>
    <row r="241" ht="15" customHeight="1" s="22">
      <c r="A241" s="21" t="inlineStr">
        <is>
          <t>6</t>
        </is>
      </c>
      <c r="B241" s="21" t="inlineStr">
        <is>
          <t>79278</t>
        </is>
      </c>
      <c r="C241" s="21" t="inlineStr"/>
      <c r="D241" s="21" t="inlineStr">
        <is>
          <t>AN-ICHAT</t>
        </is>
      </c>
      <c r="E241" s="21" t="inlineStr">
        <is>
          <t>ALI SOEF</t>
        </is>
      </c>
      <c r="F241" s="21" t="inlineStr">
        <is>
          <t>01/03/2007</t>
        </is>
      </c>
      <c r="G241" s="21" t="inlineStr">
        <is>
          <t>BOUNI HAMAHAMET</t>
        </is>
      </c>
      <c r="H241" s="21" t="inlineStr"/>
      <c r="I241" s="21" t="inlineStr">
        <is>
          <t>L1</t>
        </is>
      </c>
      <c r="J241" s="21" t="inlineStr">
        <is>
          <t>Imagerie médicale</t>
        </is>
      </c>
      <c r="K241" s="21" t="inlineStr"/>
      <c r="L241" s="21" t="inlineStr">
        <is>
          <t>2025-2026</t>
        </is>
      </c>
      <c r="M241" s="21" t="inlineStr">
        <is>
          <t>Inscrit</t>
        </is>
      </c>
      <c r="N241" s="21" t="inlineStr"/>
      <c r="O241" s="21" t="inlineStr">
        <is>
          <t>import</t>
        </is>
      </c>
    </row>
    <row r="242" ht="15" customHeight="1" s="22">
      <c r="A242" s="21" t="inlineStr">
        <is>
          <t>7</t>
        </is>
      </c>
      <c r="B242" s="21" t="inlineStr">
        <is>
          <t>79590</t>
        </is>
      </c>
      <c r="C242" s="21" t="inlineStr"/>
      <c r="D242" s="21" t="inlineStr">
        <is>
          <t>ASMINA</t>
        </is>
      </c>
      <c r="E242" s="21" t="inlineStr">
        <is>
          <t>MIDILADJI</t>
        </is>
      </c>
      <c r="F242" s="21" t="inlineStr">
        <is>
          <t>14/02/2005</t>
        </is>
      </c>
      <c r="G242" s="21" t="inlineStr">
        <is>
          <t>BANDADAOENI - DOMBA</t>
        </is>
      </c>
      <c r="H242" s="21" t="inlineStr"/>
      <c r="I242" s="21" t="inlineStr">
        <is>
          <t>L1</t>
        </is>
      </c>
      <c r="J242" s="21" t="inlineStr">
        <is>
          <t>Imagerie médicale</t>
        </is>
      </c>
      <c r="K242" s="21" t="inlineStr"/>
      <c r="L242" s="21" t="inlineStr">
        <is>
          <t>2025-2026</t>
        </is>
      </c>
      <c r="M242" s="21" t="inlineStr">
        <is>
          <t>Inscrit</t>
        </is>
      </c>
      <c r="N242" s="21" t="inlineStr"/>
      <c r="O242" s="21" t="inlineStr">
        <is>
          <t>import</t>
        </is>
      </c>
    </row>
    <row r="243" ht="15" customHeight="1" s="22">
      <c r="A243" s="21" t="inlineStr">
        <is>
          <t>8</t>
        </is>
      </c>
      <c r="B243" s="21" t="inlineStr">
        <is>
          <t>74891</t>
        </is>
      </c>
      <c r="C243" s="21" t="inlineStr"/>
      <c r="D243" s="21" t="inlineStr">
        <is>
          <t>AZADI</t>
        </is>
      </c>
      <c r="E243" s="21" t="inlineStr">
        <is>
          <t>IBRAHIM</t>
        </is>
      </c>
      <c r="F243" s="21" t="inlineStr">
        <is>
          <t>11/11/2006</t>
        </is>
      </c>
      <c r="G243" s="21" t="inlineStr">
        <is>
          <t>MLALI BADJINI EST</t>
        </is>
      </c>
      <c r="H243" s="21" t="inlineStr"/>
      <c r="I243" s="21" t="inlineStr">
        <is>
          <t>L1</t>
        </is>
      </c>
      <c r="J243" s="21" t="inlineStr">
        <is>
          <t>Imagerie médicale</t>
        </is>
      </c>
      <c r="K243" s="21" t="inlineStr"/>
      <c r="L243" s="21" t="inlineStr">
        <is>
          <t>2025-2026</t>
        </is>
      </c>
      <c r="M243" s="21" t="inlineStr">
        <is>
          <t>Inscrit</t>
        </is>
      </c>
      <c r="N243" s="21" t="inlineStr"/>
      <c r="O243" s="21" t="inlineStr">
        <is>
          <t>import</t>
        </is>
      </c>
    </row>
    <row r="244" ht="15" customHeight="1" s="22">
      <c r="A244" s="21" t="inlineStr">
        <is>
          <t>9</t>
        </is>
      </c>
      <c r="B244" s="21" t="inlineStr">
        <is>
          <t>67517</t>
        </is>
      </c>
      <c r="C244" s="21" t="inlineStr"/>
      <c r="D244" s="21" t="inlineStr">
        <is>
          <t>BACAR</t>
        </is>
      </c>
      <c r="E244" s="21" t="inlineStr">
        <is>
          <t>AINCHA</t>
        </is>
      </c>
      <c r="F244" s="21" t="inlineStr">
        <is>
          <t>01/07/2005</t>
        </is>
      </c>
      <c r="G244" s="21" t="inlineStr">
        <is>
          <t>CHAMLE MBOUDE</t>
        </is>
      </c>
      <c r="H244" s="21" t="inlineStr"/>
      <c r="I244" s="21" t="inlineStr">
        <is>
          <t>L1</t>
        </is>
      </c>
      <c r="J244" s="21" t="inlineStr">
        <is>
          <t>Imagerie médicale</t>
        </is>
      </c>
      <c r="K244" s="21" t="inlineStr"/>
      <c r="L244" s="21" t="inlineStr">
        <is>
          <t>2025-2026</t>
        </is>
      </c>
      <c r="M244" s="21" t="inlineStr">
        <is>
          <t>Inscrit</t>
        </is>
      </c>
      <c r="N244" s="21" t="inlineStr"/>
      <c r="O244" s="21" t="inlineStr">
        <is>
          <t>import</t>
        </is>
      </c>
    </row>
    <row r="245" ht="15" customHeight="1" s="22">
      <c r="A245" s="21" t="inlineStr">
        <is>
          <t>10</t>
        </is>
      </c>
      <c r="B245" s="21" t="inlineStr">
        <is>
          <t>79318</t>
        </is>
      </c>
      <c r="C245" s="21" t="inlineStr"/>
      <c r="D245" s="21" t="inlineStr">
        <is>
          <t>BASMA</t>
        </is>
      </c>
      <c r="E245" s="21" t="inlineStr">
        <is>
          <t>TOIENLIDINE</t>
        </is>
      </c>
      <c r="F245" s="21" t="inlineStr">
        <is>
          <t>28/12/2002</t>
        </is>
      </c>
      <c r="G245" s="21" t="inlineStr">
        <is>
          <t>BATOU HAMAHAMET</t>
        </is>
      </c>
      <c r="H245" s="21" t="inlineStr"/>
      <c r="I245" s="21" t="inlineStr">
        <is>
          <t>L1</t>
        </is>
      </c>
      <c r="J245" s="21" t="inlineStr">
        <is>
          <t>Imagerie médicale</t>
        </is>
      </c>
      <c r="K245" s="21" t="inlineStr"/>
      <c r="L245" s="21" t="inlineStr">
        <is>
          <t>2025-2026</t>
        </is>
      </c>
      <c r="M245" s="21" t="inlineStr">
        <is>
          <t>Inscrit</t>
        </is>
      </c>
      <c r="N245" s="21" t="inlineStr"/>
      <c r="O245" s="21" t="inlineStr">
        <is>
          <t>import</t>
        </is>
      </c>
    </row>
    <row r="246" ht="15" customHeight="1" s="22">
      <c r="A246" s="21" t="inlineStr">
        <is>
          <t>11</t>
        </is>
      </c>
      <c r="B246" s="21" t="inlineStr">
        <is>
          <t>76945</t>
        </is>
      </c>
      <c r="C246" s="21" t="inlineStr"/>
      <c r="D246" s="21" t="inlineStr">
        <is>
          <t>BOINA</t>
        </is>
      </c>
      <c r="E246" s="21" t="inlineStr">
        <is>
          <t>SAINA</t>
        </is>
      </c>
      <c r="F246" s="21" t="inlineStr">
        <is>
          <t>24/12/2004</t>
        </is>
      </c>
      <c r="G246" s="21" t="inlineStr">
        <is>
          <t>IVEMBENI MBUDE</t>
        </is>
      </c>
      <c r="H246" s="21" t="inlineStr"/>
      <c r="I246" s="21" t="inlineStr">
        <is>
          <t>L1</t>
        </is>
      </c>
      <c r="J246" s="21" t="inlineStr">
        <is>
          <t>Imagerie médicale</t>
        </is>
      </c>
      <c r="K246" s="21" t="inlineStr"/>
      <c r="L246" s="21" t="inlineStr">
        <is>
          <t>2025-2026</t>
        </is>
      </c>
      <c r="M246" s="21" t="inlineStr">
        <is>
          <t>Inscrit</t>
        </is>
      </c>
      <c r="N246" s="21" t="inlineStr"/>
      <c r="O246" s="21" t="inlineStr">
        <is>
          <t>import</t>
        </is>
      </c>
    </row>
    <row r="247" ht="15" customHeight="1" s="22">
      <c r="A247" s="21" t="inlineStr">
        <is>
          <t>12</t>
        </is>
      </c>
      <c r="B247" s="21" t="inlineStr">
        <is>
          <t>73521</t>
        </is>
      </c>
      <c r="C247" s="21" t="inlineStr"/>
      <c r="D247" s="21" t="inlineStr">
        <is>
          <t>CHADIA</t>
        </is>
      </c>
      <c r="E247" s="21" t="inlineStr">
        <is>
          <t>ABDOU</t>
        </is>
      </c>
      <c r="F247" s="21" t="inlineStr">
        <is>
          <t>16/03/2005</t>
        </is>
      </c>
      <c r="G247" s="21" t="inlineStr">
        <is>
          <t>IVEMBENI</t>
        </is>
      </c>
      <c r="H247" s="21" t="inlineStr"/>
      <c r="I247" s="21" t="inlineStr">
        <is>
          <t>L1</t>
        </is>
      </c>
      <c r="J247" s="21" t="inlineStr">
        <is>
          <t>Imagerie médicale</t>
        </is>
      </c>
      <c r="K247" s="21" t="inlineStr"/>
      <c r="L247" s="21" t="inlineStr">
        <is>
          <t>2025-2026</t>
        </is>
      </c>
      <c r="M247" s="21" t="inlineStr">
        <is>
          <t>Inscrit</t>
        </is>
      </c>
      <c r="N247" s="21" t="inlineStr"/>
      <c r="O247" s="21" t="inlineStr">
        <is>
          <t>import</t>
        </is>
      </c>
    </row>
    <row r="248" ht="15" customHeight="1" s="22">
      <c r="A248" s="21" t="inlineStr">
        <is>
          <t>13</t>
        </is>
      </c>
      <c r="B248" s="21" t="inlineStr">
        <is>
          <t>76194</t>
        </is>
      </c>
      <c r="C248" s="21" t="inlineStr"/>
      <c r="D248" s="21" t="inlineStr">
        <is>
          <t>CHAFIKA</t>
        </is>
      </c>
      <c r="E248" s="21" t="inlineStr">
        <is>
          <t>MARSADI HAMIDOU SAID</t>
        </is>
      </c>
      <c r="F248" s="21" t="inlineStr">
        <is>
          <t>16/07/2003</t>
        </is>
      </c>
      <c r="G248" s="21" t="inlineStr">
        <is>
          <t>MTE DE MORONI</t>
        </is>
      </c>
      <c r="H248" s="21" t="inlineStr"/>
      <c r="I248" s="21" t="inlineStr">
        <is>
          <t>L1</t>
        </is>
      </c>
      <c r="J248" s="21" t="inlineStr">
        <is>
          <t>Imagerie médicale</t>
        </is>
      </c>
      <c r="K248" s="21" t="inlineStr"/>
      <c r="L248" s="21" t="inlineStr">
        <is>
          <t>2025-2026</t>
        </is>
      </c>
      <c r="M248" s="21" t="inlineStr">
        <is>
          <t>Inscrit</t>
        </is>
      </c>
      <c r="N248" s="21" t="inlineStr"/>
      <c r="O248" s="21" t="inlineStr">
        <is>
          <t>import</t>
        </is>
      </c>
    </row>
    <row r="249" ht="15" customHeight="1" s="22">
      <c r="A249" s="21" t="inlineStr">
        <is>
          <t>14</t>
        </is>
      </c>
      <c r="B249" s="21" t="inlineStr">
        <is>
          <t>72559</t>
        </is>
      </c>
      <c r="C249" s="21" t="inlineStr"/>
      <c r="D249" s="21" t="inlineStr">
        <is>
          <t>CHAIMA</t>
        </is>
      </c>
      <c r="E249" s="21" t="inlineStr">
        <is>
          <t>ALI SIAKA</t>
        </is>
      </c>
      <c r="F249" s="21" t="inlineStr">
        <is>
          <t>25/04/2005</t>
        </is>
      </c>
      <c r="G249" s="21" t="inlineStr">
        <is>
          <t>DZAHANI II</t>
        </is>
      </c>
      <c r="H249" s="21" t="inlineStr"/>
      <c r="I249" s="21" t="inlineStr">
        <is>
          <t>L1</t>
        </is>
      </c>
      <c r="J249" s="21" t="inlineStr">
        <is>
          <t>Imagerie médicale</t>
        </is>
      </c>
      <c r="K249" s="21" t="inlineStr"/>
      <c r="L249" s="21" t="inlineStr">
        <is>
          <t>2025-2026</t>
        </is>
      </c>
      <c r="M249" s="21" t="inlineStr">
        <is>
          <t>Inscrit</t>
        </is>
      </c>
      <c r="N249" s="21" t="inlineStr"/>
      <c r="O249" s="21" t="inlineStr">
        <is>
          <t>import</t>
        </is>
      </c>
    </row>
    <row r="250" ht="15" customHeight="1" s="22">
      <c r="A250" s="21" t="inlineStr">
        <is>
          <t>15</t>
        </is>
      </c>
      <c r="B250" s="21" t="inlineStr">
        <is>
          <t>78417</t>
        </is>
      </c>
      <c r="C250" s="21" t="inlineStr"/>
      <c r="D250" s="21" t="inlineStr">
        <is>
          <t>DAOUD</t>
        </is>
      </c>
      <c r="E250" s="21" t="inlineStr">
        <is>
          <t>ABDALLAH HALIMA</t>
        </is>
      </c>
      <c r="F250" s="21" t="inlineStr">
        <is>
          <t>04/01/2008</t>
        </is>
      </c>
      <c r="G250" s="21" t="inlineStr">
        <is>
          <t>VOUNAMBADANI ITSANDRA</t>
        </is>
      </c>
      <c r="H250" s="21" t="inlineStr"/>
      <c r="I250" s="21" t="inlineStr">
        <is>
          <t>L1</t>
        </is>
      </c>
      <c r="J250" s="21" t="inlineStr">
        <is>
          <t>Imagerie médicale</t>
        </is>
      </c>
      <c r="K250" s="21" t="inlineStr"/>
      <c r="L250" s="21" t="inlineStr">
        <is>
          <t>2025-2026</t>
        </is>
      </c>
      <c r="M250" s="21" t="inlineStr">
        <is>
          <t>Inscrit</t>
        </is>
      </c>
      <c r="N250" s="21" t="inlineStr"/>
      <c r="O250" s="21" t="inlineStr">
        <is>
          <t>import</t>
        </is>
      </c>
    </row>
    <row r="251" ht="15" customHeight="1" s="22">
      <c r="A251" s="21" t="inlineStr">
        <is>
          <t>16</t>
        </is>
      </c>
      <c r="B251" s="21" t="inlineStr">
        <is>
          <t>80039</t>
        </is>
      </c>
      <c r="C251" s="21" t="inlineStr"/>
      <c r="D251" s="21" t="inlineStr">
        <is>
          <t>DJOUMBE</t>
        </is>
      </c>
      <c r="E251" s="21" t="inlineStr">
        <is>
          <t>SAID MOHAMED DJAOUHAR</t>
        </is>
      </c>
      <c r="F251" s="21" t="inlineStr">
        <is>
          <t>27/12/2006</t>
        </is>
      </c>
      <c r="G251" s="21" t="inlineStr">
        <is>
          <t>BIBAVOU HAMANVOU</t>
        </is>
      </c>
      <c r="H251" s="21" t="inlineStr"/>
      <c r="I251" s="21" t="inlineStr">
        <is>
          <t>L1</t>
        </is>
      </c>
      <c r="J251" s="21" t="inlineStr">
        <is>
          <t>Imagerie médicale</t>
        </is>
      </c>
      <c r="K251" s="21" t="inlineStr"/>
      <c r="L251" s="21" t="inlineStr">
        <is>
          <t>2025-2026</t>
        </is>
      </c>
      <c r="M251" s="21" t="inlineStr">
        <is>
          <t>Inscrit</t>
        </is>
      </c>
      <c r="N251" s="21" t="inlineStr"/>
      <c r="O251" s="21" t="inlineStr">
        <is>
          <t>import</t>
        </is>
      </c>
    </row>
    <row r="252" ht="15" customHeight="1" s="22">
      <c r="A252" s="21" t="inlineStr">
        <is>
          <t>17</t>
        </is>
      </c>
      <c r="B252" s="21" t="inlineStr">
        <is>
          <t>79186</t>
        </is>
      </c>
      <c r="C252" s="21" t="inlineStr"/>
      <c r="D252" s="21" t="inlineStr">
        <is>
          <t>FAIDA</t>
        </is>
      </c>
      <c r="E252" s="21" t="inlineStr">
        <is>
          <t>YOUSSOUF</t>
        </is>
      </c>
      <c r="F252" s="21" t="inlineStr">
        <is>
          <t>05/01/2007</t>
        </is>
      </c>
      <c r="G252" s="21" t="inlineStr">
        <is>
          <t>MAMOUDZOU MAYOTTE</t>
        </is>
      </c>
      <c r="H252" s="21" t="inlineStr"/>
      <c r="I252" s="21" t="inlineStr">
        <is>
          <t>L1</t>
        </is>
      </c>
      <c r="J252" s="21" t="inlineStr">
        <is>
          <t>Imagerie médicale</t>
        </is>
      </c>
      <c r="K252" s="21" t="inlineStr"/>
      <c r="L252" s="21" t="inlineStr">
        <is>
          <t>2025-2026</t>
        </is>
      </c>
      <c r="M252" s="21" t="inlineStr">
        <is>
          <t>Inscrit</t>
        </is>
      </c>
      <c r="N252" s="21" t="inlineStr"/>
      <c r="O252" s="21" t="inlineStr">
        <is>
          <t>import</t>
        </is>
      </c>
    </row>
    <row r="253" ht="15" customHeight="1" s="22">
      <c r="A253" s="21" t="inlineStr">
        <is>
          <t>18</t>
        </is>
      </c>
      <c r="B253" s="21" t="inlineStr">
        <is>
          <t>79667</t>
        </is>
      </c>
      <c r="C253" s="21" t="inlineStr"/>
      <c r="D253" s="21" t="inlineStr">
        <is>
          <t>FAINOUR</t>
        </is>
      </c>
      <c r="E253" s="21" t="inlineStr">
        <is>
          <t>ANDILI</t>
        </is>
      </c>
      <c r="F253" s="21" t="inlineStr">
        <is>
          <t>25/12/2004</t>
        </is>
      </c>
      <c r="G253" s="21" t="inlineStr">
        <is>
          <t>MUTSAMUDU</t>
        </is>
      </c>
      <c r="H253" s="21" t="inlineStr"/>
      <c r="I253" s="21" t="inlineStr">
        <is>
          <t>L1</t>
        </is>
      </c>
      <c r="J253" s="21" t="inlineStr">
        <is>
          <t>Imagerie médicale</t>
        </is>
      </c>
      <c r="K253" s="21" t="inlineStr"/>
      <c r="L253" s="21" t="inlineStr">
        <is>
          <t>2025-2026</t>
        </is>
      </c>
      <c r="M253" s="21" t="inlineStr">
        <is>
          <t>Inscrit</t>
        </is>
      </c>
      <c r="N253" s="21" t="inlineStr"/>
      <c r="O253" s="21" t="inlineStr">
        <is>
          <t>import</t>
        </is>
      </c>
    </row>
    <row r="254" ht="15" customHeight="1" s="22">
      <c r="A254" s="21" t="inlineStr">
        <is>
          <t>19</t>
        </is>
      </c>
      <c r="B254" s="21" t="inlineStr">
        <is>
          <t>78625</t>
        </is>
      </c>
      <c r="C254" s="21" t="inlineStr"/>
      <c r="D254" s="21" t="inlineStr">
        <is>
          <t>FOUNDI</t>
        </is>
      </c>
      <c r="E254" s="21" t="inlineStr">
        <is>
          <t>MOINECHAMI</t>
        </is>
      </c>
      <c r="F254" s="21" t="inlineStr">
        <is>
          <t>02/09/2007</t>
        </is>
      </c>
      <c r="G254" s="21" t="inlineStr">
        <is>
          <t>MTE DE MITSAMIOULI</t>
        </is>
      </c>
      <c r="H254" s="21" t="inlineStr"/>
      <c r="I254" s="21" t="inlineStr">
        <is>
          <t>L1</t>
        </is>
      </c>
      <c r="J254" s="21" t="inlineStr">
        <is>
          <t>Imagerie médicale</t>
        </is>
      </c>
      <c r="K254" s="21" t="inlineStr"/>
      <c r="L254" s="21" t="inlineStr">
        <is>
          <t>2025-2026</t>
        </is>
      </c>
      <c r="M254" s="21" t="inlineStr">
        <is>
          <t>Inscrit</t>
        </is>
      </c>
      <c r="N254" s="21" t="inlineStr"/>
      <c r="O254" s="21" t="inlineStr">
        <is>
          <t>import</t>
        </is>
      </c>
    </row>
    <row r="255" ht="15" customHeight="1" s="22">
      <c r="A255" s="21" t="inlineStr">
        <is>
          <t>20</t>
        </is>
      </c>
      <c r="B255" s="21" t="inlineStr">
        <is>
          <t>74738</t>
        </is>
      </c>
      <c r="C255" s="21" t="inlineStr"/>
      <c r="D255" s="21" t="inlineStr">
        <is>
          <t>GHALKAT</t>
        </is>
      </c>
      <c r="E255" s="21" t="inlineStr">
        <is>
          <t>ASSANI</t>
        </is>
      </c>
      <c r="F255" s="21" t="inlineStr">
        <is>
          <t>08/08/2005</t>
        </is>
      </c>
      <c r="G255" s="21" t="inlineStr">
        <is>
          <t>CHITROUNI - ANJOUAN</t>
        </is>
      </c>
      <c r="H255" s="21" t="inlineStr"/>
      <c r="I255" s="21" t="inlineStr">
        <is>
          <t>L1</t>
        </is>
      </c>
      <c r="J255" s="21" t="inlineStr">
        <is>
          <t>Imagerie médicale</t>
        </is>
      </c>
      <c r="K255" s="21" t="inlineStr"/>
      <c r="L255" s="21" t="inlineStr">
        <is>
          <t>2025-2026</t>
        </is>
      </c>
      <c r="M255" s="21" t="inlineStr">
        <is>
          <t>Inscrit</t>
        </is>
      </c>
      <c r="N255" s="21" t="inlineStr"/>
      <c r="O255" s="21" t="inlineStr">
        <is>
          <t>import</t>
        </is>
      </c>
    </row>
    <row r="256" ht="15" customHeight="1" s="22">
      <c r="A256" s="21" t="inlineStr">
        <is>
          <t>21</t>
        </is>
      </c>
      <c r="B256" s="21" t="inlineStr">
        <is>
          <t>79966</t>
        </is>
      </c>
      <c r="C256" s="21" t="inlineStr"/>
      <c r="D256" s="21" t="inlineStr">
        <is>
          <t>HACHIMIA</t>
        </is>
      </c>
      <c r="E256" s="21" t="inlineStr">
        <is>
          <t>HACHIM HOUBIR</t>
        </is>
      </c>
      <c r="F256" s="21" t="inlineStr">
        <is>
          <t>20/06/2007</t>
        </is>
      </c>
      <c r="G256" s="21" t="inlineStr">
        <is>
          <t>MORONI</t>
        </is>
      </c>
      <c r="H256" s="21" t="inlineStr"/>
      <c r="I256" s="21" t="inlineStr">
        <is>
          <t>L1</t>
        </is>
      </c>
      <c r="J256" s="21" t="inlineStr">
        <is>
          <t>Imagerie médicale</t>
        </is>
      </c>
      <c r="K256" s="21" t="inlineStr"/>
      <c r="L256" s="21" t="inlineStr">
        <is>
          <t>2025-2026</t>
        </is>
      </c>
      <c r="M256" s="21" t="inlineStr">
        <is>
          <t>Inscrit</t>
        </is>
      </c>
      <c r="N256" s="21" t="inlineStr"/>
      <c r="O256" s="21" t="inlineStr">
        <is>
          <t>import</t>
        </is>
      </c>
    </row>
    <row r="257" ht="15" customHeight="1" s="22">
      <c r="A257" s="21" t="inlineStr">
        <is>
          <t>22</t>
        </is>
      </c>
      <c r="B257" s="21" t="inlineStr">
        <is>
          <t>78406</t>
        </is>
      </c>
      <c r="C257" s="21" t="inlineStr"/>
      <c r="D257" s="21" t="inlineStr">
        <is>
          <t>HAFSOITIE</t>
        </is>
      </c>
      <c r="E257" s="21" t="inlineStr">
        <is>
          <t>AHMED</t>
        </is>
      </c>
      <c r="F257" s="21" t="inlineStr">
        <is>
          <t>19/02/2006</t>
        </is>
      </c>
      <c r="G257" s="21" t="inlineStr">
        <is>
          <t>DOUNIANI</t>
        </is>
      </c>
      <c r="H257" s="21" t="inlineStr"/>
      <c r="I257" s="21" t="inlineStr">
        <is>
          <t>L1</t>
        </is>
      </c>
      <c r="J257" s="21" t="inlineStr">
        <is>
          <t>Imagerie médicale</t>
        </is>
      </c>
      <c r="K257" s="21" t="inlineStr"/>
      <c r="L257" s="21" t="inlineStr">
        <is>
          <t>2025-2026</t>
        </is>
      </c>
      <c r="M257" s="21" t="inlineStr">
        <is>
          <t>Inscrit</t>
        </is>
      </c>
      <c r="N257" s="21" t="inlineStr"/>
      <c r="O257" s="21" t="inlineStr">
        <is>
          <t>import</t>
        </is>
      </c>
    </row>
    <row r="258" ht="15" customHeight="1" s="22">
      <c r="A258" s="21" t="inlineStr">
        <is>
          <t>23</t>
        </is>
      </c>
      <c r="B258" s="21" t="inlineStr">
        <is>
          <t>71093</t>
        </is>
      </c>
      <c r="C258" s="21" t="inlineStr"/>
      <c r="D258" s="21" t="inlineStr">
        <is>
          <t>HAIRIA</t>
        </is>
      </c>
      <c r="E258" s="21" t="inlineStr">
        <is>
          <t>HASSANI SALIM</t>
        </is>
      </c>
      <c r="F258" s="21" t="inlineStr">
        <is>
          <t>20/09/2004</t>
        </is>
      </c>
      <c r="G258" s="21" t="inlineStr">
        <is>
          <t>MOHORO BADJINI-EST</t>
        </is>
      </c>
      <c r="H258" s="21" t="inlineStr"/>
      <c r="I258" s="21" t="inlineStr">
        <is>
          <t>L1</t>
        </is>
      </c>
      <c r="J258" s="21" t="inlineStr">
        <is>
          <t>Imagerie médicale</t>
        </is>
      </c>
      <c r="K258" s="21" t="inlineStr"/>
      <c r="L258" s="21" t="inlineStr">
        <is>
          <t>2025-2026</t>
        </is>
      </c>
      <c r="M258" s="21" t="inlineStr">
        <is>
          <t>Inscrit</t>
        </is>
      </c>
      <c r="N258" s="21" t="inlineStr"/>
      <c r="O258" s="21" t="inlineStr">
        <is>
          <t>import</t>
        </is>
      </c>
    </row>
    <row r="259" ht="15" customHeight="1" s="22">
      <c r="A259" s="21" t="inlineStr">
        <is>
          <t>24</t>
        </is>
      </c>
      <c r="B259" s="21" t="inlineStr">
        <is>
          <t>74311</t>
        </is>
      </c>
      <c r="C259" s="21" t="inlineStr"/>
      <c r="D259" s="21" t="inlineStr">
        <is>
          <t>HAISSA</t>
        </is>
      </c>
      <c r="E259" s="21" t="inlineStr">
        <is>
          <t>AZALI</t>
        </is>
      </c>
      <c r="F259" s="21" t="inlineStr">
        <is>
          <t>02/09/2004</t>
        </is>
      </c>
      <c r="G259" s="21" t="inlineStr">
        <is>
          <t>MTE D'OUZIO</t>
        </is>
      </c>
      <c r="H259" s="21" t="inlineStr"/>
      <c r="I259" s="21" t="inlineStr">
        <is>
          <t>L1</t>
        </is>
      </c>
      <c r="J259" s="21" t="inlineStr">
        <is>
          <t>Imagerie médicale</t>
        </is>
      </c>
      <c r="K259" s="21" t="inlineStr"/>
      <c r="L259" s="21" t="inlineStr">
        <is>
          <t>2025-2026</t>
        </is>
      </c>
      <c r="M259" s="21" t="inlineStr">
        <is>
          <t>Inscrit</t>
        </is>
      </c>
      <c r="N259" s="21" t="inlineStr"/>
      <c r="O259" s="21" t="inlineStr">
        <is>
          <t>import</t>
        </is>
      </c>
    </row>
    <row r="260" ht="15" customHeight="1" s="22">
      <c r="A260" s="21" t="inlineStr">
        <is>
          <t>25</t>
        </is>
      </c>
      <c r="B260" s="21" t="inlineStr">
        <is>
          <t>78899</t>
        </is>
      </c>
      <c r="C260" s="21" t="inlineStr"/>
      <c r="D260" s="21" t="inlineStr">
        <is>
          <t>HAISSAM</t>
        </is>
      </c>
      <c r="E260" s="21" t="inlineStr">
        <is>
          <t>SAINDOU YOUSSOUF BOUNOU</t>
        </is>
      </c>
      <c r="F260" s="21" t="inlineStr">
        <is>
          <t>24/06/2007</t>
        </is>
      </c>
      <c r="G260" s="21" t="inlineStr">
        <is>
          <t>MTE DE FOMBONI - MOHELI</t>
        </is>
      </c>
      <c r="H260" s="21" t="inlineStr"/>
      <c r="I260" s="21" t="inlineStr">
        <is>
          <t>L1</t>
        </is>
      </c>
      <c r="J260" s="21" t="inlineStr">
        <is>
          <t>Imagerie médicale</t>
        </is>
      </c>
      <c r="K260" s="21" t="inlineStr"/>
      <c r="L260" s="21" t="inlineStr">
        <is>
          <t>2025-2026</t>
        </is>
      </c>
      <c r="M260" s="21" t="inlineStr">
        <is>
          <t>Inscrit</t>
        </is>
      </c>
      <c r="N260" s="21" t="inlineStr"/>
      <c r="O260" s="21" t="inlineStr">
        <is>
          <t>import</t>
        </is>
      </c>
    </row>
    <row r="261" ht="15" customHeight="1" s="22">
      <c r="A261" s="21" t="inlineStr">
        <is>
          <t>26</t>
        </is>
      </c>
      <c r="B261" s="21" t="inlineStr">
        <is>
          <t>65605</t>
        </is>
      </c>
      <c r="C261" s="21" t="inlineStr"/>
      <c r="D261" s="21" t="inlineStr">
        <is>
          <t>HALIFA</t>
        </is>
      </c>
      <c r="E261" s="21" t="inlineStr">
        <is>
          <t>ANOIR</t>
        </is>
      </c>
      <c r="F261" s="21" t="inlineStr">
        <is>
          <t>02/04/2001</t>
        </is>
      </c>
      <c r="G261" s="21" t="inlineStr">
        <is>
          <t>DZAHADJOU ITSANDRA</t>
        </is>
      </c>
      <c r="H261" s="21" t="inlineStr"/>
      <c r="I261" s="21" t="inlineStr">
        <is>
          <t>L1</t>
        </is>
      </c>
      <c r="J261" s="21" t="inlineStr">
        <is>
          <t>Imagerie médicale</t>
        </is>
      </c>
      <c r="K261" s="21" t="inlineStr"/>
      <c r="L261" s="21" t="inlineStr">
        <is>
          <t>2025-2026</t>
        </is>
      </c>
      <c r="M261" s="21" t="inlineStr">
        <is>
          <t>Inscrit</t>
        </is>
      </c>
      <c r="N261" s="21" t="inlineStr"/>
      <c r="O261" s="21" t="inlineStr">
        <is>
          <t>import</t>
        </is>
      </c>
    </row>
    <row r="262" ht="15" customHeight="1" s="22">
      <c r="A262" s="21" t="inlineStr">
        <is>
          <t>27</t>
        </is>
      </c>
      <c r="B262" s="21" t="inlineStr">
        <is>
          <t>78443</t>
        </is>
      </c>
      <c r="C262" s="21" t="inlineStr"/>
      <c r="D262" s="21" t="inlineStr">
        <is>
          <t>HANA'OU</t>
        </is>
      </c>
      <c r="E262" s="21" t="inlineStr">
        <is>
          <t>BINT MOUSSA IBRAHIM</t>
        </is>
      </c>
      <c r="F262" s="21" t="inlineStr">
        <is>
          <t>04/02/2007</t>
        </is>
      </c>
      <c r="G262" s="21" t="inlineStr">
        <is>
          <t>MTE DE NIOUMAMILIMA</t>
        </is>
      </c>
      <c r="H262" s="21" t="inlineStr"/>
      <c r="I262" s="21" t="inlineStr">
        <is>
          <t>L1</t>
        </is>
      </c>
      <c r="J262" s="21" t="inlineStr">
        <is>
          <t>Imagerie médicale</t>
        </is>
      </c>
      <c r="K262" s="21" t="inlineStr"/>
      <c r="L262" s="21" t="inlineStr">
        <is>
          <t>2025-2026</t>
        </is>
      </c>
      <c r="M262" s="21" t="inlineStr">
        <is>
          <t>Inscrit</t>
        </is>
      </c>
      <c r="N262" s="21" t="inlineStr"/>
      <c r="O262" s="21" t="inlineStr">
        <is>
          <t>import</t>
        </is>
      </c>
    </row>
    <row r="263" ht="15" customHeight="1" s="22">
      <c r="A263" s="21" t="inlineStr">
        <is>
          <t>28</t>
        </is>
      </c>
      <c r="B263" s="21" t="inlineStr">
        <is>
          <t>77503</t>
        </is>
      </c>
      <c r="C263" s="21" t="inlineStr"/>
      <c r="D263" s="21" t="inlineStr">
        <is>
          <t>HANAOU</t>
        </is>
      </c>
      <c r="E263" s="21" t="inlineStr">
        <is>
          <t>NASSUR</t>
        </is>
      </c>
      <c r="F263" s="21" t="inlineStr">
        <is>
          <t>11/11/2007</t>
        </is>
      </c>
      <c r="G263" s="21" t="inlineStr">
        <is>
          <t>MTE DE MITSAMIOULI</t>
        </is>
      </c>
      <c r="H263" s="21" t="inlineStr"/>
      <c r="I263" s="21" t="inlineStr">
        <is>
          <t>L1</t>
        </is>
      </c>
      <c r="J263" s="21" t="inlineStr">
        <is>
          <t>Imagerie médicale</t>
        </is>
      </c>
      <c r="K263" s="21" t="inlineStr"/>
      <c r="L263" s="21" t="inlineStr">
        <is>
          <t>2025-2026</t>
        </is>
      </c>
      <c r="M263" s="21" t="inlineStr">
        <is>
          <t>Inscrit</t>
        </is>
      </c>
      <c r="N263" s="21" t="inlineStr"/>
      <c r="O263" s="21" t="inlineStr">
        <is>
          <t>import</t>
        </is>
      </c>
    </row>
    <row r="264" ht="15" customHeight="1" s="22">
      <c r="A264" s="21" t="inlineStr">
        <is>
          <t>29</t>
        </is>
      </c>
      <c r="B264" s="21" t="inlineStr">
        <is>
          <t>73557</t>
        </is>
      </c>
      <c r="C264" s="21" t="inlineStr"/>
      <c r="D264" s="21" t="inlineStr">
        <is>
          <t>HASNOUNAT</t>
        </is>
      </c>
      <c r="E264" s="21" t="inlineStr">
        <is>
          <t>MBARAKA MBAE</t>
        </is>
      </c>
      <c r="F264" s="21" t="inlineStr">
        <is>
          <t>23/04/2006</t>
        </is>
      </c>
      <c r="G264" s="21" t="inlineStr">
        <is>
          <t>NTSORALE DIMANI</t>
        </is>
      </c>
      <c r="H264" s="21" t="inlineStr"/>
      <c r="I264" s="21" t="inlineStr">
        <is>
          <t>L1</t>
        </is>
      </c>
      <c r="J264" s="21" t="inlineStr">
        <is>
          <t>Imagerie médicale</t>
        </is>
      </c>
      <c r="K264" s="21" t="inlineStr"/>
      <c r="L264" s="21" t="inlineStr">
        <is>
          <t>2025-2026</t>
        </is>
      </c>
      <c r="M264" s="21" t="inlineStr">
        <is>
          <t>Inscrit</t>
        </is>
      </c>
      <c r="N264" s="21" t="inlineStr"/>
      <c r="O264" s="21" t="inlineStr">
        <is>
          <t>import</t>
        </is>
      </c>
    </row>
    <row r="265" ht="15" customHeight="1" s="22">
      <c r="A265" s="21" t="inlineStr">
        <is>
          <t>30</t>
        </is>
      </c>
      <c r="B265" s="21" t="inlineStr">
        <is>
          <t>73395b</t>
        </is>
      </c>
      <c r="C265" s="21" t="inlineStr"/>
      <c r="D265" s="21" t="inlineStr">
        <is>
          <t>HASSANI</t>
        </is>
      </c>
      <c r="E265" s="21" t="inlineStr">
        <is>
          <t>BAHADJATI</t>
        </is>
      </c>
      <c r="F265" s="21" t="inlineStr">
        <is>
          <t>25/12/2005</t>
        </is>
      </c>
      <c r="G265" s="21" t="inlineStr">
        <is>
          <t>MTE DE MTSANGADJOU</t>
        </is>
      </c>
      <c r="H265" s="21" t="inlineStr"/>
      <c r="I265" s="21" t="inlineStr">
        <is>
          <t>L1</t>
        </is>
      </c>
      <c r="J265" s="21" t="inlineStr">
        <is>
          <t>Imagerie médicale</t>
        </is>
      </c>
      <c r="K265" s="21" t="inlineStr"/>
      <c r="L265" s="21" t="inlineStr">
        <is>
          <t>2025-2026</t>
        </is>
      </c>
      <c r="M265" s="21" t="inlineStr">
        <is>
          <t>Doublon a arbitrer</t>
        </is>
      </c>
      <c r="N265" s="21" t="inlineStr"/>
      <c r="O265" s="21" t="inlineStr">
        <is>
          <t>import</t>
        </is>
      </c>
    </row>
    <row r="266" ht="15" customHeight="1" s="22">
      <c r="A266" s="21" t="inlineStr">
        <is>
          <t>31</t>
        </is>
      </c>
      <c r="B266" s="21" t="inlineStr">
        <is>
          <t>70514</t>
        </is>
      </c>
      <c r="C266" s="21" t="inlineStr"/>
      <c r="D266" s="21" t="inlineStr">
        <is>
          <t>HILIMA</t>
        </is>
      </c>
      <c r="E266" s="21" t="inlineStr">
        <is>
          <t>MOHAMED</t>
        </is>
      </c>
      <c r="F266" s="21" t="inlineStr">
        <is>
          <t>18/01/2005</t>
        </is>
      </c>
      <c r="G266" s="21" t="inlineStr">
        <is>
          <t>MATERNITE DE MBENI</t>
        </is>
      </c>
      <c r="H266" s="21" t="inlineStr"/>
      <c r="I266" s="21" t="inlineStr">
        <is>
          <t>L1</t>
        </is>
      </c>
      <c r="J266" s="21" t="inlineStr">
        <is>
          <t>Imagerie médicale</t>
        </is>
      </c>
      <c r="K266" s="21" t="inlineStr"/>
      <c r="L266" s="21" t="inlineStr">
        <is>
          <t>2025-2026</t>
        </is>
      </c>
      <c r="M266" s="21" t="inlineStr">
        <is>
          <t>Inscrit</t>
        </is>
      </c>
      <c r="N266" s="21" t="inlineStr"/>
      <c r="O266" s="21" t="inlineStr">
        <is>
          <t>import</t>
        </is>
      </c>
    </row>
    <row r="267" ht="15" customHeight="1" s="22">
      <c r="A267" s="21" t="inlineStr">
        <is>
          <t>32</t>
        </is>
      </c>
      <c r="B267" s="21" t="inlineStr">
        <is>
          <t>74884</t>
        </is>
      </c>
      <c r="C267" s="21" t="inlineStr"/>
      <c r="D267" s="21" t="inlineStr">
        <is>
          <t>HOUDHOIR</t>
        </is>
      </c>
      <c r="E267" s="21" t="inlineStr">
        <is>
          <t>MOUSTOIFA</t>
        </is>
      </c>
      <c r="F267" s="21" t="inlineStr">
        <is>
          <t>18/12/2006</t>
        </is>
      </c>
      <c r="G267" s="21" t="inlineStr">
        <is>
          <t>MTE DE KOIMBANI</t>
        </is>
      </c>
      <c r="H267" s="21" t="inlineStr"/>
      <c r="I267" s="21" t="inlineStr">
        <is>
          <t>L1</t>
        </is>
      </c>
      <c r="J267" s="21" t="inlineStr">
        <is>
          <t>Imagerie médicale</t>
        </is>
      </c>
      <c r="K267" s="21" t="inlineStr"/>
      <c r="L267" s="21" t="inlineStr">
        <is>
          <t>2025-2026</t>
        </is>
      </c>
      <c r="M267" s="21" t="inlineStr">
        <is>
          <t>Inscrit</t>
        </is>
      </c>
      <c r="N267" s="21" t="inlineStr"/>
      <c r="O267" s="21" t="inlineStr">
        <is>
          <t>import</t>
        </is>
      </c>
    </row>
    <row r="268" ht="15" customHeight="1" s="22">
      <c r="A268" s="21" t="inlineStr">
        <is>
          <t>33</t>
        </is>
      </c>
      <c r="B268" s="21" t="inlineStr">
        <is>
          <t>73944</t>
        </is>
      </c>
      <c r="C268" s="21" t="inlineStr"/>
      <c r="D268" s="21" t="inlineStr">
        <is>
          <t>HOUSNA</t>
        </is>
      </c>
      <c r="E268" s="21" t="inlineStr">
        <is>
          <t>HASSAN</t>
        </is>
      </c>
      <c r="F268" s="21" t="inlineStr">
        <is>
          <t>21/09/2003</t>
        </is>
      </c>
      <c r="G268" s="21" t="inlineStr">
        <is>
          <t>MTE DE MORONI</t>
        </is>
      </c>
      <c r="H268" s="21" t="inlineStr"/>
      <c r="I268" s="21" t="inlineStr">
        <is>
          <t>L1</t>
        </is>
      </c>
      <c r="J268" s="21" t="inlineStr">
        <is>
          <t>Imagerie médicale</t>
        </is>
      </c>
      <c r="K268" s="21" t="inlineStr"/>
      <c r="L268" s="21" t="inlineStr">
        <is>
          <t>2025-2026</t>
        </is>
      </c>
      <c r="M268" s="21" t="inlineStr">
        <is>
          <t>Inscrit</t>
        </is>
      </c>
      <c r="N268" s="21" t="inlineStr"/>
      <c r="O268" s="21" t="inlineStr">
        <is>
          <t>import</t>
        </is>
      </c>
    </row>
    <row r="269" ht="15" customHeight="1" s="22">
      <c r="A269" s="21" t="inlineStr">
        <is>
          <t>34</t>
        </is>
      </c>
      <c r="B269" s="21" t="inlineStr">
        <is>
          <t>79772</t>
        </is>
      </c>
      <c r="C269" s="21" t="inlineStr"/>
      <c r="D269" s="21" t="inlineStr">
        <is>
          <t>IBRAHIM</t>
        </is>
      </c>
      <c r="E269" s="21" t="inlineStr">
        <is>
          <t>SAINDOU</t>
        </is>
      </c>
      <c r="F269" s="21" t="inlineStr">
        <is>
          <t>22/08/2000</t>
        </is>
      </c>
      <c r="G269" s="21" t="inlineStr">
        <is>
          <t>DINDRI - ANJOUAN</t>
        </is>
      </c>
      <c r="H269" s="21" t="inlineStr"/>
      <c r="I269" s="21" t="inlineStr">
        <is>
          <t>L1</t>
        </is>
      </c>
      <c r="J269" s="21" t="inlineStr">
        <is>
          <t>Imagerie médicale</t>
        </is>
      </c>
      <c r="K269" s="21" t="inlineStr"/>
      <c r="L269" s="21" t="inlineStr">
        <is>
          <t>2025-2026</t>
        </is>
      </c>
      <c r="M269" s="21" t="inlineStr">
        <is>
          <t>Inscrit</t>
        </is>
      </c>
      <c r="N269" s="21" t="inlineStr"/>
      <c r="O269" s="21" t="inlineStr">
        <is>
          <t>import</t>
        </is>
      </c>
    </row>
    <row r="270" ht="15" customHeight="1" s="22">
      <c r="A270" s="21" t="inlineStr">
        <is>
          <t>35</t>
        </is>
      </c>
      <c r="B270" s="21" t="inlineStr">
        <is>
          <t>78791</t>
        </is>
      </c>
      <c r="C270" s="21" t="inlineStr"/>
      <c r="D270" s="21" t="inlineStr">
        <is>
          <t>IRCHAM</t>
        </is>
      </c>
      <c r="E270" s="21" t="inlineStr">
        <is>
          <t>MCHAMI</t>
        </is>
      </c>
      <c r="F270" s="21" t="inlineStr">
        <is>
          <t>29/01/2008</t>
        </is>
      </c>
      <c r="G270" s="21" t="inlineStr">
        <is>
          <t>MATERNITE DE MORONI</t>
        </is>
      </c>
      <c r="H270" s="21" t="inlineStr"/>
      <c r="I270" s="21" t="inlineStr">
        <is>
          <t>L1</t>
        </is>
      </c>
      <c r="J270" s="21" t="inlineStr">
        <is>
          <t>Imagerie médicale</t>
        </is>
      </c>
      <c r="K270" s="21" t="inlineStr"/>
      <c r="L270" s="21" t="inlineStr">
        <is>
          <t>2025-2026</t>
        </is>
      </c>
      <c r="M270" s="21" t="inlineStr">
        <is>
          <t>Inscrit</t>
        </is>
      </c>
      <c r="N270" s="21" t="inlineStr"/>
      <c r="O270" s="21" t="inlineStr">
        <is>
          <t>import</t>
        </is>
      </c>
    </row>
    <row r="271" ht="15" customHeight="1" s="22">
      <c r="A271" s="21" t="inlineStr">
        <is>
          <t>36</t>
        </is>
      </c>
      <c r="B271" s="21" t="inlineStr">
        <is>
          <t>79419</t>
        </is>
      </c>
      <c r="C271" s="21" t="inlineStr"/>
      <c r="D271" s="21" t="inlineStr">
        <is>
          <t>LAINIA</t>
        </is>
      </c>
      <c r="E271" s="21" t="inlineStr">
        <is>
          <t>YOUKINA ABDOU</t>
        </is>
      </c>
      <c r="F271" s="21" t="inlineStr">
        <is>
          <t>05/04/2007</t>
        </is>
      </c>
      <c r="G271" s="21" t="inlineStr">
        <is>
          <t>MTE DE MORONI</t>
        </is>
      </c>
      <c r="H271" s="21" t="inlineStr"/>
      <c r="I271" s="21" t="inlineStr">
        <is>
          <t>L1</t>
        </is>
      </c>
      <c r="J271" s="21" t="inlineStr">
        <is>
          <t>Imagerie médicale</t>
        </is>
      </c>
      <c r="K271" s="21" t="inlineStr"/>
      <c r="L271" s="21" t="inlineStr">
        <is>
          <t>2025-2026</t>
        </is>
      </c>
      <c r="M271" s="21" t="inlineStr">
        <is>
          <t>Inscrit</t>
        </is>
      </c>
      <c r="N271" s="21" t="inlineStr"/>
      <c r="O271" s="21" t="inlineStr">
        <is>
          <t>import</t>
        </is>
      </c>
    </row>
    <row r="272" ht="15" customHeight="1" s="22">
      <c r="A272" s="21" t="inlineStr">
        <is>
          <t>37</t>
        </is>
      </c>
      <c r="B272" s="21" t="inlineStr">
        <is>
          <t>74583</t>
        </is>
      </c>
      <c r="C272" s="21" t="inlineStr"/>
      <c r="D272" s="21" t="inlineStr">
        <is>
          <t>MAYSSOUNE</t>
        </is>
      </c>
      <c r="E272" s="21" t="inlineStr">
        <is>
          <t>OULIDA</t>
        </is>
      </c>
      <c r="F272" s="21" t="inlineStr">
        <is>
          <t>26/03/2005</t>
        </is>
      </c>
      <c r="G272" s="21" t="inlineStr">
        <is>
          <t>BARAKANI - ANJOUAN</t>
        </is>
      </c>
      <c r="H272" s="21" t="inlineStr"/>
      <c r="I272" s="21" t="inlineStr">
        <is>
          <t>L1</t>
        </is>
      </c>
      <c r="J272" s="21" t="inlineStr">
        <is>
          <t>Imagerie médicale</t>
        </is>
      </c>
      <c r="K272" s="21" t="inlineStr"/>
      <c r="L272" s="21" t="inlineStr">
        <is>
          <t>2025-2026</t>
        </is>
      </c>
      <c r="M272" s="21" t="inlineStr">
        <is>
          <t>Inscrit</t>
        </is>
      </c>
      <c r="N272" s="21" t="inlineStr"/>
      <c r="O272" s="21" t="inlineStr">
        <is>
          <t>import</t>
        </is>
      </c>
    </row>
    <row r="273" ht="15" customHeight="1" s="22">
      <c r="A273" s="21" t="inlineStr">
        <is>
          <t>38</t>
        </is>
      </c>
      <c r="B273" s="21" t="inlineStr">
        <is>
          <t>78802</t>
        </is>
      </c>
      <c r="C273" s="21" t="inlineStr"/>
      <c r="D273" s="21" t="inlineStr">
        <is>
          <t>MMADI</t>
        </is>
      </c>
      <c r="E273" s="21" t="inlineStr">
        <is>
          <t>SUBIRATI</t>
        </is>
      </c>
      <c r="F273" s="21" t="inlineStr">
        <is>
          <t>25/10/2004</t>
        </is>
      </c>
      <c r="G273" s="21" t="inlineStr">
        <is>
          <t>IVEMBENI</t>
        </is>
      </c>
      <c r="H273" s="21" t="inlineStr"/>
      <c r="I273" s="21" t="inlineStr">
        <is>
          <t>L1</t>
        </is>
      </c>
      <c r="J273" s="21" t="inlineStr">
        <is>
          <t>Imagerie médicale</t>
        </is>
      </c>
      <c r="K273" s="21" t="inlineStr"/>
      <c r="L273" s="21" t="inlineStr">
        <is>
          <t>2025-2026</t>
        </is>
      </c>
      <c r="M273" s="21" t="inlineStr">
        <is>
          <t>Inscrit</t>
        </is>
      </c>
      <c r="N273" s="21" t="inlineStr"/>
      <c r="O273" s="21" t="inlineStr">
        <is>
          <t>import</t>
        </is>
      </c>
    </row>
    <row r="274" ht="15" customHeight="1" s="22">
      <c r="A274" s="21" t="inlineStr">
        <is>
          <t>39</t>
        </is>
      </c>
      <c r="B274" s="21" t="inlineStr">
        <is>
          <t>74312</t>
        </is>
      </c>
      <c r="C274" s="21" t="inlineStr"/>
      <c r="D274" s="21" t="inlineStr">
        <is>
          <t>MNEMOI</t>
        </is>
      </c>
      <c r="E274" s="21" t="inlineStr">
        <is>
          <t>ALI HINDATA</t>
        </is>
      </c>
      <c r="F274" s="21" t="inlineStr">
        <is>
          <t>28/04/2003</t>
        </is>
      </c>
      <c r="G274" s="21" t="inlineStr">
        <is>
          <t>MTE DE OUZIOINI</t>
        </is>
      </c>
      <c r="H274" s="21" t="inlineStr"/>
      <c r="I274" s="21" t="inlineStr">
        <is>
          <t>L1</t>
        </is>
      </c>
      <c r="J274" s="21" t="inlineStr">
        <is>
          <t>Imagerie médicale</t>
        </is>
      </c>
      <c r="K274" s="21" t="inlineStr"/>
      <c r="L274" s="21" t="inlineStr">
        <is>
          <t>2025-2026</t>
        </is>
      </c>
      <c r="M274" s="21" t="inlineStr">
        <is>
          <t>Inscrit</t>
        </is>
      </c>
      <c r="N274" s="21" t="inlineStr"/>
      <c r="O274" s="21" t="inlineStr">
        <is>
          <t>import</t>
        </is>
      </c>
    </row>
    <row r="275" ht="15" customHeight="1" s="22">
      <c r="A275" s="21" t="inlineStr">
        <is>
          <t>40</t>
        </is>
      </c>
      <c r="B275" s="21" t="inlineStr">
        <is>
          <t>80153</t>
        </is>
      </c>
      <c r="C275" s="21" t="inlineStr"/>
      <c r="D275" s="21" t="inlineStr">
        <is>
          <t>MOHAMED</t>
        </is>
      </c>
      <c r="E275" s="21" t="inlineStr">
        <is>
          <t>SITTI</t>
        </is>
      </c>
      <c r="F275" s="21" t="inlineStr">
        <is>
          <t>21/02/2004</t>
        </is>
      </c>
      <c r="G275" s="21" t="inlineStr">
        <is>
          <t>ZIVANDANI ITSANDRA</t>
        </is>
      </c>
      <c r="H275" s="21" t="inlineStr"/>
      <c r="I275" s="21" t="inlineStr">
        <is>
          <t>L1</t>
        </is>
      </c>
      <c r="J275" s="21" t="inlineStr">
        <is>
          <t>Imagerie médicale</t>
        </is>
      </c>
      <c r="K275" s="21" t="inlineStr"/>
      <c r="L275" s="21" t="inlineStr">
        <is>
          <t>2025-2026</t>
        </is>
      </c>
      <c r="M275" s="21" t="inlineStr">
        <is>
          <t>Inscrit</t>
        </is>
      </c>
      <c r="N275" s="21" t="inlineStr"/>
      <c r="O275" s="21" t="inlineStr">
        <is>
          <t>import</t>
        </is>
      </c>
    </row>
    <row r="276" ht="15" customHeight="1" s="22">
      <c r="A276" s="21" t="inlineStr">
        <is>
          <t>41</t>
        </is>
      </c>
      <c r="B276" s="21" t="inlineStr">
        <is>
          <t>80024</t>
        </is>
      </c>
      <c r="C276" s="21" t="inlineStr"/>
      <c r="D276" s="21" t="inlineStr">
        <is>
          <t>MOINA</t>
        </is>
      </c>
      <c r="E276" s="21" t="inlineStr">
        <is>
          <t>HALIMA KASSIM</t>
        </is>
      </c>
      <c r="F276" s="21" t="inlineStr">
        <is>
          <t>05/02/2007</t>
        </is>
      </c>
      <c r="G276" s="21" t="inlineStr">
        <is>
          <t>MBOUDE DIMANI</t>
        </is>
      </c>
      <c r="H276" s="21" t="inlineStr"/>
      <c r="I276" s="21" t="inlineStr">
        <is>
          <t>L1</t>
        </is>
      </c>
      <c r="J276" s="21" t="inlineStr">
        <is>
          <t>Imagerie médicale</t>
        </is>
      </c>
      <c r="K276" s="21" t="inlineStr"/>
      <c r="L276" s="21" t="inlineStr">
        <is>
          <t>2025-2026</t>
        </is>
      </c>
      <c r="M276" s="21" t="inlineStr">
        <is>
          <t>Inscrit</t>
        </is>
      </c>
      <c r="N276" s="21" t="inlineStr"/>
      <c r="O276" s="21" t="inlineStr">
        <is>
          <t>import</t>
        </is>
      </c>
    </row>
    <row r="277" ht="15" customHeight="1" s="22">
      <c r="A277" s="21" t="inlineStr">
        <is>
          <t>42</t>
        </is>
      </c>
      <c r="B277" s="21" t="inlineStr">
        <is>
          <t>78714</t>
        </is>
      </c>
      <c r="C277" s="21" t="inlineStr"/>
      <c r="D277" s="21" t="inlineStr">
        <is>
          <t>MOUNIFA</t>
        </is>
      </c>
      <c r="E277" s="21" t="inlineStr">
        <is>
          <t>BINTI WARDI ZAHIR IBRAHIM</t>
        </is>
      </c>
      <c r="F277" s="21" t="inlineStr">
        <is>
          <t>28/11/2007</t>
        </is>
      </c>
      <c r="G277" s="21" t="inlineStr">
        <is>
          <t>MTE DE FOMBONI - MOHELI</t>
        </is>
      </c>
      <c r="H277" s="21" t="inlineStr"/>
      <c r="I277" s="21" t="inlineStr">
        <is>
          <t>L1</t>
        </is>
      </c>
      <c r="J277" s="21" t="inlineStr">
        <is>
          <t>Imagerie médicale</t>
        </is>
      </c>
      <c r="K277" s="21" t="inlineStr"/>
      <c r="L277" s="21" t="inlineStr">
        <is>
          <t>2025-2026</t>
        </is>
      </c>
      <c r="M277" s="21" t="inlineStr">
        <is>
          <t>Inscrit</t>
        </is>
      </c>
      <c r="N277" s="21" t="inlineStr"/>
      <c r="O277" s="21" t="inlineStr">
        <is>
          <t>import</t>
        </is>
      </c>
    </row>
    <row r="278" ht="15" customHeight="1" s="22">
      <c r="A278" s="21" t="inlineStr">
        <is>
          <t>43</t>
        </is>
      </c>
      <c r="B278" s="21" t="inlineStr">
        <is>
          <t>74422</t>
        </is>
      </c>
      <c r="C278" s="21" t="inlineStr"/>
      <c r="D278" s="21" t="inlineStr">
        <is>
          <t>NADJLAT</t>
        </is>
      </c>
      <c r="E278" s="21" t="inlineStr">
        <is>
          <t>YOUSSOUF HAMADI</t>
        </is>
      </c>
      <c r="F278" s="21" t="inlineStr">
        <is>
          <t>09/08/2004</t>
        </is>
      </c>
      <c r="G278" s="21" t="inlineStr">
        <is>
          <t>BANGOI MAFSANKOOI</t>
        </is>
      </c>
      <c r="H278" s="21" t="inlineStr"/>
      <c r="I278" s="21" t="inlineStr">
        <is>
          <t>L1</t>
        </is>
      </c>
      <c r="J278" s="21" t="inlineStr">
        <is>
          <t>Imagerie médicale</t>
        </is>
      </c>
      <c r="K278" s="21" t="inlineStr"/>
      <c r="L278" s="21" t="inlineStr">
        <is>
          <t>2025-2026</t>
        </is>
      </c>
      <c r="M278" s="21" t="inlineStr">
        <is>
          <t>Inscrit</t>
        </is>
      </c>
      <c r="N278" s="21" t="inlineStr"/>
      <c r="O278" s="21" t="inlineStr">
        <is>
          <t>import</t>
        </is>
      </c>
    </row>
    <row r="279" ht="15" customHeight="1" s="22">
      <c r="A279" s="21" t="inlineStr">
        <is>
          <t>44</t>
        </is>
      </c>
      <c r="B279" s="21" t="inlineStr">
        <is>
          <t>79809</t>
        </is>
      </c>
      <c r="C279" s="21" t="inlineStr"/>
      <c r="D279" s="21" t="inlineStr">
        <is>
          <t>NASFIA</t>
        </is>
      </c>
      <c r="E279" s="21" t="inlineStr">
        <is>
          <t>MOHAMED</t>
        </is>
      </c>
      <c r="F279" s="21" t="inlineStr">
        <is>
          <t>24/03/2006</t>
        </is>
      </c>
      <c r="G279" s="21" t="inlineStr">
        <is>
          <t>TSINIMOIPANGA DOMBA</t>
        </is>
      </c>
      <c r="H279" s="21" t="inlineStr"/>
      <c r="I279" s="21" t="inlineStr">
        <is>
          <t>L1</t>
        </is>
      </c>
      <c r="J279" s="21" t="inlineStr">
        <is>
          <t>Imagerie médicale</t>
        </is>
      </c>
      <c r="K279" s="21" t="inlineStr"/>
      <c r="L279" s="21" t="inlineStr">
        <is>
          <t>2025-2026</t>
        </is>
      </c>
      <c r="M279" s="21" t="inlineStr">
        <is>
          <t>Inscrit</t>
        </is>
      </c>
      <c r="N279" s="21" t="inlineStr"/>
      <c r="O279" s="21" t="inlineStr">
        <is>
          <t>import</t>
        </is>
      </c>
    </row>
    <row r="280" ht="15" customHeight="1" s="22">
      <c r="A280" s="21" t="inlineStr">
        <is>
          <t>45</t>
        </is>
      </c>
      <c r="B280" s="21" t="inlineStr">
        <is>
          <t>80030</t>
        </is>
      </c>
      <c r="C280" s="21" t="inlineStr"/>
      <c r="D280" s="21" t="inlineStr">
        <is>
          <t>NATACHA</t>
        </is>
      </c>
      <c r="E280" s="21" t="inlineStr">
        <is>
          <t>MRIKAOU HADJI</t>
        </is>
      </c>
      <c r="F280" s="21" t="inlineStr">
        <is>
          <t>28/09/2008</t>
        </is>
      </c>
      <c r="G280" s="21" t="inlineStr">
        <is>
          <t>ZIVANDANI ITSANDRA</t>
        </is>
      </c>
      <c r="H280" s="21" t="inlineStr"/>
      <c r="I280" s="21" t="inlineStr">
        <is>
          <t>L1</t>
        </is>
      </c>
      <c r="J280" s="21" t="inlineStr">
        <is>
          <t>Imagerie médicale</t>
        </is>
      </c>
      <c r="K280" s="21" t="inlineStr"/>
      <c r="L280" s="21" t="inlineStr">
        <is>
          <t>2025-2026</t>
        </is>
      </c>
      <c r="M280" s="21" t="inlineStr">
        <is>
          <t>Inscrit</t>
        </is>
      </c>
      <c r="N280" s="21" t="inlineStr"/>
      <c r="O280" s="21" t="inlineStr">
        <is>
          <t>import</t>
        </is>
      </c>
    </row>
    <row r="281" ht="15" customHeight="1" s="22">
      <c r="A281" s="21" t="inlineStr">
        <is>
          <t>46</t>
        </is>
      </c>
      <c r="B281" s="21" t="inlineStr">
        <is>
          <t>77335</t>
        </is>
      </c>
      <c r="C281" s="21" t="inlineStr"/>
      <c r="D281" s="21" t="inlineStr">
        <is>
          <t>NOUWAILATA</t>
        </is>
      </c>
      <c r="E281" s="21" t="inlineStr">
        <is>
          <t>HADJI</t>
        </is>
      </c>
      <c r="F281" s="21" t="inlineStr">
        <is>
          <t>16/05/2005</t>
        </is>
      </c>
      <c r="G281" s="21" t="inlineStr">
        <is>
          <t>MDJIHARI HAMAHAMET</t>
        </is>
      </c>
      <c r="H281" s="21" t="inlineStr"/>
      <c r="I281" s="21" t="inlineStr">
        <is>
          <t>L1</t>
        </is>
      </c>
      <c r="J281" s="21" t="inlineStr">
        <is>
          <t>Imagerie médicale</t>
        </is>
      </c>
      <c r="K281" s="21" t="inlineStr"/>
      <c r="L281" s="21" t="inlineStr">
        <is>
          <t>2025-2026</t>
        </is>
      </c>
      <c r="M281" s="21" t="inlineStr">
        <is>
          <t>Inscrit</t>
        </is>
      </c>
      <c r="N281" s="21" t="inlineStr"/>
      <c r="O281" s="21" t="inlineStr">
        <is>
          <t>import</t>
        </is>
      </c>
    </row>
    <row r="282" ht="15" customHeight="1" s="22">
      <c r="A282" s="21" t="inlineStr">
        <is>
          <t>47</t>
        </is>
      </c>
      <c r="B282" s="21" t="inlineStr">
        <is>
          <t>79472</t>
        </is>
      </c>
      <c r="C282" s="21" t="inlineStr"/>
      <c r="D282" s="21" t="inlineStr">
        <is>
          <t>RAFIKA</t>
        </is>
      </c>
      <c r="E282" s="21" t="inlineStr">
        <is>
          <t>BINTI AMIR SAID</t>
        </is>
      </c>
      <c r="F282" s="21" t="inlineStr">
        <is>
          <t>27/03/2006</t>
        </is>
      </c>
      <c r="G282" s="21" t="inlineStr">
        <is>
          <t>MTE DE MITSAMIOULI</t>
        </is>
      </c>
      <c r="H282" s="21" t="inlineStr"/>
      <c r="I282" s="21" t="inlineStr">
        <is>
          <t>L1</t>
        </is>
      </c>
      <c r="J282" s="21" t="inlineStr">
        <is>
          <t>Imagerie médicale</t>
        </is>
      </c>
      <c r="K282" s="21" t="inlineStr"/>
      <c r="L282" s="21" t="inlineStr">
        <is>
          <t>2025-2026</t>
        </is>
      </c>
      <c r="M282" s="21" t="inlineStr">
        <is>
          <t>Inscrit</t>
        </is>
      </c>
      <c r="N282" s="21" t="inlineStr"/>
      <c r="O282" s="21" t="inlineStr">
        <is>
          <t>import</t>
        </is>
      </c>
    </row>
    <row r="283" ht="15" customHeight="1" s="22">
      <c r="A283" s="21" t="inlineStr">
        <is>
          <t>48</t>
        </is>
      </c>
      <c r="B283" s="21" t="inlineStr">
        <is>
          <t>73415</t>
        </is>
      </c>
      <c r="C283" s="21" t="inlineStr"/>
      <c r="D283" s="21" t="inlineStr">
        <is>
          <t>RIWADI</t>
        </is>
      </c>
      <c r="E283" s="21" t="inlineStr">
        <is>
          <t>ALIANI</t>
        </is>
      </c>
      <c r="F283" s="21" t="inlineStr">
        <is>
          <t>28/12/2005</t>
        </is>
      </c>
      <c r="G283" s="21" t="inlineStr">
        <is>
          <t>DZOIDJOU BADJINI OUEST</t>
        </is>
      </c>
      <c r="H283" s="21" t="inlineStr"/>
      <c r="I283" s="21" t="inlineStr">
        <is>
          <t>L1</t>
        </is>
      </c>
      <c r="J283" s="21" t="inlineStr">
        <is>
          <t>Imagerie médicale</t>
        </is>
      </c>
      <c r="K283" s="21" t="inlineStr"/>
      <c r="L283" s="21" t="inlineStr">
        <is>
          <t>2025-2026</t>
        </is>
      </c>
      <c r="M283" s="21" t="inlineStr">
        <is>
          <t>Inscrit</t>
        </is>
      </c>
      <c r="N283" s="21" t="inlineStr"/>
      <c r="O283" s="21" t="inlineStr">
        <is>
          <t>import</t>
        </is>
      </c>
    </row>
    <row r="284" ht="15" customHeight="1" s="22">
      <c r="A284" s="21" t="inlineStr">
        <is>
          <t>49</t>
        </is>
      </c>
      <c r="B284" s="21" t="inlineStr">
        <is>
          <t>78768</t>
        </is>
      </c>
      <c r="C284" s="21" t="inlineStr"/>
      <c r="D284" s="21" t="inlineStr">
        <is>
          <t>SAID</t>
        </is>
      </c>
      <c r="E284" s="21" t="inlineStr">
        <is>
          <t>ANCHARA</t>
        </is>
      </c>
      <c r="F284" s="21" t="inlineStr">
        <is>
          <t>25/12/2005</t>
        </is>
      </c>
      <c r="G284" s="21" t="inlineStr">
        <is>
          <t>BOENINDI</t>
        </is>
      </c>
      <c r="H284" s="21" t="inlineStr"/>
      <c r="I284" s="21" t="inlineStr">
        <is>
          <t>L1</t>
        </is>
      </c>
      <c r="J284" s="21" t="inlineStr">
        <is>
          <t>Imagerie médicale</t>
        </is>
      </c>
      <c r="K284" s="21" t="inlineStr"/>
      <c r="L284" s="21" t="inlineStr">
        <is>
          <t>2025-2026</t>
        </is>
      </c>
      <c r="M284" s="21" t="inlineStr">
        <is>
          <t>Inscrit</t>
        </is>
      </c>
      <c r="N284" s="21" t="inlineStr"/>
      <c r="O284" s="21" t="inlineStr">
        <is>
          <t>import</t>
        </is>
      </c>
    </row>
    <row r="285" ht="15" customHeight="1" s="22">
      <c r="A285" s="21" t="inlineStr">
        <is>
          <t>50</t>
        </is>
      </c>
      <c r="B285" s="21" t="inlineStr">
        <is>
          <t>78676</t>
        </is>
      </c>
      <c r="C285" s="21" t="inlineStr"/>
      <c r="D285" s="21" t="inlineStr">
        <is>
          <t>SITTI</t>
        </is>
      </c>
      <c r="E285" s="21" t="inlineStr">
        <is>
          <t>NABILA BACAR MOHAMED</t>
        </is>
      </c>
      <c r="F285" s="21" t="inlineStr">
        <is>
          <t>27/09/2006</t>
        </is>
      </c>
      <c r="G285" s="21" t="inlineStr">
        <is>
          <t>MTE DE MORONI</t>
        </is>
      </c>
      <c r="H285" s="21" t="inlineStr"/>
      <c r="I285" s="21" t="inlineStr">
        <is>
          <t>L1</t>
        </is>
      </c>
      <c r="J285" s="21" t="inlineStr">
        <is>
          <t>Imagerie médicale</t>
        </is>
      </c>
      <c r="K285" s="21" t="inlineStr"/>
      <c r="L285" s="21" t="inlineStr">
        <is>
          <t>2025-2026</t>
        </is>
      </c>
      <c r="M285" s="21" t="inlineStr">
        <is>
          <t>Inscrit</t>
        </is>
      </c>
      <c r="N285" s="21" t="inlineStr"/>
      <c r="O285" s="21" t="inlineStr">
        <is>
          <t>import</t>
        </is>
      </c>
    </row>
    <row r="286" ht="15" customHeight="1" s="22">
      <c r="A286" s="21" t="inlineStr">
        <is>
          <t>51</t>
        </is>
      </c>
      <c r="B286" s="21" t="inlineStr">
        <is>
          <t>74215</t>
        </is>
      </c>
      <c r="C286" s="21" t="inlineStr"/>
      <c r="D286" s="21" t="inlineStr">
        <is>
          <t>SOUMAYA</t>
        </is>
      </c>
      <c r="E286" s="21" t="inlineStr">
        <is>
          <t>ABDILLAH</t>
        </is>
      </c>
      <c r="F286" s="21" t="inlineStr">
        <is>
          <t>14/12/2005</t>
        </is>
      </c>
      <c r="G286" s="21" t="inlineStr">
        <is>
          <t>MBANGANI HAMANVOU</t>
        </is>
      </c>
      <c r="H286" s="21" t="inlineStr"/>
      <c r="I286" s="21" t="inlineStr">
        <is>
          <t>L1</t>
        </is>
      </c>
      <c r="J286" s="21" t="inlineStr">
        <is>
          <t>Imagerie médicale</t>
        </is>
      </c>
      <c r="K286" s="21" t="inlineStr"/>
      <c r="L286" s="21" t="inlineStr">
        <is>
          <t>2025-2026</t>
        </is>
      </c>
      <c r="M286" s="21" t="inlineStr">
        <is>
          <t>Inscrit</t>
        </is>
      </c>
      <c r="N286" s="21" t="inlineStr"/>
      <c r="O286" s="21" t="inlineStr">
        <is>
          <t>import</t>
        </is>
      </c>
    </row>
    <row r="287" ht="15" customHeight="1" s="22">
      <c r="A287" s="21" t="inlineStr">
        <is>
          <t>52</t>
        </is>
      </c>
      <c r="B287" s="21" t="inlineStr">
        <is>
          <t>74479</t>
        </is>
      </c>
      <c r="C287" s="21" t="inlineStr"/>
      <c r="D287" s="21" t="inlineStr">
        <is>
          <t>THANNAT</t>
        </is>
      </c>
      <c r="E287" s="21" t="inlineStr">
        <is>
          <t>ALI MOHAMED</t>
        </is>
      </c>
      <c r="F287" s="21" t="inlineStr">
        <is>
          <t>26/07/2006</t>
        </is>
      </c>
      <c r="G287" s="21" t="inlineStr">
        <is>
          <t>MATERNITE DE MORONI</t>
        </is>
      </c>
      <c r="H287" s="21" t="inlineStr"/>
      <c r="I287" s="21" t="inlineStr">
        <is>
          <t>L1</t>
        </is>
      </c>
      <c r="J287" s="21" t="inlineStr">
        <is>
          <t>Imagerie médicale</t>
        </is>
      </c>
      <c r="K287" s="21" t="inlineStr"/>
      <c r="L287" s="21" t="inlineStr">
        <is>
          <t>2025-2026</t>
        </is>
      </c>
      <c r="M287" s="21" t="inlineStr">
        <is>
          <t>Inscrit</t>
        </is>
      </c>
      <c r="N287" s="21" t="inlineStr"/>
      <c r="O287" s="21" t="inlineStr">
        <is>
          <t>import</t>
        </is>
      </c>
    </row>
    <row r="288" ht="15" customHeight="1" s="22">
      <c r="A288" s="21" t="inlineStr">
        <is>
          <t>53</t>
        </is>
      </c>
      <c r="B288" s="21" t="inlineStr">
        <is>
          <t>73732</t>
        </is>
      </c>
      <c r="C288" s="21" t="inlineStr"/>
      <c r="D288" s="21" t="inlineStr">
        <is>
          <t>THOUOYIBATI</t>
        </is>
      </c>
      <c r="E288" s="21" t="inlineStr">
        <is>
          <t>BOURA</t>
        </is>
      </c>
      <c r="F288" s="21" t="inlineStr">
        <is>
          <t>28/12/2001</t>
        </is>
      </c>
      <c r="G288" s="21" t="inlineStr">
        <is>
          <t>BAZIMINI - ANJOUAN</t>
        </is>
      </c>
      <c r="H288" s="21" t="inlineStr"/>
      <c r="I288" s="21" t="inlineStr">
        <is>
          <t>L1</t>
        </is>
      </c>
      <c r="J288" s="21" t="inlineStr">
        <is>
          <t>Imagerie médicale</t>
        </is>
      </c>
      <c r="K288" s="21" t="inlineStr"/>
      <c r="L288" s="21" t="inlineStr">
        <is>
          <t>2025-2026</t>
        </is>
      </c>
      <c r="M288" s="21" t="inlineStr">
        <is>
          <t>Inscrit</t>
        </is>
      </c>
      <c r="N288" s="21" t="inlineStr"/>
      <c r="O288" s="21" t="inlineStr">
        <is>
          <t>import</t>
        </is>
      </c>
    </row>
    <row r="289" ht="15" customHeight="1" s="22">
      <c r="A289" s="21" t="inlineStr">
        <is>
          <t>54</t>
        </is>
      </c>
      <c r="B289" s="21" t="inlineStr">
        <is>
          <t>73709</t>
        </is>
      </c>
      <c r="C289" s="21" t="inlineStr"/>
      <c r="D289" s="21" t="inlineStr">
        <is>
          <t>THOURAYAT</t>
        </is>
      </c>
      <c r="E289" s="21" t="inlineStr">
        <is>
          <t>BINTI YAHAYA</t>
        </is>
      </c>
      <c r="F289" s="21" t="inlineStr">
        <is>
          <t>04/10/2006</t>
        </is>
      </c>
      <c r="G289" s="21" t="inlineStr">
        <is>
          <t>HEROUMBILI</t>
        </is>
      </c>
      <c r="H289" s="21" t="inlineStr"/>
      <c r="I289" s="21" t="inlineStr">
        <is>
          <t>L1</t>
        </is>
      </c>
      <c r="J289" s="21" t="inlineStr">
        <is>
          <t>Imagerie médicale</t>
        </is>
      </c>
      <c r="K289" s="21" t="inlineStr"/>
      <c r="L289" s="21" t="inlineStr">
        <is>
          <t>2025-2026</t>
        </is>
      </c>
      <c r="M289" s="21" t="inlineStr">
        <is>
          <t>Inscrit</t>
        </is>
      </c>
      <c r="N289" s="21" t="inlineStr"/>
      <c r="O289" s="21" t="inlineStr">
        <is>
          <t>import</t>
        </is>
      </c>
    </row>
    <row r="290" ht="15" customHeight="1" s="22">
      <c r="A290" s="21" t="inlineStr">
        <is>
          <t>55</t>
        </is>
      </c>
      <c r="B290" s="21" t="inlineStr">
        <is>
          <t>69371</t>
        </is>
      </c>
      <c r="C290" s="21" t="inlineStr"/>
      <c r="D290" s="21" t="inlineStr">
        <is>
          <t>YASSIN</t>
        </is>
      </c>
      <c r="E290" s="21" t="inlineStr">
        <is>
          <t>MOHAMED</t>
        </is>
      </c>
      <c r="F290" s="21" t="inlineStr">
        <is>
          <t>09/01/2004</t>
        </is>
      </c>
      <c r="G290" s="21" t="inlineStr">
        <is>
          <t>MTE OUZIOINI</t>
        </is>
      </c>
      <c r="H290" s="21" t="inlineStr"/>
      <c r="I290" s="21" t="inlineStr">
        <is>
          <t>L1</t>
        </is>
      </c>
      <c r="J290" s="21" t="inlineStr">
        <is>
          <t>Imagerie médicale</t>
        </is>
      </c>
      <c r="K290" s="21" t="inlineStr"/>
      <c r="L290" s="21" t="inlineStr">
        <is>
          <t>2025-2026</t>
        </is>
      </c>
      <c r="M290" s="21" t="inlineStr">
        <is>
          <t>Inscrit</t>
        </is>
      </c>
      <c r="N290" s="21" t="inlineStr"/>
      <c r="O290" s="21" t="inlineStr">
        <is>
          <t>import</t>
        </is>
      </c>
    </row>
    <row r="291" ht="15" customHeight="1" s="22">
      <c r="A291" s="21" t="inlineStr">
        <is>
          <t>56</t>
        </is>
      </c>
      <c r="B291" s="21" t="inlineStr">
        <is>
          <t>73950</t>
        </is>
      </c>
      <c r="C291" s="21" t="inlineStr"/>
      <c r="D291" s="21" t="inlineStr">
        <is>
          <t>YASSIR</t>
        </is>
      </c>
      <c r="E291" s="21" t="inlineStr">
        <is>
          <t>SAADI MOHAMED</t>
        </is>
      </c>
      <c r="F291" s="21" t="inlineStr">
        <is>
          <t>13/11/2005</t>
        </is>
      </c>
      <c r="G291" s="21" t="inlineStr">
        <is>
          <t>MTE DE MORONI</t>
        </is>
      </c>
      <c r="H291" s="21" t="inlineStr"/>
      <c r="I291" s="21" t="inlineStr">
        <is>
          <t>L1</t>
        </is>
      </c>
      <c r="J291" s="21" t="inlineStr">
        <is>
          <t>Imagerie médicale</t>
        </is>
      </c>
      <c r="K291" s="21" t="inlineStr"/>
      <c r="L291" s="21" t="inlineStr">
        <is>
          <t>2025-2026</t>
        </is>
      </c>
      <c r="M291" s="21" t="inlineStr">
        <is>
          <t>Inscrit</t>
        </is>
      </c>
      <c r="N291" s="21" t="inlineStr"/>
      <c r="O291" s="21" t="inlineStr">
        <is>
          <t>import</t>
        </is>
      </c>
    </row>
    <row r="292" ht="15" customHeight="1" s="22">
      <c r="A292" s="21" t="inlineStr">
        <is>
          <t>57</t>
        </is>
      </c>
      <c r="B292" s="21" t="inlineStr">
        <is>
          <t>77903</t>
        </is>
      </c>
      <c r="C292" s="21" t="inlineStr"/>
      <c r="D292" s="21" t="inlineStr">
        <is>
          <t>ZAIDATI</t>
        </is>
      </c>
      <c r="E292" s="21" t="inlineStr">
        <is>
          <t>ALI BOURA</t>
        </is>
      </c>
      <c r="F292" s="21" t="inlineStr">
        <is>
          <t>03/04/2007</t>
        </is>
      </c>
      <c r="G292" s="21" t="inlineStr">
        <is>
          <t>ONGOJOU ANJOUAN</t>
        </is>
      </c>
      <c r="H292" s="21" t="inlineStr"/>
      <c r="I292" s="21" t="inlineStr">
        <is>
          <t>L1</t>
        </is>
      </c>
      <c r="J292" s="21" t="inlineStr">
        <is>
          <t>Imagerie médicale</t>
        </is>
      </c>
      <c r="K292" s="21" t="inlineStr"/>
      <c r="L292" s="21" t="inlineStr">
        <is>
          <t>2025-2026</t>
        </is>
      </c>
      <c r="M292" s="21" t="inlineStr">
        <is>
          <t>Inscrit</t>
        </is>
      </c>
      <c r="N292" s="21" t="inlineStr"/>
      <c r="O292" s="21" t="inlineStr">
        <is>
          <t>import</t>
        </is>
      </c>
    </row>
    <row r="293" ht="15" customHeight="1" s="22">
      <c r="A293" s="21" t="inlineStr">
        <is>
          <t>1</t>
        </is>
      </c>
      <c r="B293" s="21" t="inlineStr">
        <is>
          <t>73880</t>
        </is>
      </c>
      <c r="C293" s="21" t="inlineStr"/>
      <c r="D293" s="21" t="inlineStr">
        <is>
          <t>ABDOULLAHI</t>
        </is>
      </c>
      <c r="E293" s="21" t="inlineStr">
        <is>
          <t>ASSYA</t>
        </is>
      </c>
      <c r="F293" s="21" t="inlineStr">
        <is>
          <t>13/10/2005</t>
        </is>
      </c>
      <c r="G293" s="21" t="inlineStr">
        <is>
          <t>OUANI ANJOUAN</t>
        </is>
      </c>
      <c r="H293" s="21" t="inlineStr"/>
      <c r="I293" s="21" t="inlineStr">
        <is>
          <t>L2</t>
        </is>
      </c>
      <c r="J293" s="21" t="inlineStr">
        <is>
          <t>Soins infirmiers</t>
        </is>
      </c>
      <c r="K293" s="21" t="inlineStr"/>
      <c r="L293" s="21" t="inlineStr">
        <is>
          <t>2025-2026</t>
        </is>
      </c>
      <c r="M293" s="21" t="inlineStr">
        <is>
          <t>Inscrit</t>
        </is>
      </c>
      <c r="N293" s="21" t="inlineStr"/>
      <c r="O293" s="21" t="inlineStr">
        <is>
          <t>import</t>
        </is>
      </c>
    </row>
    <row r="294" ht="15" customHeight="1" s="22">
      <c r="A294" s="21" t="inlineStr">
        <is>
          <t>2</t>
        </is>
      </c>
      <c r="B294" s="21" t="inlineStr">
        <is>
          <t>54351</t>
        </is>
      </c>
      <c r="C294" s="21" t="inlineStr"/>
      <c r="D294" s="21" t="inlineStr">
        <is>
          <t>ABOU BAKAR</t>
        </is>
      </c>
      <c r="E294" s="21" t="inlineStr">
        <is>
          <t>ALI</t>
        </is>
      </c>
      <c r="F294" s="21" t="inlineStr">
        <is>
          <t>01/05/2003</t>
        </is>
      </c>
      <c r="G294" s="21" t="inlineStr">
        <is>
          <t>MTE DE DOMONI - ANJOUAN</t>
        </is>
      </c>
      <c r="H294" s="21" t="inlineStr"/>
      <c r="I294" s="21" t="inlineStr">
        <is>
          <t>L2</t>
        </is>
      </c>
      <c r="J294" s="21" t="inlineStr">
        <is>
          <t>Soins infirmiers</t>
        </is>
      </c>
      <c r="K294" s="21" t="inlineStr"/>
      <c r="L294" s="21" t="inlineStr">
        <is>
          <t>2025-2026</t>
        </is>
      </c>
      <c r="M294" s="21" t="inlineStr">
        <is>
          <t>Inscrit</t>
        </is>
      </c>
      <c r="N294" s="21" t="inlineStr"/>
      <c r="O294" s="21" t="inlineStr">
        <is>
          <t>import</t>
        </is>
      </c>
    </row>
    <row r="295" ht="15" customHeight="1" s="22">
      <c r="A295" s="21" t="inlineStr">
        <is>
          <t>3</t>
        </is>
      </c>
      <c r="B295" s="21" t="inlineStr">
        <is>
          <t>73997</t>
        </is>
      </c>
      <c r="C295" s="21" t="inlineStr"/>
      <c r="D295" s="21" t="inlineStr">
        <is>
          <t>ADAM</t>
        </is>
      </c>
      <c r="E295" s="21" t="inlineStr">
        <is>
          <t>ARFACHAD MOHAMED</t>
        </is>
      </c>
      <c r="F295" s="21" t="inlineStr">
        <is>
          <t>21/05/2003</t>
        </is>
      </c>
      <c r="G295" s="21" t="inlineStr">
        <is>
          <t>MDJOIEZI HAMBOU</t>
        </is>
      </c>
      <c r="H295" s="21" t="inlineStr"/>
      <c r="I295" s="21" t="inlineStr">
        <is>
          <t>L2</t>
        </is>
      </c>
      <c r="J295" s="21" t="inlineStr">
        <is>
          <t>Soins infirmiers</t>
        </is>
      </c>
      <c r="K295" s="21" t="inlineStr"/>
      <c r="L295" s="21" t="inlineStr">
        <is>
          <t>2025-2026</t>
        </is>
      </c>
      <c r="M295" s="21" t="inlineStr">
        <is>
          <t>Inscrit</t>
        </is>
      </c>
      <c r="N295" s="21" t="inlineStr"/>
      <c r="O295" s="21" t="inlineStr">
        <is>
          <t>import</t>
        </is>
      </c>
    </row>
    <row r="296" ht="15" customHeight="1" s="22">
      <c r="A296" s="21" t="inlineStr">
        <is>
          <t>4</t>
        </is>
      </c>
      <c r="B296" s="21" t="inlineStr">
        <is>
          <t>75663</t>
        </is>
      </c>
      <c r="C296" s="21" t="inlineStr"/>
      <c r="D296" s="21" t="inlineStr">
        <is>
          <t>AFNANE</t>
        </is>
      </c>
      <c r="E296" s="21" t="inlineStr">
        <is>
          <t>HASSANI</t>
        </is>
      </c>
      <c r="F296" s="21" t="inlineStr">
        <is>
          <t>21/12/2005</t>
        </is>
      </c>
      <c r="G296" s="21" t="inlineStr">
        <is>
          <t>DIMADJOU HAMAHAMET</t>
        </is>
      </c>
      <c r="H296" s="21" t="inlineStr"/>
      <c r="I296" s="21" t="inlineStr">
        <is>
          <t>L2</t>
        </is>
      </c>
      <c r="J296" s="21" t="inlineStr">
        <is>
          <t>Soins infirmiers</t>
        </is>
      </c>
      <c r="K296" s="21" t="inlineStr"/>
      <c r="L296" s="21" t="inlineStr">
        <is>
          <t>2025-2026</t>
        </is>
      </c>
      <c r="M296" s="21" t="inlineStr">
        <is>
          <t>Inscrit</t>
        </is>
      </c>
      <c r="N296" s="21" t="inlineStr"/>
      <c r="O296" s="21" t="inlineStr">
        <is>
          <t>import</t>
        </is>
      </c>
    </row>
    <row r="297" ht="15" customHeight="1" s="22">
      <c r="A297" s="21" t="inlineStr">
        <is>
          <t>5</t>
        </is>
      </c>
      <c r="B297" s="21" t="inlineStr">
        <is>
          <t>70286</t>
        </is>
      </c>
      <c r="C297" s="21" t="inlineStr"/>
      <c r="D297" s="21" t="inlineStr">
        <is>
          <t>AICHAT</t>
        </is>
      </c>
      <c r="E297" s="21" t="inlineStr">
        <is>
          <t>KASSIM</t>
        </is>
      </c>
      <c r="F297" s="21" t="inlineStr">
        <is>
          <t>15/03/2001</t>
        </is>
      </c>
      <c r="G297" s="21" t="inlineStr">
        <is>
          <t>M'REMANI - ANJOUAN</t>
        </is>
      </c>
      <c r="H297" s="21" t="inlineStr"/>
      <c r="I297" s="21" t="inlineStr">
        <is>
          <t>L2</t>
        </is>
      </c>
      <c r="J297" s="21" t="inlineStr">
        <is>
          <t>Soins infirmiers</t>
        </is>
      </c>
      <c r="K297" s="21" t="inlineStr"/>
      <c r="L297" s="21" t="inlineStr">
        <is>
          <t>2025-2026</t>
        </is>
      </c>
      <c r="M297" s="21" t="inlineStr">
        <is>
          <t>Inscrit</t>
        </is>
      </c>
      <c r="N297" s="21" t="inlineStr"/>
      <c r="O297" s="21" t="inlineStr">
        <is>
          <t>import</t>
        </is>
      </c>
    </row>
    <row r="298" ht="15" customHeight="1" s="22">
      <c r="A298" s="21" t="inlineStr">
        <is>
          <t>6</t>
        </is>
      </c>
      <c r="B298" s="21" t="inlineStr">
        <is>
          <t>70949</t>
        </is>
      </c>
      <c r="C298" s="21" t="inlineStr"/>
      <c r="D298" s="21" t="inlineStr">
        <is>
          <t>AMINA</t>
        </is>
      </c>
      <c r="E298" s="21" t="inlineStr">
        <is>
          <t>MOHAMED</t>
        </is>
      </c>
      <c r="F298" s="21" t="inlineStr">
        <is>
          <t>23/06/2004</t>
        </is>
      </c>
      <c r="G298" s="21" t="inlineStr">
        <is>
          <t>MTE DE HOMBO - ANJOUAN</t>
        </is>
      </c>
      <c r="H298" s="21" t="inlineStr"/>
      <c r="I298" s="21" t="inlineStr">
        <is>
          <t>L2</t>
        </is>
      </c>
      <c r="J298" s="21" t="inlineStr">
        <is>
          <t>Soins infirmiers</t>
        </is>
      </c>
      <c r="K298" s="21" t="inlineStr"/>
      <c r="L298" s="21" t="inlineStr">
        <is>
          <t>2025-2026</t>
        </is>
      </c>
      <c r="M298" s="21" t="inlineStr">
        <is>
          <t>Inscrit</t>
        </is>
      </c>
      <c r="N298" s="21" t="inlineStr"/>
      <c r="O298" s="21" t="inlineStr">
        <is>
          <t>import</t>
        </is>
      </c>
    </row>
    <row r="299" ht="15" customHeight="1" s="22">
      <c r="A299" s="21" t="inlineStr">
        <is>
          <t>7</t>
        </is>
      </c>
      <c r="B299" s="21" t="inlineStr">
        <is>
          <t>56209</t>
        </is>
      </c>
      <c r="C299" s="21" t="inlineStr"/>
      <c r="D299" s="21" t="inlineStr">
        <is>
          <t>AMINA</t>
        </is>
      </c>
      <c r="E299" s="21" t="inlineStr">
        <is>
          <t>MOUSSA</t>
        </is>
      </c>
      <c r="F299" s="21" t="inlineStr">
        <is>
          <t>10/01/2000</t>
        </is>
      </c>
      <c r="G299" s="21" t="inlineStr">
        <is>
          <t>ONGOJOU - ANJOUAN</t>
        </is>
      </c>
      <c r="H299" s="21" t="inlineStr"/>
      <c r="I299" s="21" t="inlineStr">
        <is>
          <t>L2</t>
        </is>
      </c>
      <c r="J299" s="21" t="inlineStr">
        <is>
          <t>Soins infirmiers</t>
        </is>
      </c>
      <c r="K299" s="21" t="inlineStr"/>
      <c r="L299" s="21" t="inlineStr">
        <is>
          <t>2025-2026</t>
        </is>
      </c>
      <c r="M299" s="21" t="inlineStr">
        <is>
          <t>Inscrit</t>
        </is>
      </c>
      <c r="N299" s="21" t="inlineStr"/>
      <c r="O299" s="21" t="inlineStr">
        <is>
          <t>import</t>
        </is>
      </c>
    </row>
    <row r="300" ht="15" customHeight="1" s="22">
      <c r="A300" s="21" t="inlineStr">
        <is>
          <t>8</t>
        </is>
      </c>
      <c r="B300" s="21" t="inlineStr">
        <is>
          <t>68859</t>
        </is>
      </c>
      <c r="C300" s="21" t="inlineStr"/>
      <c r="D300" s="21" t="inlineStr">
        <is>
          <t>AMNA</t>
        </is>
      </c>
      <c r="E300" s="21" t="inlineStr">
        <is>
          <t>AHAMED DJIHAD</t>
        </is>
      </c>
      <c r="F300" s="21" t="inlineStr">
        <is>
          <t>19/10/2004</t>
        </is>
      </c>
      <c r="G300" s="21" t="inlineStr">
        <is>
          <t>HÔPITAL DE DOMONI ANJOUAN</t>
        </is>
      </c>
      <c r="H300" s="21" t="inlineStr"/>
      <c r="I300" s="21" t="inlineStr">
        <is>
          <t>L2</t>
        </is>
      </c>
      <c r="J300" s="21" t="inlineStr">
        <is>
          <t>Soins infirmiers</t>
        </is>
      </c>
      <c r="K300" s="21" t="inlineStr"/>
      <c r="L300" s="21" t="inlineStr">
        <is>
          <t>2025-2026</t>
        </is>
      </c>
      <c r="M300" s="21" t="inlineStr">
        <is>
          <t>Inscrit</t>
        </is>
      </c>
      <c r="N300" s="21" t="inlineStr"/>
      <c r="O300" s="21" t="inlineStr">
        <is>
          <t>import</t>
        </is>
      </c>
    </row>
    <row r="301">
      <c r="A301" s="21" t="inlineStr">
        <is>
          <t>9</t>
        </is>
      </c>
      <c r="B301" s="21" t="inlineStr">
        <is>
          <t>70178</t>
        </is>
      </c>
      <c r="C301" s="21" t="inlineStr"/>
      <c r="D301" s="21" t="inlineStr">
        <is>
          <t>ANAMI</t>
        </is>
      </c>
      <c r="E301" s="21" t="inlineStr">
        <is>
          <t>MOUHAMED BACO</t>
        </is>
      </c>
      <c r="F301" s="21" t="inlineStr">
        <is>
          <t>03/10/2003</t>
        </is>
      </c>
      <c r="G301" s="21" t="inlineStr">
        <is>
          <t>FOMBONI - MOHELI</t>
        </is>
      </c>
      <c r="H301" s="21" t="inlineStr"/>
      <c r="I301" s="21" t="inlineStr">
        <is>
          <t>L2</t>
        </is>
      </c>
      <c r="J301" s="21" t="inlineStr">
        <is>
          <t>Soins infirmiers</t>
        </is>
      </c>
      <c r="K301" s="21" t="inlineStr"/>
      <c r="L301" s="21" t="inlineStr">
        <is>
          <t>2025-2026</t>
        </is>
      </c>
      <c r="M301" s="21" t="inlineStr">
        <is>
          <t>Inscrit</t>
        </is>
      </c>
      <c r="N301" s="21" t="inlineStr"/>
      <c r="O301" s="21" t="inlineStr">
        <is>
          <t>import</t>
        </is>
      </c>
    </row>
    <row r="302">
      <c r="A302" s="21" t="inlineStr">
        <is>
          <t>10</t>
        </is>
      </c>
      <c r="B302" s="21" t="inlineStr">
        <is>
          <t>68956</t>
        </is>
      </c>
      <c r="C302" s="21" t="inlineStr"/>
      <c r="D302" s="21" t="inlineStr">
        <is>
          <t>ANFAITA</t>
        </is>
      </c>
      <c r="E302" s="21" t="inlineStr">
        <is>
          <t>ISSOUF</t>
        </is>
      </c>
      <c r="F302" s="21" t="inlineStr">
        <is>
          <t>20/12/2002</t>
        </is>
      </c>
      <c r="G302" s="21" t="inlineStr">
        <is>
          <t>OUTSA - ANJOUAN</t>
        </is>
      </c>
      <c r="H302" s="21" t="inlineStr"/>
      <c r="I302" s="21" t="inlineStr">
        <is>
          <t>L2</t>
        </is>
      </c>
      <c r="J302" s="21" t="inlineStr">
        <is>
          <t>Soins infirmiers</t>
        </is>
      </c>
      <c r="K302" s="21" t="inlineStr"/>
      <c r="L302" s="21" t="inlineStr">
        <is>
          <t>2025-2026</t>
        </is>
      </c>
      <c r="M302" s="21" t="inlineStr">
        <is>
          <t>Inscrit</t>
        </is>
      </c>
      <c r="N302" s="21" t="inlineStr"/>
      <c r="O302" s="21" t="inlineStr">
        <is>
          <t>import</t>
        </is>
      </c>
    </row>
    <row r="303">
      <c r="A303" s="21" t="inlineStr">
        <is>
          <t>11</t>
        </is>
      </c>
      <c r="B303" s="21" t="inlineStr">
        <is>
          <t>74185</t>
        </is>
      </c>
      <c r="C303" s="21" t="inlineStr"/>
      <c r="D303" s="21" t="inlineStr">
        <is>
          <t>ANGESTINE</t>
        </is>
      </c>
      <c r="E303" s="21" t="inlineStr">
        <is>
          <t>ABDOU MAJANI</t>
        </is>
      </c>
      <c r="F303" s="21" t="inlineStr">
        <is>
          <t>20/03/2007</t>
        </is>
      </c>
      <c r="G303" s="21" t="inlineStr">
        <is>
          <t>MTE DE HOMBO ANJOUAN</t>
        </is>
      </c>
      <c r="H303" s="21" t="inlineStr"/>
      <c r="I303" s="21" t="inlineStr">
        <is>
          <t>L2</t>
        </is>
      </c>
      <c r="J303" s="21" t="inlineStr">
        <is>
          <t>Soins infirmiers</t>
        </is>
      </c>
      <c r="K303" s="21" t="inlineStr"/>
      <c r="L303" s="21" t="inlineStr">
        <is>
          <t>2025-2026</t>
        </is>
      </c>
      <c r="M303" s="21" t="inlineStr">
        <is>
          <t>Inscrit</t>
        </is>
      </c>
      <c r="N303" s="21" t="inlineStr"/>
      <c r="O303" s="21" t="inlineStr">
        <is>
          <t>import</t>
        </is>
      </c>
    </row>
    <row r="304">
      <c r="A304" s="21" t="inlineStr">
        <is>
          <t>12</t>
        </is>
      </c>
      <c r="B304" s="21" t="inlineStr">
        <is>
          <t>73783</t>
        </is>
      </c>
      <c r="C304" s="21" t="inlineStr"/>
      <c r="D304" s="21" t="inlineStr">
        <is>
          <t>ANTUANE</t>
        </is>
      </c>
      <c r="E304" s="21" t="inlineStr">
        <is>
          <t>OUSSEN SIDI</t>
        </is>
      </c>
      <c r="F304" s="21" t="inlineStr">
        <is>
          <t>12/07/2006</t>
        </is>
      </c>
      <c r="G304" s="21" t="inlineStr">
        <is>
          <t>MBENI</t>
        </is>
      </c>
      <c r="H304" s="21" t="inlineStr"/>
      <c r="I304" s="21" t="inlineStr">
        <is>
          <t>L2</t>
        </is>
      </c>
      <c r="J304" s="21" t="inlineStr">
        <is>
          <t>Soins infirmiers</t>
        </is>
      </c>
      <c r="K304" s="21" t="inlineStr"/>
      <c r="L304" s="21" t="inlineStr">
        <is>
          <t>2025-2026</t>
        </is>
      </c>
      <c r="M304" s="21" t="inlineStr">
        <is>
          <t>Inscrit</t>
        </is>
      </c>
      <c r="N304" s="21" t="inlineStr"/>
      <c r="O304" s="21" t="inlineStr">
        <is>
          <t>import</t>
        </is>
      </c>
    </row>
    <row r="305">
      <c r="A305" s="21" t="inlineStr">
        <is>
          <t>13</t>
        </is>
      </c>
      <c r="B305" s="21" t="inlineStr">
        <is>
          <t>74072</t>
        </is>
      </c>
      <c r="C305" s="21" t="inlineStr"/>
      <c r="D305" s="21" t="inlineStr">
        <is>
          <t>ANTUFIA</t>
        </is>
      </c>
      <c r="E305" s="21" t="inlineStr">
        <is>
          <t>TADJIRI</t>
        </is>
      </c>
      <c r="F305" s="21" t="inlineStr">
        <is>
          <t>10/03/2006</t>
        </is>
      </c>
      <c r="G305" s="21" t="inlineStr">
        <is>
          <t>MTE DE FOMBONI</t>
        </is>
      </c>
      <c r="H305" s="21" t="inlineStr"/>
      <c r="I305" s="21" t="inlineStr">
        <is>
          <t>L2</t>
        </is>
      </c>
      <c r="J305" s="21" t="inlineStr">
        <is>
          <t>Soins infirmiers</t>
        </is>
      </c>
      <c r="K305" s="21" t="inlineStr"/>
      <c r="L305" s="21" t="inlineStr">
        <is>
          <t>2025-2026</t>
        </is>
      </c>
      <c r="M305" s="21" t="inlineStr">
        <is>
          <t>Inscrit</t>
        </is>
      </c>
      <c r="N305" s="21" t="inlineStr"/>
      <c r="O305" s="21" t="inlineStr">
        <is>
          <t>import</t>
        </is>
      </c>
    </row>
    <row r="306">
      <c r="A306" s="21" t="inlineStr">
        <is>
          <t>14</t>
        </is>
      </c>
      <c r="B306" s="21" t="inlineStr">
        <is>
          <t>70886</t>
        </is>
      </c>
      <c r="C306" s="21" t="inlineStr"/>
      <c r="D306" s="21" t="inlineStr">
        <is>
          <t>ANZIMATI</t>
        </is>
      </c>
      <c r="E306" s="21" t="inlineStr">
        <is>
          <t>MMADI</t>
        </is>
      </c>
      <c r="F306" s="21" t="inlineStr">
        <is>
          <t>20/12/2002</t>
        </is>
      </c>
      <c r="G306" s="21" t="inlineStr">
        <is>
          <t>BAHANI ITSANDRA</t>
        </is>
      </c>
      <c r="H306" s="21" t="inlineStr"/>
      <c r="I306" s="21" t="inlineStr">
        <is>
          <t>L2</t>
        </is>
      </c>
      <c r="J306" s="21" t="inlineStr">
        <is>
          <t>Soins infirmiers</t>
        </is>
      </c>
      <c r="K306" s="21" t="inlineStr"/>
      <c r="L306" s="21" t="inlineStr">
        <is>
          <t>2025-2026</t>
        </is>
      </c>
      <c r="M306" s="21" t="inlineStr">
        <is>
          <t>Inscrit</t>
        </is>
      </c>
      <c r="N306" s="21" t="inlineStr"/>
      <c r="O306" s="21" t="inlineStr">
        <is>
          <t>import</t>
        </is>
      </c>
    </row>
    <row r="307">
      <c r="A307" s="21" t="inlineStr">
        <is>
          <t>15</t>
        </is>
      </c>
      <c r="B307" s="21" t="inlineStr">
        <is>
          <t>76460</t>
        </is>
      </c>
      <c r="C307" s="21" t="inlineStr"/>
      <c r="D307" s="21" t="inlineStr">
        <is>
          <t>ASSADI</t>
        </is>
      </c>
      <c r="E307" s="21" t="inlineStr">
        <is>
          <t>AHAMADI</t>
        </is>
      </c>
      <c r="F307" s="21" t="inlineStr">
        <is>
          <t>25/12/2004</t>
        </is>
      </c>
      <c r="G307" s="21" t="inlineStr">
        <is>
          <t>NIOUMACHOI - MOHELI COMORES</t>
        </is>
      </c>
      <c r="H307" s="21" t="inlineStr"/>
      <c r="I307" s="21" t="inlineStr">
        <is>
          <t>L2</t>
        </is>
      </c>
      <c r="J307" s="21" t="inlineStr">
        <is>
          <t>Soins infirmiers</t>
        </is>
      </c>
      <c r="K307" s="21" t="inlineStr"/>
      <c r="L307" s="21" t="inlineStr">
        <is>
          <t>2025-2026</t>
        </is>
      </c>
      <c r="M307" s="21" t="inlineStr">
        <is>
          <t>Inscrit</t>
        </is>
      </c>
      <c r="N307" s="21" t="inlineStr"/>
      <c r="O307" s="21" t="inlineStr">
        <is>
          <t>import</t>
        </is>
      </c>
    </row>
    <row r="308">
      <c r="A308" s="21" t="inlineStr">
        <is>
          <t>16</t>
        </is>
      </c>
      <c r="B308" s="21" t="inlineStr">
        <is>
          <t>76456</t>
        </is>
      </c>
      <c r="C308" s="21" t="inlineStr"/>
      <c r="D308" s="21" t="inlineStr">
        <is>
          <t>ASSIATI</t>
        </is>
      </c>
      <c r="E308" s="21" t="inlineStr">
        <is>
          <t>MOHAMED BOURA</t>
        </is>
      </c>
      <c r="F308" s="21" t="inlineStr">
        <is>
          <t>02/01/2006</t>
        </is>
      </c>
      <c r="G308" s="21" t="inlineStr">
        <is>
          <t>MTE DE HOMBO</t>
        </is>
      </c>
      <c r="H308" s="21" t="inlineStr"/>
      <c r="I308" s="21" t="inlineStr">
        <is>
          <t>L2</t>
        </is>
      </c>
      <c r="J308" s="21" t="inlineStr">
        <is>
          <t>Soins infirmiers</t>
        </is>
      </c>
      <c r="K308" s="21" t="inlineStr"/>
      <c r="L308" s="21" t="inlineStr">
        <is>
          <t>2025-2026</t>
        </is>
      </c>
      <c r="M308" s="21" t="inlineStr">
        <is>
          <t>Inscrit</t>
        </is>
      </c>
      <c r="N308" s="21" t="inlineStr"/>
      <c r="O308" s="21" t="inlineStr">
        <is>
          <t>import</t>
        </is>
      </c>
    </row>
    <row r="309">
      <c r="A309" s="21" t="inlineStr">
        <is>
          <t>17</t>
        </is>
      </c>
      <c r="B309" s="21" t="inlineStr">
        <is>
          <t>75485</t>
        </is>
      </c>
      <c r="C309" s="21" t="inlineStr"/>
      <c r="D309" s="21" t="inlineStr">
        <is>
          <t>BEN</t>
        </is>
      </c>
      <c r="E309" s="21" t="inlineStr">
        <is>
          <t>HAMIDI CHAMSIDINE</t>
        </is>
      </c>
      <c r="F309" s="21" t="inlineStr">
        <is>
          <t>29/10/2006</t>
        </is>
      </c>
      <c r="G309" s="21" t="inlineStr">
        <is>
          <t>MTE DE WANANI - MOHELI</t>
        </is>
      </c>
      <c r="H309" s="21" t="inlineStr"/>
      <c r="I309" s="21" t="inlineStr">
        <is>
          <t>L2</t>
        </is>
      </c>
      <c r="J309" s="21" t="inlineStr">
        <is>
          <t>Soins infirmiers</t>
        </is>
      </c>
      <c r="K309" s="21" t="inlineStr"/>
      <c r="L309" s="21" t="inlineStr">
        <is>
          <t>2025-2026</t>
        </is>
      </c>
      <c r="M309" s="21" t="inlineStr">
        <is>
          <t>Inscrit</t>
        </is>
      </c>
      <c r="N309" s="21" t="inlineStr"/>
      <c r="O309" s="21" t="inlineStr">
        <is>
          <t>import</t>
        </is>
      </c>
    </row>
    <row r="310">
      <c r="A310" s="21" t="inlineStr">
        <is>
          <t>18</t>
        </is>
      </c>
      <c r="B310" s="21" t="inlineStr">
        <is>
          <t>69449</t>
        </is>
      </c>
      <c r="C310" s="21" t="inlineStr"/>
      <c r="D310" s="21" t="inlineStr">
        <is>
          <t>BOINAID</t>
        </is>
      </c>
      <c r="E310" s="21" t="inlineStr">
        <is>
          <t>HELENE</t>
        </is>
      </c>
      <c r="F310" s="21" t="inlineStr">
        <is>
          <t>31/07/2002</t>
        </is>
      </c>
      <c r="G310" s="21" t="inlineStr">
        <is>
          <t>MAMOUDZOU - MAYOTTE</t>
        </is>
      </c>
      <c r="H310" s="21" t="inlineStr"/>
      <c r="I310" s="21" t="inlineStr">
        <is>
          <t>L2</t>
        </is>
      </c>
      <c r="J310" s="21" t="inlineStr">
        <is>
          <t>Soins infirmiers</t>
        </is>
      </c>
      <c r="K310" s="21" t="inlineStr"/>
      <c r="L310" s="21" t="inlineStr">
        <is>
          <t>2025-2026</t>
        </is>
      </c>
      <c r="M310" s="21" t="inlineStr">
        <is>
          <t>Inscrit</t>
        </is>
      </c>
      <c r="N310" s="21" t="inlineStr"/>
      <c r="O310" s="21" t="inlineStr">
        <is>
          <t>import</t>
        </is>
      </c>
    </row>
    <row r="311">
      <c r="A311" s="21" t="inlineStr">
        <is>
          <t>19</t>
        </is>
      </c>
      <c r="B311" s="21" t="inlineStr">
        <is>
          <t>62508</t>
        </is>
      </c>
      <c r="C311" s="21" t="inlineStr"/>
      <c r="D311" s="21" t="inlineStr">
        <is>
          <t>CHABANE</t>
        </is>
      </c>
      <c r="E311" s="21" t="inlineStr">
        <is>
          <t>MMADI KAMIGNEHA</t>
        </is>
      </c>
      <c r="F311" s="21" t="inlineStr">
        <is>
          <t>24/12/2001</t>
        </is>
      </c>
      <c r="G311" s="21" t="inlineStr">
        <is>
          <t>DEMBENI BADJINI - OUEST</t>
        </is>
      </c>
      <c r="H311" s="21" t="inlineStr"/>
      <c r="I311" s="21" t="inlineStr">
        <is>
          <t>L2</t>
        </is>
      </c>
      <c r="J311" s="21" t="inlineStr">
        <is>
          <t>Soins infirmiers</t>
        </is>
      </c>
      <c r="K311" s="21" t="inlineStr"/>
      <c r="L311" s="21" t="inlineStr">
        <is>
          <t>2025-2026</t>
        </is>
      </c>
      <c r="M311" s="21" t="inlineStr">
        <is>
          <t>Inscrit</t>
        </is>
      </c>
      <c r="N311" s="21" t="inlineStr"/>
      <c r="O311" s="21" t="inlineStr">
        <is>
          <t>import</t>
        </is>
      </c>
    </row>
    <row r="312">
      <c r="A312" s="21" t="inlineStr">
        <is>
          <t>20</t>
        </is>
      </c>
      <c r="B312" s="21" t="inlineStr">
        <is>
          <t>76080</t>
        </is>
      </c>
      <c r="C312" s="21" t="inlineStr"/>
      <c r="D312" s="21" t="inlineStr">
        <is>
          <t>CHARIFA</t>
        </is>
      </c>
      <c r="E312" s="21" t="inlineStr">
        <is>
          <t>DJAMBAE</t>
        </is>
      </c>
      <c r="F312" s="21" t="inlineStr">
        <is>
          <t>31/10/2002</t>
        </is>
      </c>
      <c r="G312" s="21" t="inlineStr">
        <is>
          <t>KOUHANI OICHILI</t>
        </is>
      </c>
      <c r="H312" s="21" t="inlineStr"/>
      <c r="I312" s="21" t="inlineStr">
        <is>
          <t>L2</t>
        </is>
      </c>
      <c r="J312" s="21" t="inlineStr">
        <is>
          <t>Soins infirmiers</t>
        </is>
      </c>
      <c r="K312" s="21" t="inlineStr"/>
      <c r="L312" s="21" t="inlineStr">
        <is>
          <t>2025-2026</t>
        </is>
      </c>
      <c r="M312" s="21" t="inlineStr">
        <is>
          <t>Inscrit</t>
        </is>
      </c>
      <c r="N312" s="21" t="inlineStr"/>
      <c r="O312" s="21" t="inlineStr">
        <is>
          <t>import</t>
        </is>
      </c>
    </row>
    <row r="313">
      <c r="A313" s="21" t="inlineStr">
        <is>
          <t>21</t>
        </is>
      </c>
      <c r="B313" s="21" t="inlineStr">
        <is>
          <t>76058</t>
        </is>
      </c>
      <c r="C313" s="21" t="inlineStr"/>
      <c r="D313" s="21" t="inlineStr">
        <is>
          <t>DAFIKOU</t>
        </is>
      </c>
      <c r="E313" s="21" t="inlineStr">
        <is>
          <t>NIDAANI MADI</t>
        </is>
      </c>
      <c r="F313" s="21" t="inlineStr">
        <is>
          <t>19/06/2004</t>
        </is>
      </c>
      <c r="G313" s="21" t="inlineStr">
        <is>
          <t>MTE DE WANANI - MOHELI</t>
        </is>
      </c>
      <c r="H313" s="21" t="inlineStr"/>
      <c r="I313" s="21" t="inlineStr">
        <is>
          <t>L2</t>
        </is>
      </c>
      <c r="J313" s="21" t="inlineStr">
        <is>
          <t>Soins infirmiers</t>
        </is>
      </c>
      <c r="K313" s="21" t="inlineStr"/>
      <c r="L313" s="21" t="inlineStr">
        <is>
          <t>2025-2026</t>
        </is>
      </c>
      <c r="M313" s="21" t="inlineStr">
        <is>
          <t>Inscrit</t>
        </is>
      </c>
      <c r="N313" s="21" t="inlineStr"/>
      <c r="O313" s="21" t="inlineStr">
        <is>
          <t>import</t>
        </is>
      </c>
    </row>
    <row r="314">
      <c r="A314" s="21" t="inlineStr">
        <is>
          <t>22</t>
        </is>
      </c>
      <c r="B314" s="21" t="inlineStr">
        <is>
          <t>71506</t>
        </is>
      </c>
      <c r="C314" s="21" t="inlineStr"/>
      <c r="D314" s="21" t="inlineStr">
        <is>
          <t>DHOIFAENTI</t>
        </is>
      </c>
      <c r="E314" s="21" t="inlineStr">
        <is>
          <t>CAMAL ABDALLAH</t>
        </is>
      </c>
      <c r="F314" s="21" t="inlineStr">
        <is>
          <t>11/01/2002</t>
        </is>
      </c>
      <c r="G314" s="21" t="inlineStr">
        <is>
          <t>MAGNASSINI - ANJOUAN</t>
        </is>
      </c>
      <c r="H314" s="21" t="inlineStr"/>
      <c r="I314" s="21" t="inlineStr">
        <is>
          <t>L2</t>
        </is>
      </c>
      <c r="J314" s="21" t="inlineStr">
        <is>
          <t>Soins infirmiers</t>
        </is>
      </c>
      <c r="K314" s="21" t="inlineStr"/>
      <c r="L314" s="21" t="inlineStr">
        <is>
          <t>2025-2026</t>
        </is>
      </c>
      <c r="M314" s="21" t="inlineStr">
        <is>
          <t>Inscrit</t>
        </is>
      </c>
      <c r="N314" s="21" t="inlineStr"/>
      <c r="O314" s="21" t="inlineStr">
        <is>
          <t>import</t>
        </is>
      </c>
    </row>
    <row r="315">
      <c r="A315" s="21" t="inlineStr">
        <is>
          <t>23</t>
        </is>
      </c>
      <c r="B315" s="21" t="inlineStr">
        <is>
          <t>73531</t>
        </is>
      </c>
      <c r="C315" s="21" t="inlineStr"/>
      <c r="D315" s="21" t="inlineStr">
        <is>
          <t>DJAE</t>
        </is>
      </c>
      <c r="E315" s="21" t="inlineStr">
        <is>
          <t>HIKMAT KABASSE</t>
        </is>
      </c>
      <c r="F315" s="21" t="inlineStr">
        <is>
          <t>06/04/2006</t>
        </is>
      </c>
      <c r="G315" s="21" t="inlineStr">
        <is>
          <t>MTE DE MORONI</t>
        </is>
      </c>
      <c r="H315" s="21" t="inlineStr"/>
      <c r="I315" s="21" t="inlineStr">
        <is>
          <t>L2</t>
        </is>
      </c>
      <c r="J315" s="21" t="inlineStr">
        <is>
          <t>Soins infirmiers</t>
        </is>
      </c>
      <c r="K315" s="21" t="inlineStr"/>
      <c r="L315" s="21" t="inlineStr">
        <is>
          <t>2025-2026</t>
        </is>
      </c>
      <c r="M315" s="21" t="inlineStr">
        <is>
          <t>Inscrit</t>
        </is>
      </c>
      <c r="N315" s="21" t="inlineStr"/>
      <c r="O315" s="21" t="inlineStr">
        <is>
          <t>import</t>
        </is>
      </c>
    </row>
    <row r="316">
      <c r="A316" s="21" t="inlineStr">
        <is>
          <t>24</t>
        </is>
      </c>
      <c r="B316" s="21" t="inlineStr">
        <is>
          <t>69877</t>
        </is>
      </c>
      <c r="C316" s="21" t="inlineStr"/>
      <c r="D316" s="21" t="inlineStr">
        <is>
          <t>DJAWADE</t>
        </is>
      </c>
      <c r="E316" s="21" t="inlineStr">
        <is>
          <t>AHAMADA MSOILI</t>
        </is>
      </c>
      <c r="F316" s="21" t="inlineStr">
        <is>
          <t>03/11/2004</t>
        </is>
      </c>
      <c r="G316" s="21" t="inlineStr">
        <is>
          <t>MTE DE MORONI</t>
        </is>
      </c>
      <c r="H316" s="21" t="inlineStr"/>
      <c r="I316" s="21" t="inlineStr">
        <is>
          <t>L2</t>
        </is>
      </c>
      <c r="J316" s="21" t="inlineStr">
        <is>
          <t>Soins infirmiers</t>
        </is>
      </c>
      <c r="K316" s="21" t="inlineStr"/>
      <c r="L316" s="21" t="inlineStr">
        <is>
          <t>2025-2026</t>
        </is>
      </c>
      <c r="M316" s="21" t="inlineStr">
        <is>
          <t>Inscrit</t>
        </is>
      </c>
      <c r="N316" s="21" t="inlineStr"/>
      <c r="O316" s="21" t="inlineStr">
        <is>
          <t>import</t>
        </is>
      </c>
    </row>
    <row r="317">
      <c r="A317" s="21" t="inlineStr">
        <is>
          <t>25</t>
        </is>
      </c>
      <c r="B317" s="21" t="inlineStr">
        <is>
          <t>74087</t>
        </is>
      </c>
      <c r="C317" s="21" t="inlineStr"/>
      <c r="D317" s="21" t="inlineStr">
        <is>
          <t>DJOUMOI</t>
        </is>
      </c>
      <c r="E317" s="21" t="inlineStr">
        <is>
          <t>ASBAHATI</t>
        </is>
      </c>
      <c r="F317" s="21" t="inlineStr">
        <is>
          <t>17/09/2003</t>
        </is>
      </c>
      <c r="G317" s="21" t="inlineStr">
        <is>
          <t>DIMADJOU HAMAHAMET</t>
        </is>
      </c>
      <c r="H317" s="21" t="inlineStr"/>
      <c r="I317" s="21" t="inlineStr">
        <is>
          <t>L2</t>
        </is>
      </c>
      <c r="J317" s="21" t="inlineStr">
        <is>
          <t>Soins infirmiers</t>
        </is>
      </c>
      <c r="K317" s="21" t="inlineStr"/>
      <c r="L317" s="21" t="inlineStr">
        <is>
          <t>2025-2026</t>
        </is>
      </c>
      <c r="M317" s="21" t="inlineStr">
        <is>
          <t>Inscrit</t>
        </is>
      </c>
      <c r="N317" s="21" t="inlineStr"/>
      <c r="O317" s="21" t="inlineStr">
        <is>
          <t>import</t>
        </is>
      </c>
    </row>
    <row r="318">
      <c r="A318" s="21" t="inlineStr">
        <is>
          <t>26</t>
        </is>
      </c>
      <c r="B318" s="21" t="inlineStr">
        <is>
          <t>74379</t>
        </is>
      </c>
      <c r="C318" s="21" t="inlineStr"/>
      <c r="D318" s="21" t="inlineStr">
        <is>
          <t>EL-KARIM</t>
        </is>
      </c>
      <c r="E318" s="21" t="inlineStr">
        <is>
          <t>HAMIDANE BEN ONZADE</t>
        </is>
      </c>
      <c r="F318" s="21" t="inlineStr">
        <is>
          <t>07/05/2006</t>
        </is>
      </c>
      <c r="G318" s="21" t="inlineStr">
        <is>
          <t>MTE DE DOMONI</t>
        </is>
      </c>
      <c r="H318" s="21" t="inlineStr"/>
      <c r="I318" s="21" t="inlineStr">
        <is>
          <t>L2</t>
        </is>
      </c>
      <c r="J318" s="21" t="inlineStr">
        <is>
          <t>Soins infirmiers</t>
        </is>
      </c>
      <c r="K318" s="21" t="inlineStr"/>
      <c r="L318" s="21" t="inlineStr">
        <is>
          <t>2025-2026</t>
        </is>
      </c>
      <c r="M318" s="21" t="inlineStr">
        <is>
          <t>Inscrit</t>
        </is>
      </c>
      <c r="N318" s="21" t="inlineStr"/>
      <c r="O318" s="21" t="inlineStr">
        <is>
          <t>import</t>
        </is>
      </c>
    </row>
    <row r="319">
      <c r="A319" s="21" t="inlineStr">
        <is>
          <t>27</t>
        </is>
      </c>
      <c r="B319" s="21" t="inlineStr">
        <is>
          <t>70476</t>
        </is>
      </c>
      <c r="C319" s="21" t="inlineStr"/>
      <c r="D319" s="21" t="inlineStr">
        <is>
          <t>FAIZA</t>
        </is>
      </c>
      <c r="E319" s="21" t="inlineStr">
        <is>
          <t>SAINDOU</t>
        </is>
      </c>
      <c r="F319" s="21" t="inlineStr">
        <is>
          <t>09/08/2004</t>
        </is>
      </c>
      <c r="G319" s="21" t="inlineStr">
        <is>
          <t>MTE DE HOMBO</t>
        </is>
      </c>
      <c r="H319" s="21" t="inlineStr"/>
      <c r="I319" s="21" t="inlineStr">
        <is>
          <t>L2</t>
        </is>
      </c>
      <c r="J319" s="21" t="inlineStr">
        <is>
          <t>Soins infirmiers</t>
        </is>
      </c>
      <c r="K319" s="21" t="inlineStr"/>
      <c r="L319" s="21" t="inlineStr">
        <is>
          <t>2025-2026</t>
        </is>
      </c>
      <c r="M319" s="21" t="inlineStr">
        <is>
          <t>Inscrit</t>
        </is>
      </c>
      <c r="N319" s="21" t="inlineStr"/>
      <c r="O319" s="21" t="inlineStr">
        <is>
          <t>import</t>
        </is>
      </c>
    </row>
    <row r="320">
      <c r="A320" s="21" t="inlineStr">
        <is>
          <t>28</t>
        </is>
      </c>
      <c r="B320" s="21" t="inlineStr">
        <is>
          <t>68405</t>
        </is>
      </c>
      <c r="C320" s="21" t="inlineStr"/>
      <c r="D320" s="21" t="inlineStr">
        <is>
          <t>FAOULA</t>
        </is>
      </c>
      <c r="E320" s="21" t="inlineStr">
        <is>
          <t>AHMED</t>
        </is>
      </c>
      <c r="F320" s="21" t="inlineStr">
        <is>
          <t>30/05/2006</t>
        </is>
      </c>
      <c r="G320" s="21" t="inlineStr">
        <is>
          <t>BOUENINDI</t>
        </is>
      </c>
      <c r="H320" s="21" t="inlineStr"/>
      <c r="I320" s="21" t="inlineStr">
        <is>
          <t>L2</t>
        </is>
      </c>
      <c r="J320" s="21" t="inlineStr">
        <is>
          <t>Soins infirmiers</t>
        </is>
      </c>
      <c r="K320" s="21" t="inlineStr"/>
      <c r="L320" s="21" t="inlineStr">
        <is>
          <t>2025-2026</t>
        </is>
      </c>
      <c r="M320" s="21" t="inlineStr">
        <is>
          <t>Inscrit</t>
        </is>
      </c>
      <c r="N320" s="21" t="inlineStr"/>
      <c r="O320" s="21" t="inlineStr">
        <is>
          <t>import</t>
        </is>
      </c>
    </row>
    <row r="321">
      <c r="A321" s="21" t="inlineStr">
        <is>
          <t>29</t>
        </is>
      </c>
      <c r="B321" s="21" t="inlineStr">
        <is>
          <t>75908</t>
        </is>
      </c>
      <c r="C321" s="21" t="inlineStr"/>
      <c r="D321" s="21" t="inlineStr">
        <is>
          <t>FAOURATI</t>
        </is>
      </c>
      <c r="E321" s="21" t="inlineStr">
        <is>
          <t>HASSANI SOULE</t>
        </is>
      </c>
      <c r="F321" s="21" t="inlineStr">
        <is>
          <t>07/03/2003</t>
        </is>
      </c>
      <c r="G321" s="21" t="inlineStr">
        <is>
          <t>MORONI DJOMANI</t>
        </is>
      </c>
      <c r="H321" s="21" t="inlineStr"/>
      <c r="I321" s="21" t="inlineStr">
        <is>
          <t>L2</t>
        </is>
      </c>
      <c r="J321" s="21" t="inlineStr">
        <is>
          <t>Soins infirmiers</t>
        </is>
      </c>
      <c r="K321" s="21" t="inlineStr"/>
      <c r="L321" s="21" t="inlineStr">
        <is>
          <t>2025-2026</t>
        </is>
      </c>
      <c r="M321" s="21" t="inlineStr">
        <is>
          <t>Inscrit</t>
        </is>
      </c>
      <c r="N321" s="21" t="inlineStr"/>
      <c r="O321" s="21" t="inlineStr">
        <is>
          <t>import</t>
        </is>
      </c>
    </row>
    <row r="322">
      <c r="A322" s="21" t="inlineStr">
        <is>
          <t>30</t>
        </is>
      </c>
      <c r="B322" s="21" t="inlineStr">
        <is>
          <t>72746</t>
        </is>
      </c>
      <c r="C322" s="21" t="inlineStr"/>
      <c r="D322" s="21" t="inlineStr">
        <is>
          <t>FARCHA</t>
        </is>
      </c>
      <c r="E322" s="21" t="inlineStr">
        <is>
          <t>EL-HAD</t>
        </is>
      </c>
      <c r="F322" s="21" t="inlineStr">
        <is>
          <t>30/12/2005</t>
        </is>
      </c>
      <c r="G322" s="21" t="inlineStr">
        <is>
          <t>MTE DE SIMA - ANJOUAN</t>
        </is>
      </c>
      <c r="H322" s="21" t="inlineStr"/>
      <c r="I322" s="21" t="inlineStr">
        <is>
          <t>L2</t>
        </is>
      </c>
      <c r="J322" s="21" t="inlineStr">
        <is>
          <t>Soins infirmiers</t>
        </is>
      </c>
      <c r="K322" s="21" t="inlineStr"/>
      <c r="L322" s="21" t="inlineStr">
        <is>
          <t>2025-2026</t>
        </is>
      </c>
      <c r="M322" s="21" t="inlineStr">
        <is>
          <t>Inscrit</t>
        </is>
      </c>
      <c r="N322" s="21" t="inlineStr"/>
      <c r="O322" s="21" t="inlineStr">
        <is>
          <t>import</t>
        </is>
      </c>
    </row>
    <row r="323">
      <c r="A323" s="21" t="inlineStr">
        <is>
          <t>31</t>
        </is>
      </c>
      <c r="B323" s="21" t="inlineStr">
        <is>
          <t>67206</t>
        </is>
      </c>
      <c r="C323" s="21" t="inlineStr"/>
      <c r="D323" s="21" t="inlineStr">
        <is>
          <t>FARSIYA</t>
        </is>
      </c>
      <c r="E323" s="21" t="inlineStr">
        <is>
          <t>SAID ALI</t>
        </is>
      </c>
      <c r="F323" s="21" t="inlineStr">
        <is>
          <t>02/09/2003</t>
        </is>
      </c>
      <c r="G323" s="21" t="inlineStr">
        <is>
          <t>MTE DE M'REMANI _ANJOUAN</t>
        </is>
      </c>
      <c r="H323" s="21" t="inlineStr"/>
      <c r="I323" s="21" t="inlineStr">
        <is>
          <t>L2</t>
        </is>
      </c>
      <c r="J323" s="21" t="inlineStr">
        <is>
          <t>Soins infirmiers</t>
        </is>
      </c>
      <c r="K323" s="21" t="inlineStr"/>
      <c r="L323" s="21" t="inlineStr">
        <is>
          <t>2025-2026</t>
        </is>
      </c>
      <c r="M323" s="21" t="inlineStr">
        <is>
          <t>Inscrit</t>
        </is>
      </c>
      <c r="N323" s="21" t="inlineStr"/>
      <c r="O323" s="21" t="inlineStr">
        <is>
          <t>import</t>
        </is>
      </c>
    </row>
    <row r="324">
      <c r="A324" s="21" t="inlineStr">
        <is>
          <t>32</t>
        </is>
      </c>
      <c r="B324" s="21" t="inlineStr">
        <is>
          <t>66348</t>
        </is>
      </c>
      <c r="C324" s="21" t="inlineStr"/>
      <c r="D324" s="21" t="inlineStr">
        <is>
          <t>FARZATI</t>
        </is>
      </c>
      <c r="E324" s="21" t="inlineStr">
        <is>
          <t>MMADI</t>
        </is>
      </c>
      <c r="F324" s="21" t="inlineStr">
        <is>
          <t>06/01/2002</t>
        </is>
      </c>
      <c r="G324" s="21" t="inlineStr">
        <is>
          <t>BANGOI - HAMBOU</t>
        </is>
      </c>
      <c r="H324" s="21" t="inlineStr"/>
      <c r="I324" s="21" t="inlineStr">
        <is>
          <t>L2</t>
        </is>
      </c>
      <c r="J324" s="21" t="inlineStr">
        <is>
          <t>Soins infirmiers</t>
        </is>
      </c>
      <c r="K324" s="21" t="inlineStr"/>
      <c r="L324" s="21" t="inlineStr">
        <is>
          <t>2025-2026</t>
        </is>
      </c>
      <c r="M324" s="21" t="inlineStr">
        <is>
          <t>Inscrit</t>
        </is>
      </c>
      <c r="N324" s="21" t="inlineStr"/>
      <c r="O324" s="21" t="inlineStr">
        <is>
          <t>import</t>
        </is>
      </c>
    </row>
    <row r="325">
      <c r="A325" s="21" t="inlineStr">
        <is>
          <t>33</t>
        </is>
      </c>
      <c r="B325" s="21" t="inlineStr">
        <is>
          <t>67207</t>
        </is>
      </c>
      <c r="C325" s="21" t="inlineStr"/>
      <c r="D325" s="21" t="inlineStr">
        <is>
          <t>FATIHIYA</t>
        </is>
      </c>
      <c r="E325" s="21" t="inlineStr">
        <is>
          <t>SAÏD ALI</t>
        </is>
      </c>
      <c r="F325" s="21" t="inlineStr">
        <is>
          <t>04/04/2002</t>
        </is>
      </c>
      <c r="G325" s="21" t="inlineStr">
        <is>
          <t>MTE DE M'REMANI ANJOUAN</t>
        </is>
      </c>
      <c r="H325" s="21" t="inlineStr"/>
      <c r="I325" s="21" t="inlineStr">
        <is>
          <t>L2</t>
        </is>
      </c>
      <c r="J325" s="21" t="inlineStr">
        <is>
          <t>Soins infirmiers</t>
        </is>
      </c>
      <c r="K325" s="21" t="inlineStr"/>
      <c r="L325" s="21" t="inlineStr">
        <is>
          <t>2025-2026</t>
        </is>
      </c>
      <c r="M325" s="21" t="inlineStr">
        <is>
          <t>Inscrit</t>
        </is>
      </c>
      <c r="N325" s="21" t="inlineStr"/>
      <c r="O325" s="21" t="inlineStr">
        <is>
          <t>import</t>
        </is>
      </c>
    </row>
    <row r="326">
      <c r="A326" s="21" t="inlineStr">
        <is>
          <t>34</t>
        </is>
      </c>
      <c r="B326" s="21" t="inlineStr">
        <is>
          <t>66827</t>
        </is>
      </c>
      <c r="C326" s="21" t="inlineStr"/>
      <c r="D326" s="21" t="inlineStr">
        <is>
          <t>FATOUNIYA</t>
        </is>
      </c>
      <c r="E326" s="21" t="inlineStr">
        <is>
          <t>ABDOU BOUDRA</t>
        </is>
      </c>
      <c r="F326" s="21" t="inlineStr">
        <is>
          <t>03/07/2003</t>
        </is>
      </c>
      <c r="G326" s="21" t="inlineStr">
        <is>
          <t>BANDRA-OUPEPO - ANJOUAN</t>
        </is>
      </c>
      <c r="H326" s="21" t="inlineStr"/>
      <c r="I326" s="21" t="inlineStr">
        <is>
          <t>L2</t>
        </is>
      </c>
      <c r="J326" s="21" t="inlineStr">
        <is>
          <t>Soins infirmiers</t>
        </is>
      </c>
      <c r="K326" s="21" t="inlineStr"/>
      <c r="L326" s="21" t="inlineStr">
        <is>
          <t>2025-2026</t>
        </is>
      </c>
      <c r="M326" s="21" t="inlineStr">
        <is>
          <t>Inscrit</t>
        </is>
      </c>
      <c r="N326" s="21" t="inlineStr"/>
      <c r="O326" s="21" t="inlineStr">
        <is>
          <t>import</t>
        </is>
      </c>
    </row>
    <row r="327">
      <c r="A327" s="21" t="inlineStr">
        <is>
          <t>35</t>
        </is>
      </c>
      <c r="B327" s="21" t="inlineStr">
        <is>
          <t>52729</t>
        </is>
      </c>
      <c r="C327" s="21" t="inlineStr"/>
      <c r="D327" s="21" t="inlineStr">
        <is>
          <t>HADIDJA</t>
        </is>
      </c>
      <c r="E327" s="21" t="inlineStr">
        <is>
          <t>MACHABABI</t>
        </is>
      </c>
      <c r="F327" s="21" t="inlineStr">
        <is>
          <t>02/12/1998</t>
        </is>
      </c>
      <c r="G327" s="21" t="inlineStr">
        <is>
          <t>MALE BADJINI EST</t>
        </is>
      </c>
      <c r="H327" s="21" t="inlineStr"/>
      <c r="I327" s="21" t="inlineStr">
        <is>
          <t>L2</t>
        </is>
      </c>
      <c r="J327" s="21" t="inlineStr">
        <is>
          <t>Soins infirmiers</t>
        </is>
      </c>
      <c r="K327" s="21" t="inlineStr"/>
      <c r="L327" s="21" t="inlineStr">
        <is>
          <t>2025-2026</t>
        </is>
      </c>
      <c r="M327" s="21" t="inlineStr">
        <is>
          <t>Inscrit</t>
        </is>
      </c>
      <c r="N327" s="21" t="inlineStr"/>
      <c r="O327" s="21" t="inlineStr">
        <is>
          <t>import</t>
        </is>
      </c>
    </row>
    <row r="328">
      <c r="A328" s="21" t="inlineStr">
        <is>
          <t>36</t>
        </is>
      </c>
      <c r="B328" s="21" t="inlineStr">
        <is>
          <t>70772</t>
        </is>
      </c>
      <c r="C328" s="21" t="inlineStr"/>
      <c r="D328" s="21" t="inlineStr">
        <is>
          <t>HAFIFAT</t>
        </is>
      </c>
      <c r="E328" s="21" t="inlineStr">
        <is>
          <t>ASSANI</t>
        </is>
      </c>
      <c r="F328" s="21" t="inlineStr">
        <is>
          <t>28/01/2004</t>
        </is>
      </c>
      <c r="G328" s="21" t="inlineStr">
        <is>
          <t>ONGOJOU ANJOUAN</t>
        </is>
      </c>
      <c r="H328" s="21" t="inlineStr"/>
      <c r="I328" s="21" t="inlineStr">
        <is>
          <t>L2</t>
        </is>
      </c>
      <c r="J328" s="21" t="inlineStr">
        <is>
          <t>Soins infirmiers</t>
        </is>
      </c>
      <c r="K328" s="21" t="inlineStr"/>
      <c r="L328" s="21" t="inlineStr">
        <is>
          <t>2025-2026</t>
        </is>
      </c>
      <c r="M328" s="21" t="inlineStr">
        <is>
          <t>Inscrit</t>
        </is>
      </c>
      <c r="N328" s="21" t="inlineStr"/>
      <c r="O328" s="21" t="inlineStr">
        <is>
          <t>import</t>
        </is>
      </c>
    </row>
    <row r="329">
      <c r="A329" s="21" t="inlineStr">
        <is>
          <t>37</t>
        </is>
      </c>
      <c r="B329" s="21" t="inlineStr">
        <is>
          <t>64776</t>
        </is>
      </c>
      <c r="C329" s="21" t="inlineStr"/>
      <c r="D329" s="21" t="inlineStr">
        <is>
          <t>HAMIDA</t>
        </is>
      </c>
      <c r="E329" s="21" t="inlineStr">
        <is>
          <t>MAHAMOUD</t>
        </is>
      </c>
      <c r="F329" s="21" t="inlineStr">
        <is>
          <t>13/04/2000</t>
        </is>
      </c>
      <c r="G329" s="21" t="inlineStr">
        <is>
          <t>MREMANI ANJOUAN</t>
        </is>
      </c>
      <c r="H329" s="21" t="inlineStr"/>
      <c r="I329" s="21" t="inlineStr">
        <is>
          <t>L2</t>
        </is>
      </c>
      <c r="J329" s="21" t="inlineStr">
        <is>
          <t>Soins infirmiers</t>
        </is>
      </c>
      <c r="K329" s="21" t="inlineStr"/>
      <c r="L329" s="21" t="inlineStr">
        <is>
          <t>2025-2026</t>
        </is>
      </c>
      <c r="M329" s="21" t="inlineStr">
        <is>
          <t>Inscrit</t>
        </is>
      </c>
      <c r="N329" s="21" t="inlineStr"/>
      <c r="O329" s="21" t="inlineStr">
        <is>
          <t>import</t>
        </is>
      </c>
    </row>
    <row r="330">
      <c r="A330" s="21" t="inlineStr">
        <is>
          <t>38</t>
        </is>
      </c>
      <c r="B330" s="21" t="inlineStr">
        <is>
          <t>69392</t>
        </is>
      </c>
      <c r="C330" s="21" t="inlineStr"/>
      <c r="D330" s="21" t="inlineStr">
        <is>
          <t>HISHMAT</t>
        </is>
      </c>
      <c r="E330" s="21" t="inlineStr">
        <is>
          <t>AHMAD ABOUDOU</t>
        </is>
      </c>
      <c r="F330" s="21" t="inlineStr">
        <is>
          <t>23/01/2004</t>
        </is>
      </c>
      <c r="G330" s="21" t="inlineStr">
        <is>
          <t>MTE DE DOMONI</t>
        </is>
      </c>
      <c r="H330" s="21" t="inlineStr"/>
      <c r="I330" s="21" t="inlineStr">
        <is>
          <t>L2</t>
        </is>
      </c>
      <c r="J330" s="21" t="inlineStr">
        <is>
          <t>Soins infirmiers</t>
        </is>
      </c>
      <c r="K330" s="21" t="inlineStr"/>
      <c r="L330" s="21" t="inlineStr">
        <is>
          <t>2025-2026</t>
        </is>
      </c>
      <c r="M330" s="21" t="inlineStr">
        <is>
          <t>Inscrit</t>
        </is>
      </c>
      <c r="N330" s="21" t="inlineStr"/>
      <c r="O330" s="21" t="inlineStr">
        <is>
          <t>import</t>
        </is>
      </c>
    </row>
    <row r="331">
      <c r="A331" s="21" t="inlineStr">
        <is>
          <t>39</t>
        </is>
      </c>
      <c r="B331" s="21" t="inlineStr">
        <is>
          <t>69044</t>
        </is>
      </c>
      <c r="C331" s="21" t="inlineStr"/>
      <c r="D331" s="21" t="inlineStr">
        <is>
          <t>HOUDHOYFATI</t>
        </is>
      </c>
      <c r="E331" s="21" t="inlineStr">
        <is>
          <t>AHAMED HIFADHUI</t>
        </is>
      </c>
      <c r="F331" s="21" t="inlineStr">
        <is>
          <t>10/08/2003</t>
        </is>
      </c>
      <c r="G331" s="21" t="inlineStr">
        <is>
          <t>MAGNASSINI</t>
        </is>
      </c>
      <c r="H331" s="21" t="inlineStr"/>
      <c r="I331" s="21" t="inlineStr">
        <is>
          <t>L2</t>
        </is>
      </c>
      <c r="J331" s="21" t="inlineStr">
        <is>
          <t>Soins infirmiers</t>
        </is>
      </c>
      <c r="K331" s="21" t="inlineStr"/>
      <c r="L331" s="21" t="inlineStr">
        <is>
          <t>2025-2026</t>
        </is>
      </c>
      <c r="M331" s="21" t="inlineStr">
        <is>
          <t>Inscrit</t>
        </is>
      </c>
      <c r="N331" s="21" t="inlineStr"/>
      <c r="O331" s="21" t="inlineStr">
        <is>
          <t>import</t>
        </is>
      </c>
    </row>
    <row r="332">
      <c r="A332" s="21" t="inlineStr">
        <is>
          <t>40</t>
        </is>
      </c>
      <c r="B332" s="21" t="inlineStr">
        <is>
          <t>65934</t>
        </is>
      </c>
      <c r="C332" s="21" t="inlineStr"/>
      <c r="D332" s="21" t="inlineStr">
        <is>
          <t>HOUSNI MOUBARAKA</t>
        </is>
      </c>
      <c r="E332" s="21" t="inlineStr">
        <is>
          <t>SUDIKY LAILAHY</t>
        </is>
      </c>
      <c r="F332" s="21" t="inlineStr">
        <is>
          <t>02/04/2002</t>
        </is>
      </c>
      <c r="G332" s="21" t="inlineStr">
        <is>
          <t>MATERNITE DE FOMBONI MOHELI</t>
        </is>
      </c>
      <c r="H332" s="21" t="inlineStr"/>
      <c r="I332" s="21" t="inlineStr">
        <is>
          <t>L2</t>
        </is>
      </c>
      <c r="J332" s="21" t="inlineStr">
        <is>
          <t>Soins infirmiers</t>
        </is>
      </c>
      <c r="K332" s="21" t="inlineStr"/>
      <c r="L332" s="21" t="inlineStr">
        <is>
          <t>2025-2026</t>
        </is>
      </c>
      <c r="M332" s="21" t="inlineStr">
        <is>
          <t>Inscrit</t>
        </is>
      </c>
      <c r="N332" s="21" t="inlineStr"/>
      <c r="O332" s="21" t="inlineStr">
        <is>
          <t>import</t>
        </is>
      </c>
    </row>
    <row r="333">
      <c r="A333" s="21" t="inlineStr">
        <is>
          <t>41</t>
        </is>
      </c>
      <c r="B333" s="21" t="inlineStr">
        <is>
          <t>76452</t>
        </is>
      </c>
      <c r="C333" s="21" t="inlineStr"/>
      <c r="D333" s="21" t="inlineStr">
        <is>
          <t>IDJABOU</t>
        </is>
      </c>
      <c r="E333" s="21" t="inlineStr">
        <is>
          <t>DAYANI</t>
        </is>
      </c>
      <c r="F333" s="21" t="inlineStr">
        <is>
          <t>30/08/2002</t>
        </is>
      </c>
      <c r="G333" s="21" t="inlineStr">
        <is>
          <t>MILEMBENI ITSANDRA</t>
        </is>
      </c>
      <c r="H333" s="21" t="inlineStr"/>
      <c r="I333" s="21" t="inlineStr">
        <is>
          <t>L2</t>
        </is>
      </c>
      <c r="J333" s="21" t="inlineStr">
        <is>
          <t>Soins infirmiers</t>
        </is>
      </c>
      <c r="K333" s="21" t="inlineStr"/>
      <c r="L333" s="21" t="inlineStr">
        <is>
          <t>2025-2026</t>
        </is>
      </c>
      <c r="M333" s="21" t="inlineStr">
        <is>
          <t>Inscrit</t>
        </is>
      </c>
      <c r="N333" s="21" t="inlineStr"/>
      <c r="O333" s="21" t="inlineStr">
        <is>
          <t>import</t>
        </is>
      </c>
    </row>
    <row r="334">
      <c r="A334" s="21" t="inlineStr">
        <is>
          <t>42</t>
        </is>
      </c>
      <c r="B334" s="21" t="inlineStr">
        <is>
          <t>70186</t>
        </is>
      </c>
      <c r="C334" s="21" t="inlineStr"/>
      <c r="D334" s="21" t="inlineStr">
        <is>
          <t>KORIKO GANI</t>
        </is>
      </c>
      <c r="E334" s="21" t="inlineStr">
        <is>
          <t>ARISSOU</t>
        </is>
      </c>
      <c r="F334" s="21" t="inlineStr">
        <is>
          <t>1997-12-31</t>
        </is>
      </c>
      <c r="G334" s="21" t="inlineStr">
        <is>
          <t>FAZAO</t>
        </is>
      </c>
      <c r="H334" s="21" t="inlineStr"/>
      <c r="I334" s="21" t="inlineStr">
        <is>
          <t>L2</t>
        </is>
      </c>
      <c r="J334" s="21" t="inlineStr">
        <is>
          <t>Soins infirmiers</t>
        </is>
      </c>
      <c r="K334" s="21" t="inlineStr"/>
      <c r="L334" s="21" t="inlineStr">
        <is>
          <t>2025-2026</t>
        </is>
      </c>
      <c r="M334" s="21" t="inlineStr">
        <is>
          <t>Inscrit</t>
        </is>
      </c>
      <c r="N334" s="21" t="inlineStr"/>
      <c r="O334" s="21" t="inlineStr">
        <is>
          <t>import</t>
        </is>
      </c>
    </row>
    <row r="335">
      <c r="A335" s="21" t="inlineStr">
        <is>
          <t>43</t>
        </is>
      </c>
      <c r="B335" s="21" t="inlineStr">
        <is>
          <t>75778</t>
        </is>
      </c>
      <c r="C335" s="21" t="inlineStr"/>
      <c r="D335" s="21" t="inlineStr">
        <is>
          <t>KOUDOUSSIA</t>
        </is>
      </c>
      <c r="E335" s="21" t="inlineStr">
        <is>
          <t>ALI</t>
        </is>
      </c>
      <c r="F335" s="21" t="inlineStr">
        <is>
          <t>29/03/2005</t>
        </is>
      </c>
      <c r="G335" s="21" t="inlineStr">
        <is>
          <t>MTE DE MORONI</t>
        </is>
      </c>
      <c r="H335" s="21" t="inlineStr"/>
      <c r="I335" s="21" t="inlineStr">
        <is>
          <t>L2</t>
        </is>
      </c>
      <c r="J335" s="21" t="inlineStr">
        <is>
          <t>Soins infirmiers</t>
        </is>
      </c>
      <c r="K335" s="21" t="inlineStr"/>
      <c r="L335" s="21" t="inlineStr">
        <is>
          <t>2025-2026</t>
        </is>
      </c>
      <c r="M335" s="21" t="inlineStr">
        <is>
          <t>Inscrit</t>
        </is>
      </c>
      <c r="N335" s="21" t="inlineStr"/>
      <c r="O335" s="21" t="inlineStr">
        <is>
          <t>import</t>
        </is>
      </c>
    </row>
    <row r="336">
      <c r="A336" s="21" t="inlineStr">
        <is>
          <t>44</t>
        </is>
      </c>
      <c r="B336" s="21" t="inlineStr">
        <is>
          <t>74550</t>
        </is>
      </c>
      <c r="C336" s="21" t="inlineStr"/>
      <c r="D336" s="21" t="inlineStr">
        <is>
          <t>KOUSSOIY</t>
        </is>
      </c>
      <c r="E336" s="21" t="inlineStr">
        <is>
          <t>CHAKIR CHEIKH</t>
        </is>
      </c>
      <c r="F336" s="21" t="inlineStr">
        <is>
          <t>12/02/2004</t>
        </is>
      </c>
      <c r="G336" s="21" t="inlineStr">
        <is>
          <t>HANTSNDZI MBOINKOU</t>
        </is>
      </c>
      <c r="H336" s="21" t="inlineStr"/>
      <c r="I336" s="21" t="inlineStr">
        <is>
          <t>L2</t>
        </is>
      </c>
      <c r="J336" s="21" t="inlineStr">
        <is>
          <t>Soins infirmiers</t>
        </is>
      </c>
      <c r="K336" s="21" t="inlineStr"/>
      <c r="L336" s="21" t="inlineStr">
        <is>
          <t>2025-2026</t>
        </is>
      </c>
      <c r="M336" s="21" t="inlineStr">
        <is>
          <t>Inscrit</t>
        </is>
      </c>
      <c r="N336" s="21" t="inlineStr"/>
      <c r="O336" s="21" t="inlineStr">
        <is>
          <t>import</t>
        </is>
      </c>
    </row>
    <row r="337">
      <c r="A337" s="21" t="inlineStr">
        <is>
          <t>45</t>
        </is>
      </c>
      <c r="B337" s="21" t="inlineStr">
        <is>
          <t>69692</t>
        </is>
      </c>
      <c r="C337" s="21" t="inlineStr"/>
      <c r="D337" s="21" t="inlineStr">
        <is>
          <t>LAYINIAT</t>
        </is>
      </c>
      <c r="E337" s="21" t="inlineStr">
        <is>
          <t>ANFOUDDINE</t>
        </is>
      </c>
      <c r="F337" s="21" t="inlineStr">
        <is>
          <t>21/12/2004</t>
        </is>
      </c>
      <c r="G337" s="21" t="inlineStr">
        <is>
          <t>MTE DE M'REMANI</t>
        </is>
      </c>
      <c r="H337" s="21" t="inlineStr"/>
      <c r="I337" s="21" t="inlineStr">
        <is>
          <t>L2</t>
        </is>
      </c>
      <c r="J337" s="21" t="inlineStr">
        <is>
          <t>Soins infirmiers</t>
        </is>
      </c>
      <c r="K337" s="21" t="inlineStr"/>
      <c r="L337" s="21" t="inlineStr">
        <is>
          <t>2025-2026</t>
        </is>
      </c>
      <c r="M337" s="21" t="inlineStr">
        <is>
          <t>Inscrit</t>
        </is>
      </c>
      <c r="N337" s="21" t="inlineStr"/>
      <c r="O337" s="21" t="inlineStr">
        <is>
          <t>import</t>
        </is>
      </c>
    </row>
    <row r="338">
      <c r="A338" s="21" t="inlineStr">
        <is>
          <t>46</t>
        </is>
      </c>
      <c r="B338" s="21" t="inlineStr">
        <is>
          <t>74316</t>
        </is>
      </c>
      <c r="C338" s="21" t="inlineStr"/>
      <c r="D338" s="21" t="inlineStr">
        <is>
          <t>MAISSARA</t>
        </is>
      </c>
      <c r="E338" s="21" t="inlineStr">
        <is>
          <t>ENLI AHAMADI</t>
        </is>
      </c>
      <c r="F338" s="21" t="inlineStr">
        <is>
          <t>03/05/2006</t>
        </is>
      </c>
      <c r="G338" s="21" t="inlineStr">
        <is>
          <t>MTE DE MORONI</t>
        </is>
      </c>
      <c r="H338" s="21" t="inlineStr"/>
      <c r="I338" s="21" t="inlineStr">
        <is>
          <t>L2</t>
        </is>
      </c>
      <c r="J338" s="21" t="inlineStr">
        <is>
          <t>Soins infirmiers</t>
        </is>
      </c>
      <c r="K338" s="21" t="inlineStr"/>
      <c r="L338" s="21" t="inlineStr">
        <is>
          <t>2025-2026</t>
        </is>
      </c>
      <c r="M338" s="21" t="inlineStr">
        <is>
          <t>Inscrit</t>
        </is>
      </c>
      <c r="N338" s="21" t="inlineStr"/>
      <c r="O338" s="21" t="inlineStr">
        <is>
          <t>import</t>
        </is>
      </c>
    </row>
    <row r="339">
      <c r="A339" s="21" t="inlineStr">
        <is>
          <t>47</t>
        </is>
      </c>
      <c r="B339" s="21" t="inlineStr">
        <is>
          <t>73086</t>
        </is>
      </c>
      <c r="C339" s="21" t="inlineStr"/>
      <c r="D339" s="21" t="inlineStr">
        <is>
          <t>MARIAMA</t>
        </is>
      </c>
      <c r="E339" s="21" t="inlineStr">
        <is>
          <t>AHAMADI</t>
        </is>
      </c>
      <c r="F339" s="21" t="inlineStr">
        <is>
          <t>12/07/2004</t>
        </is>
      </c>
      <c r="G339" s="21" t="inlineStr">
        <is>
          <t>WALLAH II - MOHELI</t>
        </is>
      </c>
      <c r="H339" s="21" t="inlineStr"/>
      <c r="I339" s="21" t="inlineStr">
        <is>
          <t>L2</t>
        </is>
      </c>
      <c r="J339" s="21" t="inlineStr">
        <is>
          <t>Soins infirmiers</t>
        </is>
      </c>
      <c r="K339" s="21" t="inlineStr"/>
      <c r="L339" s="21" t="inlineStr">
        <is>
          <t>2025-2026</t>
        </is>
      </c>
      <c r="M339" s="21" t="inlineStr">
        <is>
          <t>Inscrit</t>
        </is>
      </c>
      <c r="N339" s="21" t="inlineStr"/>
      <c r="O339" s="21" t="inlineStr">
        <is>
          <t>import</t>
        </is>
      </c>
    </row>
    <row r="340">
      <c r="A340" s="21" t="inlineStr">
        <is>
          <t>48</t>
        </is>
      </c>
      <c r="B340" s="21" t="inlineStr">
        <is>
          <t>73461</t>
        </is>
      </c>
      <c r="C340" s="21" t="inlineStr"/>
      <c r="D340" s="21" t="inlineStr">
        <is>
          <t>MCHANGAMA</t>
        </is>
      </c>
      <c r="E340" s="21" t="inlineStr">
        <is>
          <t>AHAMADA HILMA</t>
        </is>
      </c>
      <c r="F340" s="21" t="inlineStr">
        <is>
          <t>22/12/2002</t>
        </is>
      </c>
      <c r="G340" s="21" t="inlineStr">
        <is>
          <t>OUELLAH MITSAMIOULI</t>
        </is>
      </c>
      <c r="H340" s="21" t="inlineStr"/>
      <c r="I340" s="21" t="inlineStr">
        <is>
          <t>L2</t>
        </is>
      </c>
      <c r="J340" s="21" t="inlineStr">
        <is>
          <t>Soins infirmiers</t>
        </is>
      </c>
      <c r="K340" s="21" t="inlineStr"/>
      <c r="L340" s="21" t="inlineStr">
        <is>
          <t>2025-2026</t>
        </is>
      </c>
      <c r="M340" s="21" t="inlineStr">
        <is>
          <t>Inscrit</t>
        </is>
      </c>
      <c r="N340" s="21" t="inlineStr"/>
      <c r="O340" s="21" t="inlineStr">
        <is>
          <t>import</t>
        </is>
      </c>
    </row>
    <row r="341">
      <c r="A341" s="21" t="inlineStr">
        <is>
          <t>49</t>
        </is>
      </c>
      <c r="B341" s="21" t="inlineStr">
        <is>
          <t>68686</t>
        </is>
      </c>
      <c r="C341" s="21" t="inlineStr"/>
      <c r="D341" s="21" t="inlineStr">
        <is>
          <t>MOHAMED</t>
        </is>
      </c>
      <c r="E341" s="21" t="inlineStr">
        <is>
          <t>TAKI SAID</t>
        </is>
      </c>
      <c r="F341" s="21" t="inlineStr">
        <is>
          <t>07/06/2006</t>
        </is>
      </c>
      <c r="G341" s="21" t="inlineStr">
        <is>
          <t>MTE DE FOMBONI - MOHELI</t>
        </is>
      </c>
      <c r="H341" s="21" t="inlineStr"/>
      <c r="I341" s="21" t="inlineStr">
        <is>
          <t>L2</t>
        </is>
      </c>
      <c r="J341" s="21" t="inlineStr">
        <is>
          <t>Soins infirmiers</t>
        </is>
      </c>
      <c r="K341" s="21" t="inlineStr"/>
      <c r="L341" s="21" t="inlineStr">
        <is>
          <t>2025-2026</t>
        </is>
      </c>
      <c r="M341" s="21" t="inlineStr">
        <is>
          <t>Inscrit</t>
        </is>
      </c>
      <c r="N341" s="21" t="inlineStr"/>
      <c r="O341" s="21" t="inlineStr">
        <is>
          <t>import</t>
        </is>
      </c>
    </row>
    <row r="342">
      <c r="A342" s="21" t="inlineStr">
        <is>
          <t>50</t>
        </is>
      </c>
      <c r="B342" s="21" t="inlineStr">
        <is>
          <t>66344</t>
        </is>
      </c>
      <c r="C342" s="21" t="inlineStr"/>
      <c r="D342" s="21" t="inlineStr">
        <is>
          <t>MOINA</t>
        </is>
      </c>
      <c r="E342" s="21" t="inlineStr">
        <is>
          <t>AMINA AHMED ALI</t>
        </is>
      </c>
      <c r="F342" s="21" t="inlineStr">
        <is>
          <t>14/10/2005</t>
        </is>
      </c>
      <c r="G342" s="21" t="inlineStr">
        <is>
          <t>MTE DE FOUMBOUNI</t>
        </is>
      </c>
      <c r="H342" s="21" t="inlineStr"/>
      <c r="I342" s="21" t="inlineStr">
        <is>
          <t>L2</t>
        </is>
      </c>
      <c r="J342" s="21" t="inlineStr">
        <is>
          <t>Soins infirmiers</t>
        </is>
      </c>
      <c r="K342" s="21" t="inlineStr"/>
      <c r="L342" s="21" t="inlineStr">
        <is>
          <t>2025-2026</t>
        </is>
      </c>
      <c r="M342" s="21" t="inlineStr">
        <is>
          <t>Inscrit</t>
        </is>
      </c>
      <c r="N342" s="21" t="inlineStr"/>
      <c r="O342" s="21" t="inlineStr">
        <is>
          <t>import</t>
        </is>
      </c>
    </row>
    <row r="343">
      <c r="A343" s="21" t="inlineStr">
        <is>
          <t>51</t>
        </is>
      </c>
      <c r="B343" s="21" t="inlineStr">
        <is>
          <t>65651</t>
        </is>
      </c>
      <c r="C343" s="21" t="inlineStr"/>
      <c r="D343" s="21" t="inlineStr">
        <is>
          <t>MOINA</t>
        </is>
      </c>
      <c r="E343" s="21" t="inlineStr">
        <is>
          <t>AN ICHAT ISSIMAILA</t>
        </is>
      </c>
      <c r="F343" s="21" t="inlineStr">
        <is>
          <t>26/04/2003</t>
        </is>
      </c>
      <c r="G343" s="21" t="inlineStr">
        <is>
          <t>TSINIMOICHONGO</t>
        </is>
      </c>
      <c r="H343" s="21" t="inlineStr"/>
      <c r="I343" s="21" t="inlineStr">
        <is>
          <t>L2</t>
        </is>
      </c>
      <c r="J343" s="21" t="inlineStr">
        <is>
          <t>Soins infirmiers</t>
        </is>
      </c>
      <c r="K343" s="21" t="inlineStr"/>
      <c r="L343" s="21" t="inlineStr">
        <is>
          <t>2025-2026</t>
        </is>
      </c>
      <c r="M343" s="21" t="inlineStr">
        <is>
          <t>Inscrit</t>
        </is>
      </c>
      <c r="N343" s="21" t="inlineStr"/>
      <c r="O343" s="21" t="inlineStr">
        <is>
          <t>import</t>
        </is>
      </c>
    </row>
    <row r="344">
      <c r="A344" s="21" t="inlineStr">
        <is>
          <t>52</t>
        </is>
      </c>
      <c r="B344" s="21" t="inlineStr">
        <is>
          <t>73714</t>
        </is>
      </c>
      <c r="C344" s="21" t="inlineStr"/>
      <c r="D344" s="21" t="inlineStr">
        <is>
          <t>MOINAMINA</t>
        </is>
      </c>
      <c r="E344" s="21" t="inlineStr">
        <is>
          <t>MAOULIDA</t>
        </is>
      </c>
      <c r="F344" s="21" t="inlineStr">
        <is>
          <t>10/04/2007</t>
        </is>
      </c>
      <c r="G344" s="21" t="inlineStr">
        <is>
          <t>Ã LA MATERNITÃ DE MITSAMIOULI</t>
        </is>
      </c>
      <c r="H344" s="21" t="inlineStr"/>
      <c r="I344" s="21" t="inlineStr">
        <is>
          <t>L2</t>
        </is>
      </c>
      <c r="J344" s="21" t="inlineStr">
        <is>
          <t>Soins infirmiers</t>
        </is>
      </c>
      <c r="K344" s="21" t="inlineStr"/>
      <c r="L344" s="21" t="inlineStr">
        <is>
          <t>2025-2026</t>
        </is>
      </c>
      <c r="M344" s="21" t="inlineStr">
        <is>
          <t>Inscrit</t>
        </is>
      </c>
      <c r="N344" s="21" t="inlineStr"/>
      <c r="O344" s="21" t="inlineStr">
        <is>
          <t>import</t>
        </is>
      </c>
    </row>
    <row r="345">
      <c r="A345" s="21" t="inlineStr">
        <is>
          <t>53</t>
        </is>
      </c>
      <c r="B345" s="21" t="inlineStr">
        <is>
          <t>75879</t>
        </is>
      </c>
      <c r="C345" s="21" t="inlineStr"/>
      <c r="D345" s="21" t="inlineStr">
        <is>
          <t>MOINATROULIZA</t>
        </is>
      </c>
      <c r="E345" s="21" t="inlineStr">
        <is>
          <t>ISLAM</t>
        </is>
      </c>
      <c r="F345" s="21" t="inlineStr">
        <is>
          <t>25/12/2007</t>
        </is>
      </c>
      <c r="G345" s="21" t="inlineStr">
        <is>
          <t>SONGOMANI MITSAMIOULI</t>
        </is>
      </c>
      <c r="H345" s="21" t="inlineStr"/>
      <c r="I345" s="21" t="inlineStr">
        <is>
          <t>L2</t>
        </is>
      </c>
      <c r="J345" s="21" t="inlineStr">
        <is>
          <t>Soins infirmiers</t>
        </is>
      </c>
      <c r="K345" s="21" t="inlineStr"/>
      <c r="L345" s="21" t="inlineStr">
        <is>
          <t>2025-2026</t>
        </is>
      </c>
      <c r="M345" s="21" t="inlineStr">
        <is>
          <t>Inscrit</t>
        </is>
      </c>
      <c r="N345" s="21" t="inlineStr"/>
      <c r="O345" s="21" t="inlineStr">
        <is>
          <t>import</t>
        </is>
      </c>
    </row>
    <row r="346">
      <c r="A346" s="21" t="inlineStr">
        <is>
          <t>54</t>
        </is>
      </c>
      <c r="B346" s="21" t="inlineStr">
        <is>
          <t>75874</t>
        </is>
      </c>
      <c r="C346" s="21" t="inlineStr"/>
      <c r="D346" s="21" t="inlineStr">
        <is>
          <t>MOUBINATI</t>
        </is>
      </c>
      <c r="E346" s="21" t="inlineStr">
        <is>
          <t>ABDILLAH</t>
        </is>
      </c>
      <c r="F346" s="21" t="inlineStr">
        <is>
          <t>11/06/2006</t>
        </is>
      </c>
      <c r="G346" s="21" t="inlineStr">
        <is>
          <t>MTE DE MITSAMIOULI</t>
        </is>
      </c>
      <c r="H346" s="21" t="inlineStr"/>
      <c r="I346" s="21" t="inlineStr">
        <is>
          <t>L2</t>
        </is>
      </c>
      <c r="J346" s="21" t="inlineStr">
        <is>
          <t>Soins infirmiers</t>
        </is>
      </c>
      <c r="K346" s="21" t="inlineStr"/>
      <c r="L346" s="21" t="inlineStr">
        <is>
          <t>2025-2026</t>
        </is>
      </c>
      <c r="M346" s="21" t="inlineStr">
        <is>
          <t>Inscrit</t>
        </is>
      </c>
      <c r="N346" s="21" t="inlineStr"/>
      <c r="O346" s="21" t="inlineStr">
        <is>
          <t>import</t>
        </is>
      </c>
    </row>
    <row r="347">
      <c r="A347" s="21" t="inlineStr">
        <is>
          <t>55</t>
        </is>
      </c>
      <c r="B347" s="21" t="inlineStr">
        <is>
          <t>74060</t>
        </is>
      </c>
      <c r="C347" s="21" t="inlineStr"/>
      <c r="D347" s="21" t="inlineStr">
        <is>
          <t>MOUGALLIDE</t>
        </is>
      </c>
      <c r="E347" s="21" t="inlineStr">
        <is>
          <t>ALI</t>
        </is>
      </c>
      <c r="F347" s="21" t="inlineStr">
        <is>
          <t>05/09/2004</t>
        </is>
      </c>
      <c r="G347" s="21" t="inlineStr">
        <is>
          <t>CHOMONI OICHILI</t>
        </is>
      </c>
      <c r="H347" s="21" t="inlineStr"/>
      <c r="I347" s="21" t="inlineStr">
        <is>
          <t>L2</t>
        </is>
      </c>
      <c r="J347" s="21" t="inlineStr">
        <is>
          <t>Soins infirmiers</t>
        </is>
      </c>
      <c r="K347" s="21" t="inlineStr"/>
      <c r="L347" s="21" t="inlineStr">
        <is>
          <t>2025-2026</t>
        </is>
      </c>
      <c r="M347" s="21" t="inlineStr">
        <is>
          <t>Inscrit</t>
        </is>
      </c>
      <c r="N347" s="21" t="inlineStr"/>
      <c r="O347" s="21" t="inlineStr">
        <is>
          <t>import</t>
        </is>
      </c>
    </row>
    <row r="348">
      <c r="A348" s="21" t="inlineStr">
        <is>
          <t>56</t>
        </is>
      </c>
      <c r="B348" s="21" t="inlineStr">
        <is>
          <t>73610</t>
        </is>
      </c>
      <c r="C348" s="21" t="inlineStr"/>
      <c r="D348" s="21" t="inlineStr">
        <is>
          <t>MOUHAMMAD</t>
        </is>
      </c>
      <c r="E348" s="21" t="inlineStr">
        <is>
          <t>CHAMOUSSIDINE BACAR</t>
        </is>
      </c>
      <c r="F348" s="21" t="inlineStr">
        <is>
          <t>30/06/2004</t>
        </is>
      </c>
      <c r="G348" s="21" t="inlineStr">
        <is>
          <t>MTE DE DOMONI - ANJOUAN</t>
        </is>
      </c>
      <c r="H348" s="21" t="inlineStr"/>
      <c r="I348" s="21" t="inlineStr">
        <is>
          <t>L2</t>
        </is>
      </c>
      <c r="J348" s="21" t="inlineStr">
        <is>
          <t>Soins infirmiers</t>
        </is>
      </c>
      <c r="K348" s="21" t="inlineStr"/>
      <c r="L348" s="21" t="inlineStr">
        <is>
          <t>2025-2026</t>
        </is>
      </c>
      <c r="M348" s="21" t="inlineStr">
        <is>
          <t>Inscrit</t>
        </is>
      </c>
      <c r="N348" s="21" t="inlineStr"/>
      <c r="O348" s="21" t="inlineStr">
        <is>
          <t>import</t>
        </is>
      </c>
    </row>
    <row r="349">
      <c r="A349" s="21" t="inlineStr">
        <is>
          <t>57</t>
        </is>
      </c>
      <c r="B349" s="21" t="inlineStr">
        <is>
          <t>74671</t>
        </is>
      </c>
      <c r="C349" s="21" t="inlineStr"/>
      <c r="D349" s="21" t="inlineStr">
        <is>
          <t>MOUSLIM</t>
        </is>
      </c>
      <c r="E349" s="21" t="inlineStr">
        <is>
          <t>ABDOU MRIKAOU</t>
        </is>
      </c>
      <c r="F349" s="21" t="inlineStr">
        <is>
          <t>13/08/2004</t>
        </is>
      </c>
      <c r="G349" s="21" t="inlineStr">
        <is>
          <t>MTE DE MORONI</t>
        </is>
      </c>
      <c r="H349" s="21" t="inlineStr"/>
      <c r="I349" s="21" t="inlineStr">
        <is>
          <t>L2</t>
        </is>
      </c>
      <c r="J349" s="21" t="inlineStr">
        <is>
          <t>Soins infirmiers</t>
        </is>
      </c>
      <c r="K349" s="21" t="inlineStr"/>
      <c r="L349" s="21" t="inlineStr">
        <is>
          <t>2025-2026</t>
        </is>
      </c>
      <c r="M349" s="21" t="inlineStr">
        <is>
          <t>Inscrit</t>
        </is>
      </c>
      <c r="N349" s="21" t="inlineStr"/>
      <c r="O349" s="21" t="inlineStr">
        <is>
          <t>import</t>
        </is>
      </c>
    </row>
    <row r="350">
      <c r="A350" s="21" t="inlineStr">
        <is>
          <t>58</t>
        </is>
      </c>
      <c r="B350" s="21" t="inlineStr">
        <is>
          <t>75794</t>
        </is>
      </c>
      <c r="C350" s="21" t="inlineStr"/>
      <c r="D350" s="21" t="inlineStr">
        <is>
          <t>MZEMBABA</t>
        </is>
      </c>
      <c r="E350" s="21" t="inlineStr">
        <is>
          <t>KARIM FATOUMA</t>
        </is>
      </c>
      <c r="F350" s="21" t="inlineStr">
        <is>
          <t>15/07/2005</t>
        </is>
      </c>
      <c r="G350" s="21" t="inlineStr">
        <is>
          <t>TSIDJE ITSANDRA</t>
        </is>
      </c>
      <c r="H350" s="21" t="inlineStr"/>
      <c r="I350" s="21" t="inlineStr">
        <is>
          <t>L2</t>
        </is>
      </c>
      <c r="J350" s="21" t="inlineStr">
        <is>
          <t>Soins infirmiers</t>
        </is>
      </c>
      <c r="K350" s="21" t="inlineStr"/>
      <c r="L350" s="21" t="inlineStr">
        <is>
          <t>2025-2026</t>
        </is>
      </c>
      <c r="M350" s="21" t="inlineStr">
        <is>
          <t>Inscrit</t>
        </is>
      </c>
      <c r="N350" s="21" t="inlineStr"/>
      <c r="O350" s="21" t="inlineStr">
        <is>
          <t>import</t>
        </is>
      </c>
    </row>
    <row r="351">
      <c r="A351" s="21" t="inlineStr">
        <is>
          <t>59</t>
        </is>
      </c>
      <c r="B351" s="21" t="inlineStr">
        <is>
          <t>68954</t>
        </is>
      </c>
      <c r="C351" s="21" t="inlineStr"/>
      <c r="D351" s="21" t="inlineStr">
        <is>
          <t>NACHIDA</t>
        </is>
      </c>
      <c r="E351" s="21" t="inlineStr">
        <is>
          <t>NASSUF AHAMADI</t>
        </is>
      </c>
      <c r="F351" s="21" t="inlineStr">
        <is>
          <t>15/02/2002</t>
        </is>
      </c>
      <c r="G351" s="21" t="inlineStr">
        <is>
          <t>NGANDZALE - ANJOUAN</t>
        </is>
      </c>
      <c r="H351" s="21" t="inlineStr"/>
      <c r="I351" s="21" t="inlineStr">
        <is>
          <t>L2</t>
        </is>
      </c>
      <c r="J351" s="21" t="inlineStr">
        <is>
          <t>Soins infirmiers</t>
        </is>
      </c>
      <c r="K351" s="21" t="inlineStr"/>
      <c r="L351" s="21" t="inlineStr">
        <is>
          <t>2025-2026</t>
        </is>
      </c>
      <c r="M351" s="21" t="inlineStr">
        <is>
          <t>Inscrit</t>
        </is>
      </c>
      <c r="N351" s="21" t="inlineStr"/>
      <c r="O351" s="21" t="inlineStr">
        <is>
          <t>import</t>
        </is>
      </c>
    </row>
    <row r="352">
      <c r="A352" s="21" t="inlineStr">
        <is>
          <t>60</t>
        </is>
      </c>
      <c r="B352" s="21" t="inlineStr">
        <is>
          <t>74586</t>
        </is>
      </c>
      <c r="C352" s="21" t="inlineStr"/>
      <c r="D352" s="21" t="inlineStr">
        <is>
          <t>NADHRATIE</t>
        </is>
      </c>
      <c r="E352" s="21" t="inlineStr">
        <is>
          <t>IBRAHIM</t>
        </is>
      </c>
      <c r="F352" s="21" t="inlineStr">
        <is>
          <t>26/08/2001</t>
        </is>
      </c>
      <c r="G352" s="21" t="inlineStr">
        <is>
          <t>BIBAVOU</t>
        </is>
      </c>
      <c r="H352" s="21" t="inlineStr"/>
      <c r="I352" s="21" t="inlineStr">
        <is>
          <t>L2</t>
        </is>
      </c>
      <c r="J352" s="21" t="inlineStr">
        <is>
          <t>Soins infirmiers</t>
        </is>
      </c>
      <c r="K352" s="21" t="inlineStr"/>
      <c r="L352" s="21" t="inlineStr">
        <is>
          <t>2025-2026</t>
        </is>
      </c>
      <c r="M352" s="21" t="inlineStr">
        <is>
          <t>Inscrit</t>
        </is>
      </c>
      <c r="N352" s="21" t="inlineStr"/>
      <c r="O352" s="21" t="inlineStr">
        <is>
          <t>import</t>
        </is>
      </c>
    </row>
    <row r="353">
      <c r="A353" s="21" t="inlineStr">
        <is>
          <t>61</t>
        </is>
      </c>
      <c r="B353" s="21" t="inlineStr">
        <is>
          <t>70213</t>
        </is>
      </c>
      <c r="C353" s="21" t="inlineStr"/>
      <c r="D353" s="21" t="inlineStr">
        <is>
          <t>NADHUIFAT</t>
        </is>
      </c>
      <c r="E353" s="21" t="inlineStr">
        <is>
          <t>ABOUBACAR</t>
        </is>
      </c>
      <c r="F353" s="21" t="inlineStr">
        <is>
          <t>05/10/2004</t>
        </is>
      </c>
      <c r="G353" s="21" t="inlineStr">
        <is>
          <t>MTE DE MORONI</t>
        </is>
      </c>
      <c r="H353" s="21" t="inlineStr"/>
      <c r="I353" s="21" t="inlineStr">
        <is>
          <t>L2</t>
        </is>
      </c>
      <c r="J353" s="21" t="inlineStr">
        <is>
          <t>Soins infirmiers</t>
        </is>
      </c>
      <c r="K353" s="21" t="inlineStr"/>
      <c r="L353" s="21" t="inlineStr">
        <is>
          <t>2025-2026</t>
        </is>
      </c>
      <c r="M353" s="21" t="inlineStr">
        <is>
          <t>Inscrit</t>
        </is>
      </c>
      <c r="N353" s="21" t="inlineStr"/>
      <c r="O353" s="21" t="inlineStr">
        <is>
          <t>import</t>
        </is>
      </c>
    </row>
    <row r="354">
      <c r="A354" s="21" t="inlineStr">
        <is>
          <t>62</t>
        </is>
      </c>
      <c r="B354" s="21" t="inlineStr">
        <is>
          <t>68953</t>
        </is>
      </c>
      <c r="C354" s="21" t="inlineStr"/>
      <c r="D354" s="21" t="inlineStr">
        <is>
          <t>NAIDHOITI</t>
        </is>
      </c>
      <c r="E354" s="21" t="inlineStr">
        <is>
          <t>AHAMED</t>
        </is>
      </c>
      <c r="F354" s="21" t="inlineStr">
        <is>
          <t>28/11/2004</t>
        </is>
      </c>
      <c r="G354" s="21" t="inlineStr">
        <is>
          <t>NGANDZALE ANJOUAN</t>
        </is>
      </c>
      <c r="H354" s="21" t="inlineStr"/>
      <c r="I354" s="21" t="inlineStr">
        <is>
          <t>L2</t>
        </is>
      </c>
      <c r="J354" s="21" t="inlineStr">
        <is>
          <t>Soins infirmiers</t>
        </is>
      </c>
      <c r="K354" s="21" t="inlineStr"/>
      <c r="L354" s="21" t="inlineStr">
        <is>
          <t>2025-2026</t>
        </is>
      </c>
      <c r="M354" s="21" t="inlineStr">
        <is>
          <t>Inscrit</t>
        </is>
      </c>
      <c r="N354" s="21" t="inlineStr"/>
      <c r="O354" s="21" t="inlineStr">
        <is>
          <t>import</t>
        </is>
      </c>
    </row>
    <row r="355">
      <c r="A355" s="21" t="inlineStr">
        <is>
          <t>63</t>
        </is>
      </c>
      <c r="B355" s="21" t="inlineStr">
        <is>
          <t>76024</t>
        </is>
      </c>
      <c r="C355" s="21" t="inlineStr"/>
      <c r="D355" s="21" t="inlineStr">
        <is>
          <t>NASRINE</t>
        </is>
      </c>
      <c r="E355" s="21" t="inlineStr">
        <is>
          <t>NASSIM ATTOUMANE</t>
        </is>
      </c>
      <c r="F355" s="21" t="inlineStr">
        <is>
          <t>26/07/2005</t>
        </is>
      </c>
      <c r="G355" s="21" t="inlineStr">
        <is>
          <t>KANALENI FOMBONI MOHELI</t>
        </is>
      </c>
      <c r="H355" s="21" t="inlineStr"/>
      <c r="I355" s="21" t="inlineStr">
        <is>
          <t>L2</t>
        </is>
      </c>
      <c r="J355" s="21" t="inlineStr">
        <is>
          <t>Soins infirmiers</t>
        </is>
      </c>
      <c r="K355" s="21" t="inlineStr"/>
      <c r="L355" s="21" t="inlineStr">
        <is>
          <t>2025-2026</t>
        </is>
      </c>
      <c r="M355" s="21" t="inlineStr">
        <is>
          <t>Inscrit</t>
        </is>
      </c>
      <c r="N355" s="21" t="inlineStr"/>
      <c r="O355" s="21" t="inlineStr">
        <is>
          <t>import</t>
        </is>
      </c>
    </row>
    <row r="356">
      <c r="A356" s="21" t="inlineStr">
        <is>
          <t>64</t>
        </is>
      </c>
      <c r="B356" s="21" t="inlineStr">
        <is>
          <t>75951</t>
        </is>
      </c>
      <c r="C356" s="21" t="inlineStr"/>
      <c r="D356" s="21" t="inlineStr">
        <is>
          <t>NATACHA</t>
        </is>
      </c>
      <c r="E356" s="21" t="inlineStr">
        <is>
          <t>DJALALIDDINE AHAMADI</t>
        </is>
      </c>
      <c r="F356" s="21" t="inlineStr">
        <is>
          <t>12/07/2002</t>
        </is>
      </c>
      <c r="G356" s="21" t="inlineStr">
        <is>
          <t>DOMONI - ANJOUAN</t>
        </is>
      </c>
      <c r="H356" s="21" t="inlineStr"/>
      <c r="I356" s="21" t="inlineStr">
        <is>
          <t>L2</t>
        </is>
      </c>
      <c r="J356" s="21" t="inlineStr">
        <is>
          <t>Soins infirmiers</t>
        </is>
      </c>
      <c r="K356" s="21" t="inlineStr"/>
      <c r="L356" s="21" t="inlineStr">
        <is>
          <t>2025-2026</t>
        </is>
      </c>
      <c r="M356" s="21" t="inlineStr">
        <is>
          <t>Inscrit</t>
        </is>
      </c>
      <c r="N356" s="21" t="inlineStr"/>
      <c r="O356" s="21" t="inlineStr">
        <is>
          <t>import</t>
        </is>
      </c>
    </row>
    <row r="357">
      <c r="A357" s="21" t="inlineStr">
        <is>
          <t>65</t>
        </is>
      </c>
      <c r="B357" s="21" t="inlineStr">
        <is>
          <t>74128</t>
        </is>
      </c>
      <c r="C357" s="21" t="inlineStr"/>
      <c r="D357" s="21" t="inlineStr">
        <is>
          <t>NEMATY</t>
        </is>
      </c>
      <c r="E357" s="21" t="inlineStr">
        <is>
          <t>BINTI MOHAMED</t>
        </is>
      </c>
      <c r="F357" s="21" t="inlineStr">
        <is>
          <t>09/05/2007</t>
        </is>
      </c>
      <c r="G357" s="21" t="inlineStr">
        <is>
          <t>MITSAMIOULI</t>
        </is>
      </c>
      <c r="H357" s="21" t="inlineStr"/>
      <c r="I357" s="21" t="inlineStr">
        <is>
          <t>L2</t>
        </is>
      </c>
      <c r="J357" s="21" t="inlineStr">
        <is>
          <t>Soins infirmiers</t>
        </is>
      </c>
      <c r="K357" s="21" t="inlineStr"/>
      <c r="L357" s="21" t="inlineStr">
        <is>
          <t>2025-2026</t>
        </is>
      </c>
      <c r="M357" s="21" t="inlineStr">
        <is>
          <t>Inscrit</t>
        </is>
      </c>
      <c r="N357" s="21" t="inlineStr"/>
      <c r="O357" s="21" t="inlineStr">
        <is>
          <t>import</t>
        </is>
      </c>
    </row>
    <row r="358">
      <c r="A358" s="21" t="inlineStr">
        <is>
          <t>66</t>
        </is>
      </c>
      <c r="B358" s="21" t="inlineStr">
        <is>
          <t>72886</t>
        </is>
      </c>
      <c r="C358" s="21" t="inlineStr"/>
      <c r="D358" s="21" t="inlineStr">
        <is>
          <t>OUMAISSA</t>
        </is>
      </c>
      <c r="E358" s="21" t="inlineStr">
        <is>
          <t>AMOURDINE ATHOUMANI</t>
        </is>
      </c>
      <c r="F358" s="21" t="inlineStr">
        <is>
          <t>09/01/2005</t>
        </is>
      </c>
      <c r="G358" s="21" t="inlineStr">
        <is>
          <t>MATERNITE DE MORONI</t>
        </is>
      </c>
      <c r="H358" s="21" t="inlineStr"/>
      <c r="I358" s="21" t="inlineStr">
        <is>
          <t>L2</t>
        </is>
      </c>
      <c r="J358" s="21" t="inlineStr">
        <is>
          <t>Soins infirmiers</t>
        </is>
      </c>
      <c r="K358" s="21" t="inlineStr"/>
      <c r="L358" s="21" t="inlineStr">
        <is>
          <t>2025-2026</t>
        </is>
      </c>
      <c r="M358" s="21" t="inlineStr">
        <is>
          <t>Inscrit</t>
        </is>
      </c>
      <c r="N358" s="21" t="inlineStr"/>
      <c r="O358" s="21" t="inlineStr">
        <is>
          <t>import</t>
        </is>
      </c>
    </row>
    <row r="359">
      <c r="A359" s="21" t="inlineStr">
        <is>
          <t>67</t>
        </is>
      </c>
      <c r="B359" s="21" t="inlineStr">
        <is>
          <t>74075</t>
        </is>
      </c>
      <c r="C359" s="21" t="inlineStr"/>
      <c r="D359" s="21" t="inlineStr">
        <is>
          <t>OUMOUL HAIR</t>
        </is>
      </c>
      <c r="E359" s="21" t="inlineStr">
        <is>
          <t>BEN JANVIER</t>
        </is>
      </c>
      <c r="F359" s="21" t="inlineStr">
        <is>
          <t>04/05/2003</t>
        </is>
      </c>
      <c r="G359" s="21" t="inlineStr">
        <is>
          <t>MTE DE MORONI</t>
        </is>
      </c>
      <c r="H359" s="21" t="inlineStr"/>
      <c r="I359" s="21" t="inlineStr">
        <is>
          <t>L2</t>
        </is>
      </c>
      <c r="J359" s="21" t="inlineStr">
        <is>
          <t>Soins infirmiers</t>
        </is>
      </c>
      <c r="K359" s="21" t="inlineStr"/>
      <c r="L359" s="21" t="inlineStr">
        <is>
          <t>2025-2026</t>
        </is>
      </c>
      <c r="M359" s="21" t="inlineStr">
        <is>
          <t>Inscrit</t>
        </is>
      </c>
      <c r="N359" s="21" t="inlineStr"/>
      <c r="O359" s="21" t="inlineStr">
        <is>
          <t>import</t>
        </is>
      </c>
    </row>
    <row r="360">
      <c r="A360" s="21" t="inlineStr">
        <is>
          <t>68</t>
        </is>
      </c>
      <c r="B360" s="21" t="inlineStr">
        <is>
          <t>76096</t>
        </is>
      </c>
      <c r="C360" s="21" t="inlineStr"/>
      <c r="D360" s="21" t="inlineStr">
        <is>
          <t>RACHIDA</t>
        </is>
      </c>
      <c r="E360" s="21" t="inlineStr">
        <is>
          <t>AHAMED ASSANE</t>
        </is>
      </c>
      <c r="F360" s="21" t="inlineStr">
        <is>
          <t>03/10/2002</t>
        </is>
      </c>
      <c r="G360" s="21" t="inlineStr">
        <is>
          <t>COOPERANT FOMBONI - MOHELI</t>
        </is>
      </c>
      <c r="H360" s="21" t="inlineStr"/>
      <c r="I360" s="21" t="inlineStr">
        <is>
          <t>L2</t>
        </is>
      </c>
      <c r="J360" s="21" t="inlineStr">
        <is>
          <t>Soins infirmiers</t>
        </is>
      </c>
      <c r="K360" s="21" t="inlineStr"/>
      <c r="L360" s="21" t="inlineStr">
        <is>
          <t>2025-2026</t>
        </is>
      </c>
      <c r="M360" s="21" t="inlineStr">
        <is>
          <t>Inscrit</t>
        </is>
      </c>
      <c r="N360" s="21" t="inlineStr"/>
      <c r="O360" s="21" t="inlineStr">
        <is>
          <t>import</t>
        </is>
      </c>
    </row>
    <row r="361">
      <c r="A361" s="21" t="inlineStr">
        <is>
          <t>69</t>
        </is>
      </c>
      <c r="B361" s="21" t="inlineStr">
        <is>
          <t>76017</t>
        </is>
      </c>
      <c r="C361" s="21" t="inlineStr"/>
      <c r="D361" s="21" t="inlineStr">
        <is>
          <t>RACHMI</t>
        </is>
      </c>
      <c r="E361" s="21" t="inlineStr">
        <is>
          <t>PAPA</t>
        </is>
      </c>
      <c r="F361" s="21" t="inlineStr">
        <is>
          <t>09/07/2003</t>
        </is>
      </c>
      <c r="G361" s="21" t="inlineStr">
        <is>
          <t>MTE DE MORONI</t>
        </is>
      </c>
      <c r="H361" s="21" t="inlineStr"/>
      <c r="I361" s="21" t="inlineStr">
        <is>
          <t>L2</t>
        </is>
      </c>
      <c r="J361" s="21" t="inlineStr">
        <is>
          <t>Soins infirmiers</t>
        </is>
      </c>
      <c r="K361" s="21" t="inlineStr"/>
      <c r="L361" s="21" t="inlineStr">
        <is>
          <t>2025-2026</t>
        </is>
      </c>
      <c r="M361" s="21" t="inlineStr">
        <is>
          <t>Inscrit</t>
        </is>
      </c>
      <c r="N361" s="21" t="inlineStr"/>
      <c r="O361" s="21" t="inlineStr">
        <is>
          <t>import</t>
        </is>
      </c>
    </row>
    <row r="362">
      <c r="A362" s="21" t="inlineStr">
        <is>
          <t>70</t>
        </is>
      </c>
      <c r="B362" s="21" t="inlineStr">
        <is>
          <t>75779</t>
        </is>
      </c>
      <c r="C362" s="21" t="inlineStr"/>
      <c r="D362" s="21" t="inlineStr">
        <is>
          <t>RAHIA</t>
        </is>
      </c>
      <c r="E362" s="21" t="inlineStr">
        <is>
          <t>YOUSSOUF</t>
        </is>
      </c>
      <c r="F362" s="21" t="inlineStr">
        <is>
          <t>22/07/2004</t>
        </is>
      </c>
      <c r="G362" s="21" t="inlineStr">
        <is>
          <t>MTE DE MORONI</t>
        </is>
      </c>
      <c r="H362" s="21" t="inlineStr"/>
      <c r="I362" s="21" t="inlineStr">
        <is>
          <t>L2</t>
        </is>
      </c>
      <c r="J362" s="21" t="inlineStr">
        <is>
          <t>Soins infirmiers</t>
        </is>
      </c>
      <c r="K362" s="21" t="inlineStr"/>
      <c r="L362" s="21" t="inlineStr">
        <is>
          <t>2025-2026</t>
        </is>
      </c>
      <c r="M362" s="21" t="inlineStr">
        <is>
          <t>Inscrit</t>
        </is>
      </c>
      <c r="N362" s="21" t="inlineStr"/>
      <c r="O362" s="21" t="inlineStr">
        <is>
          <t>import</t>
        </is>
      </c>
    </row>
    <row r="363">
      <c r="A363" s="21" t="inlineStr">
        <is>
          <t>71</t>
        </is>
      </c>
      <c r="B363" s="21" t="inlineStr">
        <is>
          <t>72417</t>
        </is>
      </c>
      <c r="C363" s="21" t="inlineStr"/>
      <c r="D363" s="21" t="inlineStr">
        <is>
          <t>RAIKA</t>
        </is>
      </c>
      <c r="E363" s="21" t="inlineStr">
        <is>
          <t>AHMED</t>
        </is>
      </c>
      <c r="F363" s="21" t="inlineStr">
        <is>
          <t>25/12/2007</t>
        </is>
      </c>
      <c r="G363" s="21" t="inlineStr">
        <is>
          <t>HOMBO - ANJOUAN</t>
        </is>
      </c>
      <c r="H363" s="21" t="inlineStr"/>
      <c r="I363" s="21" t="inlineStr">
        <is>
          <t>L2</t>
        </is>
      </c>
      <c r="J363" s="21" t="inlineStr">
        <is>
          <t>Soins infirmiers</t>
        </is>
      </c>
      <c r="K363" s="21" t="inlineStr"/>
      <c r="L363" s="21" t="inlineStr">
        <is>
          <t>2025-2026</t>
        </is>
      </c>
      <c r="M363" s="21" t="inlineStr">
        <is>
          <t>Inscrit</t>
        </is>
      </c>
      <c r="N363" s="21" t="inlineStr"/>
      <c r="O363" s="21" t="inlineStr">
        <is>
          <t>import</t>
        </is>
      </c>
    </row>
    <row r="364">
      <c r="A364" s="21" t="inlineStr">
        <is>
          <t>72</t>
        </is>
      </c>
      <c r="B364" s="21" t="inlineStr">
        <is>
          <t>72869</t>
        </is>
      </c>
      <c r="C364" s="21" t="inlineStr"/>
      <c r="D364" s="21" t="inlineStr">
        <is>
          <t>RESSANI</t>
        </is>
      </c>
      <c r="E364" s="21" t="inlineStr">
        <is>
          <t>DJIBABA</t>
        </is>
      </c>
      <c r="F364" s="21" t="inlineStr">
        <is>
          <t>22/12/2004</t>
        </is>
      </c>
      <c r="G364" s="21" t="inlineStr">
        <is>
          <t>DIMADJOU HAMAHAME</t>
        </is>
      </c>
      <c r="H364" s="21" t="inlineStr"/>
      <c r="I364" s="21" t="inlineStr">
        <is>
          <t>L2</t>
        </is>
      </c>
      <c r="J364" s="21" t="inlineStr">
        <is>
          <t>Soins infirmiers</t>
        </is>
      </c>
      <c r="K364" s="21" t="inlineStr"/>
      <c r="L364" s="21" t="inlineStr">
        <is>
          <t>2025-2026</t>
        </is>
      </c>
      <c r="M364" s="21" t="inlineStr">
        <is>
          <t>Inscrit</t>
        </is>
      </c>
      <c r="N364" s="21" t="inlineStr"/>
      <c r="O364" s="21" t="inlineStr">
        <is>
          <t>import</t>
        </is>
      </c>
    </row>
    <row r="365">
      <c r="A365" s="21" t="inlineStr">
        <is>
          <t>73</t>
        </is>
      </c>
      <c r="B365" s="21" t="inlineStr">
        <is>
          <t>75239</t>
        </is>
      </c>
      <c r="C365" s="21" t="inlineStr"/>
      <c r="D365" s="21" t="inlineStr">
        <is>
          <t>ROUFOUANTI</t>
        </is>
      </c>
      <c r="E365" s="21" t="inlineStr">
        <is>
          <t>BENT ALI ATTOUMANE</t>
        </is>
      </c>
      <c r="F365" s="21" t="inlineStr">
        <is>
          <t>28/01/2001</t>
        </is>
      </c>
      <c r="G365" s="21" t="inlineStr">
        <is>
          <t>MJIMVIA - ANJOUAN</t>
        </is>
      </c>
      <c r="H365" s="21" t="inlineStr"/>
      <c r="I365" s="21" t="inlineStr">
        <is>
          <t>L2</t>
        </is>
      </c>
      <c r="J365" s="21" t="inlineStr">
        <is>
          <t>Soins infirmiers</t>
        </is>
      </c>
      <c r="K365" s="21" t="inlineStr"/>
      <c r="L365" s="21" t="inlineStr">
        <is>
          <t>2025-2026</t>
        </is>
      </c>
      <c r="M365" s="21" t="inlineStr">
        <is>
          <t>Inscrit</t>
        </is>
      </c>
      <c r="N365" s="21" t="inlineStr"/>
      <c r="O365" s="21" t="inlineStr">
        <is>
          <t>import</t>
        </is>
      </c>
    </row>
    <row r="366">
      <c r="A366" s="21" t="inlineStr">
        <is>
          <t>74</t>
        </is>
      </c>
      <c r="B366" s="21" t="inlineStr">
        <is>
          <t>72192</t>
        </is>
      </c>
      <c r="C366" s="21" t="inlineStr"/>
      <c r="D366" s="21" t="inlineStr">
        <is>
          <t>SALMA</t>
        </is>
      </c>
      <c r="E366" s="21" t="inlineStr">
        <is>
          <t>MAHAMOUD</t>
        </is>
      </c>
      <c r="F366" s="21" t="inlineStr">
        <is>
          <t>18/11/2003</t>
        </is>
      </c>
      <c r="G366" s="21" t="inlineStr">
        <is>
          <t>DZAHADJOU - ITSANDRA</t>
        </is>
      </c>
      <c r="H366" s="21" t="inlineStr"/>
      <c r="I366" s="21" t="inlineStr">
        <is>
          <t>L2</t>
        </is>
      </c>
      <c r="J366" s="21" t="inlineStr">
        <is>
          <t>Soins infirmiers</t>
        </is>
      </c>
      <c r="K366" s="21" t="inlineStr"/>
      <c r="L366" s="21" t="inlineStr">
        <is>
          <t>2025-2026</t>
        </is>
      </c>
      <c r="M366" s="21" t="inlineStr">
        <is>
          <t>Inscrit</t>
        </is>
      </c>
      <c r="N366" s="21" t="inlineStr"/>
      <c r="O366" s="21" t="inlineStr">
        <is>
          <t>import</t>
        </is>
      </c>
    </row>
    <row r="367">
      <c r="A367" s="21" t="inlineStr">
        <is>
          <t>75</t>
        </is>
      </c>
      <c r="B367" s="21" t="inlineStr">
        <is>
          <t>75795</t>
        </is>
      </c>
      <c r="C367" s="21" t="inlineStr"/>
      <c r="D367" s="21" t="inlineStr">
        <is>
          <t>SANDRAT</t>
        </is>
      </c>
      <c r="E367" s="21" t="inlineStr">
        <is>
          <t>INOUSSA</t>
        </is>
      </c>
      <c r="F367" s="21" t="inlineStr">
        <is>
          <t>01/02/2006</t>
        </is>
      </c>
      <c r="G367" s="21" t="inlineStr">
        <is>
          <t>MTE DE MORONI</t>
        </is>
      </c>
      <c r="H367" s="21" t="inlineStr"/>
      <c r="I367" s="21" t="inlineStr">
        <is>
          <t>L2</t>
        </is>
      </c>
      <c r="J367" s="21" t="inlineStr">
        <is>
          <t>Soins infirmiers</t>
        </is>
      </c>
      <c r="K367" s="21" t="inlineStr"/>
      <c r="L367" s="21" t="inlineStr">
        <is>
          <t>2025-2026</t>
        </is>
      </c>
      <c r="M367" s="21" t="inlineStr">
        <is>
          <t>Inscrit</t>
        </is>
      </c>
      <c r="N367" s="21" t="inlineStr"/>
      <c r="O367" s="21" t="inlineStr">
        <is>
          <t>import</t>
        </is>
      </c>
    </row>
    <row r="368">
      <c r="A368" s="21" t="inlineStr">
        <is>
          <t>76</t>
        </is>
      </c>
      <c r="B368" s="21" t="inlineStr">
        <is>
          <t>64749</t>
        </is>
      </c>
      <c r="C368" s="21" t="inlineStr"/>
      <c r="D368" s="21" t="inlineStr">
        <is>
          <t>SITTI BATOUL</t>
        </is>
      </c>
      <c r="E368" s="21" t="inlineStr">
        <is>
          <t>ABDOU</t>
        </is>
      </c>
      <c r="F368" s="21" t="inlineStr">
        <is>
          <t>28/02/2003</t>
        </is>
      </c>
      <c r="G368" s="21" t="inlineStr">
        <is>
          <t>M'REMANI ANJOUAN</t>
        </is>
      </c>
      <c r="H368" s="21" t="inlineStr"/>
      <c r="I368" s="21" t="inlineStr">
        <is>
          <t>L2</t>
        </is>
      </c>
      <c r="J368" s="21" t="inlineStr">
        <is>
          <t>Soins infirmiers</t>
        </is>
      </c>
      <c r="K368" s="21" t="inlineStr"/>
      <c r="L368" s="21" t="inlineStr">
        <is>
          <t>2025-2026</t>
        </is>
      </c>
      <c r="M368" s="21" t="inlineStr">
        <is>
          <t>Inscrit</t>
        </is>
      </c>
      <c r="N368" s="21" t="inlineStr"/>
      <c r="O368" s="21" t="inlineStr">
        <is>
          <t>import</t>
        </is>
      </c>
    </row>
    <row r="369">
      <c r="A369" s="21" t="inlineStr">
        <is>
          <t>77</t>
        </is>
      </c>
      <c r="B369" s="21" t="inlineStr">
        <is>
          <t>73567</t>
        </is>
      </c>
      <c r="C369" s="21" t="inlineStr"/>
      <c r="D369" s="21" t="inlineStr">
        <is>
          <t>SITTINA-ECHAT</t>
        </is>
      </c>
      <c r="E369" s="21" t="inlineStr">
        <is>
          <t>ALI IBRAHIM</t>
        </is>
      </c>
      <c r="F369" s="21" t="inlineStr">
        <is>
          <t>25/02/2006</t>
        </is>
      </c>
      <c r="G369" s="21" t="inlineStr">
        <is>
          <t>MTE DE HOMBO - ANJOUAN</t>
        </is>
      </c>
      <c r="H369" s="21" t="inlineStr"/>
      <c r="I369" s="21" t="inlineStr">
        <is>
          <t>L2</t>
        </is>
      </c>
      <c r="J369" s="21" t="inlineStr">
        <is>
          <t>Soins infirmiers</t>
        </is>
      </c>
      <c r="K369" s="21" t="inlineStr"/>
      <c r="L369" s="21" t="inlineStr">
        <is>
          <t>2025-2026</t>
        </is>
      </c>
      <c r="M369" s="21" t="inlineStr">
        <is>
          <t>Inscrit</t>
        </is>
      </c>
      <c r="N369" s="21" t="inlineStr"/>
      <c r="O369" s="21" t="inlineStr">
        <is>
          <t>import</t>
        </is>
      </c>
    </row>
    <row r="370">
      <c r="A370" s="21" t="inlineStr">
        <is>
          <t>78</t>
        </is>
      </c>
      <c r="B370" s="21" t="inlineStr">
        <is>
          <t>69245</t>
        </is>
      </c>
      <c r="C370" s="21" t="inlineStr"/>
      <c r="D370" s="21" t="inlineStr">
        <is>
          <t>SOILHA</t>
        </is>
      </c>
      <c r="E370" s="21" t="inlineStr">
        <is>
          <t>MOUHAMED HAMADA</t>
        </is>
      </c>
      <c r="F370" s="21" t="inlineStr">
        <is>
          <t>28/12/2004</t>
        </is>
      </c>
      <c r="G370" s="21" t="inlineStr">
        <is>
          <t>DJOIEZI MOHELI COMORES</t>
        </is>
      </c>
      <c r="H370" s="21" t="inlineStr"/>
      <c r="I370" s="21" t="inlineStr">
        <is>
          <t>L2</t>
        </is>
      </c>
      <c r="J370" s="21" t="inlineStr">
        <is>
          <t>Soins infirmiers</t>
        </is>
      </c>
      <c r="K370" s="21" t="inlineStr"/>
      <c r="L370" s="21" t="inlineStr">
        <is>
          <t>2025-2026</t>
        </is>
      </c>
      <c r="M370" s="21" t="inlineStr">
        <is>
          <t>Inscrit</t>
        </is>
      </c>
      <c r="N370" s="21" t="inlineStr"/>
      <c r="O370" s="21" t="inlineStr">
        <is>
          <t>import</t>
        </is>
      </c>
    </row>
    <row r="371">
      <c r="A371" s="21" t="inlineStr">
        <is>
          <t>79</t>
        </is>
      </c>
      <c r="B371" s="21" t="inlineStr">
        <is>
          <t>65391</t>
        </is>
      </c>
      <c r="C371" s="21" t="inlineStr"/>
      <c r="D371" s="21" t="inlineStr">
        <is>
          <t>SOUDANYA</t>
        </is>
      </c>
      <c r="E371" s="21" t="inlineStr">
        <is>
          <t>AHAMADI</t>
        </is>
      </c>
      <c r="F371" s="21" t="inlineStr">
        <is>
          <t>01/02/2002</t>
        </is>
      </c>
      <c r="G371" s="21" t="inlineStr">
        <is>
          <t>ONGOJOU ANJOUAN</t>
        </is>
      </c>
      <c r="H371" s="21" t="inlineStr"/>
      <c r="I371" s="21" t="inlineStr">
        <is>
          <t>L2</t>
        </is>
      </c>
      <c r="J371" s="21" t="inlineStr">
        <is>
          <t>Soins infirmiers</t>
        </is>
      </c>
      <c r="K371" s="21" t="inlineStr"/>
      <c r="L371" s="21" t="inlineStr">
        <is>
          <t>2025-2026</t>
        </is>
      </c>
      <c r="M371" s="21" t="inlineStr">
        <is>
          <t>Inscrit</t>
        </is>
      </c>
      <c r="N371" s="21" t="inlineStr"/>
      <c r="O371" s="21" t="inlineStr">
        <is>
          <t>import</t>
        </is>
      </c>
    </row>
    <row r="372">
      <c r="A372" s="21" t="inlineStr">
        <is>
          <t>80</t>
        </is>
      </c>
      <c r="B372" s="21" t="inlineStr">
        <is>
          <t>70857</t>
        </is>
      </c>
      <c r="C372" s="21" t="inlineStr"/>
      <c r="D372" s="21" t="inlineStr">
        <is>
          <t>STEPHANE</t>
        </is>
      </c>
      <c r="E372" s="21" t="inlineStr">
        <is>
          <t>BACAR</t>
        </is>
      </c>
      <c r="F372" s="21" t="inlineStr">
        <is>
          <t>14/09/2006</t>
        </is>
      </c>
      <c r="G372" s="21" t="inlineStr">
        <is>
          <t>MORONI</t>
        </is>
      </c>
      <c r="H372" s="21" t="inlineStr"/>
      <c r="I372" s="21" t="inlineStr">
        <is>
          <t>L2</t>
        </is>
      </c>
      <c r="J372" s="21" t="inlineStr">
        <is>
          <t>Soins infirmiers</t>
        </is>
      </c>
      <c r="K372" s="21" t="inlineStr"/>
      <c r="L372" s="21" t="inlineStr">
        <is>
          <t>2025-2026</t>
        </is>
      </c>
      <c r="M372" s="21" t="inlineStr">
        <is>
          <t>Inscrit</t>
        </is>
      </c>
      <c r="N372" s="21" t="inlineStr"/>
      <c r="O372" s="21" t="inlineStr">
        <is>
          <t>import</t>
        </is>
      </c>
    </row>
    <row r="373">
      <c r="A373" s="21" t="inlineStr">
        <is>
          <t>81</t>
        </is>
      </c>
      <c r="B373" s="21" t="inlineStr">
        <is>
          <t>71277</t>
        </is>
      </c>
      <c r="C373" s="21" t="inlineStr"/>
      <c r="D373" s="21" t="inlineStr">
        <is>
          <t>TADJIDINE</t>
        </is>
      </c>
      <c r="E373" s="21" t="inlineStr">
        <is>
          <t>HAMADI</t>
        </is>
      </c>
      <c r="F373" s="21" t="inlineStr">
        <is>
          <t>21/12/2007</t>
        </is>
      </c>
      <c r="G373" s="21" t="inlineStr">
        <is>
          <t>HAMBA - MOHELI</t>
        </is>
      </c>
      <c r="H373" s="21" t="inlineStr"/>
      <c r="I373" s="21" t="inlineStr">
        <is>
          <t>L2</t>
        </is>
      </c>
      <c r="J373" s="21" t="inlineStr">
        <is>
          <t>Soins infirmiers</t>
        </is>
      </c>
      <c r="K373" s="21" t="inlineStr"/>
      <c r="L373" s="21" t="inlineStr">
        <is>
          <t>2025-2026</t>
        </is>
      </c>
      <c r="M373" s="21" t="inlineStr">
        <is>
          <t>Inscrit</t>
        </is>
      </c>
      <c r="N373" s="21" t="inlineStr"/>
      <c r="O373" s="21" t="inlineStr">
        <is>
          <t>import</t>
        </is>
      </c>
    </row>
    <row r="374">
      <c r="A374" s="21" t="inlineStr">
        <is>
          <t>82</t>
        </is>
      </c>
      <c r="B374" s="21" t="inlineStr">
        <is>
          <t>74675</t>
        </is>
      </c>
      <c r="C374" s="21" t="inlineStr"/>
      <c r="D374" s="21" t="inlineStr">
        <is>
          <t>TAQWA</t>
        </is>
      </c>
      <c r="E374" s="21" t="inlineStr">
        <is>
          <t>AHMED MAHAMOUD</t>
        </is>
      </c>
      <c r="F374" s="21" t="inlineStr">
        <is>
          <t>06/11/2003</t>
        </is>
      </c>
      <c r="G374" s="21" t="inlineStr">
        <is>
          <t>KHARTOUM - SOUDAN</t>
        </is>
      </c>
      <c r="H374" s="21" t="inlineStr"/>
      <c r="I374" s="21" t="inlineStr">
        <is>
          <t>L2</t>
        </is>
      </c>
      <c r="J374" s="21" t="inlineStr">
        <is>
          <t>Soins infirmiers</t>
        </is>
      </c>
      <c r="K374" s="21" t="inlineStr"/>
      <c r="L374" s="21" t="inlineStr">
        <is>
          <t>2025-2026</t>
        </is>
      </c>
      <c r="M374" s="21" t="inlineStr">
        <is>
          <t>Inscrit</t>
        </is>
      </c>
      <c r="N374" s="21" t="inlineStr"/>
      <c r="O374" s="21" t="inlineStr">
        <is>
          <t>import</t>
        </is>
      </c>
    </row>
    <row r="375">
      <c r="A375" s="21" t="inlineStr">
        <is>
          <t>83</t>
        </is>
      </c>
      <c r="B375" s="21" t="inlineStr">
        <is>
          <t>71689</t>
        </is>
      </c>
      <c r="C375" s="21" t="inlineStr"/>
      <c r="D375" s="21" t="inlineStr">
        <is>
          <t>ZAANRIFOU</t>
        </is>
      </c>
      <c r="E375" s="21" t="inlineStr">
        <is>
          <t>DAFRANE</t>
        </is>
      </c>
      <c r="F375" s="21" t="inlineStr">
        <is>
          <t>16/03/2003</t>
        </is>
      </c>
      <c r="G375" s="21" t="inlineStr">
        <is>
          <t>MTE DE TSEMBEHOU - ANJOUAN</t>
        </is>
      </c>
      <c r="H375" s="21" t="inlineStr"/>
      <c r="I375" s="21" t="inlineStr">
        <is>
          <t>L2</t>
        </is>
      </c>
      <c r="J375" s="21" t="inlineStr">
        <is>
          <t>Soins infirmiers</t>
        </is>
      </c>
      <c r="K375" s="21" t="inlineStr"/>
      <c r="L375" s="21" t="inlineStr">
        <is>
          <t>2025-2026</t>
        </is>
      </c>
      <c r="M375" s="21" t="inlineStr">
        <is>
          <t>Inscrit</t>
        </is>
      </c>
      <c r="N375" s="21" t="inlineStr"/>
      <c r="O375" s="21" t="inlineStr">
        <is>
          <t>import</t>
        </is>
      </c>
    </row>
    <row r="376">
      <c r="A376" s="21" t="inlineStr">
        <is>
          <t>84</t>
        </is>
      </c>
      <c r="B376" s="21" t="inlineStr">
        <is>
          <t>64806</t>
        </is>
      </c>
      <c r="C376" s="21" t="inlineStr"/>
      <c r="D376" s="21" t="inlineStr">
        <is>
          <t>ZAKIA</t>
        </is>
      </c>
      <c r="E376" s="21" t="inlineStr">
        <is>
          <t>SAID MZE BACAR</t>
        </is>
      </c>
      <c r="F376" s="21" t="inlineStr">
        <is>
          <t>04/12/2004</t>
        </is>
      </c>
      <c r="G376" s="21" t="inlineStr">
        <is>
          <t>MDE BAMBAO</t>
        </is>
      </c>
      <c r="H376" s="21" t="inlineStr"/>
      <c r="I376" s="21" t="inlineStr">
        <is>
          <t>L2</t>
        </is>
      </c>
      <c r="J376" s="21" t="inlineStr">
        <is>
          <t>Soins infirmiers</t>
        </is>
      </c>
      <c r="K376" s="21" t="inlineStr"/>
      <c r="L376" s="21" t="inlineStr">
        <is>
          <t>2025-2026</t>
        </is>
      </c>
      <c r="M376" s="21" t="inlineStr">
        <is>
          <t>Inscrit</t>
        </is>
      </c>
      <c r="N376" s="21" t="inlineStr"/>
      <c r="O376" s="21" t="inlineStr">
        <is>
          <t>import</t>
        </is>
      </c>
    </row>
    <row r="377">
      <c r="A377" s="21" t="inlineStr">
        <is>
          <t>85</t>
        </is>
      </c>
      <c r="B377" s="21" t="inlineStr">
        <is>
          <t>69670</t>
        </is>
      </c>
      <c r="C377" s="21" t="inlineStr"/>
      <c r="D377" s="21" t="inlineStr">
        <is>
          <t>ZOULFATA</t>
        </is>
      </c>
      <c r="E377" s="21" t="inlineStr">
        <is>
          <t>AHMADA</t>
        </is>
      </c>
      <c r="F377" s="21" t="inlineStr">
        <is>
          <t>30/09/2005</t>
        </is>
      </c>
      <c r="G377" s="21" t="inlineStr">
        <is>
          <t>MTE DE KOIMBANI</t>
        </is>
      </c>
      <c r="H377" s="21" t="inlineStr"/>
      <c r="I377" s="21" t="inlineStr">
        <is>
          <t>L2</t>
        </is>
      </c>
      <c r="J377" s="21" t="inlineStr">
        <is>
          <t>Soins infirmiers</t>
        </is>
      </c>
      <c r="K377" s="21" t="inlineStr"/>
      <c r="L377" s="21" t="inlineStr">
        <is>
          <t>2025-2026</t>
        </is>
      </c>
      <c r="M377" s="21" t="inlineStr">
        <is>
          <t>Inscrit</t>
        </is>
      </c>
      <c r="N377" s="21" t="inlineStr"/>
      <c r="O377" s="21" t="inlineStr">
        <is>
          <t>import</t>
        </is>
      </c>
    </row>
    <row r="378">
      <c r="A378" s="21" t="inlineStr">
        <is>
          <t>1</t>
        </is>
      </c>
      <c r="B378" s="21" t="inlineStr">
        <is>
          <t>74078</t>
        </is>
      </c>
      <c r="C378" s="21" t="inlineStr"/>
      <c r="D378" s="21" t="inlineStr">
        <is>
          <t>ABCHATI</t>
        </is>
      </c>
      <c r="E378" s="21" t="inlineStr">
        <is>
          <t>IBRAHIM</t>
        </is>
      </c>
      <c r="F378" s="21" t="inlineStr">
        <is>
          <t>23/11/2005</t>
        </is>
      </c>
      <c r="G378" s="21" t="inlineStr">
        <is>
          <t>MTE DE MITSAMIOULI</t>
        </is>
      </c>
      <c r="H378" s="21" t="inlineStr"/>
      <c r="I378" s="21" t="inlineStr">
        <is>
          <t>L2</t>
        </is>
      </c>
      <c r="J378" s="21" t="inlineStr">
        <is>
          <t>Soins obstétricaux</t>
        </is>
      </c>
      <c r="K378" s="21" t="inlineStr"/>
      <c r="L378" s="21" t="inlineStr">
        <is>
          <t>2025-2026</t>
        </is>
      </c>
      <c r="M378" s="21" t="inlineStr">
        <is>
          <t>Inscrit</t>
        </is>
      </c>
      <c r="N378" s="21" t="inlineStr"/>
      <c r="O378" s="21" t="inlineStr">
        <is>
          <t>import</t>
        </is>
      </c>
    </row>
    <row r="379">
      <c r="A379" s="21" t="inlineStr">
        <is>
          <t>2</t>
        </is>
      </c>
      <c r="B379" s="21" t="inlineStr">
        <is>
          <t>72572</t>
        </is>
      </c>
      <c r="C379" s="21" t="inlineStr"/>
      <c r="D379" s="21" t="inlineStr">
        <is>
          <t>ABDOU SALAMI</t>
        </is>
      </c>
      <c r="E379" s="21" t="inlineStr">
        <is>
          <t>ALYSSIA</t>
        </is>
      </c>
      <c r="F379" s="21" t="inlineStr">
        <is>
          <t>08/08/2004</t>
        </is>
      </c>
      <c r="G379" s="21" t="inlineStr">
        <is>
          <t>MTEDE MORONI</t>
        </is>
      </c>
      <c r="H379" s="21" t="inlineStr"/>
      <c r="I379" s="21" t="inlineStr">
        <is>
          <t>L2</t>
        </is>
      </c>
      <c r="J379" s="21" t="inlineStr">
        <is>
          <t>Soins obstétricaux</t>
        </is>
      </c>
      <c r="K379" s="21" t="inlineStr"/>
      <c r="L379" s="21" t="inlineStr">
        <is>
          <t>2025-2026</t>
        </is>
      </c>
      <c r="M379" s="21" t="inlineStr">
        <is>
          <t>Inscrit</t>
        </is>
      </c>
      <c r="N379" s="21" t="inlineStr"/>
      <c r="O379" s="21" t="inlineStr">
        <is>
          <t>import</t>
        </is>
      </c>
    </row>
    <row r="380">
      <c r="A380" s="21" t="inlineStr">
        <is>
          <t>3</t>
        </is>
      </c>
      <c r="B380" s="21" t="inlineStr">
        <is>
          <t>75396</t>
        </is>
      </c>
      <c r="C380" s="21" t="inlineStr"/>
      <c r="D380" s="21" t="inlineStr">
        <is>
          <t>ABDOURHAMANE</t>
        </is>
      </c>
      <c r="E380" s="21" t="inlineStr">
        <is>
          <t>FAZLATI</t>
        </is>
      </c>
      <c r="F380" s="21" t="inlineStr">
        <is>
          <t>25/12/2006</t>
        </is>
      </c>
      <c r="G380" s="21" t="inlineStr">
        <is>
          <t>DIMADJOU HAMAHAMET</t>
        </is>
      </c>
      <c r="H380" s="21" t="inlineStr"/>
      <c r="I380" s="21" t="inlineStr">
        <is>
          <t>L2</t>
        </is>
      </c>
      <c r="J380" s="21" t="inlineStr">
        <is>
          <t>Soins obstétricaux</t>
        </is>
      </c>
      <c r="K380" s="21" t="inlineStr"/>
      <c r="L380" s="21" t="inlineStr">
        <is>
          <t>2025-2026</t>
        </is>
      </c>
      <c r="M380" s="21" t="inlineStr">
        <is>
          <t>Inscrit</t>
        </is>
      </c>
      <c r="N380" s="21" t="inlineStr"/>
      <c r="O380" s="21" t="inlineStr">
        <is>
          <t>import</t>
        </is>
      </c>
    </row>
    <row r="381">
      <c r="A381" s="21" t="inlineStr">
        <is>
          <t>4</t>
        </is>
      </c>
      <c r="B381" s="21" t="inlineStr">
        <is>
          <t>73352</t>
        </is>
      </c>
      <c r="C381" s="21" t="inlineStr"/>
      <c r="D381" s="21" t="inlineStr">
        <is>
          <t>ABOUBACAR</t>
        </is>
      </c>
      <c r="E381" s="21" t="inlineStr">
        <is>
          <t>NIHLAT</t>
        </is>
      </c>
      <c r="F381" s="21" t="inlineStr">
        <is>
          <t>08/06/2005</t>
        </is>
      </c>
      <c r="G381" s="21" t="inlineStr">
        <is>
          <t>MTE DE MORONI</t>
        </is>
      </c>
      <c r="H381" s="21" t="inlineStr"/>
      <c r="I381" s="21" t="inlineStr">
        <is>
          <t>L2</t>
        </is>
      </c>
      <c r="J381" s="21" t="inlineStr">
        <is>
          <t>Soins obstétricaux</t>
        </is>
      </c>
      <c r="K381" s="21" t="inlineStr"/>
      <c r="L381" s="21" t="inlineStr">
        <is>
          <t>2025-2026</t>
        </is>
      </c>
      <c r="M381" s="21" t="inlineStr">
        <is>
          <t>Inscrit</t>
        </is>
      </c>
      <c r="N381" s="21" t="inlineStr"/>
      <c r="O381" s="21" t="inlineStr">
        <is>
          <t>import</t>
        </is>
      </c>
    </row>
    <row r="382">
      <c r="A382" s="21" t="inlineStr">
        <is>
          <t>5</t>
        </is>
      </c>
      <c r="B382" s="21" t="inlineStr">
        <is>
          <t>75136</t>
        </is>
      </c>
      <c r="C382" s="21" t="inlineStr"/>
      <c r="D382" s="21" t="inlineStr">
        <is>
          <t>AHAMADA</t>
        </is>
      </c>
      <c r="E382" s="21" t="inlineStr">
        <is>
          <t>KAOUTHAR</t>
        </is>
      </c>
      <c r="F382" s="21" t="inlineStr">
        <is>
          <t>05/11/2005</t>
        </is>
      </c>
      <c r="G382" s="21" t="inlineStr">
        <is>
          <t>OUNGONI DOMBA</t>
        </is>
      </c>
      <c r="H382" s="21" t="inlineStr"/>
      <c r="I382" s="21" t="inlineStr">
        <is>
          <t>L2</t>
        </is>
      </c>
      <c r="J382" s="21" t="inlineStr">
        <is>
          <t>Soins obstétricaux</t>
        </is>
      </c>
      <c r="K382" s="21" t="inlineStr"/>
      <c r="L382" s="21" t="inlineStr">
        <is>
          <t>2025-2026</t>
        </is>
      </c>
      <c r="M382" s="21" t="inlineStr">
        <is>
          <t>Inscrit</t>
        </is>
      </c>
      <c r="N382" s="21" t="inlineStr"/>
      <c r="O382" s="21" t="inlineStr">
        <is>
          <t>import</t>
        </is>
      </c>
    </row>
    <row r="383">
      <c r="A383" s="21" t="inlineStr">
        <is>
          <t>6</t>
        </is>
      </c>
      <c r="B383" s="21" t="inlineStr">
        <is>
          <t>73514</t>
        </is>
      </c>
      <c r="C383" s="21" t="inlineStr"/>
      <c r="D383" s="21" t="inlineStr">
        <is>
          <t>AMINA</t>
        </is>
      </c>
      <c r="E383" s="21" t="inlineStr">
        <is>
          <t>YOUNOUSSA</t>
        </is>
      </c>
      <c r="F383" s="21" t="inlineStr">
        <is>
          <t>04/02/2007</t>
        </is>
      </c>
      <c r="G383" s="21" t="inlineStr">
        <is>
          <t>MTE DE FOMBONI</t>
        </is>
      </c>
      <c r="H383" s="21" t="inlineStr"/>
      <c r="I383" s="21" t="inlineStr">
        <is>
          <t>L2</t>
        </is>
      </c>
      <c r="J383" s="21" t="inlineStr">
        <is>
          <t>Soins obstétricaux</t>
        </is>
      </c>
      <c r="K383" s="21" t="inlineStr"/>
      <c r="L383" s="21" t="inlineStr">
        <is>
          <t>2025-2026</t>
        </is>
      </c>
      <c r="M383" s="21" t="inlineStr">
        <is>
          <t>Inscrit</t>
        </is>
      </c>
      <c r="N383" s="21" t="inlineStr"/>
      <c r="O383" s="21" t="inlineStr">
        <is>
          <t>import</t>
        </is>
      </c>
    </row>
    <row r="384">
      <c r="A384" s="21" t="inlineStr">
        <is>
          <t>7</t>
        </is>
      </c>
      <c r="B384" s="21" t="inlineStr">
        <is>
          <t>72148</t>
        </is>
      </c>
      <c r="C384" s="21" t="inlineStr"/>
      <c r="D384" s="21" t="inlineStr">
        <is>
          <t>AMROI</t>
        </is>
      </c>
      <c r="E384" s="21" t="inlineStr">
        <is>
          <t>HOUMADI</t>
        </is>
      </c>
      <c r="F384" s="21" t="inlineStr">
        <is>
          <t>26/11/2005</t>
        </is>
      </c>
      <c r="G384" s="21" t="inlineStr">
        <is>
          <t>MTE HOMBO - ANJOUAN</t>
        </is>
      </c>
      <c r="H384" s="21" t="inlineStr"/>
      <c r="I384" s="21" t="inlineStr">
        <is>
          <t>L2</t>
        </is>
      </c>
      <c r="J384" s="21" t="inlineStr">
        <is>
          <t>Soins obstétricaux</t>
        </is>
      </c>
      <c r="K384" s="21" t="inlineStr"/>
      <c r="L384" s="21" t="inlineStr">
        <is>
          <t>2025-2026</t>
        </is>
      </c>
      <c r="M384" s="21" t="inlineStr">
        <is>
          <t>Inscrit</t>
        </is>
      </c>
      <c r="N384" s="21" t="inlineStr"/>
      <c r="O384" s="21" t="inlineStr">
        <is>
          <t>import</t>
        </is>
      </c>
    </row>
    <row r="385">
      <c r="A385" s="21" t="inlineStr">
        <is>
          <t>8</t>
        </is>
      </c>
      <c r="B385" s="21" t="inlineStr">
        <is>
          <t>73979</t>
        </is>
      </c>
      <c r="C385" s="21" t="inlineStr"/>
      <c r="D385" s="21" t="inlineStr">
        <is>
          <t>ANTOINE</t>
        </is>
      </c>
      <c r="E385" s="21" t="inlineStr">
        <is>
          <t>SITINA FATIMA</t>
        </is>
      </c>
      <c r="F385" s="21" t="inlineStr">
        <is>
          <t>22/05/2006</t>
        </is>
      </c>
      <c r="G385" s="21" t="inlineStr">
        <is>
          <t>MTE DE HOMBO</t>
        </is>
      </c>
      <c r="H385" s="21" t="inlineStr"/>
      <c r="I385" s="21" t="inlineStr">
        <is>
          <t>L2</t>
        </is>
      </c>
      <c r="J385" s="21" t="inlineStr">
        <is>
          <t>Soins obstétricaux</t>
        </is>
      </c>
      <c r="K385" s="21" t="inlineStr"/>
      <c r="L385" s="21" t="inlineStr">
        <is>
          <t>2025-2026</t>
        </is>
      </c>
      <c r="M385" s="21" t="inlineStr">
        <is>
          <t>Inscrit</t>
        </is>
      </c>
      <c r="N385" s="21" t="inlineStr"/>
      <c r="O385" s="21" t="inlineStr">
        <is>
          <t>import</t>
        </is>
      </c>
    </row>
    <row r="386">
      <c r="A386" s="21" t="inlineStr">
        <is>
          <t>9</t>
        </is>
      </c>
      <c r="B386" s="21" t="inlineStr">
        <is>
          <t>68878</t>
        </is>
      </c>
      <c r="C386" s="21" t="inlineStr"/>
      <c r="D386" s="21" t="inlineStr">
        <is>
          <t>ARKATIE</t>
        </is>
      </c>
      <c r="E386" s="21" t="inlineStr">
        <is>
          <t>MOUHOULISSOU</t>
        </is>
      </c>
      <c r="F386" s="21" t="inlineStr">
        <is>
          <t>25/03/2003</t>
        </is>
      </c>
      <c r="G386" s="21" t="inlineStr">
        <is>
          <t>FOMBONI MOHELI</t>
        </is>
      </c>
      <c r="H386" s="21" t="inlineStr"/>
      <c r="I386" s="21" t="inlineStr">
        <is>
          <t>L2</t>
        </is>
      </c>
      <c r="J386" s="21" t="inlineStr">
        <is>
          <t>Soins obstétricaux</t>
        </is>
      </c>
      <c r="K386" s="21" t="inlineStr"/>
      <c r="L386" s="21" t="inlineStr">
        <is>
          <t>2025-2026</t>
        </is>
      </c>
      <c r="M386" s="21" t="inlineStr">
        <is>
          <t>Inscrit</t>
        </is>
      </c>
      <c r="N386" s="21" t="inlineStr"/>
      <c r="O386" s="21" t="inlineStr">
        <is>
          <t>import</t>
        </is>
      </c>
    </row>
    <row r="387">
      <c r="A387" s="21" t="inlineStr">
        <is>
          <t>10</t>
        </is>
      </c>
      <c r="B387" s="21" t="inlineStr">
        <is>
          <t>75792</t>
        </is>
      </c>
      <c r="C387" s="21" t="inlineStr"/>
      <c r="D387" s="21" t="inlineStr">
        <is>
          <t>ARNIYA</t>
        </is>
      </c>
      <c r="E387" s="21" t="inlineStr">
        <is>
          <t>WAHABI</t>
        </is>
      </c>
      <c r="F387" s="21" t="inlineStr">
        <is>
          <t>26/04/2005</t>
        </is>
      </c>
      <c r="G387" s="21" t="inlineStr">
        <is>
          <t>ONGOJOU - ANJOUAN</t>
        </is>
      </c>
      <c r="H387" s="21" t="inlineStr"/>
      <c r="I387" s="21" t="inlineStr">
        <is>
          <t>L2</t>
        </is>
      </c>
      <c r="J387" s="21" t="inlineStr">
        <is>
          <t>Soins obstétricaux</t>
        </is>
      </c>
      <c r="K387" s="21" t="inlineStr"/>
      <c r="L387" s="21" t="inlineStr">
        <is>
          <t>2025-2026</t>
        </is>
      </c>
      <c r="M387" s="21" t="inlineStr">
        <is>
          <t>Inscrit</t>
        </is>
      </c>
      <c r="N387" s="21" t="inlineStr"/>
      <c r="O387" s="21" t="inlineStr">
        <is>
          <t>import</t>
        </is>
      </c>
    </row>
    <row r="388">
      <c r="A388" s="21" t="inlineStr">
        <is>
          <t>11</t>
        </is>
      </c>
      <c r="B388" s="21" t="inlineStr">
        <is>
          <t>73816</t>
        </is>
      </c>
      <c r="C388" s="21" t="inlineStr"/>
      <c r="D388" s="21" t="inlineStr">
        <is>
          <t>ASSOUMANI</t>
        </is>
      </c>
      <c r="E388" s="21" t="inlineStr">
        <is>
          <t>FAZLATI</t>
        </is>
      </c>
      <c r="F388" s="21" t="inlineStr">
        <is>
          <t>20/12/2001</t>
        </is>
      </c>
      <c r="G388" s="21" t="inlineStr">
        <is>
          <t>MITSAMIOULI</t>
        </is>
      </c>
      <c r="H388" s="21" t="inlineStr"/>
      <c r="I388" s="21" t="inlineStr">
        <is>
          <t>L2</t>
        </is>
      </c>
      <c r="J388" s="21" t="inlineStr">
        <is>
          <t>Soins obstétricaux</t>
        </is>
      </c>
      <c r="K388" s="21" t="inlineStr"/>
      <c r="L388" s="21" t="inlineStr">
        <is>
          <t>2025-2026</t>
        </is>
      </c>
      <c r="M388" s="21" t="inlineStr">
        <is>
          <t>Inscrit</t>
        </is>
      </c>
      <c r="N388" s="21" t="inlineStr"/>
      <c r="O388" s="21" t="inlineStr">
        <is>
          <t>import</t>
        </is>
      </c>
    </row>
    <row r="389">
      <c r="A389" s="21" t="inlineStr">
        <is>
          <t>12</t>
        </is>
      </c>
      <c r="B389" s="21" t="inlineStr">
        <is>
          <t>74562</t>
        </is>
      </c>
      <c r="C389" s="21" t="inlineStr"/>
      <c r="D389" s="21" t="inlineStr">
        <is>
          <t>AYIDA</t>
        </is>
      </c>
      <c r="E389" s="21" t="inlineStr">
        <is>
          <t>MIRHANE</t>
        </is>
      </c>
      <c r="F389" s="21" t="inlineStr">
        <is>
          <t>20/12/2007</t>
        </is>
      </c>
      <c r="G389" s="21" t="inlineStr">
        <is>
          <t>ONGOJOU - ANJOUAN</t>
        </is>
      </c>
      <c r="H389" s="21" t="inlineStr"/>
      <c r="I389" s="21" t="inlineStr">
        <is>
          <t>L2</t>
        </is>
      </c>
      <c r="J389" s="21" t="inlineStr">
        <is>
          <t>Soins obstétricaux</t>
        </is>
      </c>
      <c r="K389" s="21" t="inlineStr"/>
      <c r="L389" s="21" t="inlineStr">
        <is>
          <t>2025-2026</t>
        </is>
      </c>
      <c r="M389" s="21" t="inlineStr">
        <is>
          <t>Inscrit</t>
        </is>
      </c>
      <c r="N389" s="21" t="inlineStr"/>
      <c r="O389" s="21" t="inlineStr">
        <is>
          <t>import</t>
        </is>
      </c>
    </row>
    <row r="390">
      <c r="A390" s="21" t="inlineStr">
        <is>
          <t>13</t>
        </is>
      </c>
      <c r="B390" s="21" t="inlineStr">
        <is>
          <t>65727</t>
        </is>
      </c>
      <c r="C390" s="21" t="inlineStr"/>
      <c r="D390" s="21" t="inlineStr">
        <is>
          <t>BARAKA</t>
        </is>
      </c>
      <c r="E390" s="21" t="inlineStr">
        <is>
          <t>MADI HAMADA</t>
        </is>
      </c>
      <c r="F390" s="21" t="inlineStr">
        <is>
          <t>31/12/2001</t>
        </is>
      </c>
      <c r="G390" s="21" t="inlineStr">
        <is>
          <t>MBATSE - MOHELI</t>
        </is>
      </c>
      <c r="H390" s="21" t="inlineStr"/>
      <c r="I390" s="21" t="inlineStr">
        <is>
          <t>L2</t>
        </is>
      </c>
      <c r="J390" s="21" t="inlineStr">
        <is>
          <t>Soins obstétricaux</t>
        </is>
      </c>
      <c r="K390" s="21" t="inlineStr"/>
      <c r="L390" s="21" t="inlineStr">
        <is>
          <t>2025-2026</t>
        </is>
      </c>
      <c r="M390" s="21" t="inlineStr">
        <is>
          <t>Inscrit</t>
        </is>
      </c>
      <c r="N390" s="21" t="inlineStr"/>
      <c r="O390" s="21" t="inlineStr">
        <is>
          <t>import</t>
        </is>
      </c>
    </row>
    <row r="391">
      <c r="A391" s="21" t="inlineStr">
        <is>
          <t>14</t>
        </is>
      </c>
      <c r="B391" s="21" t="inlineStr">
        <is>
          <t>71765</t>
        </is>
      </c>
      <c r="C391" s="21" t="inlineStr"/>
      <c r="D391" s="21" t="inlineStr">
        <is>
          <t>DENIZATI</t>
        </is>
      </c>
      <c r="E391" s="21" t="inlineStr">
        <is>
          <t>MOHAMED</t>
        </is>
      </c>
      <c r="F391" s="21" t="inlineStr">
        <is>
          <t>30/12/2003</t>
        </is>
      </c>
      <c r="G391" s="21" t="inlineStr">
        <is>
          <t>MAHALE ANJOUAN</t>
        </is>
      </c>
      <c r="H391" s="21" t="inlineStr"/>
      <c r="I391" s="21" t="inlineStr">
        <is>
          <t>L2</t>
        </is>
      </c>
      <c r="J391" s="21" t="inlineStr">
        <is>
          <t>Soins obstétricaux</t>
        </is>
      </c>
      <c r="K391" s="21" t="inlineStr"/>
      <c r="L391" s="21" t="inlineStr">
        <is>
          <t>2025-2026</t>
        </is>
      </c>
      <c r="M391" s="21" t="inlineStr">
        <is>
          <t>Inscrit</t>
        </is>
      </c>
      <c r="N391" s="21" t="inlineStr"/>
      <c r="O391" s="21" t="inlineStr">
        <is>
          <t>import</t>
        </is>
      </c>
    </row>
    <row r="392">
      <c r="A392" s="21" t="inlineStr">
        <is>
          <t>15</t>
        </is>
      </c>
      <c r="B392" s="21" t="inlineStr">
        <is>
          <t>73990</t>
        </is>
      </c>
      <c r="C392" s="21" t="inlineStr"/>
      <c r="D392" s="21" t="inlineStr">
        <is>
          <t>DJOUMOI</t>
        </is>
      </c>
      <c r="E392" s="21" t="inlineStr">
        <is>
          <t>SOULE NAZLATI</t>
        </is>
      </c>
      <c r="F392" s="21" t="inlineStr">
        <is>
          <t>24/12/2005</t>
        </is>
      </c>
      <c r="G392" s="21" t="inlineStr">
        <is>
          <t>CHEZANI MBOINKOU</t>
        </is>
      </c>
      <c r="H392" s="21" t="inlineStr"/>
      <c r="I392" s="21" t="inlineStr">
        <is>
          <t>L2</t>
        </is>
      </c>
      <c r="J392" s="21" t="inlineStr">
        <is>
          <t>Soins obstétricaux</t>
        </is>
      </c>
      <c r="K392" s="21" t="inlineStr"/>
      <c r="L392" s="21" t="inlineStr">
        <is>
          <t>2025-2026</t>
        </is>
      </c>
      <c r="M392" s="21" t="inlineStr">
        <is>
          <t>Inscrit</t>
        </is>
      </c>
      <c r="N392" s="21" t="inlineStr"/>
      <c r="O392" s="21" t="inlineStr">
        <is>
          <t>import</t>
        </is>
      </c>
    </row>
    <row r="393">
      <c r="A393" s="21" t="inlineStr">
        <is>
          <t>16</t>
        </is>
      </c>
      <c r="B393" s="21" t="inlineStr">
        <is>
          <t>69681</t>
        </is>
      </c>
      <c r="C393" s="21" t="inlineStr"/>
      <c r="D393" s="21" t="inlineStr">
        <is>
          <t>ECHA</t>
        </is>
      </c>
      <c r="E393" s="21" t="inlineStr">
        <is>
          <t>ALI HOUMADI</t>
        </is>
      </c>
      <c r="F393" s="21" t="inlineStr">
        <is>
          <t>29/09/2001</t>
        </is>
      </c>
      <c r="G393" s="21" t="inlineStr">
        <is>
          <t>MTE DE MORONI</t>
        </is>
      </c>
      <c r="H393" s="21" t="inlineStr"/>
      <c r="I393" s="21" t="inlineStr">
        <is>
          <t>L2</t>
        </is>
      </c>
      <c r="J393" s="21" t="inlineStr">
        <is>
          <t>Soins obstétricaux</t>
        </is>
      </c>
      <c r="K393" s="21" t="inlineStr"/>
      <c r="L393" s="21" t="inlineStr">
        <is>
          <t>2025-2026</t>
        </is>
      </c>
      <c r="M393" s="21" t="inlineStr">
        <is>
          <t>Inscrit</t>
        </is>
      </c>
      <c r="N393" s="21" t="inlineStr"/>
      <c r="O393" s="21" t="inlineStr">
        <is>
          <t>import</t>
        </is>
      </c>
    </row>
    <row r="394">
      <c r="A394" s="21" t="inlineStr">
        <is>
          <t>17</t>
        </is>
      </c>
      <c r="B394" s="21" t="inlineStr">
        <is>
          <t>74631</t>
        </is>
      </c>
      <c r="C394" s="21" t="inlineStr"/>
      <c r="D394" s="21" t="inlineStr">
        <is>
          <t>FAIDATI</t>
        </is>
      </c>
      <c r="E394" s="21" t="inlineStr">
        <is>
          <t>MOHAMED</t>
        </is>
      </c>
      <c r="F394" s="21" t="inlineStr">
        <is>
          <t>17/09/2007</t>
        </is>
      </c>
      <c r="G394" s="21" t="inlineStr">
        <is>
          <t>TSINIMOIPANGA - DOMBA</t>
        </is>
      </c>
      <c r="H394" s="21" t="inlineStr"/>
      <c r="I394" s="21" t="inlineStr">
        <is>
          <t>L2</t>
        </is>
      </c>
      <c r="J394" s="21" t="inlineStr">
        <is>
          <t>Soins obstétricaux</t>
        </is>
      </c>
      <c r="K394" s="21" t="inlineStr"/>
      <c r="L394" s="21" t="inlineStr">
        <is>
          <t>2025-2026</t>
        </is>
      </c>
      <c r="M394" s="21" t="inlineStr">
        <is>
          <t>Inscrit</t>
        </is>
      </c>
      <c r="N394" s="21" t="inlineStr"/>
      <c r="O394" s="21" t="inlineStr">
        <is>
          <t>import</t>
        </is>
      </c>
    </row>
    <row r="395">
      <c r="A395" s="21" t="inlineStr">
        <is>
          <t>18</t>
        </is>
      </c>
      <c r="B395" s="21" t="inlineStr">
        <is>
          <t>75269</t>
        </is>
      </c>
      <c r="C395" s="21" t="inlineStr"/>
      <c r="D395" s="21" t="inlineStr">
        <is>
          <t>FAIKA</t>
        </is>
      </c>
      <c r="E395" s="21" t="inlineStr">
        <is>
          <t>ABDOULBASTOI HASSANE</t>
        </is>
      </c>
      <c r="F395" s="21" t="inlineStr">
        <is>
          <t>06/01/2005</t>
        </is>
      </c>
      <c r="G395" s="21" t="inlineStr">
        <is>
          <t>MTE DE MORONI</t>
        </is>
      </c>
      <c r="H395" s="21" t="inlineStr"/>
      <c r="I395" s="21" t="inlineStr">
        <is>
          <t>L2</t>
        </is>
      </c>
      <c r="J395" s="21" t="inlineStr">
        <is>
          <t>Soins obstétricaux</t>
        </is>
      </c>
      <c r="K395" s="21" t="inlineStr"/>
      <c r="L395" s="21" t="inlineStr">
        <is>
          <t>2025-2026</t>
        </is>
      </c>
      <c r="M395" s="21" t="inlineStr">
        <is>
          <t>Inscrit</t>
        </is>
      </c>
      <c r="N395" s="21" t="inlineStr"/>
      <c r="O395" s="21" t="inlineStr">
        <is>
          <t>import</t>
        </is>
      </c>
    </row>
    <row r="396">
      <c r="A396" s="21" t="inlineStr">
        <is>
          <t>19</t>
        </is>
      </c>
      <c r="B396" s="21" t="inlineStr">
        <is>
          <t>74353</t>
        </is>
      </c>
      <c r="C396" s="21" t="inlineStr"/>
      <c r="D396" s="21" t="inlineStr">
        <is>
          <t>FAKRATI</t>
        </is>
      </c>
      <c r="E396" s="21" t="inlineStr">
        <is>
          <t>YOUSSOUF</t>
        </is>
      </c>
      <c r="F396" s="21" t="inlineStr">
        <is>
          <t>26/08/2005</t>
        </is>
      </c>
      <c r="G396" s="21" t="inlineStr">
        <is>
          <t>HAHAYA</t>
        </is>
      </c>
      <c r="H396" s="21" t="inlineStr"/>
      <c r="I396" s="21" t="inlineStr">
        <is>
          <t>L2</t>
        </is>
      </c>
      <c r="J396" s="21" t="inlineStr">
        <is>
          <t>Soins obstétricaux</t>
        </is>
      </c>
      <c r="K396" s="21" t="inlineStr"/>
      <c r="L396" s="21" t="inlineStr">
        <is>
          <t>2025-2026</t>
        </is>
      </c>
      <c r="M396" s="21" t="inlineStr">
        <is>
          <t>Inscrit</t>
        </is>
      </c>
      <c r="N396" s="21" t="inlineStr"/>
      <c r="O396" s="21" t="inlineStr">
        <is>
          <t>import</t>
        </is>
      </c>
    </row>
    <row r="397">
      <c r="A397" s="21" t="inlineStr">
        <is>
          <t>20</t>
        </is>
      </c>
      <c r="B397" s="21" t="inlineStr">
        <is>
          <t>74705</t>
        </is>
      </c>
      <c r="C397" s="21" t="inlineStr"/>
      <c r="D397" s="21" t="inlineStr">
        <is>
          <t>FARDAT</t>
        </is>
      </c>
      <c r="E397" s="21" t="inlineStr">
        <is>
          <t>MOUHICHIMIOI</t>
        </is>
      </c>
      <c r="F397" s="21" t="inlineStr">
        <is>
          <t>05/11/2005</t>
        </is>
      </c>
      <c r="G397" s="21" t="inlineStr">
        <is>
          <t>CENTRE DE SANTE DE TSEMBEHOU - ANJOUAN</t>
        </is>
      </c>
      <c r="H397" s="21" t="inlineStr"/>
      <c r="I397" s="21" t="inlineStr">
        <is>
          <t>L2</t>
        </is>
      </c>
      <c r="J397" s="21" t="inlineStr">
        <is>
          <t>Soins obstétricaux</t>
        </is>
      </c>
      <c r="K397" s="21" t="inlineStr"/>
      <c r="L397" s="21" t="inlineStr">
        <is>
          <t>2025-2026</t>
        </is>
      </c>
      <c r="M397" s="21" t="inlineStr">
        <is>
          <t>Inscrit</t>
        </is>
      </c>
      <c r="N397" s="21" t="inlineStr"/>
      <c r="O397" s="21" t="inlineStr">
        <is>
          <t>import</t>
        </is>
      </c>
    </row>
    <row r="398">
      <c r="A398" s="21" t="inlineStr">
        <is>
          <t>21</t>
        </is>
      </c>
      <c r="B398" s="21" t="inlineStr">
        <is>
          <t>75697</t>
        </is>
      </c>
      <c r="C398" s="21" t="inlineStr"/>
      <c r="D398" s="21" t="inlineStr">
        <is>
          <t>FATIMA</t>
        </is>
      </c>
      <c r="E398" s="21" t="inlineStr">
        <is>
          <t>BINTI AHAMADI</t>
        </is>
      </c>
      <c r="F398" s="21" t="inlineStr">
        <is>
          <t>30/04/2004</t>
        </is>
      </c>
      <c r="G398" s="21" t="inlineStr">
        <is>
          <t>MTE DE DOMONI</t>
        </is>
      </c>
      <c r="H398" s="21" t="inlineStr"/>
      <c r="I398" s="21" t="inlineStr">
        <is>
          <t>L2</t>
        </is>
      </c>
      <c r="J398" s="21" t="inlineStr">
        <is>
          <t>Soins obstétricaux</t>
        </is>
      </c>
      <c r="K398" s="21" t="inlineStr"/>
      <c r="L398" s="21" t="inlineStr">
        <is>
          <t>2025-2026</t>
        </is>
      </c>
      <c r="M398" s="21" t="inlineStr">
        <is>
          <t>Inscrit</t>
        </is>
      </c>
      <c r="N398" s="21" t="inlineStr"/>
      <c r="O398" s="21" t="inlineStr">
        <is>
          <t>import</t>
        </is>
      </c>
    </row>
    <row r="399">
      <c r="A399" s="21" t="inlineStr">
        <is>
          <t>22</t>
        </is>
      </c>
      <c r="B399" s="21" t="inlineStr">
        <is>
          <t>74478</t>
        </is>
      </c>
      <c r="C399" s="21" t="inlineStr"/>
      <c r="D399" s="21" t="inlineStr">
        <is>
          <t>FATOUMIA</t>
        </is>
      </c>
      <c r="E399" s="21" t="inlineStr">
        <is>
          <t>YOUSSOUF MDAHOMA</t>
        </is>
      </c>
      <c r="F399" s="21" t="inlineStr">
        <is>
          <t>16/12/2004</t>
        </is>
      </c>
      <c r="G399" s="21" t="inlineStr">
        <is>
          <t>MTE DE MORONI</t>
        </is>
      </c>
      <c r="H399" s="21" t="inlineStr"/>
      <c r="I399" s="21" t="inlineStr">
        <is>
          <t>L2</t>
        </is>
      </c>
      <c r="J399" s="21" t="inlineStr">
        <is>
          <t>Soins obstétricaux</t>
        </is>
      </c>
      <c r="K399" s="21" t="inlineStr"/>
      <c r="L399" s="21" t="inlineStr">
        <is>
          <t>2025-2026</t>
        </is>
      </c>
      <c r="M399" s="21" t="inlineStr">
        <is>
          <t>Inscrit</t>
        </is>
      </c>
      <c r="N399" s="21" t="inlineStr"/>
      <c r="O399" s="21" t="inlineStr">
        <is>
          <t>import</t>
        </is>
      </c>
    </row>
    <row r="400">
      <c r="A400" s="21" t="inlineStr">
        <is>
          <t>23</t>
        </is>
      </c>
      <c r="B400" s="21" t="inlineStr">
        <is>
          <t>75347</t>
        </is>
      </c>
      <c r="C400" s="21" t="inlineStr"/>
      <c r="D400" s="21" t="inlineStr">
        <is>
          <t>FAZAL</t>
        </is>
      </c>
      <c r="E400" s="21" t="inlineStr">
        <is>
          <t>SAID ABDOU</t>
        </is>
      </c>
      <c r="F400" s="21" t="inlineStr">
        <is>
          <t>03/05/2003</t>
        </is>
      </c>
      <c r="G400" s="21" t="inlineStr">
        <is>
          <t>MOHORO B/EST</t>
        </is>
      </c>
      <c r="H400" s="21" t="inlineStr"/>
      <c r="I400" s="21" t="inlineStr">
        <is>
          <t>L2</t>
        </is>
      </c>
      <c r="J400" s="21" t="inlineStr">
        <is>
          <t>Soins obstétricaux</t>
        </is>
      </c>
      <c r="K400" s="21" t="inlineStr"/>
      <c r="L400" s="21" t="inlineStr">
        <is>
          <t>2025-2026</t>
        </is>
      </c>
      <c r="M400" s="21" t="inlineStr">
        <is>
          <t>Inscrit</t>
        </is>
      </c>
      <c r="N400" s="21" t="inlineStr"/>
      <c r="O400" s="21" t="inlineStr">
        <is>
          <t>import</t>
        </is>
      </c>
    </row>
    <row r="401">
      <c r="A401" s="21" t="inlineStr">
        <is>
          <t>24</t>
        </is>
      </c>
      <c r="B401" s="21" t="inlineStr">
        <is>
          <t>75275</t>
        </is>
      </c>
      <c r="C401" s="21" t="inlineStr"/>
      <c r="D401" s="21" t="inlineStr">
        <is>
          <t>FAZILA</t>
        </is>
      </c>
      <c r="E401" s="21" t="inlineStr">
        <is>
          <t>MOHAMED</t>
        </is>
      </c>
      <c r="F401" s="21" t="inlineStr">
        <is>
          <t>25/12/2004</t>
        </is>
      </c>
      <c r="G401" s="21" t="inlineStr">
        <is>
          <t>HAHAYA</t>
        </is>
      </c>
      <c r="H401" s="21" t="inlineStr"/>
      <c r="I401" s="21" t="inlineStr">
        <is>
          <t>L2</t>
        </is>
      </c>
      <c r="J401" s="21" t="inlineStr">
        <is>
          <t>Soins obstétricaux</t>
        </is>
      </c>
      <c r="K401" s="21" t="inlineStr"/>
      <c r="L401" s="21" t="inlineStr">
        <is>
          <t>2025-2026</t>
        </is>
      </c>
      <c r="M401" s="21" t="inlineStr">
        <is>
          <t>Inscrit</t>
        </is>
      </c>
      <c r="N401" s="21" t="inlineStr"/>
      <c r="O401" s="21" t="inlineStr">
        <is>
          <t>import</t>
        </is>
      </c>
    </row>
    <row r="402">
      <c r="A402" s="21" t="inlineStr">
        <is>
          <t>25</t>
        </is>
      </c>
      <c r="B402" s="21" t="inlineStr">
        <is>
          <t>76123</t>
        </is>
      </c>
      <c r="C402" s="21" t="inlineStr"/>
      <c r="D402" s="21" t="inlineStr">
        <is>
          <t>HABACHIYA_MLARAHA</t>
        </is>
      </c>
      <c r="E402" s="21" t="inlineStr"/>
      <c r="F402" s="21" t="inlineStr">
        <is>
          <t>20/09/2004</t>
        </is>
      </c>
      <c r="G402" s="21" t="inlineStr">
        <is>
          <t>MTE DE MORONI</t>
        </is>
      </c>
      <c r="H402" s="21" t="inlineStr"/>
      <c r="I402" s="21" t="inlineStr">
        <is>
          <t>L2</t>
        </is>
      </c>
      <c r="J402" s="21" t="inlineStr">
        <is>
          <t>Soins obstétricaux</t>
        </is>
      </c>
      <c r="K402" s="21" t="inlineStr"/>
      <c r="L402" s="21" t="inlineStr">
        <is>
          <t>2025-2026</t>
        </is>
      </c>
      <c r="M402" s="21" t="inlineStr">
        <is>
          <t>Inscrit</t>
        </is>
      </c>
      <c r="N402" s="21" t="inlineStr"/>
      <c r="O402" s="21" t="inlineStr">
        <is>
          <t>import</t>
        </is>
      </c>
    </row>
    <row r="403">
      <c r="A403" s="21" t="inlineStr">
        <is>
          <t>26</t>
        </is>
      </c>
      <c r="B403" s="21" t="inlineStr">
        <is>
          <t>74264</t>
        </is>
      </c>
      <c r="C403" s="21" t="inlineStr"/>
      <c r="D403" s="21" t="inlineStr">
        <is>
          <t>HABDALLAH</t>
        </is>
      </c>
      <c r="E403" s="21" t="inlineStr">
        <is>
          <t>ALI ROUKYA</t>
        </is>
      </c>
      <c r="F403" s="21" t="inlineStr">
        <is>
          <t>25/12/2006</t>
        </is>
      </c>
      <c r="G403" s="21" t="inlineStr">
        <is>
          <t>FOUMBOUNI BADJINI EST</t>
        </is>
      </c>
      <c r="H403" s="21" t="inlineStr"/>
      <c r="I403" s="21" t="inlineStr">
        <is>
          <t>L2</t>
        </is>
      </c>
      <c r="J403" s="21" t="inlineStr">
        <is>
          <t>Soins obstétricaux</t>
        </is>
      </c>
      <c r="K403" s="21" t="inlineStr"/>
      <c r="L403" s="21" t="inlineStr">
        <is>
          <t>2025-2026</t>
        </is>
      </c>
      <c r="M403" s="21" t="inlineStr">
        <is>
          <t>Inscrit</t>
        </is>
      </c>
      <c r="N403" s="21" t="inlineStr"/>
      <c r="O403" s="21" t="inlineStr">
        <is>
          <t>import</t>
        </is>
      </c>
    </row>
    <row r="404">
      <c r="A404" s="21" t="inlineStr">
        <is>
          <t>27</t>
        </is>
      </c>
      <c r="B404" s="21" t="inlineStr">
        <is>
          <t>75852</t>
        </is>
      </c>
      <c r="C404" s="21" t="inlineStr"/>
      <c r="D404" s="21" t="inlineStr">
        <is>
          <t>HACHIMINE</t>
        </is>
      </c>
      <c r="E404" s="21" t="inlineStr">
        <is>
          <t>NAOUMANE</t>
        </is>
      </c>
      <c r="F404" s="21" t="inlineStr">
        <is>
          <t>25/05/2005</t>
        </is>
      </c>
      <c r="G404" s="21" t="inlineStr">
        <is>
          <t>JIMILIME - ANJOUAN</t>
        </is>
      </c>
      <c r="H404" s="21" t="inlineStr"/>
      <c r="I404" s="21" t="inlineStr">
        <is>
          <t>L2</t>
        </is>
      </c>
      <c r="J404" s="21" t="inlineStr">
        <is>
          <t>Soins obstétricaux</t>
        </is>
      </c>
      <c r="K404" s="21" t="inlineStr"/>
      <c r="L404" s="21" t="inlineStr">
        <is>
          <t>2025-2026</t>
        </is>
      </c>
      <c r="M404" s="21" t="inlineStr">
        <is>
          <t>Inscrit</t>
        </is>
      </c>
      <c r="N404" s="21" t="inlineStr"/>
      <c r="O404" s="21" t="inlineStr">
        <is>
          <t>import</t>
        </is>
      </c>
    </row>
    <row r="405">
      <c r="A405" s="21" t="inlineStr">
        <is>
          <t>28</t>
        </is>
      </c>
      <c r="B405" s="21" t="inlineStr">
        <is>
          <t>74460</t>
        </is>
      </c>
      <c r="C405" s="21" t="inlineStr"/>
      <c r="D405" s="21" t="inlineStr">
        <is>
          <t>HADHOIRMIA</t>
        </is>
      </c>
      <c r="E405" s="21" t="inlineStr">
        <is>
          <t>RAMADHOINI</t>
        </is>
      </c>
      <c r="F405" s="21" t="inlineStr">
        <is>
          <t>18/09/2007</t>
        </is>
      </c>
      <c r="G405" s="21" t="inlineStr">
        <is>
          <t>NTSOUDJINI</t>
        </is>
      </c>
      <c r="H405" s="21" t="inlineStr"/>
      <c r="I405" s="21" t="inlineStr">
        <is>
          <t>L2</t>
        </is>
      </c>
      <c r="J405" s="21" t="inlineStr">
        <is>
          <t>Soins obstétricaux</t>
        </is>
      </c>
      <c r="K405" s="21" t="inlineStr"/>
      <c r="L405" s="21" t="inlineStr">
        <is>
          <t>2025-2026</t>
        </is>
      </c>
      <c r="M405" s="21" t="inlineStr">
        <is>
          <t>Inscrit</t>
        </is>
      </c>
      <c r="N405" s="21" t="inlineStr"/>
      <c r="O405" s="21" t="inlineStr">
        <is>
          <t>import</t>
        </is>
      </c>
    </row>
    <row r="406">
      <c r="A406" s="21" t="inlineStr">
        <is>
          <t>29</t>
        </is>
      </c>
      <c r="B406" s="21" t="inlineStr">
        <is>
          <t>72476</t>
        </is>
      </c>
      <c r="C406" s="21" t="inlineStr"/>
      <c r="D406" s="21" t="inlineStr">
        <is>
          <t>HADIDJA</t>
        </is>
      </c>
      <c r="E406" s="21" t="inlineStr">
        <is>
          <t>MMADI MMADI</t>
        </is>
      </c>
      <c r="F406" s="21" t="inlineStr">
        <is>
          <t>08/02/2000</t>
        </is>
      </c>
      <c r="G406" s="21" t="inlineStr">
        <is>
          <t>MTE DE MORONI</t>
        </is>
      </c>
      <c r="H406" s="21" t="inlineStr"/>
      <c r="I406" s="21" t="inlineStr">
        <is>
          <t>L2</t>
        </is>
      </c>
      <c r="J406" s="21" t="inlineStr">
        <is>
          <t>Soins obstétricaux</t>
        </is>
      </c>
      <c r="K406" s="21" t="inlineStr"/>
      <c r="L406" s="21" t="inlineStr">
        <is>
          <t>2025-2026</t>
        </is>
      </c>
      <c r="M406" s="21" t="inlineStr">
        <is>
          <t>Inscrit</t>
        </is>
      </c>
      <c r="N406" s="21" t="inlineStr"/>
      <c r="O406" s="21" t="inlineStr">
        <is>
          <t>import</t>
        </is>
      </c>
    </row>
    <row r="407">
      <c r="A407" s="21" t="inlineStr">
        <is>
          <t>30</t>
        </is>
      </c>
      <c r="B407" s="21" t="inlineStr">
        <is>
          <t>73408</t>
        </is>
      </c>
      <c r="C407" s="21" t="inlineStr"/>
      <c r="D407" s="21" t="inlineStr">
        <is>
          <t>HADIDJA</t>
        </is>
      </c>
      <c r="E407" s="21" t="inlineStr">
        <is>
          <t>SAID HAMADI</t>
        </is>
      </c>
      <c r="F407" s="21" t="inlineStr">
        <is>
          <t>10/06/2006</t>
        </is>
      </c>
      <c r="G407" s="21" t="inlineStr">
        <is>
          <t>PIDJANI - DOMBA</t>
        </is>
      </c>
      <c r="H407" s="21" t="inlineStr"/>
      <c r="I407" s="21" t="inlineStr">
        <is>
          <t>L2</t>
        </is>
      </c>
      <c r="J407" s="21" t="inlineStr">
        <is>
          <t>Soins obstétricaux</t>
        </is>
      </c>
      <c r="K407" s="21" t="inlineStr"/>
      <c r="L407" s="21" t="inlineStr">
        <is>
          <t>2025-2026</t>
        </is>
      </c>
      <c r="M407" s="21" t="inlineStr">
        <is>
          <t>Inscrit</t>
        </is>
      </c>
      <c r="N407" s="21" t="inlineStr"/>
      <c r="O407" s="21" t="inlineStr">
        <is>
          <t>import</t>
        </is>
      </c>
    </row>
    <row r="408">
      <c r="A408" s="21" t="inlineStr">
        <is>
          <t>31</t>
        </is>
      </c>
      <c r="B408" s="21" t="inlineStr">
        <is>
          <t>72452</t>
        </is>
      </c>
      <c r="C408" s="21" t="inlineStr"/>
      <c r="D408" s="21" t="inlineStr">
        <is>
          <t>HADIDJA</t>
        </is>
      </c>
      <c r="E408" s="21" t="inlineStr">
        <is>
          <t>SAINDOU</t>
        </is>
      </c>
      <c r="F408" s="21" t="inlineStr">
        <is>
          <t>21/02/2003</t>
        </is>
      </c>
      <c r="G408" s="21" t="inlineStr">
        <is>
          <t>JIMILIME - ANJOUAN</t>
        </is>
      </c>
      <c r="H408" s="21" t="inlineStr"/>
      <c r="I408" s="21" t="inlineStr">
        <is>
          <t>L2</t>
        </is>
      </c>
      <c r="J408" s="21" t="inlineStr">
        <is>
          <t>Soins obstétricaux</t>
        </is>
      </c>
      <c r="K408" s="21" t="inlineStr"/>
      <c r="L408" s="21" t="inlineStr">
        <is>
          <t>2025-2026</t>
        </is>
      </c>
      <c r="M408" s="21" t="inlineStr">
        <is>
          <t>Inscrit</t>
        </is>
      </c>
      <c r="N408" s="21" t="inlineStr"/>
      <c r="O408" s="21" t="inlineStr">
        <is>
          <t>import</t>
        </is>
      </c>
    </row>
    <row r="409">
      <c r="A409" s="21" t="inlineStr">
        <is>
          <t>32</t>
        </is>
      </c>
      <c r="B409" s="21" t="inlineStr">
        <is>
          <t>76036</t>
        </is>
      </c>
      <c r="C409" s="21" t="inlineStr"/>
      <c r="D409" s="21" t="inlineStr">
        <is>
          <t>HADJIRA</t>
        </is>
      </c>
      <c r="E409" s="21" t="inlineStr">
        <is>
          <t>SAID AHAMADI</t>
        </is>
      </c>
      <c r="F409" s="21" t="inlineStr">
        <is>
          <t>11/01/2007</t>
        </is>
      </c>
      <c r="G409" s="21" t="inlineStr">
        <is>
          <t>MTE DE HOMBO</t>
        </is>
      </c>
      <c r="H409" s="21" t="inlineStr"/>
      <c r="I409" s="21" t="inlineStr">
        <is>
          <t>L2</t>
        </is>
      </c>
      <c r="J409" s="21" t="inlineStr">
        <is>
          <t>Soins obstétricaux</t>
        </is>
      </c>
      <c r="K409" s="21" t="inlineStr"/>
      <c r="L409" s="21" t="inlineStr">
        <is>
          <t>2025-2026</t>
        </is>
      </c>
      <c r="M409" s="21" t="inlineStr">
        <is>
          <t>Inscrit</t>
        </is>
      </c>
      <c r="N409" s="21" t="inlineStr"/>
      <c r="O409" s="21" t="inlineStr">
        <is>
          <t>import</t>
        </is>
      </c>
    </row>
    <row r="410">
      <c r="A410" s="21" t="inlineStr">
        <is>
          <t>33</t>
        </is>
      </c>
      <c r="B410" s="21" t="inlineStr">
        <is>
          <t>75926</t>
        </is>
      </c>
      <c r="C410" s="21" t="inlineStr"/>
      <c r="D410" s="21" t="inlineStr">
        <is>
          <t>HALIMA</t>
        </is>
      </c>
      <c r="E410" s="21" t="inlineStr">
        <is>
          <t>AHMED</t>
        </is>
      </c>
      <c r="F410" s="21" t="inlineStr">
        <is>
          <t>22/12/2003</t>
        </is>
      </c>
      <c r="G410" s="21" t="inlineStr">
        <is>
          <t>SAANDANI</t>
        </is>
      </c>
      <c r="H410" s="21" t="inlineStr"/>
      <c r="I410" s="21" t="inlineStr">
        <is>
          <t>L2</t>
        </is>
      </c>
      <c r="J410" s="21" t="inlineStr">
        <is>
          <t>Soins obstétricaux</t>
        </is>
      </c>
      <c r="K410" s="21" t="inlineStr"/>
      <c r="L410" s="21" t="inlineStr">
        <is>
          <t>2025-2026</t>
        </is>
      </c>
      <c r="M410" s="21" t="inlineStr">
        <is>
          <t>Inscrit</t>
        </is>
      </c>
      <c r="N410" s="21" t="inlineStr"/>
      <c r="O410" s="21" t="inlineStr">
        <is>
          <t>import</t>
        </is>
      </c>
    </row>
    <row r="411">
      <c r="A411" s="21" t="inlineStr">
        <is>
          <t>34</t>
        </is>
      </c>
      <c r="B411" s="21" t="inlineStr">
        <is>
          <t>66924</t>
        </is>
      </c>
      <c r="C411" s="21" t="inlineStr"/>
      <c r="D411" s="21" t="inlineStr">
        <is>
          <t>HALIMA</t>
        </is>
      </c>
      <c r="E411" s="21" t="inlineStr">
        <is>
          <t>HASSANE</t>
        </is>
      </c>
      <c r="F411" s="21" t="inlineStr">
        <is>
          <t>25/12/1999</t>
        </is>
      </c>
      <c r="G411" s="21" t="inlineStr">
        <is>
          <t>NIOUMADZAHA BADJINI EST</t>
        </is>
      </c>
      <c r="H411" s="21" t="inlineStr"/>
      <c r="I411" s="21" t="inlineStr">
        <is>
          <t>L2</t>
        </is>
      </c>
      <c r="J411" s="21" t="inlineStr">
        <is>
          <t>Soins obstétricaux</t>
        </is>
      </c>
      <c r="K411" s="21" t="inlineStr"/>
      <c r="L411" s="21" t="inlineStr">
        <is>
          <t>2025-2026</t>
        </is>
      </c>
      <c r="M411" s="21" t="inlineStr">
        <is>
          <t>Inscrit</t>
        </is>
      </c>
      <c r="N411" s="21" t="inlineStr"/>
      <c r="O411" s="21" t="inlineStr">
        <is>
          <t>import</t>
        </is>
      </c>
    </row>
    <row r="412">
      <c r="A412" s="21" t="inlineStr">
        <is>
          <t>35</t>
        </is>
      </c>
      <c r="B412" s="21" t="inlineStr">
        <is>
          <t>73354</t>
        </is>
      </c>
      <c r="C412" s="21" t="inlineStr"/>
      <c r="D412" s="21" t="inlineStr">
        <is>
          <t>HAMIDATI</t>
        </is>
      </c>
      <c r="E412" s="21" t="inlineStr">
        <is>
          <t>HASSANI</t>
        </is>
      </c>
      <c r="F412" s="21" t="inlineStr">
        <is>
          <t>20/12/2004</t>
        </is>
      </c>
      <c r="G412" s="21" t="inlineStr">
        <is>
          <t>SIMAMBOINI B/EST</t>
        </is>
      </c>
      <c r="H412" s="21" t="inlineStr"/>
      <c r="I412" s="21" t="inlineStr">
        <is>
          <t>L2</t>
        </is>
      </c>
      <c r="J412" s="21" t="inlineStr">
        <is>
          <t>Soins obstétricaux</t>
        </is>
      </c>
      <c r="K412" s="21" t="inlineStr"/>
      <c r="L412" s="21" t="inlineStr">
        <is>
          <t>2025-2026</t>
        </is>
      </c>
      <c r="M412" s="21" t="inlineStr">
        <is>
          <t>Inscrit</t>
        </is>
      </c>
      <c r="N412" s="21" t="inlineStr"/>
      <c r="O412" s="21" t="inlineStr">
        <is>
          <t>import</t>
        </is>
      </c>
    </row>
    <row r="413">
      <c r="A413" s="21" t="inlineStr">
        <is>
          <t>36</t>
        </is>
      </c>
      <c r="B413" s="21" t="inlineStr">
        <is>
          <t>75944</t>
        </is>
      </c>
      <c r="C413" s="21" t="inlineStr"/>
      <c r="D413" s="21" t="inlineStr">
        <is>
          <t>HIDMATILLAH</t>
        </is>
      </c>
      <c r="E413" s="21" t="inlineStr">
        <is>
          <t>SAINDOU</t>
        </is>
      </c>
      <c r="F413" s="21" t="inlineStr">
        <is>
          <t>31/08/2005</t>
        </is>
      </c>
      <c r="G413" s="21" t="inlineStr">
        <is>
          <t>L' HOPITAL DE TSEMBEHOU ANJOUAN</t>
        </is>
      </c>
      <c r="H413" s="21" t="inlineStr"/>
      <c r="I413" s="21" t="inlineStr">
        <is>
          <t>L2</t>
        </is>
      </c>
      <c r="J413" s="21" t="inlineStr">
        <is>
          <t>Soins obstétricaux</t>
        </is>
      </c>
      <c r="K413" s="21" t="inlineStr"/>
      <c r="L413" s="21" t="inlineStr">
        <is>
          <t>2025-2026</t>
        </is>
      </c>
      <c r="M413" s="21" t="inlineStr">
        <is>
          <t>Inscrit</t>
        </is>
      </c>
      <c r="N413" s="21" t="inlineStr"/>
      <c r="O413" s="21" t="inlineStr">
        <is>
          <t>import</t>
        </is>
      </c>
    </row>
    <row r="414">
      <c r="A414" s="21" t="inlineStr">
        <is>
          <t>37</t>
        </is>
      </c>
      <c r="B414" s="21" t="inlineStr">
        <is>
          <t>67750</t>
        </is>
      </c>
      <c r="C414" s="21" t="inlineStr"/>
      <c r="D414" s="21" t="inlineStr">
        <is>
          <t>HILDA</t>
        </is>
      </c>
      <c r="E414" s="21" t="inlineStr">
        <is>
          <t>ATHOUMANI</t>
        </is>
      </c>
      <c r="F414" s="21" t="inlineStr">
        <is>
          <t>13/03/2004</t>
        </is>
      </c>
      <c r="G414" s="21" t="inlineStr">
        <is>
          <t>DZOIDJOU B/OUEST</t>
        </is>
      </c>
      <c r="H414" s="21" t="inlineStr"/>
      <c r="I414" s="21" t="inlineStr">
        <is>
          <t>L2</t>
        </is>
      </c>
      <c r="J414" s="21" t="inlineStr">
        <is>
          <t>Soins obstétricaux</t>
        </is>
      </c>
      <c r="K414" s="21" t="inlineStr"/>
      <c r="L414" s="21" t="inlineStr">
        <is>
          <t>2025-2026</t>
        </is>
      </c>
      <c r="M414" s="21" t="inlineStr">
        <is>
          <t>Inscrit</t>
        </is>
      </c>
      <c r="N414" s="21" t="inlineStr"/>
      <c r="O414" s="21" t="inlineStr">
        <is>
          <t>import</t>
        </is>
      </c>
    </row>
    <row r="415">
      <c r="A415" s="21" t="inlineStr">
        <is>
          <t>38</t>
        </is>
      </c>
      <c r="B415" s="21" t="inlineStr">
        <is>
          <t>73648</t>
        </is>
      </c>
      <c r="C415" s="21" t="inlineStr"/>
      <c r="D415" s="21" t="inlineStr">
        <is>
          <t>HOUZOUNA</t>
        </is>
      </c>
      <c r="E415" s="21" t="inlineStr">
        <is>
          <t>ABDOULLATUF</t>
        </is>
      </c>
      <c r="F415" s="21" t="inlineStr">
        <is>
          <t>24/02/2005</t>
        </is>
      </c>
      <c r="G415" s="21" t="inlineStr">
        <is>
          <t>MATERNITE MREMANI</t>
        </is>
      </c>
      <c r="H415" s="21" t="inlineStr"/>
      <c r="I415" s="21" t="inlineStr">
        <is>
          <t>L2</t>
        </is>
      </c>
      <c r="J415" s="21" t="inlineStr">
        <is>
          <t>Soins obstétricaux</t>
        </is>
      </c>
      <c r="K415" s="21" t="inlineStr"/>
      <c r="L415" s="21" t="inlineStr">
        <is>
          <t>2025-2026</t>
        </is>
      </c>
      <c r="M415" s="21" t="inlineStr">
        <is>
          <t>Inscrit</t>
        </is>
      </c>
      <c r="N415" s="21" t="inlineStr"/>
      <c r="O415" s="21" t="inlineStr">
        <is>
          <t>import</t>
        </is>
      </c>
    </row>
    <row r="416">
      <c r="A416" s="21" t="inlineStr">
        <is>
          <t>39</t>
        </is>
      </c>
      <c r="B416" s="21" t="inlineStr">
        <is>
          <t>75980</t>
        </is>
      </c>
      <c r="C416" s="21" t="inlineStr"/>
      <c r="D416" s="21" t="inlineStr">
        <is>
          <t>KATRINE</t>
        </is>
      </c>
      <c r="E416" s="21" t="inlineStr">
        <is>
          <t>KAMARDINE</t>
        </is>
      </c>
      <c r="F416" s="21" t="inlineStr">
        <is>
          <t>12/04/2004</t>
        </is>
      </c>
      <c r="G416" s="21" t="inlineStr">
        <is>
          <t>HAHAYA</t>
        </is>
      </c>
      <c r="H416" s="21" t="inlineStr"/>
      <c r="I416" s="21" t="inlineStr">
        <is>
          <t>L2</t>
        </is>
      </c>
      <c r="J416" s="21" t="inlineStr">
        <is>
          <t>Soins obstétricaux</t>
        </is>
      </c>
      <c r="K416" s="21" t="inlineStr"/>
      <c r="L416" s="21" t="inlineStr">
        <is>
          <t>2025-2026</t>
        </is>
      </c>
      <c r="M416" s="21" t="inlineStr">
        <is>
          <t>Inscrit</t>
        </is>
      </c>
      <c r="N416" s="21" t="inlineStr"/>
      <c r="O416" s="21" t="inlineStr">
        <is>
          <t>import</t>
        </is>
      </c>
    </row>
    <row r="417">
      <c r="A417" s="21" t="inlineStr">
        <is>
          <t>40</t>
        </is>
      </c>
      <c r="B417" s="21" t="inlineStr">
        <is>
          <t>70706</t>
        </is>
      </c>
      <c r="C417" s="21" t="inlineStr"/>
      <c r="D417" s="21" t="inlineStr">
        <is>
          <t>LAIDA</t>
        </is>
      </c>
      <c r="E417" s="21" t="inlineStr">
        <is>
          <t>LAZIMINE</t>
        </is>
      </c>
      <c r="F417" s="21" t="inlineStr">
        <is>
          <t>07/09/2004</t>
        </is>
      </c>
      <c r="G417" s="21" t="inlineStr">
        <is>
          <t>MTE DE HOMBO ANJOUAN</t>
        </is>
      </c>
      <c r="H417" s="21" t="inlineStr"/>
      <c r="I417" s="21" t="inlineStr">
        <is>
          <t>L2</t>
        </is>
      </c>
      <c r="J417" s="21" t="inlineStr">
        <is>
          <t>Soins obstétricaux</t>
        </is>
      </c>
      <c r="K417" s="21" t="inlineStr"/>
      <c r="L417" s="21" t="inlineStr">
        <is>
          <t>2025-2026</t>
        </is>
      </c>
      <c r="M417" s="21" t="inlineStr">
        <is>
          <t>Inscrit</t>
        </is>
      </c>
      <c r="N417" s="21" t="inlineStr"/>
      <c r="O417" s="21" t="inlineStr">
        <is>
          <t>import</t>
        </is>
      </c>
    </row>
    <row r="418">
      <c r="A418" s="21" t="inlineStr">
        <is>
          <t>41</t>
        </is>
      </c>
      <c r="B418" s="21" t="inlineStr">
        <is>
          <t>76038</t>
        </is>
      </c>
      <c r="C418" s="21" t="inlineStr"/>
      <c r="D418" s="21" t="inlineStr">
        <is>
          <t>LOUBNA</t>
        </is>
      </c>
      <c r="E418" s="21" t="inlineStr">
        <is>
          <t>ABDOUL-HALIM</t>
        </is>
      </c>
      <c r="F418" s="21" t="inlineStr">
        <is>
          <t>18/08/2006</t>
        </is>
      </c>
      <c r="G418" s="21" t="inlineStr">
        <is>
          <t>M'RAMANI ANJOUAN</t>
        </is>
      </c>
      <c r="H418" s="21" t="inlineStr"/>
      <c r="I418" s="21" t="inlineStr">
        <is>
          <t>L2</t>
        </is>
      </c>
      <c r="J418" s="21" t="inlineStr">
        <is>
          <t>Soins obstétricaux</t>
        </is>
      </c>
      <c r="K418" s="21" t="inlineStr"/>
      <c r="L418" s="21" t="inlineStr">
        <is>
          <t>2025-2026</t>
        </is>
      </c>
      <c r="M418" s="21" t="inlineStr">
        <is>
          <t>Inscrit</t>
        </is>
      </c>
      <c r="N418" s="21" t="inlineStr"/>
      <c r="O418" s="21" t="inlineStr">
        <is>
          <t>import</t>
        </is>
      </c>
    </row>
    <row r="419">
      <c r="A419" s="21" t="inlineStr">
        <is>
          <t>42</t>
        </is>
      </c>
      <c r="B419" s="21" t="inlineStr">
        <is>
          <t>72480</t>
        </is>
      </c>
      <c r="C419" s="21" t="inlineStr"/>
      <c r="D419" s="21" t="inlineStr">
        <is>
          <t>MAISSARA</t>
        </is>
      </c>
      <c r="E419" s="21" t="inlineStr">
        <is>
          <t>MHOUDINI</t>
        </is>
      </c>
      <c r="F419" s="21" t="inlineStr">
        <is>
          <t>05/04/2003</t>
        </is>
      </c>
      <c r="G419" s="21" t="inlineStr">
        <is>
          <t>PIDJANI DOMBA</t>
        </is>
      </c>
      <c r="H419" s="21" t="inlineStr"/>
      <c r="I419" s="21" t="inlineStr">
        <is>
          <t>L2</t>
        </is>
      </c>
      <c r="J419" s="21" t="inlineStr">
        <is>
          <t>Soins obstétricaux</t>
        </is>
      </c>
      <c r="K419" s="21" t="inlineStr"/>
      <c r="L419" s="21" t="inlineStr">
        <is>
          <t>2025-2026</t>
        </is>
      </c>
      <c r="M419" s="21" t="inlineStr">
        <is>
          <t>Inscrit</t>
        </is>
      </c>
      <c r="N419" s="21" t="inlineStr"/>
      <c r="O419" s="21" t="inlineStr">
        <is>
          <t>import</t>
        </is>
      </c>
    </row>
    <row r="420">
      <c r="A420" s="21" t="inlineStr">
        <is>
          <t>43</t>
        </is>
      </c>
      <c r="B420" s="21" t="inlineStr">
        <is>
          <t>72797</t>
        </is>
      </c>
      <c r="C420" s="21" t="inlineStr"/>
      <c r="D420" s="21" t="inlineStr">
        <is>
          <t>MALIKA</t>
        </is>
      </c>
      <c r="E420" s="21" t="inlineStr">
        <is>
          <t>AHMED HOUMADI</t>
        </is>
      </c>
      <c r="F420" s="21" t="inlineStr">
        <is>
          <t>11/06/2005</t>
        </is>
      </c>
      <c r="G420" s="21" t="inlineStr">
        <is>
          <t>MTE DE OUANI</t>
        </is>
      </c>
      <c r="H420" s="21" t="inlineStr"/>
      <c r="I420" s="21" t="inlineStr">
        <is>
          <t>L2</t>
        </is>
      </c>
      <c r="J420" s="21" t="inlineStr">
        <is>
          <t>Soins obstétricaux</t>
        </is>
      </c>
      <c r="K420" s="21" t="inlineStr"/>
      <c r="L420" s="21" t="inlineStr">
        <is>
          <t>2025-2026</t>
        </is>
      </c>
      <c r="M420" s="21" t="inlineStr">
        <is>
          <t>Inscrit</t>
        </is>
      </c>
      <c r="N420" s="21" t="inlineStr"/>
      <c r="O420" s="21" t="inlineStr">
        <is>
          <t>import</t>
        </is>
      </c>
    </row>
    <row r="421">
      <c r="A421" s="21" t="inlineStr">
        <is>
          <t>44</t>
        </is>
      </c>
      <c r="B421" s="21" t="inlineStr">
        <is>
          <t>74125</t>
        </is>
      </c>
      <c r="C421" s="21" t="inlineStr"/>
      <c r="D421" s="21" t="inlineStr">
        <is>
          <t>MDAHOMA</t>
        </is>
      </c>
      <c r="E421" s="21" t="inlineStr">
        <is>
          <t>FARHIA</t>
        </is>
      </c>
      <c r="F421" s="21" t="inlineStr">
        <is>
          <t>03/05/2005</t>
        </is>
      </c>
      <c r="G421" s="21" t="inlineStr">
        <is>
          <t>TSINIMOIPANGA</t>
        </is>
      </c>
      <c r="H421" s="21" t="inlineStr"/>
      <c r="I421" s="21" t="inlineStr">
        <is>
          <t>L2</t>
        </is>
      </c>
      <c r="J421" s="21" t="inlineStr">
        <is>
          <t>Soins obstétricaux</t>
        </is>
      </c>
      <c r="K421" s="21" t="inlineStr"/>
      <c r="L421" s="21" t="inlineStr">
        <is>
          <t>2025-2026</t>
        </is>
      </c>
      <c r="M421" s="21" t="inlineStr">
        <is>
          <t>Inscrit</t>
        </is>
      </c>
      <c r="N421" s="21" t="inlineStr"/>
      <c r="O421" s="21" t="inlineStr">
        <is>
          <t>import</t>
        </is>
      </c>
    </row>
    <row r="422">
      <c r="A422" s="21" t="inlineStr">
        <is>
          <t>45</t>
        </is>
      </c>
      <c r="B422" s="21" t="inlineStr">
        <is>
          <t>75048</t>
        </is>
      </c>
      <c r="C422" s="21" t="inlineStr"/>
      <c r="D422" s="21" t="inlineStr">
        <is>
          <t>MOUINIATI</t>
        </is>
      </c>
      <c r="E422" s="21" t="inlineStr">
        <is>
          <t>SAID YASSINE</t>
        </is>
      </c>
      <c r="F422" s="21" t="inlineStr">
        <is>
          <t>28/12/2004</t>
        </is>
      </c>
      <c r="G422" s="21" t="inlineStr">
        <is>
          <t>NKOURANI SIMA</t>
        </is>
      </c>
      <c r="H422" s="21" t="inlineStr"/>
      <c r="I422" s="21" t="inlineStr">
        <is>
          <t>L2</t>
        </is>
      </c>
      <c r="J422" s="21" t="inlineStr">
        <is>
          <t>Soins obstétricaux</t>
        </is>
      </c>
      <c r="K422" s="21" t="inlineStr"/>
      <c r="L422" s="21" t="inlineStr">
        <is>
          <t>2025-2026</t>
        </is>
      </c>
      <c r="M422" s="21" t="inlineStr">
        <is>
          <t>Inscrit</t>
        </is>
      </c>
      <c r="N422" s="21" t="inlineStr"/>
      <c r="O422" s="21" t="inlineStr">
        <is>
          <t>import</t>
        </is>
      </c>
    </row>
    <row r="423">
      <c r="A423" s="21" t="inlineStr">
        <is>
          <t>46</t>
        </is>
      </c>
      <c r="B423" s="21" t="inlineStr">
        <is>
          <t>70265</t>
        </is>
      </c>
      <c r="C423" s="21" t="inlineStr"/>
      <c r="D423" s="21" t="inlineStr">
        <is>
          <t>NADIA</t>
        </is>
      </c>
      <c r="E423" s="21" t="inlineStr">
        <is>
          <t>KASSIM BACAR</t>
        </is>
      </c>
      <c r="F423" s="21" t="inlineStr">
        <is>
          <t>17/08/2003</t>
        </is>
      </c>
      <c r="G423" s="21" t="inlineStr">
        <is>
          <t>MREMANI ANJOUAN</t>
        </is>
      </c>
      <c r="H423" s="21" t="inlineStr"/>
      <c r="I423" s="21" t="inlineStr">
        <is>
          <t>L2</t>
        </is>
      </c>
      <c r="J423" s="21" t="inlineStr">
        <is>
          <t>Soins obstétricaux</t>
        </is>
      </c>
      <c r="K423" s="21" t="inlineStr"/>
      <c r="L423" s="21" t="inlineStr">
        <is>
          <t>2025-2026</t>
        </is>
      </c>
      <c r="M423" s="21" t="inlineStr">
        <is>
          <t>Inscrit</t>
        </is>
      </c>
      <c r="N423" s="21" t="inlineStr"/>
      <c r="O423" s="21" t="inlineStr">
        <is>
          <t>import</t>
        </is>
      </c>
    </row>
    <row r="424">
      <c r="A424" s="21" t="inlineStr">
        <is>
          <t>47</t>
        </is>
      </c>
      <c r="B424" s="21" t="inlineStr">
        <is>
          <t>73638</t>
        </is>
      </c>
      <c r="C424" s="21" t="inlineStr"/>
      <c r="D424" s="21" t="inlineStr">
        <is>
          <t>NATALI</t>
        </is>
      </c>
      <c r="E424" s="21" t="inlineStr">
        <is>
          <t>IBRAHIM</t>
        </is>
      </c>
      <c r="F424" s="21" t="inlineStr">
        <is>
          <t>18/12/2004</t>
        </is>
      </c>
      <c r="G424" s="21" t="inlineStr">
        <is>
          <t>DZOIDJOU BADJINI OUEST</t>
        </is>
      </c>
      <c r="H424" s="21" t="inlineStr"/>
      <c r="I424" s="21" t="inlineStr">
        <is>
          <t>L2</t>
        </is>
      </c>
      <c r="J424" s="21" t="inlineStr">
        <is>
          <t>Soins obstétricaux</t>
        </is>
      </c>
      <c r="K424" s="21" t="inlineStr"/>
      <c r="L424" s="21" t="inlineStr">
        <is>
          <t>2025-2026</t>
        </is>
      </c>
      <c r="M424" s="21" t="inlineStr">
        <is>
          <t>Inscrit</t>
        </is>
      </c>
      <c r="N424" s="21" t="inlineStr"/>
      <c r="O424" s="21" t="inlineStr">
        <is>
          <t>import</t>
        </is>
      </c>
    </row>
    <row r="425">
      <c r="A425" s="21" t="inlineStr">
        <is>
          <t>48</t>
        </is>
      </c>
      <c r="B425" s="21" t="inlineStr">
        <is>
          <t>73800</t>
        </is>
      </c>
      <c r="C425" s="21" t="inlineStr"/>
      <c r="D425" s="21" t="inlineStr">
        <is>
          <t>RAFIDA</t>
        </is>
      </c>
      <c r="E425" s="21" t="inlineStr">
        <is>
          <t>MOHAMED MSAHAZI</t>
        </is>
      </c>
      <c r="F425" s="21" t="inlineStr">
        <is>
          <t>07/01/2003</t>
        </is>
      </c>
      <c r="G425" s="21" t="inlineStr">
        <is>
          <t>NTSORALE DIMANI</t>
        </is>
      </c>
      <c r="H425" s="21" t="inlineStr"/>
      <c r="I425" s="21" t="inlineStr">
        <is>
          <t>L2</t>
        </is>
      </c>
      <c r="J425" s="21" t="inlineStr">
        <is>
          <t>Soins obstétricaux</t>
        </is>
      </c>
      <c r="K425" s="21" t="inlineStr"/>
      <c r="L425" s="21" t="inlineStr">
        <is>
          <t>2025-2026</t>
        </is>
      </c>
      <c r="M425" s="21" t="inlineStr">
        <is>
          <t>Inscrit</t>
        </is>
      </c>
      <c r="N425" s="21" t="inlineStr"/>
      <c r="O425" s="21" t="inlineStr">
        <is>
          <t>import</t>
        </is>
      </c>
    </row>
    <row r="426">
      <c r="A426" s="21" t="inlineStr">
        <is>
          <t>49</t>
        </is>
      </c>
      <c r="B426" s="21" t="inlineStr">
        <is>
          <t>69175</t>
        </is>
      </c>
      <c r="C426" s="21" t="inlineStr"/>
      <c r="D426" s="21" t="inlineStr">
        <is>
          <t>RAICHAM</t>
        </is>
      </c>
      <c r="E426" s="21" t="inlineStr">
        <is>
          <t>ALY IBOUROI</t>
        </is>
      </c>
      <c r="F426" s="21" t="inlineStr">
        <is>
          <t>09/08/2004</t>
        </is>
      </c>
      <c r="G426" s="21" t="inlineStr">
        <is>
          <t>MTE DE MORONI</t>
        </is>
      </c>
      <c r="H426" s="21" t="inlineStr"/>
      <c r="I426" s="21" t="inlineStr">
        <is>
          <t>L2</t>
        </is>
      </c>
      <c r="J426" s="21" t="inlineStr">
        <is>
          <t>Soins obstétricaux</t>
        </is>
      </c>
      <c r="K426" s="21" t="inlineStr"/>
      <c r="L426" s="21" t="inlineStr">
        <is>
          <t>2025-2026</t>
        </is>
      </c>
      <c r="M426" s="21" t="inlineStr">
        <is>
          <t>Inscrit</t>
        </is>
      </c>
      <c r="N426" s="21" t="inlineStr"/>
      <c r="O426" s="21" t="inlineStr">
        <is>
          <t>import</t>
        </is>
      </c>
    </row>
    <row r="427">
      <c r="A427" s="21" t="inlineStr">
        <is>
          <t>50</t>
        </is>
      </c>
      <c r="B427" s="21" t="inlineStr">
        <is>
          <t>76140</t>
        </is>
      </c>
      <c r="C427" s="21" t="inlineStr"/>
      <c r="D427" s="21" t="inlineStr">
        <is>
          <t>ROUKAYA</t>
        </is>
      </c>
      <c r="E427" s="21" t="inlineStr">
        <is>
          <t>BINTI SOULAIMANE</t>
        </is>
      </c>
      <c r="F427" s="21" t="inlineStr">
        <is>
          <t>20/09/2004</t>
        </is>
      </c>
      <c r="G427" s="21" t="inlineStr">
        <is>
          <t>CHANDRA</t>
        </is>
      </c>
      <c r="H427" s="21" t="inlineStr"/>
      <c r="I427" s="21" t="inlineStr">
        <is>
          <t>L2</t>
        </is>
      </c>
      <c r="J427" s="21" t="inlineStr">
        <is>
          <t>Soins obstétricaux</t>
        </is>
      </c>
      <c r="K427" s="21" t="inlineStr"/>
      <c r="L427" s="21" t="inlineStr">
        <is>
          <t>2025-2026</t>
        </is>
      </c>
      <c r="M427" s="21" t="inlineStr">
        <is>
          <t>Inscrit</t>
        </is>
      </c>
      <c r="N427" s="21" t="inlineStr"/>
      <c r="O427" s="21" t="inlineStr">
        <is>
          <t>import</t>
        </is>
      </c>
    </row>
    <row r="428">
      <c r="A428" s="21" t="inlineStr">
        <is>
          <t>51</t>
        </is>
      </c>
      <c r="B428" s="21" t="inlineStr">
        <is>
          <t>73931</t>
        </is>
      </c>
      <c r="C428" s="21" t="inlineStr"/>
      <c r="D428" s="21" t="inlineStr">
        <is>
          <t>SALIM</t>
        </is>
      </c>
      <c r="E428" s="21" t="inlineStr">
        <is>
          <t>BEN ALI CHAIMA</t>
        </is>
      </c>
      <c r="F428" s="21" t="inlineStr">
        <is>
          <t>28/02/2006</t>
        </is>
      </c>
      <c r="G428" s="21" t="inlineStr">
        <is>
          <t>MOYA ANJOUAN</t>
        </is>
      </c>
      <c r="H428" s="21" t="inlineStr"/>
      <c r="I428" s="21" t="inlineStr">
        <is>
          <t>L2</t>
        </is>
      </c>
      <c r="J428" s="21" t="inlineStr">
        <is>
          <t>Soins obstétricaux</t>
        </is>
      </c>
      <c r="K428" s="21" t="inlineStr"/>
      <c r="L428" s="21" t="inlineStr">
        <is>
          <t>2025-2026</t>
        </is>
      </c>
      <c r="M428" s="21" t="inlineStr">
        <is>
          <t>Inscrit</t>
        </is>
      </c>
      <c r="N428" s="21" t="inlineStr"/>
      <c r="O428" s="21" t="inlineStr">
        <is>
          <t>import</t>
        </is>
      </c>
    </row>
    <row r="429">
      <c r="A429" s="21" t="inlineStr">
        <is>
          <t>52</t>
        </is>
      </c>
      <c r="B429" s="21" t="inlineStr">
        <is>
          <t>70549</t>
        </is>
      </c>
      <c r="C429" s="21" t="inlineStr"/>
      <c r="D429" s="21" t="inlineStr">
        <is>
          <t>SALTOUNA</t>
        </is>
      </c>
      <c r="E429" s="21" t="inlineStr">
        <is>
          <t>ABDOU ATTOUMANE</t>
        </is>
      </c>
      <c r="F429" s="21" t="inlineStr">
        <is>
          <t>16/01/2003</t>
        </is>
      </c>
      <c r="G429" s="21" t="inlineStr">
        <is>
          <t>KONI DJODJO ANJOUAN</t>
        </is>
      </c>
      <c r="H429" s="21" t="inlineStr"/>
      <c r="I429" s="21" t="inlineStr">
        <is>
          <t>L2</t>
        </is>
      </c>
      <c r="J429" s="21" t="inlineStr">
        <is>
          <t>Soins obstétricaux</t>
        </is>
      </c>
      <c r="K429" s="21" t="inlineStr"/>
      <c r="L429" s="21" t="inlineStr">
        <is>
          <t>2025-2026</t>
        </is>
      </c>
      <c r="M429" s="21" t="inlineStr">
        <is>
          <t>Inscrit</t>
        </is>
      </c>
      <c r="N429" s="21" t="inlineStr"/>
      <c r="O429" s="21" t="inlineStr">
        <is>
          <t>import</t>
        </is>
      </c>
    </row>
    <row r="430">
      <c r="A430" s="21" t="inlineStr">
        <is>
          <t>53</t>
        </is>
      </c>
      <c r="B430" s="21" t="inlineStr">
        <is>
          <t>70208</t>
        </is>
      </c>
      <c r="C430" s="21" t="inlineStr"/>
      <c r="D430" s="21" t="inlineStr">
        <is>
          <t>SITTI</t>
        </is>
      </c>
      <c r="E430" s="21" t="inlineStr">
        <is>
          <t>FAHARIA ABDOU CHAKOUR</t>
        </is>
      </c>
      <c r="F430" s="21" t="inlineStr">
        <is>
          <t>24/03/2004</t>
        </is>
      </c>
      <c r="G430" s="21" t="inlineStr">
        <is>
          <t>CLINIQUE MME ROUKIA MORONI</t>
        </is>
      </c>
      <c r="H430" s="21" t="inlineStr"/>
      <c r="I430" s="21" t="inlineStr">
        <is>
          <t>L2</t>
        </is>
      </c>
      <c r="J430" s="21" t="inlineStr">
        <is>
          <t>Soins obstétricaux</t>
        </is>
      </c>
      <c r="K430" s="21" t="inlineStr"/>
      <c r="L430" s="21" t="inlineStr">
        <is>
          <t>2025-2026</t>
        </is>
      </c>
      <c r="M430" s="21" t="inlineStr">
        <is>
          <t>Inscrit</t>
        </is>
      </c>
      <c r="N430" s="21" t="inlineStr"/>
      <c r="O430" s="21" t="inlineStr">
        <is>
          <t>import</t>
        </is>
      </c>
    </row>
    <row r="431">
      <c r="A431" s="21" t="inlineStr">
        <is>
          <t>54</t>
        </is>
      </c>
      <c r="B431" s="21" t="inlineStr">
        <is>
          <t>72414</t>
        </is>
      </c>
      <c r="C431" s="21" t="inlineStr"/>
      <c r="D431" s="21" t="inlineStr">
        <is>
          <t>SOIFAOU</t>
        </is>
      </c>
      <c r="E431" s="21" t="inlineStr">
        <is>
          <t>ISMAEL</t>
        </is>
      </c>
      <c r="F431" s="21" t="inlineStr">
        <is>
          <t>21/07/2004</t>
        </is>
      </c>
      <c r="G431" s="21" t="inlineStr">
        <is>
          <t>MDJOIEZI HAMBOU</t>
        </is>
      </c>
      <c r="H431" s="21" t="inlineStr"/>
      <c r="I431" s="21" t="inlineStr">
        <is>
          <t>L2</t>
        </is>
      </c>
      <c r="J431" s="21" t="inlineStr">
        <is>
          <t>Soins obstétricaux</t>
        </is>
      </c>
      <c r="K431" s="21" t="inlineStr"/>
      <c r="L431" s="21" t="inlineStr">
        <is>
          <t>2025-2026</t>
        </is>
      </c>
      <c r="M431" s="21" t="inlineStr">
        <is>
          <t>Inscrit</t>
        </is>
      </c>
      <c r="N431" s="21" t="inlineStr"/>
      <c r="O431" s="21" t="inlineStr">
        <is>
          <t>import</t>
        </is>
      </c>
    </row>
    <row r="432">
      <c r="A432" s="21" t="inlineStr">
        <is>
          <t>55</t>
        </is>
      </c>
      <c r="B432" s="21" t="inlineStr">
        <is>
          <t>75803</t>
        </is>
      </c>
      <c r="C432" s="21" t="inlineStr"/>
      <c r="D432" s="21" t="inlineStr">
        <is>
          <t>SUDIKIA</t>
        </is>
      </c>
      <c r="E432" s="21" t="inlineStr">
        <is>
          <t>ANLIM</t>
        </is>
      </c>
      <c r="F432" s="21" t="inlineStr">
        <is>
          <t>20/12/2003</t>
        </is>
      </c>
      <c r="G432" s="21" t="inlineStr">
        <is>
          <t>SAANDANI</t>
        </is>
      </c>
      <c r="H432" s="21" t="inlineStr"/>
      <c r="I432" s="21" t="inlineStr">
        <is>
          <t>L2</t>
        </is>
      </c>
      <c r="J432" s="21" t="inlineStr">
        <is>
          <t>Soins obstétricaux</t>
        </is>
      </c>
      <c r="K432" s="21" t="inlineStr"/>
      <c r="L432" s="21" t="inlineStr">
        <is>
          <t>2025-2026</t>
        </is>
      </c>
      <c r="M432" s="21" t="inlineStr">
        <is>
          <t>Inscrit</t>
        </is>
      </c>
      <c r="N432" s="21" t="inlineStr"/>
      <c r="O432" s="21" t="inlineStr">
        <is>
          <t>import</t>
        </is>
      </c>
    </row>
    <row r="433">
      <c r="A433" s="21" t="inlineStr">
        <is>
          <t>56</t>
        </is>
      </c>
      <c r="B433" s="21" t="inlineStr">
        <is>
          <t>76184</t>
        </is>
      </c>
      <c r="C433" s="21" t="inlineStr"/>
      <c r="D433" s="21" t="inlineStr">
        <is>
          <t>TAANDHUMA</t>
        </is>
      </c>
      <c r="E433" s="21" t="inlineStr">
        <is>
          <t>AVOCAT ABDOU</t>
        </is>
      </c>
      <c r="F433" s="21" t="inlineStr">
        <is>
          <t>15/03/2004</t>
        </is>
      </c>
      <c r="G433" s="21" t="inlineStr">
        <is>
          <t>L'HOPITAL EL MAROUF</t>
        </is>
      </c>
      <c r="H433" s="21" t="inlineStr"/>
      <c r="I433" s="21" t="inlineStr">
        <is>
          <t>L2</t>
        </is>
      </c>
      <c r="J433" s="21" t="inlineStr">
        <is>
          <t>Soins obstétricaux</t>
        </is>
      </c>
      <c r="K433" s="21" t="inlineStr"/>
      <c r="L433" s="21" t="inlineStr">
        <is>
          <t>2025-2026</t>
        </is>
      </c>
      <c r="M433" s="21" t="inlineStr">
        <is>
          <t>Inscrit</t>
        </is>
      </c>
      <c r="N433" s="21" t="inlineStr"/>
      <c r="O433" s="21" t="inlineStr">
        <is>
          <t>import</t>
        </is>
      </c>
    </row>
    <row r="434">
      <c r="A434" s="21" t="inlineStr">
        <is>
          <t>57</t>
        </is>
      </c>
      <c r="B434" s="21" t="inlineStr">
        <is>
          <t>76200</t>
        </is>
      </c>
      <c r="C434" s="21" t="inlineStr"/>
      <c r="D434" s="21" t="inlineStr">
        <is>
          <t>TASNIME</t>
        </is>
      </c>
      <c r="E434" s="21" t="inlineStr">
        <is>
          <t>BINTI ANZILANE</t>
        </is>
      </c>
      <c r="F434" s="21" t="inlineStr">
        <is>
          <t>21/11/2005</t>
        </is>
      </c>
      <c r="G434" s="21" t="inlineStr">
        <is>
          <t>MORONI</t>
        </is>
      </c>
      <c r="H434" s="21" t="inlineStr"/>
      <c r="I434" s="21" t="inlineStr">
        <is>
          <t>L2</t>
        </is>
      </c>
      <c r="J434" s="21" t="inlineStr">
        <is>
          <t>Soins obstétricaux</t>
        </is>
      </c>
      <c r="K434" s="21" t="inlineStr"/>
      <c r="L434" s="21" t="inlineStr">
        <is>
          <t>2025-2026</t>
        </is>
      </c>
      <c r="M434" s="21" t="inlineStr">
        <is>
          <t>Inscrit</t>
        </is>
      </c>
      <c r="N434" s="21" t="inlineStr"/>
      <c r="O434" s="21" t="inlineStr">
        <is>
          <t>import</t>
        </is>
      </c>
    </row>
    <row r="435">
      <c r="A435" s="21" t="inlineStr">
        <is>
          <t>58</t>
        </is>
      </c>
      <c r="B435" s="21" t="inlineStr">
        <is>
          <t>66115</t>
        </is>
      </c>
      <c r="C435" s="21" t="inlineStr"/>
      <c r="D435" s="21" t="inlineStr">
        <is>
          <t>TOIMAOUIA</t>
        </is>
      </c>
      <c r="E435" s="21" t="inlineStr">
        <is>
          <t>ANDJIBOU</t>
        </is>
      </c>
      <c r="F435" s="21" t="inlineStr">
        <is>
          <t>27/10/2004</t>
        </is>
      </c>
      <c r="G435" s="21" t="inlineStr">
        <is>
          <t>NDRONDRONI - MOHELI</t>
        </is>
      </c>
      <c r="H435" s="21" t="inlineStr"/>
      <c r="I435" s="21" t="inlineStr">
        <is>
          <t>L2</t>
        </is>
      </c>
      <c r="J435" s="21" t="inlineStr">
        <is>
          <t>Soins obstétricaux</t>
        </is>
      </c>
      <c r="K435" s="21" t="inlineStr"/>
      <c r="L435" s="21" t="inlineStr">
        <is>
          <t>2025-2026</t>
        </is>
      </c>
      <c r="M435" s="21" t="inlineStr">
        <is>
          <t>Inscrit</t>
        </is>
      </c>
      <c r="N435" s="21" t="inlineStr"/>
      <c r="O435" s="21" t="inlineStr">
        <is>
          <t>import</t>
        </is>
      </c>
    </row>
    <row r="436">
      <c r="A436" s="21" t="inlineStr">
        <is>
          <t>59</t>
        </is>
      </c>
      <c r="B436" s="21" t="inlineStr">
        <is>
          <t>74725</t>
        </is>
      </c>
      <c r="C436" s="21" t="inlineStr"/>
      <c r="D436" s="21" t="inlineStr">
        <is>
          <t>YOUKSAM</t>
        </is>
      </c>
      <c r="E436" s="21" t="inlineStr">
        <is>
          <t>HASSOUNE BAYANE</t>
        </is>
      </c>
      <c r="F436" s="21" t="inlineStr">
        <is>
          <t>28/01/2005</t>
        </is>
      </c>
      <c r="G436" s="21" t="inlineStr">
        <is>
          <t>MTE DE MORONI</t>
        </is>
      </c>
      <c r="H436" s="21" t="inlineStr"/>
      <c r="I436" s="21" t="inlineStr">
        <is>
          <t>L2</t>
        </is>
      </c>
      <c r="J436" s="21" t="inlineStr">
        <is>
          <t>Soins obstétricaux</t>
        </is>
      </c>
      <c r="K436" s="21" t="inlineStr"/>
      <c r="L436" s="21" t="inlineStr">
        <is>
          <t>2025-2026</t>
        </is>
      </c>
      <c r="M436" s="21" t="inlineStr">
        <is>
          <t>Inscrit</t>
        </is>
      </c>
      <c r="N436" s="21" t="inlineStr"/>
      <c r="O436" s="21" t="inlineStr">
        <is>
          <t>import</t>
        </is>
      </c>
    </row>
    <row r="437">
      <c r="A437" s="21" t="inlineStr">
        <is>
          <t>60</t>
        </is>
      </c>
      <c r="B437" s="21" t="inlineStr">
        <is>
          <t>69149</t>
        </is>
      </c>
      <c r="C437" s="21" t="inlineStr"/>
      <c r="D437" s="21" t="inlineStr">
        <is>
          <t>YOUMNA</t>
        </is>
      </c>
      <c r="E437" s="21" t="inlineStr">
        <is>
          <t>SAID</t>
        </is>
      </c>
      <c r="F437" s="21" t="inlineStr">
        <is>
          <t>17/01/2005</t>
        </is>
      </c>
      <c r="G437" s="21" t="inlineStr">
        <is>
          <t>MTE DE MORONI</t>
        </is>
      </c>
      <c r="H437" s="21" t="inlineStr"/>
      <c r="I437" s="21" t="inlineStr">
        <is>
          <t>L2</t>
        </is>
      </c>
      <c r="J437" s="21" t="inlineStr">
        <is>
          <t>Soins obstétricaux</t>
        </is>
      </c>
      <c r="K437" s="21" t="inlineStr"/>
      <c r="L437" s="21" t="inlineStr">
        <is>
          <t>2025-2026</t>
        </is>
      </c>
      <c r="M437" s="21" t="inlineStr">
        <is>
          <t>Inscrit</t>
        </is>
      </c>
      <c r="N437" s="21" t="inlineStr"/>
      <c r="O437" s="21" t="inlineStr">
        <is>
          <t>import</t>
        </is>
      </c>
    </row>
    <row r="438">
      <c r="A438" s="21" t="inlineStr">
        <is>
          <t>61</t>
        </is>
      </c>
      <c r="B438" s="21" t="inlineStr">
        <is>
          <t>68834</t>
        </is>
      </c>
      <c r="C438" s="21" t="inlineStr"/>
      <c r="D438" s="21" t="inlineStr">
        <is>
          <t>YOURSLAT</t>
        </is>
      </c>
      <c r="E438" s="21" t="inlineStr">
        <is>
          <t>SOEF</t>
        </is>
      </c>
      <c r="F438" s="21" t="inlineStr">
        <is>
          <t>07/04/2004</t>
        </is>
      </c>
      <c r="G438" s="21" t="inlineStr">
        <is>
          <t>TSINIMOICHONGO</t>
        </is>
      </c>
      <c r="H438" s="21" t="inlineStr"/>
      <c r="I438" s="21" t="inlineStr">
        <is>
          <t>L2</t>
        </is>
      </c>
      <c r="J438" s="21" t="inlineStr">
        <is>
          <t>Soins obstétricaux</t>
        </is>
      </c>
      <c r="K438" s="21" t="inlineStr"/>
      <c r="L438" s="21" t="inlineStr">
        <is>
          <t>2025-2026</t>
        </is>
      </c>
      <c r="M438" s="21" t="inlineStr">
        <is>
          <t>Inscrit</t>
        </is>
      </c>
      <c r="N438" s="21" t="inlineStr"/>
      <c r="O438" s="21" t="inlineStr">
        <is>
          <t>import</t>
        </is>
      </c>
    </row>
    <row r="439">
      <c r="A439" s="21" t="inlineStr">
        <is>
          <t>62</t>
        </is>
      </c>
      <c r="B439" s="21" t="inlineStr">
        <is>
          <t>70952</t>
        </is>
      </c>
      <c r="C439" s="21" t="inlineStr"/>
      <c r="D439" s="21" t="inlineStr">
        <is>
          <t>ZAINABA</t>
        </is>
      </c>
      <c r="E439" s="21" t="inlineStr">
        <is>
          <t>AHAMADA</t>
        </is>
      </c>
      <c r="F439" s="21" t="inlineStr">
        <is>
          <t>07/02/1999</t>
        </is>
      </c>
      <c r="G439" s="21" t="inlineStr">
        <is>
          <t>MTE DE MBENI</t>
        </is>
      </c>
      <c r="H439" s="21" t="inlineStr"/>
      <c r="I439" s="21" t="inlineStr">
        <is>
          <t>L2</t>
        </is>
      </c>
      <c r="J439" s="21" t="inlineStr">
        <is>
          <t>Soins obstétricaux</t>
        </is>
      </c>
      <c r="K439" s="21" t="inlineStr"/>
      <c r="L439" s="21" t="inlineStr">
        <is>
          <t>2025-2026</t>
        </is>
      </c>
      <c r="M439" s="21" t="inlineStr">
        <is>
          <t>Inscrit</t>
        </is>
      </c>
      <c r="N439" s="21" t="inlineStr"/>
      <c r="O439" s="21" t="inlineStr">
        <is>
          <t>import</t>
        </is>
      </c>
    </row>
    <row r="440">
      <c r="A440" s="21" t="inlineStr">
        <is>
          <t>63</t>
        </is>
      </c>
      <c r="B440" s="21" t="inlineStr">
        <is>
          <t>65258</t>
        </is>
      </c>
      <c r="C440" s="21" t="inlineStr"/>
      <c r="D440" s="21" t="inlineStr">
        <is>
          <t>ZOUMRATI</t>
        </is>
      </c>
      <c r="E440" s="21" t="inlineStr">
        <is>
          <t>BEN CHEIK</t>
        </is>
      </c>
      <c r="F440" s="21" t="inlineStr">
        <is>
          <t>31/12/2005</t>
        </is>
      </c>
      <c r="G440" s="21" t="inlineStr">
        <is>
          <t>NDRONDRONI - MOHELI</t>
        </is>
      </c>
      <c r="H440" s="21" t="inlineStr"/>
      <c r="I440" s="21" t="inlineStr">
        <is>
          <t>L2</t>
        </is>
      </c>
      <c r="J440" s="21" t="inlineStr">
        <is>
          <t>Soins obstétricaux</t>
        </is>
      </c>
      <c r="K440" s="21" t="inlineStr"/>
      <c r="L440" s="21" t="inlineStr">
        <is>
          <t>2025-2026</t>
        </is>
      </c>
      <c r="M440" s="21" t="inlineStr">
        <is>
          <t>Inscrit</t>
        </is>
      </c>
      <c r="N440" s="21" t="inlineStr"/>
      <c r="O440" s="21" t="inlineStr">
        <is>
          <t>import</t>
        </is>
      </c>
    </row>
    <row r="441">
      <c r="A441" s="21" t="inlineStr">
        <is>
          <t>64</t>
        </is>
      </c>
      <c r="B441" s="21" t="inlineStr">
        <is>
          <t>74026</t>
        </is>
      </c>
      <c r="C441" s="21" t="inlineStr"/>
      <c r="D441" s="21" t="inlineStr">
        <is>
          <t>ZARNAT</t>
        </is>
      </c>
      <c r="E441" s="21" t="inlineStr">
        <is>
          <t>BEN SAID ATHOUMANI</t>
        </is>
      </c>
      <c r="F441" s="21" t="inlineStr">
        <is>
          <t>22/12/2003</t>
        </is>
      </c>
      <c r="G441" s="21" t="inlineStr">
        <is>
          <t>PANDA BADJINI OUEST</t>
        </is>
      </c>
      <c r="H441" s="21" t="inlineStr"/>
      <c r="I441" s="21" t="inlineStr">
        <is>
          <t>L2</t>
        </is>
      </c>
      <c r="J441" s="21" t="inlineStr">
        <is>
          <t>Soins obstétricaux</t>
        </is>
      </c>
      <c r="K441" s="21" t="inlineStr"/>
      <c r="L441" s="21" t="inlineStr">
        <is>
          <t>2025-2026</t>
        </is>
      </c>
      <c r="M441" s="21" t="inlineStr">
        <is>
          <t>Inscrit</t>
        </is>
      </c>
      <c r="N441" s="21" t="inlineStr"/>
      <c r="O441" s="21" t="inlineStr">
        <is>
          <t>import</t>
        </is>
      </c>
    </row>
    <row r="442">
      <c r="A442" s="21" t="inlineStr">
        <is>
          <t>1</t>
        </is>
      </c>
      <c r="B442" s="21" t="inlineStr">
        <is>
          <t>61835</t>
        </is>
      </c>
      <c r="C442" s="21" t="inlineStr"/>
      <c r="D442" s="21" t="inlineStr">
        <is>
          <t>ADAWATI</t>
        </is>
      </c>
      <c r="E442" s="21" t="inlineStr">
        <is>
          <t>SAINDOU</t>
        </is>
      </c>
      <c r="F442" s="21" t="inlineStr">
        <is>
          <t>01/01/2004</t>
        </is>
      </c>
      <c r="G442" s="21" t="inlineStr">
        <is>
          <t>BANDRACOUNI - ANJOUAN</t>
        </is>
      </c>
      <c r="H442" s="21" t="inlineStr"/>
      <c r="I442" s="21" t="inlineStr">
        <is>
          <t>L3</t>
        </is>
      </c>
      <c r="J442" s="21" t="inlineStr">
        <is>
          <t>Soins infirmiers</t>
        </is>
      </c>
      <c r="K442" s="21" t="inlineStr"/>
      <c r="L442" s="21" t="inlineStr">
        <is>
          <t>2025-2026</t>
        </is>
      </c>
      <c r="M442" s="21" t="inlineStr">
        <is>
          <t>Inscrit</t>
        </is>
      </c>
      <c r="N442" s="21" t="inlineStr"/>
      <c r="O442" s="21" t="inlineStr">
        <is>
          <t>import</t>
        </is>
      </c>
    </row>
    <row r="443">
      <c r="A443" s="21" t="inlineStr">
        <is>
          <t>2</t>
        </is>
      </c>
      <c r="B443" s="21" t="inlineStr">
        <is>
          <t>70453</t>
        </is>
      </c>
      <c r="C443" s="21" t="inlineStr"/>
      <c r="D443" s="21" t="inlineStr">
        <is>
          <t>ALI MOHAMED</t>
        </is>
      </c>
      <c r="E443" s="21" t="inlineStr">
        <is>
          <t>MOINAFATIMA</t>
        </is>
      </c>
      <c r="F443" s="21" t="inlineStr">
        <is>
          <t>28/12/2003</t>
        </is>
      </c>
      <c r="G443" s="21" t="inlineStr">
        <is>
          <t>CHINDINI BADJINI-EST</t>
        </is>
      </c>
      <c r="H443" s="21" t="inlineStr"/>
      <c r="I443" s="21" t="inlineStr">
        <is>
          <t>L3</t>
        </is>
      </c>
      <c r="J443" s="21" t="inlineStr">
        <is>
          <t>Soins infirmiers</t>
        </is>
      </c>
      <c r="K443" s="21" t="inlineStr"/>
      <c r="L443" s="21" t="inlineStr">
        <is>
          <t>2025-2026</t>
        </is>
      </c>
      <c r="M443" s="21" t="inlineStr">
        <is>
          <t>Inscrit</t>
        </is>
      </c>
      <c r="N443" s="21" t="inlineStr"/>
      <c r="O443" s="21" t="inlineStr">
        <is>
          <t>import</t>
        </is>
      </c>
    </row>
    <row r="444">
      <c r="A444" s="21" t="inlineStr">
        <is>
          <t>3</t>
        </is>
      </c>
      <c r="B444" s="21" t="inlineStr">
        <is>
          <t>70272</t>
        </is>
      </c>
      <c r="C444" s="21" t="inlineStr"/>
      <c r="D444" s="21" t="inlineStr">
        <is>
          <t>AMBDOUSSOIMADOU</t>
        </is>
      </c>
      <c r="E444" s="21" t="inlineStr">
        <is>
          <t>TAKIDINE</t>
        </is>
      </c>
      <c r="F444" s="21" t="inlineStr">
        <is>
          <t>09/09/2005</t>
        </is>
      </c>
      <c r="G444" s="21" t="inlineStr">
        <is>
          <t>SANAA (YEMEN)</t>
        </is>
      </c>
      <c r="H444" s="21" t="inlineStr"/>
      <c r="I444" s="21" t="inlineStr">
        <is>
          <t>L3</t>
        </is>
      </c>
      <c r="J444" s="21" t="inlineStr">
        <is>
          <t>Soins infirmiers</t>
        </is>
      </c>
      <c r="K444" s="21" t="inlineStr"/>
      <c r="L444" s="21" t="inlineStr">
        <is>
          <t>2025-2026</t>
        </is>
      </c>
      <c r="M444" s="21" t="inlineStr">
        <is>
          <t>Inscrit</t>
        </is>
      </c>
      <c r="N444" s="21" t="inlineStr"/>
      <c r="O444" s="21" t="inlineStr">
        <is>
          <t>import</t>
        </is>
      </c>
    </row>
    <row r="445">
      <c r="A445" s="21" t="inlineStr">
        <is>
          <t>4</t>
        </is>
      </c>
      <c r="B445" s="21" t="inlineStr">
        <is>
          <t>69684</t>
        </is>
      </c>
      <c r="C445" s="21" t="inlineStr"/>
      <c r="D445" s="21" t="inlineStr">
        <is>
          <t>AMINA</t>
        </is>
      </c>
      <c r="E445" s="21" t="inlineStr">
        <is>
          <t>OUSSEINI</t>
        </is>
      </c>
      <c r="F445" s="21" t="inlineStr">
        <is>
          <t>26/12/2001</t>
        </is>
      </c>
      <c r="G445" s="21" t="inlineStr">
        <is>
          <t>DIMADJOU HAMAHAMET</t>
        </is>
      </c>
      <c r="H445" s="21" t="inlineStr"/>
      <c r="I445" s="21" t="inlineStr">
        <is>
          <t>L3</t>
        </is>
      </c>
      <c r="J445" s="21" t="inlineStr">
        <is>
          <t>Soins infirmiers</t>
        </is>
      </c>
      <c r="K445" s="21" t="inlineStr"/>
      <c r="L445" s="21" t="inlineStr">
        <is>
          <t>2025-2026</t>
        </is>
      </c>
      <c r="M445" s="21" t="inlineStr">
        <is>
          <t>Inscrit</t>
        </is>
      </c>
      <c r="N445" s="21" t="inlineStr"/>
      <c r="O445" s="21" t="inlineStr">
        <is>
          <t>import</t>
        </is>
      </c>
    </row>
    <row r="446">
      <c r="A446" s="21" t="inlineStr">
        <is>
          <t>5</t>
        </is>
      </c>
      <c r="B446" s="21" t="inlineStr">
        <is>
          <t>65201</t>
        </is>
      </c>
      <c r="C446" s="21" t="inlineStr"/>
      <c r="D446" s="21" t="inlineStr">
        <is>
          <t>AMZELLE</t>
        </is>
      </c>
      <c r="E446" s="21" t="inlineStr">
        <is>
          <t>BINTI ABOUBACAR IBRAHIM</t>
        </is>
      </c>
      <c r="F446" s="21" t="inlineStr">
        <is>
          <t>05/02/2003</t>
        </is>
      </c>
      <c r="G446" s="21" t="inlineStr">
        <is>
          <t>MTE DE WANANI - MOHELI</t>
        </is>
      </c>
      <c r="H446" s="21" t="inlineStr"/>
      <c r="I446" s="21" t="inlineStr">
        <is>
          <t>L3</t>
        </is>
      </c>
      <c r="J446" s="21" t="inlineStr">
        <is>
          <t>Soins infirmiers</t>
        </is>
      </c>
      <c r="K446" s="21" t="inlineStr"/>
      <c r="L446" s="21" t="inlineStr">
        <is>
          <t>2025-2026</t>
        </is>
      </c>
      <c r="M446" s="21" t="inlineStr">
        <is>
          <t>Inscrit</t>
        </is>
      </c>
      <c r="N446" s="21" t="inlineStr"/>
      <c r="O446" s="21" t="inlineStr">
        <is>
          <t>import</t>
        </is>
      </c>
    </row>
    <row r="447">
      <c r="A447" s="21" t="inlineStr">
        <is>
          <t>6</t>
        </is>
      </c>
      <c r="B447" s="21" t="inlineStr">
        <is>
          <t>69014</t>
        </is>
      </c>
      <c r="C447" s="21" t="inlineStr"/>
      <c r="D447" s="21" t="inlineStr">
        <is>
          <t>ANIMATI</t>
        </is>
      </c>
      <c r="E447" s="21" t="inlineStr">
        <is>
          <t>ABDOU AHAMADA</t>
        </is>
      </c>
      <c r="F447" s="21" t="inlineStr">
        <is>
          <t>21/09/2004</t>
        </is>
      </c>
      <c r="G447" s="21" t="inlineStr">
        <is>
          <t>HOPITAL EL-MAAROUF</t>
        </is>
      </c>
      <c r="H447" s="21" t="inlineStr"/>
      <c r="I447" s="21" t="inlineStr">
        <is>
          <t>L3</t>
        </is>
      </c>
      <c r="J447" s="21" t="inlineStr">
        <is>
          <t>Soins infirmiers</t>
        </is>
      </c>
      <c r="K447" s="21" t="inlineStr"/>
      <c r="L447" s="21" t="inlineStr">
        <is>
          <t>2025-2026</t>
        </is>
      </c>
      <c r="M447" s="21" t="inlineStr">
        <is>
          <t>Inscrit</t>
        </is>
      </c>
      <c r="N447" s="21" t="inlineStr"/>
      <c r="O447" s="21" t="inlineStr">
        <is>
          <t>import</t>
        </is>
      </c>
    </row>
    <row r="448">
      <c r="A448" s="21" t="inlineStr">
        <is>
          <t>7</t>
        </is>
      </c>
      <c r="B448" s="21" t="inlineStr">
        <is>
          <t>63652</t>
        </is>
      </c>
      <c r="C448" s="21" t="inlineStr"/>
      <c r="D448" s="21" t="inlineStr">
        <is>
          <t>ANITA</t>
        </is>
      </c>
      <c r="E448" s="21" t="inlineStr">
        <is>
          <t>MOHAMED</t>
        </is>
      </c>
      <c r="F448" s="21" t="inlineStr">
        <is>
          <t>18/12/2002</t>
        </is>
      </c>
      <c r="G448" s="21" t="inlineStr">
        <is>
          <t>TSINIMOINPANGA DOMBA</t>
        </is>
      </c>
      <c r="H448" s="21" t="inlineStr"/>
      <c r="I448" s="21" t="inlineStr">
        <is>
          <t>L3</t>
        </is>
      </c>
      <c r="J448" s="21" t="inlineStr">
        <is>
          <t>Soins infirmiers</t>
        </is>
      </c>
      <c r="K448" s="21" t="inlineStr"/>
      <c r="L448" s="21" t="inlineStr">
        <is>
          <t>2025-2026</t>
        </is>
      </c>
      <c r="M448" s="21" t="inlineStr">
        <is>
          <t>Inscrit</t>
        </is>
      </c>
      <c r="N448" s="21" t="inlineStr"/>
      <c r="O448" s="21" t="inlineStr">
        <is>
          <t>import</t>
        </is>
      </c>
    </row>
    <row r="449">
      <c r="A449" s="21" t="inlineStr">
        <is>
          <t>8</t>
        </is>
      </c>
      <c r="B449" s="21" t="inlineStr">
        <is>
          <t>56205</t>
        </is>
      </c>
      <c r="C449" s="21" t="inlineStr"/>
      <c r="D449" s="21" t="inlineStr">
        <is>
          <t>ANKILA</t>
        </is>
      </c>
      <c r="E449" s="21" t="inlineStr">
        <is>
          <t>ALI</t>
        </is>
      </c>
      <c r="F449" s="21" t="inlineStr">
        <is>
          <t>02/12/1998</t>
        </is>
      </c>
      <c r="G449" s="21" t="inlineStr">
        <is>
          <t>NIOUMAMILIMA BADJINI EST</t>
        </is>
      </c>
      <c r="H449" s="21" t="inlineStr"/>
      <c r="I449" s="21" t="inlineStr">
        <is>
          <t>L3</t>
        </is>
      </c>
      <c r="J449" s="21" t="inlineStr">
        <is>
          <t>Soins infirmiers</t>
        </is>
      </c>
      <c r="K449" s="21" t="inlineStr"/>
      <c r="L449" s="21" t="inlineStr">
        <is>
          <t>2025-2026</t>
        </is>
      </c>
      <c r="M449" s="21" t="inlineStr">
        <is>
          <t>Inscrit</t>
        </is>
      </c>
      <c r="N449" s="21" t="inlineStr"/>
      <c r="O449" s="21" t="inlineStr">
        <is>
          <t>import</t>
        </is>
      </c>
    </row>
    <row r="450">
      <c r="A450" s="21" t="inlineStr">
        <is>
          <t>9</t>
        </is>
      </c>
      <c r="B450" s="21" t="inlineStr">
        <is>
          <t>61308</t>
        </is>
      </c>
      <c r="C450" s="21" t="inlineStr"/>
      <c r="D450" s="21" t="inlineStr">
        <is>
          <t>ANRCHIDINE</t>
        </is>
      </c>
      <c r="E450" s="21" t="inlineStr">
        <is>
          <t>SAID ALI</t>
        </is>
      </c>
      <c r="F450" s="21" t="inlineStr">
        <is>
          <t>23/12/1999</t>
        </is>
      </c>
      <c r="G450" s="21" t="inlineStr">
        <is>
          <t>FOMBONI - MOHELI</t>
        </is>
      </c>
      <c r="H450" s="21" t="inlineStr"/>
      <c r="I450" s="21" t="inlineStr">
        <is>
          <t>L3</t>
        </is>
      </c>
      <c r="J450" s="21" t="inlineStr">
        <is>
          <t>Soins infirmiers</t>
        </is>
      </c>
      <c r="K450" s="21" t="inlineStr"/>
      <c r="L450" s="21" t="inlineStr">
        <is>
          <t>2025-2026</t>
        </is>
      </c>
      <c r="M450" s="21" t="inlineStr">
        <is>
          <t>Inscrit</t>
        </is>
      </c>
      <c r="N450" s="21" t="inlineStr"/>
      <c r="O450" s="21" t="inlineStr">
        <is>
          <t>import</t>
        </is>
      </c>
    </row>
    <row r="451">
      <c r="A451" s="21" t="inlineStr">
        <is>
          <t>10</t>
        </is>
      </c>
      <c r="B451" s="21" t="inlineStr">
        <is>
          <t>65880</t>
        </is>
      </c>
      <c r="C451" s="21" t="inlineStr"/>
      <c r="D451" s="21" t="inlineStr">
        <is>
          <t>ANSLANE</t>
        </is>
      </c>
      <c r="E451" s="21" t="inlineStr">
        <is>
          <t>BACAR</t>
        </is>
      </c>
      <c r="F451" s="21" t="inlineStr">
        <is>
          <t>15/05/2002</t>
        </is>
      </c>
      <c r="G451" s="21" t="inlineStr">
        <is>
          <t>NIOUMAMILIMA BADJINI</t>
        </is>
      </c>
      <c r="H451" s="21" t="inlineStr"/>
      <c r="I451" s="21" t="inlineStr">
        <is>
          <t>L3</t>
        </is>
      </c>
      <c r="J451" s="21" t="inlineStr">
        <is>
          <t>Soins infirmiers</t>
        </is>
      </c>
      <c r="K451" s="21" t="inlineStr"/>
      <c r="L451" s="21" t="inlineStr">
        <is>
          <t>2025-2026</t>
        </is>
      </c>
      <c r="M451" s="21" t="inlineStr">
        <is>
          <t>Inscrit</t>
        </is>
      </c>
      <c r="N451" s="21" t="inlineStr"/>
      <c r="O451" s="21" t="inlineStr">
        <is>
          <t>import</t>
        </is>
      </c>
    </row>
    <row r="452">
      <c r="A452" s="21" t="inlineStr">
        <is>
          <t>11</t>
        </is>
      </c>
      <c r="B452" s="21" t="inlineStr">
        <is>
          <t>67575</t>
        </is>
      </c>
      <c r="C452" s="21" t="inlineStr"/>
      <c r="D452" s="21" t="inlineStr">
        <is>
          <t>ARCHIDINE</t>
        </is>
      </c>
      <c r="E452" s="21" t="inlineStr">
        <is>
          <t>ISMAILA</t>
        </is>
      </c>
      <c r="F452" s="21" t="inlineStr">
        <is>
          <t>04/11/1999</t>
        </is>
      </c>
      <c r="G452" s="21" t="inlineStr">
        <is>
          <t>MAOUENI - DIMANI</t>
        </is>
      </c>
      <c r="H452" s="21" t="inlineStr"/>
      <c r="I452" s="21" t="inlineStr">
        <is>
          <t>L3</t>
        </is>
      </c>
      <c r="J452" s="21" t="inlineStr">
        <is>
          <t>Soins infirmiers</t>
        </is>
      </c>
      <c r="K452" s="21" t="inlineStr"/>
      <c r="L452" s="21" t="inlineStr">
        <is>
          <t>2025-2026</t>
        </is>
      </c>
      <c r="M452" s="21" t="inlineStr">
        <is>
          <t>Inscrit</t>
        </is>
      </c>
      <c r="N452" s="21" t="inlineStr"/>
      <c r="O452" s="21" t="inlineStr">
        <is>
          <t>import</t>
        </is>
      </c>
    </row>
    <row r="453">
      <c r="A453" s="21" t="inlineStr">
        <is>
          <t>12</t>
        </is>
      </c>
      <c r="B453" s="21" t="inlineStr">
        <is>
          <t>67665</t>
        </is>
      </c>
      <c r="C453" s="21" t="inlineStr"/>
      <c r="D453" s="21" t="inlineStr">
        <is>
          <t>BARAKA</t>
        </is>
      </c>
      <c r="E453" s="21" t="inlineStr">
        <is>
          <t>SURIFA</t>
        </is>
      </c>
      <c r="F453" s="21" t="inlineStr">
        <is>
          <t>02/08/2002</t>
        </is>
      </c>
      <c r="G453" s="21" t="inlineStr">
        <is>
          <t>BANDAR SALAMA - MOHELI</t>
        </is>
      </c>
      <c r="H453" s="21" t="inlineStr"/>
      <c r="I453" s="21" t="inlineStr">
        <is>
          <t>L3</t>
        </is>
      </c>
      <c r="J453" s="21" t="inlineStr">
        <is>
          <t>Soins infirmiers</t>
        </is>
      </c>
      <c r="K453" s="21" t="inlineStr"/>
      <c r="L453" s="21" t="inlineStr">
        <is>
          <t>2025-2026</t>
        </is>
      </c>
      <c r="M453" s="21" t="inlineStr">
        <is>
          <t>Inscrit</t>
        </is>
      </c>
      <c r="N453" s="21" t="inlineStr"/>
      <c r="O453" s="21" t="inlineStr">
        <is>
          <t>import</t>
        </is>
      </c>
    </row>
    <row r="454">
      <c r="A454" s="21" t="inlineStr">
        <is>
          <t>13</t>
        </is>
      </c>
      <c r="B454" s="21" t="inlineStr">
        <is>
          <t>65576</t>
        </is>
      </c>
      <c r="C454" s="21" t="inlineStr"/>
      <c r="D454" s="21" t="inlineStr">
        <is>
          <t>BEL-HADJI</t>
        </is>
      </c>
      <c r="E454" s="21" t="inlineStr">
        <is>
          <t>DAOUD</t>
        </is>
      </c>
      <c r="F454" s="21" t="inlineStr">
        <is>
          <t>29/04/2001</t>
        </is>
      </c>
      <c r="G454" s="21" t="inlineStr">
        <is>
          <t>MAHALE</t>
        </is>
      </c>
      <c r="H454" s="21" t="inlineStr"/>
      <c r="I454" s="21" t="inlineStr">
        <is>
          <t>L3</t>
        </is>
      </c>
      <c r="J454" s="21" t="inlineStr">
        <is>
          <t>Soins infirmiers</t>
        </is>
      </c>
      <c r="K454" s="21" t="inlineStr"/>
      <c r="L454" s="21" t="inlineStr">
        <is>
          <t>2025-2026</t>
        </is>
      </c>
      <c r="M454" s="21" t="inlineStr">
        <is>
          <t>Inscrit</t>
        </is>
      </c>
      <c r="N454" s="21" t="inlineStr"/>
      <c r="O454" s="21" t="inlineStr">
        <is>
          <t>import</t>
        </is>
      </c>
    </row>
    <row r="455">
      <c r="A455" s="21" t="inlineStr">
        <is>
          <t>14</t>
        </is>
      </c>
      <c r="B455" s="21" t="inlineStr">
        <is>
          <t>65206</t>
        </is>
      </c>
      <c r="C455" s="21" t="inlineStr"/>
      <c r="D455" s="21" t="inlineStr">
        <is>
          <t>CHAOUKANE</t>
        </is>
      </c>
      <c r="E455" s="21" t="inlineStr">
        <is>
          <t>ANRIFANE MADI</t>
        </is>
      </c>
      <c r="F455" s="21" t="inlineStr">
        <is>
          <t>15/10/2002</t>
        </is>
      </c>
      <c r="G455" s="21" t="inlineStr">
        <is>
          <t>MTE DE WANANI - MOHELI</t>
        </is>
      </c>
      <c r="H455" s="21" t="inlineStr"/>
      <c r="I455" s="21" t="inlineStr">
        <is>
          <t>L3</t>
        </is>
      </c>
      <c r="J455" s="21" t="inlineStr">
        <is>
          <t>Soins infirmiers</t>
        </is>
      </c>
      <c r="K455" s="21" t="inlineStr"/>
      <c r="L455" s="21" t="inlineStr">
        <is>
          <t>2025-2026</t>
        </is>
      </c>
      <c r="M455" s="21" t="inlineStr">
        <is>
          <t>Inscrit</t>
        </is>
      </c>
      <c r="N455" s="21" t="inlineStr"/>
      <c r="O455" s="21" t="inlineStr">
        <is>
          <t>import</t>
        </is>
      </c>
    </row>
    <row r="456">
      <c r="A456" s="21" t="inlineStr">
        <is>
          <t>15</t>
        </is>
      </c>
      <c r="B456" s="21" t="inlineStr">
        <is>
          <t>69280</t>
        </is>
      </c>
      <c r="C456" s="21" t="inlineStr"/>
      <c r="D456" s="21" t="inlineStr">
        <is>
          <t>CHARIFA-BINTI</t>
        </is>
      </c>
      <c r="E456" s="21" t="inlineStr">
        <is>
          <t>YAHAYA</t>
        </is>
      </c>
      <c r="F456" s="21" t="inlineStr">
        <is>
          <t>05/06/2002</t>
        </is>
      </c>
      <c r="G456" s="21" t="inlineStr">
        <is>
          <t>MORONI</t>
        </is>
      </c>
      <c r="H456" s="21" t="inlineStr"/>
      <c r="I456" s="21" t="inlineStr">
        <is>
          <t>L3</t>
        </is>
      </c>
      <c r="J456" s="21" t="inlineStr">
        <is>
          <t>Soins infirmiers</t>
        </is>
      </c>
      <c r="K456" s="21" t="inlineStr"/>
      <c r="L456" s="21" t="inlineStr">
        <is>
          <t>2025-2026</t>
        </is>
      </c>
      <c r="M456" s="21" t="inlineStr">
        <is>
          <t>Inscrit</t>
        </is>
      </c>
      <c r="N456" s="21" t="inlineStr"/>
      <c r="O456" s="21" t="inlineStr">
        <is>
          <t>import</t>
        </is>
      </c>
    </row>
    <row r="457">
      <c r="A457" s="21" t="inlineStr">
        <is>
          <t>16</t>
        </is>
      </c>
      <c r="B457" s="21" t="inlineStr">
        <is>
          <t>68964</t>
        </is>
      </c>
      <c r="C457" s="21" t="inlineStr"/>
      <c r="D457" s="21" t="inlineStr">
        <is>
          <t>CHOUKOURIYA</t>
        </is>
      </c>
      <c r="E457" s="21" t="inlineStr">
        <is>
          <t>MOHAMED</t>
        </is>
      </c>
      <c r="F457" s="21" t="inlineStr">
        <is>
          <t>27/05/2004</t>
        </is>
      </c>
      <c r="G457" s="21" t="inlineStr">
        <is>
          <t>OUANI - ANJOUAN</t>
        </is>
      </c>
      <c r="H457" s="21" t="inlineStr"/>
      <c r="I457" s="21" t="inlineStr">
        <is>
          <t>L3</t>
        </is>
      </c>
      <c r="J457" s="21" t="inlineStr">
        <is>
          <t>Soins infirmiers</t>
        </is>
      </c>
      <c r="K457" s="21" t="inlineStr"/>
      <c r="L457" s="21" t="inlineStr">
        <is>
          <t>2025-2026</t>
        </is>
      </c>
      <c r="M457" s="21" t="inlineStr">
        <is>
          <t>Inscrit</t>
        </is>
      </c>
      <c r="N457" s="21" t="inlineStr"/>
      <c r="O457" s="21" t="inlineStr">
        <is>
          <t>import</t>
        </is>
      </c>
    </row>
    <row r="458">
      <c r="A458" s="21" t="inlineStr">
        <is>
          <t>17</t>
        </is>
      </c>
      <c r="B458" s="21" t="inlineStr">
        <is>
          <t>65310</t>
        </is>
      </c>
      <c r="C458" s="21" t="inlineStr"/>
      <c r="D458" s="21" t="inlineStr">
        <is>
          <t>DJAINAT</t>
        </is>
      </c>
      <c r="E458" s="21" t="inlineStr">
        <is>
          <t>MARFOUNDINE</t>
        </is>
      </c>
      <c r="F458" s="21" t="inlineStr">
        <is>
          <t>09/06/2004</t>
        </is>
      </c>
      <c r="G458" s="21" t="inlineStr">
        <is>
          <t>MTE DE OUANI - ANJOUAN</t>
        </is>
      </c>
      <c r="H458" s="21" t="inlineStr"/>
      <c r="I458" s="21" t="inlineStr">
        <is>
          <t>L3</t>
        </is>
      </c>
      <c r="J458" s="21" t="inlineStr">
        <is>
          <t>Soins infirmiers</t>
        </is>
      </c>
      <c r="K458" s="21" t="inlineStr"/>
      <c r="L458" s="21" t="inlineStr">
        <is>
          <t>2025-2026</t>
        </is>
      </c>
      <c r="M458" s="21" t="inlineStr">
        <is>
          <t>Inscrit</t>
        </is>
      </c>
      <c r="N458" s="21" t="inlineStr"/>
      <c r="O458" s="21" t="inlineStr">
        <is>
          <t>import</t>
        </is>
      </c>
    </row>
    <row r="459">
      <c r="A459" s="21" t="inlineStr">
        <is>
          <t>18</t>
        </is>
      </c>
      <c r="B459" s="21" t="inlineStr">
        <is>
          <t>65013</t>
        </is>
      </c>
      <c r="C459" s="21" t="inlineStr"/>
      <c r="D459" s="21" t="inlineStr">
        <is>
          <t>DJAIRA</t>
        </is>
      </c>
      <c r="E459" s="21" t="inlineStr">
        <is>
          <t>SAID ABDOU</t>
        </is>
      </c>
      <c r="F459" s="21" t="inlineStr">
        <is>
          <t>22/04/2003</t>
        </is>
      </c>
      <c r="G459" s="21" t="inlineStr">
        <is>
          <t>MBENI</t>
        </is>
      </c>
      <c r="H459" s="21" t="inlineStr"/>
      <c r="I459" s="21" t="inlineStr">
        <is>
          <t>L3</t>
        </is>
      </c>
      <c r="J459" s="21" t="inlineStr">
        <is>
          <t>Soins infirmiers</t>
        </is>
      </c>
      <c r="K459" s="21" t="inlineStr"/>
      <c r="L459" s="21" t="inlineStr">
        <is>
          <t>2025-2026</t>
        </is>
      </c>
      <c r="M459" s="21" t="inlineStr">
        <is>
          <t>Inscrit</t>
        </is>
      </c>
      <c r="N459" s="21" t="inlineStr"/>
      <c r="O459" s="21" t="inlineStr">
        <is>
          <t>import</t>
        </is>
      </c>
    </row>
    <row r="460">
      <c r="A460" s="21" t="inlineStr">
        <is>
          <t>19</t>
        </is>
      </c>
      <c r="B460" s="21" t="inlineStr">
        <is>
          <t>69363</t>
        </is>
      </c>
      <c r="C460" s="21" t="inlineStr"/>
      <c r="D460" s="21" t="inlineStr">
        <is>
          <t>EL FAHADI</t>
        </is>
      </c>
      <c r="E460" s="21" t="inlineStr">
        <is>
          <t>SAID ALI YSSOUFI</t>
        </is>
      </c>
      <c r="F460" s="21" t="inlineStr">
        <is>
          <t>14/01/2004</t>
        </is>
      </c>
      <c r="G460" s="21" t="inlineStr">
        <is>
          <t>DOMONI - ANJOUAN</t>
        </is>
      </c>
      <c r="H460" s="21" t="inlineStr"/>
      <c r="I460" s="21" t="inlineStr">
        <is>
          <t>L3</t>
        </is>
      </c>
      <c r="J460" s="21" t="inlineStr">
        <is>
          <t>Soins infirmiers</t>
        </is>
      </c>
      <c r="K460" s="21" t="inlineStr"/>
      <c r="L460" s="21" t="inlineStr">
        <is>
          <t>2025-2026</t>
        </is>
      </c>
      <c r="M460" s="21" t="inlineStr">
        <is>
          <t>Inscrit</t>
        </is>
      </c>
      <c r="N460" s="21" t="inlineStr"/>
      <c r="O460" s="21" t="inlineStr">
        <is>
          <t>import</t>
        </is>
      </c>
    </row>
    <row r="461">
      <c r="A461" s="21" t="inlineStr">
        <is>
          <t>20</t>
        </is>
      </c>
      <c r="B461" s="21" t="inlineStr">
        <is>
          <t>69105</t>
        </is>
      </c>
      <c r="C461" s="21" t="inlineStr"/>
      <c r="D461" s="21" t="inlineStr">
        <is>
          <t>FAHAD</t>
        </is>
      </c>
      <c r="E461" s="21" t="inlineStr">
        <is>
          <t>MOHAMED ELHAD</t>
        </is>
      </c>
      <c r="F461" s="21" t="inlineStr">
        <is>
          <t>28/08/2001</t>
        </is>
      </c>
      <c r="G461" s="21" t="inlineStr">
        <is>
          <t>NTSOUDJINI - ITSANDRA</t>
        </is>
      </c>
      <c r="H461" s="21" t="inlineStr"/>
      <c r="I461" s="21" t="inlineStr">
        <is>
          <t>L3</t>
        </is>
      </c>
      <c r="J461" s="21" t="inlineStr">
        <is>
          <t>Soins infirmiers</t>
        </is>
      </c>
      <c r="K461" s="21" t="inlineStr"/>
      <c r="L461" s="21" t="inlineStr">
        <is>
          <t>2025-2026</t>
        </is>
      </c>
      <c r="M461" s="21" t="inlineStr">
        <is>
          <t>Inscrit</t>
        </is>
      </c>
      <c r="N461" s="21" t="inlineStr"/>
      <c r="O461" s="21" t="inlineStr">
        <is>
          <t>import</t>
        </is>
      </c>
    </row>
    <row r="462">
      <c r="A462" s="21" t="inlineStr">
        <is>
          <t>21</t>
        </is>
      </c>
      <c r="B462" s="21" t="inlineStr">
        <is>
          <t>62592</t>
        </is>
      </c>
      <c r="C462" s="21" t="inlineStr"/>
      <c r="D462" s="21" t="inlineStr">
        <is>
          <t>FANIATI</t>
        </is>
      </c>
      <c r="E462" s="21" t="inlineStr">
        <is>
          <t>MOUSSA</t>
        </is>
      </c>
      <c r="F462" s="21" t="inlineStr">
        <is>
          <t>09/06/2002</t>
        </is>
      </c>
      <c r="G462" s="21" t="inlineStr">
        <is>
          <t>MTE DE KOIMBANI</t>
        </is>
      </c>
      <c r="H462" s="21" t="inlineStr"/>
      <c r="I462" s="21" t="inlineStr">
        <is>
          <t>L3</t>
        </is>
      </c>
      <c r="J462" s="21" t="inlineStr">
        <is>
          <t>Soins infirmiers</t>
        </is>
      </c>
      <c r="K462" s="21" t="inlineStr"/>
      <c r="L462" s="21" t="inlineStr">
        <is>
          <t>2025-2026</t>
        </is>
      </c>
      <c r="M462" s="21" t="inlineStr">
        <is>
          <t>Inscrit</t>
        </is>
      </c>
      <c r="N462" s="21" t="inlineStr"/>
      <c r="O462" s="21" t="inlineStr">
        <is>
          <t>import</t>
        </is>
      </c>
    </row>
    <row r="463">
      <c r="A463" s="21" t="inlineStr">
        <is>
          <t>22</t>
        </is>
      </c>
      <c r="B463" s="21" t="inlineStr">
        <is>
          <t>70474</t>
        </is>
      </c>
      <c r="C463" s="21" t="inlineStr"/>
      <c r="D463" s="21" t="inlineStr">
        <is>
          <t>FAOULINA</t>
        </is>
      </c>
      <c r="E463" s="21" t="inlineStr">
        <is>
          <t>SAID</t>
        </is>
      </c>
      <c r="F463" s="21" t="inlineStr">
        <is>
          <t>23/09/2004</t>
        </is>
      </c>
      <c r="G463" s="21" t="inlineStr">
        <is>
          <t>COMBANI MAYOTTE</t>
        </is>
      </c>
      <c r="H463" s="21" t="inlineStr"/>
      <c r="I463" s="21" t="inlineStr">
        <is>
          <t>L3</t>
        </is>
      </c>
      <c r="J463" s="21" t="inlineStr">
        <is>
          <t>Soins infirmiers</t>
        </is>
      </c>
      <c r="K463" s="21" t="inlineStr"/>
      <c r="L463" s="21" t="inlineStr">
        <is>
          <t>2025-2026</t>
        </is>
      </c>
      <c r="M463" s="21" t="inlineStr">
        <is>
          <t>Inscrit</t>
        </is>
      </c>
      <c r="N463" s="21" t="inlineStr"/>
      <c r="O463" s="21" t="inlineStr">
        <is>
          <t>import</t>
        </is>
      </c>
    </row>
    <row r="464">
      <c r="A464" s="21" t="inlineStr">
        <is>
          <t>23</t>
        </is>
      </c>
      <c r="B464" s="21" t="inlineStr">
        <is>
          <t>66839</t>
        </is>
      </c>
      <c r="C464" s="21" t="inlineStr"/>
      <c r="D464" s="21" t="inlineStr">
        <is>
          <t>FAOUZA</t>
        </is>
      </c>
      <c r="E464" s="21" t="inlineStr">
        <is>
          <t>ISMAEL</t>
        </is>
      </c>
      <c r="F464" s="21" t="inlineStr">
        <is>
          <t>16/02/1999</t>
        </is>
      </c>
      <c r="G464" s="21" t="inlineStr">
        <is>
          <t>HADAOI - MITSAMIOULI</t>
        </is>
      </c>
      <c r="H464" s="21" t="inlineStr"/>
      <c r="I464" s="21" t="inlineStr">
        <is>
          <t>L3</t>
        </is>
      </c>
      <c r="J464" s="21" t="inlineStr">
        <is>
          <t>Soins infirmiers</t>
        </is>
      </c>
      <c r="K464" s="21" t="inlineStr"/>
      <c r="L464" s="21" t="inlineStr">
        <is>
          <t>2025-2026</t>
        </is>
      </c>
      <c r="M464" s="21" t="inlineStr">
        <is>
          <t>Inscrit</t>
        </is>
      </c>
      <c r="N464" s="21" t="inlineStr"/>
      <c r="O464" s="21" t="inlineStr">
        <is>
          <t>import</t>
        </is>
      </c>
    </row>
    <row r="465">
      <c r="A465" s="21" t="inlineStr">
        <is>
          <t>24</t>
        </is>
      </c>
      <c r="B465" s="21" t="inlineStr">
        <is>
          <t>68860</t>
        </is>
      </c>
      <c r="C465" s="21" t="inlineStr"/>
      <c r="D465" s="21" t="inlineStr">
        <is>
          <t>FATOUHOU</t>
        </is>
      </c>
      <c r="E465" s="21" t="inlineStr">
        <is>
          <t>NAFACY</t>
        </is>
      </c>
      <c r="F465" s="21" t="inlineStr">
        <is>
          <t>20/04/2005</t>
        </is>
      </c>
      <c r="G465" s="21" t="inlineStr">
        <is>
          <t>MTE DE MORONI</t>
        </is>
      </c>
      <c r="H465" s="21" t="inlineStr"/>
      <c r="I465" s="21" t="inlineStr">
        <is>
          <t>L3</t>
        </is>
      </c>
      <c r="J465" s="21" t="inlineStr">
        <is>
          <t>Soins infirmiers</t>
        </is>
      </c>
      <c r="K465" s="21" t="inlineStr"/>
      <c r="L465" s="21" t="inlineStr">
        <is>
          <t>2025-2026</t>
        </is>
      </c>
      <c r="M465" s="21" t="inlineStr">
        <is>
          <t>Inscrit</t>
        </is>
      </c>
      <c r="N465" s="21" t="inlineStr"/>
      <c r="O465" s="21" t="inlineStr">
        <is>
          <t>import</t>
        </is>
      </c>
    </row>
    <row r="466">
      <c r="A466" s="21" t="inlineStr">
        <is>
          <t>25</t>
        </is>
      </c>
      <c r="B466" s="21" t="inlineStr">
        <is>
          <t>66603</t>
        </is>
      </c>
      <c r="C466" s="21" t="inlineStr"/>
      <c r="D466" s="21" t="inlineStr">
        <is>
          <t>FAYAL</t>
        </is>
      </c>
      <c r="E466" s="21" t="inlineStr">
        <is>
          <t>MANSOUR</t>
        </is>
      </c>
      <c r="F466" s="21" t="inlineStr">
        <is>
          <t>14/11/2002</t>
        </is>
      </c>
      <c r="G466" s="21" t="inlineStr">
        <is>
          <t>MATERNITÉ DE HOMBO</t>
        </is>
      </c>
      <c r="H466" s="21" t="inlineStr"/>
      <c r="I466" s="21" t="inlineStr">
        <is>
          <t>L3</t>
        </is>
      </c>
      <c r="J466" s="21" t="inlineStr">
        <is>
          <t>Soins infirmiers</t>
        </is>
      </c>
      <c r="K466" s="21" t="inlineStr"/>
      <c r="L466" s="21" t="inlineStr">
        <is>
          <t>2025-2026</t>
        </is>
      </c>
      <c r="M466" s="21" t="inlineStr">
        <is>
          <t>Inscrit</t>
        </is>
      </c>
      <c r="N466" s="21" t="inlineStr"/>
      <c r="O466" s="21" t="inlineStr">
        <is>
          <t>import</t>
        </is>
      </c>
    </row>
    <row r="467">
      <c r="A467" s="21" t="inlineStr">
        <is>
          <t>26</t>
        </is>
      </c>
      <c r="B467" s="21" t="inlineStr">
        <is>
          <t>69313</t>
        </is>
      </c>
      <c r="C467" s="21" t="inlineStr"/>
      <c r="D467" s="21" t="inlineStr">
        <is>
          <t>GHANYA</t>
        </is>
      </c>
      <c r="E467" s="21" t="inlineStr">
        <is>
          <t>MOHAMED MANSOURI</t>
        </is>
      </c>
      <c r="F467" s="21" t="inlineStr">
        <is>
          <t>25/02/2005</t>
        </is>
      </c>
      <c r="G467" s="21" t="inlineStr">
        <is>
          <t>MATERNITE MORONI</t>
        </is>
      </c>
      <c r="H467" s="21" t="inlineStr"/>
      <c r="I467" s="21" t="inlineStr">
        <is>
          <t>L3</t>
        </is>
      </c>
      <c r="J467" s="21" t="inlineStr">
        <is>
          <t>Soins infirmiers</t>
        </is>
      </c>
      <c r="K467" s="21" t="inlineStr"/>
      <c r="L467" s="21" t="inlineStr">
        <is>
          <t>2025-2026</t>
        </is>
      </c>
      <c r="M467" s="21" t="inlineStr">
        <is>
          <t>Inscrit</t>
        </is>
      </c>
      <c r="N467" s="21" t="inlineStr"/>
      <c r="O467" s="21" t="inlineStr">
        <is>
          <t>import</t>
        </is>
      </c>
    </row>
    <row r="468">
      <c r="A468" s="21" t="inlineStr">
        <is>
          <t>27</t>
        </is>
      </c>
      <c r="B468" s="21" t="inlineStr">
        <is>
          <t>69332</t>
        </is>
      </c>
      <c r="C468" s="21" t="inlineStr"/>
      <c r="D468" s="21" t="inlineStr">
        <is>
          <t>HADJIRA</t>
        </is>
      </c>
      <c r="E468" s="21" t="inlineStr">
        <is>
          <t>AZHAR</t>
        </is>
      </c>
      <c r="F468" s="21" t="inlineStr">
        <is>
          <t>12/12/2004</t>
        </is>
      </c>
      <c r="G468" s="21" t="inlineStr">
        <is>
          <t>BANGOI KOUNI</t>
        </is>
      </c>
      <c r="H468" s="21" t="inlineStr"/>
      <c r="I468" s="21" t="inlineStr">
        <is>
          <t>L3</t>
        </is>
      </c>
      <c r="J468" s="21" t="inlineStr">
        <is>
          <t>Soins infirmiers</t>
        </is>
      </c>
      <c r="K468" s="21" t="inlineStr"/>
      <c r="L468" s="21" t="inlineStr">
        <is>
          <t>2025-2026</t>
        </is>
      </c>
      <c r="M468" s="21" t="inlineStr">
        <is>
          <t>Inscrit</t>
        </is>
      </c>
      <c r="N468" s="21" t="inlineStr"/>
      <c r="O468" s="21" t="inlineStr">
        <is>
          <t>import</t>
        </is>
      </c>
    </row>
    <row r="469">
      <c r="A469" s="21" t="inlineStr">
        <is>
          <t>28</t>
        </is>
      </c>
      <c r="B469" s="21" t="inlineStr">
        <is>
          <t>70352</t>
        </is>
      </c>
      <c r="C469" s="21" t="inlineStr"/>
      <c r="D469" s="21" t="inlineStr">
        <is>
          <t>HAMALATI</t>
        </is>
      </c>
      <c r="E469" s="21" t="inlineStr">
        <is>
          <t>NASSIONDINE</t>
        </is>
      </c>
      <c r="F469" s="21" t="inlineStr">
        <is>
          <t>10/02/2006</t>
        </is>
      </c>
      <c r="G469" s="21" t="inlineStr">
        <is>
          <t>MTE SIMA ANJOUAN</t>
        </is>
      </c>
      <c r="H469" s="21" t="inlineStr"/>
      <c r="I469" s="21" t="inlineStr">
        <is>
          <t>L3</t>
        </is>
      </c>
      <c r="J469" s="21" t="inlineStr">
        <is>
          <t>Soins infirmiers</t>
        </is>
      </c>
      <c r="K469" s="21" t="inlineStr"/>
      <c r="L469" s="21" t="inlineStr">
        <is>
          <t>2025-2026</t>
        </is>
      </c>
      <c r="M469" s="21" t="inlineStr">
        <is>
          <t>Inscrit</t>
        </is>
      </c>
      <c r="N469" s="21" t="inlineStr"/>
      <c r="O469" s="21" t="inlineStr">
        <is>
          <t>import</t>
        </is>
      </c>
    </row>
    <row r="470">
      <c r="A470" s="21" t="inlineStr">
        <is>
          <t>29</t>
        </is>
      </c>
      <c r="B470" s="21" t="inlineStr">
        <is>
          <t>69365</t>
        </is>
      </c>
      <c r="C470" s="21" t="inlineStr"/>
      <c r="D470" s="21" t="inlineStr">
        <is>
          <t>HOUNAIDA</t>
        </is>
      </c>
      <c r="E470" s="21" t="inlineStr">
        <is>
          <t>ALI</t>
        </is>
      </c>
      <c r="F470" s="21" t="inlineStr">
        <is>
          <t>26/01/2006</t>
        </is>
      </c>
      <c r="G470" s="21" t="inlineStr">
        <is>
          <t>ONGOJOU ANJOUAN</t>
        </is>
      </c>
      <c r="H470" s="21" t="inlineStr"/>
      <c r="I470" s="21" t="inlineStr">
        <is>
          <t>L3</t>
        </is>
      </c>
      <c r="J470" s="21" t="inlineStr">
        <is>
          <t>Soins infirmiers</t>
        </is>
      </c>
      <c r="K470" s="21" t="inlineStr"/>
      <c r="L470" s="21" t="inlineStr">
        <is>
          <t>2025-2026</t>
        </is>
      </c>
      <c r="M470" s="21" t="inlineStr">
        <is>
          <t>Inscrit</t>
        </is>
      </c>
      <c r="N470" s="21" t="inlineStr"/>
      <c r="O470" s="21" t="inlineStr">
        <is>
          <t>import</t>
        </is>
      </c>
    </row>
    <row r="471">
      <c r="A471" s="21" t="inlineStr">
        <is>
          <t>30</t>
        </is>
      </c>
      <c r="B471" s="21" t="inlineStr">
        <is>
          <t>69740</t>
        </is>
      </c>
      <c r="C471" s="21" t="inlineStr"/>
      <c r="D471" s="21" t="inlineStr">
        <is>
          <t>LAINA</t>
        </is>
      </c>
      <c r="E471" s="21" t="inlineStr">
        <is>
          <t>ATTOUMANE</t>
        </is>
      </c>
      <c r="F471" s="21" t="inlineStr">
        <is>
          <t>22/01/2006</t>
        </is>
      </c>
      <c r="G471" s="21" t="inlineStr">
        <is>
          <t>ONGOJOU - ANJOUAN</t>
        </is>
      </c>
      <c r="H471" s="21" t="inlineStr"/>
      <c r="I471" s="21" t="inlineStr">
        <is>
          <t>L3</t>
        </is>
      </c>
      <c r="J471" s="21" t="inlineStr">
        <is>
          <t>Soins infirmiers</t>
        </is>
      </c>
      <c r="K471" s="21" t="inlineStr"/>
      <c r="L471" s="21" t="inlineStr">
        <is>
          <t>2025-2026</t>
        </is>
      </c>
      <c r="M471" s="21" t="inlineStr">
        <is>
          <t>Inscrit</t>
        </is>
      </c>
      <c r="N471" s="21" t="inlineStr"/>
      <c r="O471" s="21" t="inlineStr">
        <is>
          <t>import</t>
        </is>
      </c>
    </row>
    <row r="472">
      <c r="A472" s="21" t="inlineStr">
        <is>
          <t>31</t>
        </is>
      </c>
      <c r="B472" s="21" t="inlineStr">
        <is>
          <t>68132</t>
        </is>
      </c>
      <c r="C472" s="21" t="inlineStr"/>
      <c r="D472" s="21" t="inlineStr">
        <is>
          <t>LATUF</t>
        </is>
      </c>
      <c r="E472" s="21" t="inlineStr">
        <is>
          <t>OULIDANE</t>
        </is>
      </c>
      <c r="F472" s="21" t="inlineStr">
        <is>
          <t>25/12/1998</t>
        </is>
      </c>
      <c r="G472" s="21" t="inlineStr">
        <is>
          <t>NDRONDRONI - MOHELI</t>
        </is>
      </c>
      <c r="H472" s="21" t="inlineStr"/>
      <c r="I472" s="21" t="inlineStr">
        <is>
          <t>L3</t>
        </is>
      </c>
      <c r="J472" s="21" t="inlineStr">
        <is>
          <t>Soins infirmiers</t>
        </is>
      </c>
      <c r="K472" s="21" t="inlineStr"/>
      <c r="L472" s="21" t="inlineStr">
        <is>
          <t>2025-2026</t>
        </is>
      </c>
      <c r="M472" s="21" t="inlineStr">
        <is>
          <t>Inscrit</t>
        </is>
      </c>
      <c r="N472" s="21" t="inlineStr"/>
      <c r="O472" s="21" t="inlineStr">
        <is>
          <t>import</t>
        </is>
      </c>
    </row>
    <row r="473">
      <c r="A473" s="21" t="inlineStr">
        <is>
          <t>32</t>
        </is>
      </c>
      <c r="B473" s="21" t="inlineStr">
        <is>
          <t>67130</t>
        </is>
      </c>
      <c r="C473" s="21" t="inlineStr"/>
      <c r="D473" s="21" t="inlineStr">
        <is>
          <t>MCHINDA</t>
        </is>
      </c>
      <c r="E473" s="21" t="inlineStr">
        <is>
          <t>SAID MAYIA</t>
        </is>
      </c>
      <c r="F473" s="21" t="inlineStr">
        <is>
          <t>21/12/2004</t>
        </is>
      </c>
      <c r="G473" s="21" t="inlineStr">
        <is>
          <t>FOUMBOUNI BADJINI EST</t>
        </is>
      </c>
      <c r="H473" s="21" t="inlineStr"/>
      <c r="I473" s="21" t="inlineStr">
        <is>
          <t>L3</t>
        </is>
      </c>
      <c r="J473" s="21" t="inlineStr">
        <is>
          <t>Soins infirmiers</t>
        </is>
      </c>
      <c r="K473" s="21" t="inlineStr"/>
      <c r="L473" s="21" t="inlineStr">
        <is>
          <t>2025-2026</t>
        </is>
      </c>
      <c r="M473" s="21" t="inlineStr">
        <is>
          <t>Inscrit</t>
        </is>
      </c>
      <c r="N473" s="21" t="inlineStr"/>
      <c r="O473" s="21" t="inlineStr">
        <is>
          <t>import</t>
        </is>
      </c>
    </row>
    <row r="474">
      <c r="A474" s="21" t="inlineStr">
        <is>
          <t>33</t>
        </is>
      </c>
      <c r="B474" s="21" t="inlineStr">
        <is>
          <t>60965</t>
        </is>
      </c>
      <c r="C474" s="21" t="inlineStr"/>
      <c r="D474" s="21" t="inlineStr">
        <is>
          <t>MOINA BARAKA</t>
        </is>
      </c>
      <c r="E474" s="21" t="inlineStr">
        <is>
          <t>HAMIDOU</t>
        </is>
      </c>
      <c r="F474" s="21" t="inlineStr">
        <is>
          <t>11/07/2003</t>
        </is>
      </c>
      <c r="G474" s="21" t="inlineStr">
        <is>
          <t>MTE DE FOUMBOUNI</t>
        </is>
      </c>
      <c r="H474" s="21" t="inlineStr"/>
      <c r="I474" s="21" t="inlineStr">
        <is>
          <t>L3</t>
        </is>
      </c>
      <c r="J474" s="21" t="inlineStr">
        <is>
          <t>Soins infirmiers</t>
        </is>
      </c>
      <c r="K474" s="21" t="inlineStr"/>
      <c r="L474" s="21" t="inlineStr">
        <is>
          <t>2025-2026</t>
        </is>
      </c>
      <c r="M474" s="21" t="inlineStr">
        <is>
          <t>Inscrit</t>
        </is>
      </c>
      <c r="N474" s="21" t="inlineStr"/>
      <c r="O474" s="21" t="inlineStr">
        <is>
          <t>import</t>
        </is>
      </c>
    </row>
    <row r="475">
      <c r="A475" s="21" t="inlineStr">
        <is>
          <t>34</t>
        </is>
      </c>
      <c r="B475" s="21" t="inlineStr">
        <is>
          <t>64861</t>
        </is>
      </c>
      <c r="C475" s="21" t="inlineStr"/>
      <c r="D475" s="21" t="inlineStr">
        <is>
          <t>MOUNAYA</t>
        </is>
      </c>
      <c r="E475" s="21" t="inlineStr">
        <is>
          <t>RASSOUL</t>
        </is>
      </c>
      <c r="F475" s="21" t="inlineStr">
        <is>
          <t>18/03/2003</t>
        </is>
      </c>
      <c r="G475" s="21" t="inlineStr">
        <is>
          <t>MTE DE FOMBONI - MOHELI</t>
        </is>
      </c>
      <c r="H475" s="21" t="inlineStr"/>
      <c r="I475" s="21" t="inlineStr">
        <is>
          <t>L3</t>
        </is>
      </c>
      <c r="J475" s="21" t="inlineStr">
        <is>
          <t>Soins infirmiers</t>
        </is>
      </c>
      <c r="K475" s="21" t="inlineStr"/>
      <c r="L475" s="21" t="inlineStr">
        <is>
          <t>2025-2026</t>
        </is>
      </c>
      <c r="M475" s="21" t="inlineStr">
        <is>
          <t>Inscrit</t>
        </is>
      </c>
      <c r="N475" s="21" t="inlineStr"/>
      <c r="O475" s="21" t="inlineStr">
        <is>
          <t>import</t>
        </is>
      </c>
    </row>
    <row r="476">
      <c r="A476" s="21" t="inlineStr">
        <is>
          <t>35</t>
        </is>
      </c>
      <c r="B476" s="21" t="inlineStr">
        <is>
          <t>69043</t>
        </is>
      </c>
      <c r="C476" s="21" t="inlineStr"/>
      <c r="D476" s="21" t="inlineStr">
        <is>
          <t>MOUSSA</t>
        </is>
      </c>
      <c r="E476" s="21" t="inlineStr">
        <is>
          <t>ALI MOUSSA</t>
        </is>
      </c>
      <c r="F476" s="21" t="inlineStr">
        <is>
          <t>12/06/2005</t>
        </is>
      </c>
      <c r="G476" s="21" t="inlineStr">
        <is>
          <t>MTE DE FOMBONI MOHELI</t>
        </is>
      </c>
      <c r="H476" s="21" t="inlineStr"/>
      <c r="I476" s="21" t="inlineStr">
        <is>
          <t>L3</t>
        </is>
      </c>
      <c r="J476" s="21" t="inlineStr">
        <is>
          <t>Soins infirmiers</t>
        </is>
      </c>
      <c r="K476" s="21" t="inlineStr"/>
      <c r="L476" s="21" t="inlineStr">
        <is>
          <t>2025-2026</t>
        </is>
      </c>
      <c r="M476" s="21" t="inlineStr">
        <is>
          <t>Inscrit</t>
        </is>
      </c>
      <c r="N476" s="21" t="inlineStr"/>
      <c r="O476" s="21" t="inlineStr">
        <is>
          <t>import</t>
        </is>
      </c>
    </row>
    <row r="477">
      <c r="A477" s="21" t="inlineStr">
        <is>
          <t>36</t>
        </is>
      </c>
      <c r="B477" s="21" t="inlineStr">
        <is>
          <t>59931</t>
        </is>
      </c>
      <c r="C477" s="21" t="inlineStr"/>
      <c r="D477" s="21" t="inlineStr">
        <is>
          <t>NAIDATI</t>
        </is>
      </c>
      <c r="E477" s="21" t="inlineStr">
        <is>
          <t>MZE MBABA</t>
        </is>
      </c>
      <c r="F477" s="21" t="inlineStr">
        <is>
          <t>30/05/2002</t>
        </is>
      </c>
      <c r="G477" s="21" t="inlineStr">
        <is>
          <t>MIRERENI DIMANI</t>
        </is>
      </c>
      <c r="H477" s="21" t="inlineStr"/>
      <c r="I477" s="21" t="inlineStr">
        <is>
          <t>L3</t>
        </is>
      </c>
      <c r="J477" s="21" t="inlineStr">
        <is>
          <t>Soins infirmiers</t>
        </is>
      </c>
      <c r="K477" s="21" t="inlineStr"/>
      <c r="L477" s="21" t="inlineStr">
        <is>
          <t>2025-2026</t>
        </is>
      </c>
      <c r="M477" s="21" t="inlineStr">
        <is>
          <t>Inscrit</t>
        </is>
      </c>
      <c r="N477" s="21" t="inlineStr"/>
      <c r="O477" s="21" t="inlineStr">
        <is>
          <t>import</t>
        </is>
      </c>
    </row>
    <row r="478">
      <c r="A478" s="21" t="inlineStr">
        <is>
          <t>37</t>
        </is>
      </c>
      <c r="B478" s="21" t="inlineStr">
        <is>
          <t>55462</t>
        </is>
      </c>
      <c r="C478" s="21" t="inlineStr"/>
      <c r="D478" s="21" t="inlineStr">
        <is>
          <t>NAILA</t>
        </is>
      </c>
      <c r="E478" s="21" t="inlineStr">
        <is>
          <t>ISSIHAKA</t>
        </is>
      </c>
      <c r="F478" s="21" t="inlineStr">
        <is>
          <t>25/12/2001</t>
        </is>
      </c>
      <c r="G478" s="21" t="inlineStr">
        <is>
          <t>HAHAYA</t>
        </is>
      </c>
      <c r="H478" s="21" t="inlineStr"/>
      <c r="I478" s="21" t="inlineStr">
        <is>
          <t>L3</t>
        </is>
      </c>
      <c r="J478" s="21" t="inlineStr">
        <is>
          <t>Soins infirmiers</t>
        </is>
      </c>
      <c r="K478" s="21" t="inlineStr"/>
      <c r="L478" s="21" t="inlineStr">
        <is>
          <t>2025-2026</t>
        </is>
      </c>
      <c r="M478" s="21" t="inlineStr">
        <is>
          <t>Inscrit</t>
        </is>
      </c>
      <c r="N478" s="21" t="inlineStr"/>
      <c r="O478" s="21" t="inlineStr">
        <is>
          <t>import</t>
        </is>
      </c>
    </row>
    <row r="479">
      <c r="A479" s="21" t="inlineStr">
        <is>
          <t>38</t>
        </is>
      </c>
      <c r="B479" s="21" t="inlineStr">
        <is>
          <t>66820</t>
        </is>
      </c>
      <c r="C479" s="21" t="inlineStr"/>
      <c r="D479" s="21" t="inlineStr">
        <is>
          <t>NASRA</t>
        </is>
      </c>
      <c r="E479" s="21" t="inlineStr">
        <is>
          <t>MOHAMED ABDOU</t>
        </is>
      </c>
      <c r="F479" s="21" t="inlineStr">
        <is>
          <t>23/12/2000</t>
        </is>
      </c>
      <c r="G479" s="21" t="inlineStr">
        <is>
          <t>HOANI - MOHELI</t>
        </is>
      </c>
      <c r="H479" s="21" t="inlineStr"/>
      <c r="I479" s="21" t="inlineStr">
        <is>
          <t>L3</t>
        </is>
      </c>
      <c r="J479" s="21" t="inlineStr">
        <is>
          <t>Soins infirmiers</t>
        </is>
      </c>
      <c r="K479" s="21" t="inlineStr"/>
      <c r="L479" s="21" t="inlineStr">
        <is>
          <t>2025-2026</t>
        </is>
      </c>
      <c r="M479" s="21" t="inlineStr">
        <is>
          <t>Inscrit</t>
        </is>
      </c>
      <c r="N479" s="21" t="inlineStr"/>
      <c r="O479" s="21" t="inlineStr">
        <is>
          <t>import</t>
        </is>
      </c>
    </row>
    <row r="480">
      <c r="A480" s="21" t="inlineStr">
        <is>
          <t>39</t>
        </is>
      </c>
      <c r="B480" s="21" t="inlineStr">
        <is>
          <t>66199</t>
        </is>
      </c>
      <c r="C480" s="21" t="inlineStr"/>
      <c r="D480" s="21" t="inlineStr">
        <is>
          <t>NASSABA</t>
        </is>
      </c>
      <c r="E480" s="21" t="inlineStr">
        <is>
          <t>ISMAEL</t>
        </is>
      </c>
      <c r="F480" s="21" t="inlineStr">
        <is>
          <t>22/10/2002</t>
        </is>
      </c>
      <c r="G480" s="21" t="inlineStr">
        <is>
          <t>MET DE MORONI</t>
        </is>
      </c>
      <c r="H480" s="21" t="inlineStr"/>
      <c r="I480" s="21" t="inlineStr">
        <is>
          <t>L3</t>
        </is>
      </c>
      <c r="J480" s="21" t="inlineStr">
        <is>
          <t>Soins infirmiers</t>
        </is>
      </c>
      <c r="K480" s="21" t="inlineStr"/>
      <c r="L480" s="21" t="inlineStr">
        <is>
          <t>2025-2026</t>
        </is>
      </c>
      <c r="M480" s="21" t="inlineStr">
        <is>
          <t>Inscrit</t>
        </is>
      </c>
      <c r="N480" s="21" t="inlineStr"/>
      <c r="O480" s="21" t="inlineStr">
        <is>
          <t>import</t>
        </is>
      </c>
    </row>
    <row r="481">
      <c r="A481" s="21" t="inlineStr">
        <is>
          <t>40</t>
        </is>
      </c>
      <c r="B481" s="21" t="inlineStr">
        <is>
          <t>70926</t>
        </is>
      </c>
      <c r="C481" s="21" t="inlineStr"/>
      <c r="D481" s="21" t="inlineStr">
        <is>
          <t>NASSIRNA</t>
        </is>
      </c>
      <c r="E481" s="21" t="inlineStr">
        <is>
          <t>ISMAIL IBRAHIM</t>
        </is>
      </c>
      <c r="F481" s="21" t="inlineStr">
        <is>
          <t>08/09/2005</t>
        </is>
      </c>
      <c r="G481" s="21" t="inlineStr">
        <is>
          <t>NGANDZALE - ANJOUAN</t>
        </is>
      </c>
      <c r="H481" s="21" t="inlineStr"/>
      <c r="I481" s="21" t="inlineStr">
        <is>
          <t>L3</t>
        </is>
      </c>
      <c r="J481" s="21" t="inlineStr">
        <is>
          <t>Soins infirmiers</t>
        </is>
      </c>
      <c r="K481" s="21" t="inlineStr"/>
      <c r="L481" s="21" t="inlineStr">
        <is>
          <t>2025-2026</t>
        </is>
      </c>
      <c r="M481" s="21" t="inlineStr">
        <is>
          <t>Inscrit</t>
        </is>
      </c>
      <c r="N481" s="21" t="inlineStr"/>
      <c r="O481" s="21" t="inlineStr">
        <is>
          <t>import</t>
        </is>
      </c>
    </row>
    <row r="482">
      <c r="A482" s="21" t="inlineStr">
        <is>
          <t>41</t>
        </is>
      </c>
      <c r="B482" s="21" t="inlineStr">
        <is>
          <t>70537</t>
        </is>
      </c>
      <c r="C482" s="21" t="inlineStr"/>
      <c r="D482" s="21" t="inlineStr">
        <is>
          <t>NATACHA</t>
        </is>
      </c>
      <c r="E482" s="21" t="inlineStr">
        <is>
          <t>RACHAD</t>
        </is>
      </c>
      <c r="F482" s="21" t="inlineStr">
        <is>
          <t>28/10/2004</t>
        </is>
      </c>
      <c r="G482" s="21" t="inlineStr">
        <is>
          <t>BAZIMINI ANJOUAN</t>
        </is>
      </c>
      <c r="H482" s="21" t="inlineStr"/>
      <c r="I482" s="21" t="inlineStr">
        <is>
          <t>L3</t>
        </is>
      </c>
      <c r="J482" s="21" t="inlineStr">
        <is>
          <t>Soins infirmiers</t>
        </is>
      </c>
      <c r="K482" s="21" t="inlineStr"/>
      <c r="L482" s="21" t="inlineStr">
        <is>
          <t>2025-2026</t>
        </is>
      </c>
      <c r="M482" s="21" t="inlineStr">
        <is>
          <t>Inscrit</t>
        </is>
      </c>
      <c r="N482" s="21" t="inlineStr"/>
      <c r="O482" s="21" t="inlineStr">
        <is>
          <t>import</t>
        </is>
      </c>
    </row>
    <row r="483">
      <c r="A483" s="21" t="inlineStr">
        <is>
          <t>42</t>
        </is>
      </c>
      <c r="B483" s="21" t="inlineStr">
        <is>
          <t>68967</t>
        </is>
      </c>
      <c r="C483" s="21" t="inlineStr"/>
      <c r="D483" s="21" t="inlineStr">
        <is>
          <t>OUMOU</t>
        </is>
      </c>
      <c r="E483" s="21" t="inlineStr">
        <is>
          <t>KOULTHOUM MOHAMED</t>
        </is>
      </c>
      <c r="F483" s="21" t="inlineStr">
        <is>
          <t>06/04/2004</t>
        </is>
      </c>
      <c r="G483" s="21" t="inlineStr">
        <is>
          <t>OUANI - ANJOUAN</t>
        </is>
      </c>
      <c r="H483" s="21" t="inlineStr"/>
      <c r="I483" s="21" t="inlineStr">
        <is>
          <t>L3</t>
        </is>
      </c>
      <c r="J483" s="21" t="inlineStr">
        <is>
          <t>Soins infirmiers</t>
        </is>
      </c>
      <c r="K483" s="21" t="inlineStr"/>
      <c r="L483" s="21" t="inlineStr">
        <is>
          <t>2025-2026</t>
        </is>
      </c>
      <c r="M483" s="21" t="inlineStr">
        <is>
          <t>Inscrit</t>
        </is>
      </c>
      <c r="N483" s="21" t="inlineStr"/>
      <c r="O483" s="21" t="inlineStr">
        <is>
          <t>import</t>
        </is>
      </c>
    </row>
    <row r="484">
      <c r="A484" s="21" t="inlineStr">
        <is>
          <t>43</t>
        </is>
      </c>
      <c r="B484" s="21" t="inlineStr">
        <is>
          <t>60762</t>
        </is>
      </c>
      <c r="C484" s="21" t="inlineStr"/>
      <c r="D484" s="21" t="inlineStr">
        <is>
          <t>RABOUAN</t>
        </is>
      </c>
      <c r="E484" s="21" t="inlineStr">
        <is>
          <t>MASSIF</t>
        </is>
      </c>
      <c r="F484" s="21" t="inlineStr">
        <is>
          <t>31/12/2002</t>
        </is>
      </c>
      <c r="G484" s="21" t="inlineStr">
        <is>
          <t>NDRONDRONI - MOHELI</t>
        </is>
      </c>
      <c r="H484" s="21" t="inlineStr"/>
      <c r="I484" s="21" t="inlineStr">
        <is>
          <t>L3</t>
        </is>
      </c>
      <c r="J484" s="21" t="inlineStr">
        <is>
          <t>Soins infirmiers</t>
        </is>
      </c>
      <c r="K484" s="21" t="inlineStr"/>
      <c r="L484" s="21" t="inlineStr">
        <is>
          <t>2025-2026</t>
        </is>
      </c>
      <c r="M484" s="21" t="inlineStr">
        <is>
          <t>Inscrit</t>
        </is>
      </c>
      <c r="N484" s="21" t="inlineStr"/>
      <c r="O484" s="21" t="inlineStr">
        <is>
          <t>import</t>
        </is>
      </c>
    </row>
    <row r="485">
      <c r="A485" s="21" t="inlineStr">
        <is>
          <t>44</t>
        </is>
      </c>
      <c r="B485" s="21" t="inlineStr">
        <is>
          <t>63063</t>
        </is>
      </c>
      <c r="C485" s="21" t="inlineStr"/>
      <c r="D485" s="21" t="inlineStr">
        <is>
          <t>RACHIKAT</t>
        </is>
      </c>
      <c r="E485" s="21" t="inlineStr">
        <is>
          <t>SAID AHMED MBAE</t>
        </is>
      </c>
      <c r="F485" s="21" t="inlineStr">
        <is>
          <t>27/04/2002</t>
        </is>
      </c>
      <c r="G485" s="21" t="inlineStr">
        <is>
          <t>MTE DE MORONI</t>
        </is>
      </c>
      <c r="H485" s="21" t="inlineStr"/>
      <c r="I485" s="21" t="inlineStr">
        <is>
          <t>L3</t>
        </is>
      </c>
      <c r="J485" s="21" t="inlineStr">
        <is>
          <t>Soins infirmiers</t>
        </is>
      </c>
      <c r="K485" s="21" t="inlineStr"/>
      <c r="L485" s="21" t="inlineStr">
        <is>
          <t>2025-2026</t>
        </is>
      </c>
      <c r="M485" s="21" t="inlineStr">
        <is>
          <t>Inscrit</t>
        </is>
      </c>
      <c r="N485" s="21" t="inlineStr"/>
      <c r="O485" s="21" t="inlineStr">
        <is>
          <t>import</t>
        </is>
      </c>
    </row>
    <row r="486">
      <c r="A486" s="21" t="inlineStr">
        <is>
          <t>45</t>
        </is>
      </c>
      <c r="B486" s="21" t="inlineStr">
        <is>
          <t>69235</t>
        </is>
      </c>
      <c r="C486" s="21" t="inlineStr"/>
      <c r="D486" s="21" t="inlineStr">
        <is>
          <t>RICHMA</t>
        </is>
      </c>
      <c r="E486" s="21" t="inlineStr">
        <is>
          <t>HAMADA</t>
        </is>
      </c>
      <c r="F486" s="21" t="inlineStr">
        <is>
          <t>24/05/2004</t>
        </is>
      </c>
      <c r="G486" s="21" t="inlineStr">
        <is>
          <t>MTE DE FOMBONI - MOHELI</t>
        </is>
      </c>
      <c r="H486" s="21" t="inlineStr"/>
      <c r="I486" s="21" t="inlineStr">
        <is>
          <t>L3</t>
        </is>
      </c>
      <c r="J486" s="21" t="inlineStr">
        <is>
          <t>Soins infirmiers</t>
        </is>
      </c>
      <c r="K486" s="21" t="inlineStr"/>
      <c r="L486" s="21" t="inlineStr">
        <is>
          <t>2025-2026</t>
        </is>
      </c>
      <c r="M486" s="21" t="inlineStr">
        <is>
          <t>Inscrit</t>
        </is>
      </c>
      <c r="N486" s="21" t="inlineStr"/>
      <c r="O486" s="21" t="inlineStr">
        <is>
          <t>import</t>
        </is>
      </c>
    </row>
    <row r="487">
      <c r="A487" s="21" t="inlineStr">
        <is>
          <t>46</t>
        </is>
      </c>
      <c r="B487" s="21" t="inlineStr">
        <is>
          <t>68870</t>
        </is>
      </c>
      <c r="C487" s="21" t="inlineStr"/>
      <c r="D487" s="21" t="inlineStr">
        <is>
          <t>ROUKIA</t>
        </is>
      </c>
      <c r="E487" s="21" t="inlineStr">
        <is>
          <t>ABDALLAH</t>
        </is>
      </c>
      <c r="F487" s="21" t="inlineStr">
        <is>
          <t>11/12/2002</t>
        </is>
      </c>
      <c r="G487" s="21" t="inlineStr">
        <is>
          <t>MTE DE HOMBO</t>
        </is>
      </c>
      <c r="H487" s="21" t="inlineStr"/>
      <c r="I487" s="21" t="inlineStr">
        <is>
          <t>L3</t>
        </is>
      </c>
      <c r="J487" s="21" t="inlineStr">
        <is>
          <t>Soins infirmiers</t>
        </is>
      </c>
      <c r="K487" s="21" t="inlineStr"/>
      <c r="L487" s="21" t="inlineStr">
        <is>
          <t>2025-2026</t>
        </is>
      </c>
      <c r="M487" s="21" t="inlineStr">
        <is>
          <t>Inscrit</t>
        </is>
      </c>
      <c r="N487" s="21" t="inlineStr"/>
      <c r="O487" s="21" t="inlineStr">
        <is>
          <t>import</t>
        </is>
      </c>
    </row>
    <row r="488">
      <c r="A488" s="21" t="inlineStr">
        <is>
          <t>47</t>
        </is>
      </c>
      <c r="B488" s="21" t="inlineStr">
        <is>
          <t>69361</t>
        </is>
      </c>
      <c r="C488" s="21" t="inlineStr"/>
      <c r="D488" s="21" t="inlineStr">
        <is>
          <t>ROYDA</t>
        </is>
      </c>
      <c r="E488" s="21" t="inlineStr">
        <is>
          <t>BINTI AHAMED</t>
        </is>
      </c>
      <c r="F488" s="21" t="inlineStr">
        <is>
          <t>02/10/2004</t>
        </is>
      </c>
      <c r="G488" s="21" t="inlineStr">
        <is>
          <t>MAGNASSINI</t>
        </is>
      </c>
      <c r="H488" s="21" t="inlineStr"/>
      <c r="I488" s="21" t="inlineStr">
        <is>
          <t>L3</t>
        </is>
      </c>
      <c r="J488" s="21" t="inlineStr">
        <is>
          <t>Soins infirmiers</t>
        </is>
      </c>
      <c r="K488" s="21" t="inlineStr"/>
      <c r="L488" s="21" t="inlineStr">
        <is>
          <t>2025-2026</t>
        </is>
      </c>
      <c r="M488" s="21" t="inlineStr">
        <is>
          <t>Inscrit</t>
        </is>
      </c>
      <c r="N488" s="21" t="inlineStr"/>
      <c r="O488" s="21" t="inlineStr">
        <is>
          <t>import</t>
        </is>
      </c>
    </row>
    <row r="489">
      <c r="A489" s="21" t="inlineStr">
        <is>
          <t>48</t>
        </is>
      </c>
      <c r="B489" s="21" t="inlineStr">
        <is>
          <t>67739</t>
        </is>
      </c>
      <c r="C489" s="21" t="inlineStr"/>
      <c r="D489" s="21" t="inlineStr">
        <is>
          <t>SAINA</t>
        </is>
      </c>
      <c r="E489" s="21" t="inlineStr">
        <is>
          <t>MOHAMED</t>
        </is>
      </c>
      <c r="F489" s="21" t="inlineStr">
        <is>
          <t>16/12/2001</t>
        </is>
      </c>
      <c r="G489" s="21" t="inlineStr">
        <is>
          <t>HAMAVOUNA - MOHELI</t>
        </is>
      </c>
      <c r="H489" s="21" t="inlineStr"/>
      <c r="I489" s="21" t="inlineStr">
        <is>
          <t>L3</t>
        </is>
      </c>
      <c r="J489" s="21" t="inlineStr">
        <is>
          <t>Soins infirmiers</t>
        </is>
      </c>
      <c r="K489" s="21" t="inlineStr"/>
      <c r="L489" s="21" t="inlineStr">
        <is>
          <t>2025-2026</t>
        </is>
      </c>
      <c r="M489" s="21" t="inlineStr">
        <is>
          <t>Inscrit</t>
        </is>
      </c>
      <c r="N489" s="21" t="inlineStr"/>
      <c r="O489" s="21" t="inlineStr">
        <is>
          <t>import</t>
        </is>
      </c>
    </row>
    <row r="490">
      <c r="A490" s="21" t="inlineStr">
        <is>
          <t>49</t>
        </is>
      </c>
      <c r="B490" s="21" t="inlineStr">
        <is>
          <t>64781</t>
        </is>
      </c>
      <c r="C490" s="21" t="inlineStr"/>
      <c r="D490" s="21" t="inlineStr">
        <is>
          <t>SALIMA</t>
        </is>
      </c>
      <c r="E490" s="21" t="inlineStr">
        <is>
          <t>AHMED</t>
        </is>
      </c>
      <c r="F490" s="21" t="inlineStr">
        <is>
          <t>19/05/2003</t>
        </is>
      </c>
      <c r="G490" s="21" t="inlineStr">
        <is>
          <t>MTE DE MREMANI - ANJOUAN</t>
        </is>
      </c>
      <c r="H490" s="21" t="inlineStr"/>
      <c r="I490" s="21" t="inlineStr">
        <is>
          <t>L3</t>
        </is>
      </c>
      <c r="J490" s="21" t="inlineStr">
        <is>
          <t>Soins infirmiers</t>
        </is>
      </c>
      <c r="K490" s="21" t="inlineStr"/>
      <c r="L490" s="21" t="inlineStr">
        <is>
          <t>2025-2026</t>
        </is>
      </c>
      <c r="M490" s="21" t="inlineStr">
        <is>
          <t>Inscrit</t>
        </is>
      </c>
      <c r="N490" s="21" t="inlineStr"/>
      <c r="O490" s="21" t="inlineStr">
        <is>
          <t>import</t>
        </is>
      </c>
    </row>
    <row r="491">
      <c r="A491" s="21" t="inlineStr">
        <is>
          <t>50</t>
        </is>
      </c>
      <c r="B491" s="21" t="inlineStr">
        <is>
          <t>62917</t>
        </is>
      </c>
      <c r="C491" s="21" t="inlineStr"/>
      <c r="D491" s="21" t="inlineStr">
        <is>
          <t>SITTINA</t>
        </is>
      </c>
      <c r="E491" s="21" t="inlineStr">
        <is>
          <t>MOHAMED</t>
        </is>
      </c>
      <c r="F491" s="21" t="inlineStr">
        <is>
          <t>27/12/2002</t>
        </is>
      </c>
      <c r="G491" s="21" t="inlineStr">
        <is>
          <t>FASSI MITSAMIOULI</t>
        </is>
      </c>
      <c r="H491" s="21" t="inlineStr"/>
      <c r="I491" s="21" t="inlineStr">
        <is>
          <t>L3</t>
        </is>
      </c>
      <c r="J491" s="21" t="inlineStr">
        <is>
          <t>Soins infirmiers</t>
        </is>
      </c>
      <c r="K491" s="21" t="inlineStr"/>
      <c r="L491" s="21" t="inlineStr">
        <is>
          <t>2025-2026</t>
        </is>
      </c>
      <c r="M491" s="21" t="inlineStr">
        <is>
          <t>Inscrit</t>
        </is>
      </c>
      <c r="N491" s="21" t="inlineStr"/>
      <c r="O491" s="21" t="inlineStr">
        <is>
          <t>import</t>
        </is>
      </c>
    </row>
    <row r="492">
      <c r="A492" s="21" t="inlineStr">
        <is>
          <t>51</t>
        </is>
      </c>
      <c r="B492" s="21" t="inlineStr">
        <is>
          <t>70271</t>
        </is>
      </c>
      <c r="C492" s="21" t="inlineStr"/>
      <c r="D492" s="21" t="inlineStr">
        <is>
          <t>SOIFAOU</t>
        </is>
      </c>
      <c r="E492" s="21" t="inlineStr">
        <is>
          <t>ALHADHUIR</t>
        </is>
      </c>
      <c r="F492" s="21" t="inlineStr">
        <is>
          <t>09/11/2003</t>
        </is>
      </c>
      <c r="G492" s="21" t="inlineStr">
        <is>
          <t>MBENI</t>
        </is>
      </c>
      <c r="H492" s="21" t="inlineStr"/>
      <c r="I492" s="21" t="inlineStr">
        <is>
          <t>L3</t>
        </is>
      </c>
      <c r="J492" s="21" t="inlineStr">
        <is>
          <t>Soins infirmiers</t>
        </is>
      </c>
      <c r="K492" s="21" t="inlineStr"/>
      <c r="L492" s="21" t="inlineStr">
        <is>
          <t>2025-2026</t>
        </is>
      </c>
      <c r="M492" s="21" t="inlineStr">
        <is>
          <t>Inscrit</t>
        </is>
      </c>
      <c r="N492" s="21" t="inlineStr"/>
      <c r="O492" s="21" t="inlineStr">
        <is>
          <t>import</t>
        </is>
      </c>
    </row>
    <row r="493">
      <c r="A493" s="21" t="inlineStr">
        <is>
          <t>52</t>
        </is>
      </c>
      <c r="B493" s="21" t="inlineStr">
        <is>
          <t>69107</t>
        </is>
      </c>
      <c r="C493" s="21" t="inlineStr"/>
      <c r="D493" s="21" t="inlineStr">
        <is>
          <t>SOUKAINA</t>
        </is>
      </c>
      <c r="E493" s="21" t="inlineStr">
        <is>
          <t>HIRACHI</t>
        </is>
      </c>
      <c r="F493" s="21" t="inlineStr">
        <is>
          <t>22/01/2005</t>
        </is>
      </c>
      <c r="G493" s="21" t="inlineStr">
        <is>
          <t>COMBANI MAYOTTE</t>
        </is>
      </c>
      <c r="H493" s="21" t="inlineStr"/>
      <c r="I493" s="21" t="inlineStr">
        <is>
          <t>L3</t>
        </is>
      </c>
      <c r="J493" s="21" t="inlineStr">
        <is>
          <t>Soins infirmiers</t>
        </is>
      </c>
      <c r="K493" s="21" t="inlineStr"/>
      <c r="L493" s="21" t="inlineStr">
        <is>
          <t>2025-2026</t>
        </is>
      </c>
      <c r="M493" s="21" t="inlineStr">
        <is>
          <t>Inscrit</t>
        </is>
      </c>
      <c r="N493" s="21" t="inlineStr"/>
      <c r="O493" s="21" t="inlineStr">
        <is>
          <t>import</t>
        </is>
      </c>
    </row>
    <row r="494">
      <c r="A494" s="21" t="inlineStr">
        <is>
          <t>53</t>
        </is>
      </c>
      <c r="B494" s="21" t="inlineStr">
        <is>
          <t>65672</t>
        </is>
      </c>
      <c r="C494" s="21" t="inlineStr"/>
      <c r="D494" s="21" t="inlineStr">
        <is>
          <t>TAOUBATI</t>
        </is>
      </c>
      <c r="E494" s="21" t="inlineStr">
        <is>
          <t>FATOUHOU</t>
        </is>
      </c>
      <c r="F494" s="21" t="inlineStr">
        <is>
          <t>27/12/2002</t>
        </is>
      </c>
      <c r="G494" s="21" t="inlineStr">
        <is>
          <t>MAGNASSINI ANJOUAN</t>
        </is>
      </c>
      <c r="H494" s="21" t="inlineStr"/>
      <c r="I494" s="21" t="inlineStr">
        <is>
          <t>L3</t>
        </is>
      </c>
      <c r="J494" s="21" t="inlineStr">
        <is>
          <t>Soins infirmiers</t>
        </is>
      </c>
      <c r="K494" s="21" t="inlineStr"/>
      <c r="L494" s="21" t="inlineStr">
        <is>
          <t>2025-2026</t>
        </is>
      </c>
      <c r="M494" s="21" t="inlineStr">
        <is>
          <t>Inscrit</t>
        </is>
      </c>
      <c r="N494" s="21" t="inlineStr"/>
      <c r="O494" s="21" t="inlineStr">
        <is>
          <t>import</t>
        </is>
      </c>
    </row>
    <row r="495">
      <c r="A495" s="21" t="inlineStr">
        <is>
          <t>54</t>
        </is>
      </c>
      <c r="B495" s="21" t="inlineStr">
        <is>
          <t>69257</t>
        </is>
      </c>
      <c r="C495" s="21" t="inlineStr"/>
      <c r="D495" s="21" t="inlineStr">
        <is>
          <t>TASLIMA</t>
        </is>
      </c>
      <c r="E495" s="21" t="inlineStr">
        <is>
          <t>MAHAMOUD</t>
        </is>
      </c>
      <c r="F495" s="21" t="inlineStr">
        <is>
          <t>23/09/2003</t>
        </is>
      </c>
      <c r="G495" s="21" t="inlineStr">
        <is>
          <t>SALAMANI - ANJOUAN</t>
        </is>
      </c>
      <c r="H495" s="21" t="inlineStr"/>
      <c r="I495" s="21" t="inlineStr">
        <is>
          <t>L3</t>
        </is>
      </c>
      <c r="J495" s="21" t="inlineStr">
        <is>
          <t>Soins infirmiers</t>
        </is>
      </c>
      <c r="K495" s="21" t="inlineStr"/>
      <c r="L495" s="21" t="inlineStr">
        <is>
          <t>2025-2026</t>
        </is>
      </c>
      <c r="M495" s="21" t="inlineStr">
        <is>
          <t>Inscrit</t>
        </is>
      </c>
      <c r="N495" s="21" t="inlineStr"/>
      <c r="O495" s="21" t="inlineStr">
        <is>
          <t>import</t>
        </is>
      </c>
    </row>
    <row r="496">
      <c r="A496" s="21" t="inlineStr">
        <is>
          <t>55</t>
        </is>
      </c>
      <c r="B496" s="21" t="inlineStr">
        <is>
          <t>69120</t>
        </is>
      </c>
      <c r="C496" s="21" t="inlineStr"/>
      <c r="D496" s="21" t="inlineStr">
        <is>
          <t>WAKDATY BENTY FATIMA</t>
        </is>
      </c>
      <c r="E496" s="21" t="inlineStr">
        <is>
          <t>OUSSENI</t>
        </is>
      </c>
      <c r="F496" s="21" t="inlineStr">
        <is>
          <t>12/07/2003</t>
        </is>
      </c>
      <c r="G496" s="21" t="inlineStr">
        <is>
          <t>MTE DE M'REMANI</t>
        </is>
      </c>
      <c r="H496" s="21" t="inlineStr"/>
      <c r="I496" s="21" t="inlineStr">
        <is>
          <t>L3</t>
        </is>
      </c>
      <c r="J496" s="21" t="inlineStr">
        <is>
          <t>Soins infirmiers</t>
        </is>
      </c>
      <c r="K496" s="21" t="inlineStr"/>
      <c r="L496" s="21" t="inlineStr">
        <is>
          <t>2025-2026</t>
        </is>
      </c>
      <c r="M496" s="21" t="inlineStr">
        <is>
          <t>Inscrit</t>
        </is>
      </c>
      <c r="N496" s="21" t="inlineStr"/>
      <c r="O496" s="21" t="inlineStr">
        <is>
          <t>import</t>
        </is>
      </c>
    </row>
    <row r="497">
      <c r="A497" s="21" t="inlineStr">
        <is>
          <t>56</t>
        </is>
      </c>
      <c r="B497" s="21" t="inlineStr">
        <is>
          <t>70497</t>
        </is>
      </c>
      <c r="C497" s="21" t="inlineStr"/>
      <c r="D497" s="21" t="inlineStr">
        <is>
          <t>YARDJA</t>
        </is>
      </c>
      <c r="E497" s="21" t="inlineStr">
        <is>
          <t>KAMIL</t>
        </is>
      </c>
      <c r="F497" s="21" t="inlineStr">
        <is>
          <t>16/03/2005</t>
        </is>
      </c>
      <c r="G497" s="21" t="inlineStr">
        <is>
          <t>ONGOJOU ANJOUAN</t>
        </is>
      </c>
      <c r="H497" s="21" t="inlineStr"/>
      <c r="I497" s="21" t="inlineStr">
        <is>
          <t>L3</t>
        </is>
      </c>
      <c r="J497" s="21" t="inlineStr">
        <is>
          <t>Soins infirmiers</t>
        </is>
      </c>
      <c r="K497" s="21" t="inlineStr"/>
      <c r="L497" s="21" t="inlineStr">
        <is>
          <t>2025-2026</t>
        </is>
      </c>
      <c r="M497" s="21" t="inlineStr">
        <is>
          <t>Inscrit</t>
        </is>
      </c>
      <c r="N497" s="21" t="inlineStr"/>
      <c r="O497" s="21" t="inlineStr">
        <is>
          <t>import</t>
        </is>
      </c>
    </row>
    <row r="498">
      <c r="A498" s="21" t="inlineStr">
        <is>
          <t>57</t>
        </is>
      </c>
      <c r="B498" s="21" t="inlineStr">
        <is>
          <t>68267</t>
        </is>
      </c>
      <c r="C498" s="21" t="inlineStr"/>
      <c r="D498" s="21" t="inlineStr">
        <is>
          <t>YOUSOURA</t>
        </is>
      </c>
      <c r="E498" s="21" t="inlineStr">
        <is>
          <t>ALI SOUF</t>
        </is>
      </c>
      <c r="F498" s="21" t="inlineStr">
        <is>
          <t>03/01/2004</t>
        </is>
      </c>
      <c r="G498" s="21" t="inlineStr">
        <is>
          <t>NGANDZALE - ANJOUAN</t>
        </is>
      </c>
      <c r="H498" s="21" t="inlineStr"/>
      <c r="I498" s="21" t="inlineStr">
        <is>
          <t>L3</t>
        </is>
      </c>
      <c r="J498" s="21" t="inlineStr">
        <is>
          <t>Soins infirmiers</t>
        </is>
      </c>
      <c r="K498" s="21" t="inlineStr"/>
      <c r="L498" s="21" t="inlineStr">
        <is>
          <t>2025-2026</t>
        </is>
      </c>
      <c r="M498" s="21" t="inlineStr">
        <is>
          <t>Inscrit</t>
        </is>
      </c>
      <c r="N498" s="21" t="inlineStr"/>
      <c r="O498" s="21" t="inlineStr">
        <is>
          <t>import</t>
        </is>
      </c>
    </row>
    <row r="499">
      <c r="A499" s="21" t="inlineStr">
        <is>
          <t>58</t>
        </is>
      </c>
      <c r="B499" s="21" t="inlineStr">
        <is>
          <t>61816</t>
        </is>
      </c>
      <c r="C499" s="21" t="inlineStr"/>
      <c r="D499" s="21" t="inlineStr">
        <is>
          <t>ZAHARIA</t>
        </is>
      </c>
      <c r="E499" s="21" t="inlineStr">
        <is>
          <t>MOHAMED ABDOU</t>
        </is>
      </c>
      <c r="F499" s="21" t="inlineStr">
        <is>
          <t>30/07/2000</t>
        </is>
      </c>
      <c r="G499" s="21" t="inlineStr">
        <is>
          <t>MTE DE MORONI</t>
        </is>
      </c>
      <c r="H499" s="21" t="inlineStr"/>
      <c r="I499" s="21" t="inlineStr">
        <is>
          <t>L3</t>
        </is>
      </c>
      <c r="J499" s="21" t="inlineStr">
        <is>
          <t>Soins infirmiers</t>
        </is>
      </c>
      <c r="K499" s="21" t="inlineStr"/>
      <c r="L499" s="21" t="inlineStr">
        <is>
          <t>2025-2026</t>
        </is>
      </c>
      <c r="M499" s="21" t="inlineStr">
        <is>
          <t>Inscrit</t>
        </is>
      </c>
      <c r="N499" s="21" t="inlineStr"/>
      <c r="O499" s="21" t="inlineStr">
        <is>
          <t>import</t>
        </is>
      </c>
    </row>
    <row r="500">
      <c r="A500" s="21" t="inlineStr">
        <is>
          <t>59</t>
        </is>
      </c>
      <c r="B500" s="21" t="inlineStr">
        <is>
          <t>68986</t>
        </is>
      </c>
      <c r="C500" s="21" t="inlineStr"/>
      <c r="D500" s="21" t="inlineStr">
        <is>
          <t>ZAINOUNE</t>
        </is>
      </c>
      <c r="E500" s="21" t="inlineStr">
        <is>
          <t>MOUSTOIFA</t>
        </is>
      </c>
      <c r="F500" s="21" t="inlineStr">
        <is>
          <t>25/12/2002</t>
        </is>
      </c>
      <c r="G500" s="21" t="inlineStr">
        <is>
          <t>MTE DE MREMANI</t>
        </is>
      </c>
      <c r="H500" s="21" t="inlineStr"/>
      <c r="I500" s="21" t="inlineStr">
        <is>
          <t>L3</t>
        </is>
      </c>
      <c r="J500" s="21" t="inlineStr">
        <is>
          <t>Soins infirmiers</t>
        </is>
      </c>
      <c r="K500" s="21" t="inlineStr"/>
      <c r="L500" s="21" t="inlineStr">
        <is>
          <t>2025-2026</t>
        </is>
      </c>
      <c r="M500" s="21" t="inlineStr">
        <is>
          <t>Inscrit</t>
        </is>
      </c>
      <c r="N500" s="21" t="inlineStr"/>
      <c r="O500" s="21" t="inlineStr">
        <is>
          <t>import</t>
        </is>
      </c>
    </row>
    <row r="501">
      <c r="A501" s="21" t="inlineStr">
        <is>
          <t>60</t>
        </is>
      </c>
      <c r="B501" s="21" t="inlineStr">
        <is>
          <t>65796</t>
        </is>
      </c>
      <c r="C501" s="21" t="inlineStr"/>
      <c r="D501" s="21" t="inlineStr">
        <is>
          <t>ZAINOUR</t>
        </is>
      </c>
      <c r="E501" s="21" t="inlineStr">
        <is>
          <t>BOINA HASSANI</t>
        </is>
      </c>
      <c r="F501" s="21" t="inlineStr">
        <is>
          <t>10/11/1999</t>
        </is>
      </c>
      <c r="G501" s="21" t="inlineStr">
        <is>
          <t>DZAHADJOU ITSANDRA</t>
        </is>
      </c>
      <c r="H501" s="21" t="inlineStr"/>
      <c r="I501" s="21" t="inlineStr">
        <is>
          <t>L3</t>
        </is>
      </c>
      <c r="J501" s="21" t="inlineStr">
        <is>
          <t>Soins infirmiers</t>
        </is>
      </c>
      <c r="K501" s="21" t="inlineStr"/>
      <c r="L501" s="21" t="inlineStr">
        <is>
          <t>2025-2026</t>
        </is>
      </c>
      <c r="M501" s="21" t="inlineStr">
        <is>
          <t>Inscrit</t>
        </is>
      </c>
      <c r="N501" s="21" t="inlineStr"/>
      <c r="O501" s="21" t="inlineStr">
        <is>
          <t>import</t>
        </is>
      </c>
    </row>
    <row r="502">
      <c r="A502" s="21" t="inlineStr">
        <is>
          <t>1</t>
        </is>
      </c>
      <c r="B502" s="21" t="inlineStr">
        <is>
          <t>69526</t>
        </is>
      </c>
      <c r="C502" s="21" t="inlineStr"/>
      <c r="D502" s="21" t="inlineStr">
        <is>
          <t>ABDILLAH NASSORO</t>
        </is>
      </c>
      <c r="E502" s="21" t="inlineStr">
        <is>
          <t>IMNATI</t>
        </is>
      </c>
      <c r="F502" s="21" t="inlineStr">
        <is>
          <t>31/12/2003</t>
        </is>
      </c>
      <c r="G502" s="21" t="inlineStr">
        <is>
          <t>MBENI</t>
        </is>
      </c>
      <c r="H502" s="21" t="inlineStr"/>
      <c r="I502" s="21" t="inlineStr">
        <is>
          <t>L3</t>
        </is>
      </c>
      <c r="J502" s="21" t="inlineStr">
        <is>
          <t>Soins obstétricaux</t>
        </is>
      </c>
      <c r="K502" s="21" t="inlineStr"/>
      <c r="L502" s="21" t="inlineStr">
        <is>
          <t>2025-2026</t>
        </is>
      </c>
      <c r="M502" s="21" t="inlineStr">
        <is>
          <t>Inscrit</t>
        </is>
      </c>
      <c r="N502" s="21" t="inlineStr"/>
      <c r="O502" s="21" t="inlineStr">
        <is>
          <t>import</t>
        </is>
      </c>
    </row>
    <row r="503">
      <c r="A503" s="21" t="inlineStr">
        <is>
          <t>2</t>
        </is>
      </c>
      <c r="B503" s="21" t="inlineStr">
        <is>
          <t>46084</t>
        </is>
      </c>
      <c r="C503" s="21" t="inlineStr"/>
      <c r="D503" s="21" t="inlineStr">
        <is>
          <t>AHMED</t>
        </is>
      </c>
      <c r="E503" s="21" t="inlineStr">
        <is>
          <t>ATTOUMANE HAFSOIT</t>
        </is>
      </c>
      <c r="F503" s="21" t="inlineStr">
        <is>
          <t>20/06/1999</t>
        </is>
      </c>
      <c r="G503" s="21" t="inlineStr">
        <is>
          <t>MTE DE HOMBO-ANJOUAN</t>
        </is>
      </c>
      <c r="H503" s="21" t="inlineStr"/>
      <c r="I503" s="21" t="inlineStr">
        <is>
          <t>L3</t>
        </is>
      </c>
      <c r="J503" s="21" t="inlineStr">
        <is>
          <t>Soins obstétricaux</t>
        </is>
      </c>
      <c r="K503" s="21" t="inlineStr"/>
      <c r="L503" s="21" t="inlineStr">
        <is>
          <t>2025-2026</t>
        </is>
      </c>
      <c r="M503" s="21" t="inlineStr">
        <is>
          <t>Inscrit</t>
        </is>
      </c>
      <c r="N503" s="21" t="inlineStr"/>
      <c r="O503" s="21" t="inlineStr">
        <is>
          <t>import</t>
        </is>
      </c>
    </row>
    <row r="504">
      <c r="A504" s="21" t="inlineStr">
        <is>
          <t>3</t>
        </is>
      </c>
      <c r="B504" s="21" t="inlineStr">
        <is>
          <t>61689</t>
        </is>
      </c>
      <c r="C504" s="21" t="inlineStr"/>
      <c r="D504" s="21" t="inlineStr">
        <is>
          <t>AICHA</t>
        </is>
      </c>
      <c r="E504" s="21" t="inlineStr">
        <is>
          <t>MAOULIDA</t>
        </is>
      </c>
      <c r="F504" s="21" t="inlineStr">
        <is>
          <t>02/02/2000</t>
        </is>
      </c>
      <c r="G504" s="21" t="inlineStr">
        <is>
          <t>VOUVOUNI - BAMBAO</t>
        </is>
      </c>
      <c r="H504" s="21" t="inlineStr"/>
      <c r="I504" s="21" t="inlineStr">
        <is>
          <t>L3</t>
        </is>
      </c>
      <c r="J504" s="21" t="inlineStr">
        <is>
          <t>Soins obstétricaux</t>
        </is>
      </c>
      <c r="K504" s="21" t="inlineStr"/>
      <c r="L504" s="21" t="inlineStr">
        <is>
          <t>2025-2026</t>
        </is>
      </c>
      <c r="M504" s="21" t="inlineStr">
        <is>
          <t>Inscrit</t>
        </is>
      </c>
      <c r="N504" s="21" t="inlineStr"/>
      <c r="O504" s="21" t="inlineStr">
        <is>
          <t>import</t>
        </is>
      </c>
    </row>
    <row r="505">
      <c r="A505" s="21" t="inlineStr">
        <is>
          <t>4</t>
        </is>
      </c>
      <c r="B505" s="21" t="inlineStr">
        <is>
          <t>70919</t>
        </is>
      </c>
      <c r="C505" s="21" t="inlineStr"/>
      <c r="D505" s="21" t="inlineStr">
        <is>
          <t>AICHA</t>
        </is>
      </c>
      <c r="E505" s="21" t="inlineStr">
        <is>
          <t>WIRDANE AHAMADI</t>
        </is>
      </c>
      <c r="F505" s="21" t="inlineStr">
        <is>
          <t>05/04/2005</t>
        </is>
      </c>
      <c r="G505" s="21" t="inlineStr">
        <is>
          <t>MTE DE DOMONI - ANJOUAN</t>
        </is>
      </c>
      <c r="H505" s="21" t="inlineStr"/>
      <c r="I505" s="21" t="inlineStr">
        <is>
          <t>L3</t>
        </is>
      </c>
      <c r="J505" s="21" t="inlineStr">
        <is>
          <t>Soins obstétricaux</t>
        </is>
      </c>
      <c r="K505" s="21" t="inlineStr"/>
      <c r="L505" s="21" t="inlineStr">
        <is>
          <t>2025-2026</t>
        </is>
      </c>
      <c r="M505" s="21" t="inlineStr">
        <is>
          <t>Inscrit</t>
        </is>
      </c>
      <c r="N505" s="21" t="inlineStr"/>
      <c r="O505" s="21" t="inlineStr">
        <is>
          <t>import</t>
        </is>
      </c>
    </row>
    <row r="506">
      <c r="A506" s="21" t="inlineStr">
        <is>
          <t>5</t>
        </is>
      </c>
      <c r="B506" s="21" t="inlineStr">
        <is>
          <t>71088</t>
        </is>
      </c>
      <c r="C506" s="21" t="inlineStr"/>
      <c r="D506" s="21" t="inlineStr">
        <is>
          <t>AINATA</t>
        </is>
      </c>
      <c r="E506" s="21" t="inlineStr">
        <is>
          <t>MSOILI</t>
        </is>
      </c>
      <c r="F506" s="21" t="inlineStr">
        <is>
          <t>29/09/2002</t>
        </is>
      </c>
      <c r="G506" s="21" t="inlineStr">
        <is>
          <t>SELEANI HAMAHAMET</t>
        </is>
      </c>
      <c r="H506" s="21" t="inlineStr"/>
      <c r="I506" s="21" t="inlineStr">
        <is>
          <t>L3</t>
        </is>
      </c>
      <c r="J506" s="21" t="inlineStr">
        <is>
          <t>Soins obstétricaux</t>
        </is>
      </c>
      <c r="K506" s="21" t="inlineStr"/>
      <c r="L506" s="21" t="inlineStr">
        <is>
          <t>2025-2026</t>
        </is>
      </c>
      <c r="M506" s="21" t="inlineStr">
        <is>
          <t>Inscrit</t>
        </is>
      </c>
      <c r="N506" s="21" t="inlineStr"/>
      <c r="O506" s="21" t="inlineStr">
        <is>
          <t>import</t>
        </is>
      </c>
    </row>
    <row r="507">
      <c r="A507" s="21" t="inlineStr">
        <is>
          <t>6</t>
        </is>
      </c>
      <c r="B507" s="21" t="inlineStr">
        <is>
          <t>63599</t>
        </is>
      </c>
      <c r="C507" s="21" t="inlineStr"/>
      <c r="D507" s="21" t="inlineStr">
        <is>
          <t>ALLAOUIA</t>
        </is>
      </c>
      <c r="E507" s="21" t="inlineStr">
        <is>
          <t>DJAMBAE</t>
        </is>
      </c>
      <c r="F507" s="21" t="inlineStr">
        <is>
          <t>13/03/2000</t>
        </is>
      </c>
      <c r="G507" s="21" t="inlineStr">
        <is>
          <t>FOUNGA - MITSAMIOULI</t>
        </is>
      </c>
      <c r="H507" s="21" t="inlineStr"/>
      <c r="I507" s="21" t="inlineStr">
        <is>
          <t>L3</t>
        </is>
      </c>
      <c r="J507" s="21" t="inlineStr">
        <is>
          <t>Soins obstétricaux</t>
        </is>
      </c>
      <c r="K507" s="21" t="inlineStr"/>
      <c r="L507" s="21" t="inlineStr">
        <is>
          <t>2025-2026</t>
        </is>
      </c>
      <c r="M507" s="21" t="inlineStr">
        <is>
          <t>Inscrit</t>
        </is>
      </c>
      <c r="N507" s="21" t="inlineStr"/>
      <c r="O507" s="21" t="inlineStr">
        <is>
          <t>import</t>
        </is>
      </c>
    </row>
    <row r="508">
      <c r="A508" s="21" t="inlineStr">
        <is>
          <t>7</t>
        </is>
      </c>
      <c r="B508" s="21" t="inlineStr">
        <is>
          <t>69288</t>
        </is>
      </c>
      <c r="C508" s="21" t="inlineStr"/>
      <c r="D508" s="21" t="inlineStr">
        <is>
          <t>AMINA</t>
        </is>
      </c>
      <c r="E508" s="21" t="inlineStr">
        <is>
          <t>IBRAHIM</t>
        </is>
      </c>
      <c r="F508" s="21" t="inlineStr">
        <is>
          <t>30/03/2000</t>
        </is>
      </c>
      <c r="G508" s="21" t="inlineStr">
        <is>
          <t>ONGOJOU - ANJOUAN</t>
        </is>
      </c>
      <c r="H508" s="21" t="inlineStr"/>
      <c r="I508" s="21" t="inlineStr">
        <is>
          <t>L3</t>
        </is>
      </c>
      <c r="J508" s="21" t="inlineStr">
        <is>
          <t>Soins obstétricaux</t>
        </is>
      </c>
      <c r="K508" s="21" t="inlineStr"/>
      <c r="L508" s="21" t="inlineStr">
        <is>
          <t>2025-2026</t>
        </is>
      </c>
      <c r="M508" s="21" t="inlineStr">
        <is>
          <t>Inscrit</t>
        </is>
      </c>
      <c r="N508" s="21" t="inlineStr"/>
      <c r="O508" s="21" t="inlineStr">
        <is>
          <t>import</t>
        </is>
      </c>
    </row>
    <row r="509">
      <c r="A509" s="21" t="inlineStr">
        <is>
          <t>8</t>
        </is>
      </c>
      <c r="B509" s="21" t="inlineStr">
        <is>
          <t>70561</t>
        </is>
      </c>
      <c r="C509" s="21" t="inlineStr"/>
      <c r="D509" s="21" t="inlineStr">
        <is>
          <t>AMLATI</t>
        </is>
      </c>
      <c r="E509" s="21" t="inlineStr">
        <is>
          <t>MOHAMED</t>
        </is>
      </c>
      <c r="F509" s="21" t="inlineStr">
        <is>
          <t>24/05/2001</t>
        </is>
      </c>
      <c r="G509" s="21" t="inlineStr">
        <is>
          <t>MTE DE MORONI</t>
        </is>
      </c>
      <c r="H509" s="21" t="inlineStr"/>
      <c r="I509" s="21" t="inlineStr">
        <is>
          <t>L3</t>
        </is>
      </c>
      <c r="J509" s="21" t="inlineStr">
        <is>
          <t>Soins obstétricaux</t>
        </is>
      </c>
      <c r="K509" s="21" t="inlineStr"/>
      <c r="L509" s="21" t="inlineStr">
        <is>
          <t>2025-2026</t>
        </is>
      </c>
      <c r="M509" s="21" t="inlineStr">
        <is>
          <t>Inscrit</t>
        </is>
      </c>
      <c r="N509" s="21" t="inlineStr"/>
      <c r="O509" s="21" t="inlineStr">
        <is>
          <t>import</t>
        </is>
      </c>
    </row>
    <row r="510">
      <c r="A510" s="21" t="inlineStr">
        <is>
          <t>9</t>
        </is>
      </c>
      <c r="B510" s="21" t="inlineStr">
        <is>
          <t>67765</t>
        </is>
      </c>
      <c r="C510" s="21" t="inlineStr"/>
      <c r="D510" s="21" t="inlineStr">
        <is>
          <t>ANSSUMATI</t>
        </is>
      </c>
      <c r="E510" s="21" t="inlineStr">
        <is>
          <t>MBARAKA</t>
        </is>
      </c>
      <c r="F510" s="21" t="inlineStr">
        <is>
          <t>30/06/1998</t>
        </is>
      </c>
      <c r="G510" s="21" t="inlineStr">
        <is>
          <t>IDJINKOUNDZI DIMANI</t>
        </is>
      </c>
      <c r="H510" s="21" t="inlineStr"/>
      <c r="I510" s="21" t="inlineStr">
        <is>
          <t>L3</t>
        </is>
      </c>
      <c r="J510" s="21" t="inlineStr">
        <is>
          <t>Soins obstétricaux</t>
        </is>
      </c>
      <c r="K510" s="21" t="inlineStr"/>
      <c r="L510" s="21" t="inlineStr">
        <is>
          <t>2025-2026</t>
        </is>
      </c>
      <c r="M510" s="21" t="inlineStr">
        <is>
          <t>Inscrit</t>
        </is>
      </c>
      <c r="N510" s="21" t="inlineStr"/>
      <c r="O510" s="21" t="inlineStr">
        <is>
          <t>import</t>
        </is>
      </c>
    </row>
    <row r="511">
      <c r="A511" s="21" t="inlineStr">
        <is>
          <t>10</t>
        </is>
      </c>
      <c r="B511" s="21" t="inlineStr">
        <is>
          <t>60892</t>
        </is>
      </c>
      <c r="C511" s="21" t="inlineStr"/>
      <c r="D511" s="21" t="inlineStr">
        <is>
          <t>ASSIA BINTI</t>
        </is>
      </c>
      <c r="E511" s="21" t="inlineStr">
        <is>
          <t>ABDOUL-KARIM</t>
        </is>
      </c>
      <c r="F511" s="21" t="inlineStr">
        <is>
          <t>06/12/2002</t>
        </is>
      </c>
      <c r="G511" s="21" t="inlineStr">
        <is>
          <t>MTE DE FOMBONI - MOHELI</t>
        </is>
      </c>
      <c r="H511" s="21" t="inlineStr"/>
      <c r="I511" s="21" t="inlineStr">
        <is>
          <t>L3</t>
        </is>
      </c>
      <c r="J511" s="21" t="inlineStr">
        <is>
          <t>Soins obstétricaux</t>
        </is>
      </c>
      <c r="K511" s="21" t="inlineStr"/>
      <c r="L511" s="21" t="inlineStr">
        <is>
          <t>2025-2026</t>
        </is>
      </c>
      <c r="M511" s="21" t="inlineStr">
        <is>
          <t>Inscrit</t>
        </is>
      </c>
      <c r="N511" s="21" t="inlineStr"/>
      <c r="O511" s="21" t="inlineStr">
        <is>
          <t>import</t>
        </is>
      </c>
    </row>
    <row r="512">
      <c r="A512" s="21" t="inlineStr">
        <is>
          <t>11</t>
        </is>
      </c>
      <c r="B512" s="21" t="inlineStr">
        <is>
          <t>67552</t>
        </is>
      </c>
      <c r="C512" s="21" t="inlineStr"/>
      <c r="D512" s="21" t="inlineStr">
        <is>
          <t>ASSIAT</t>
        </is>
      </c>
      <c r="E512" s="21" t="inlineStr">
        <is>
          <t>MOHAMED AHAMED</t>
        </is>
      </c>
      <c r="F512" s="21" t="inlineStr">
        <is>
          <t>08/03/2004</t>
        </is>
      </c>
      <c r="G512" s="21" t="inlineStr">
        <is>
          <t>MATERNITE DE MORONI</t>
        </is>
      </c>
      <c r="H512" s="21" t="inlineStr"/>
      <c r="I512" s="21" t="inlineStr">
        <is>
          <t>L3</t>
        </is>
      </c>
      <c r="J512" s="21" t="inlineStr">
        <is>
          <t>Soins obstétricaux</t>
        </is>
      </c>
      <c r="K512" s="21" t="inlineStr"/>
      <c r="L512" s="21" t="inlineStr">
        <is>
          <t>2025-2026</t>
        </is>
      </c>
      <c r="M512" s="21" t="inlineStr">
        <is>
          <t>Inscrit</t>
        </is>
      </c>
      <c r="N512" s="21" t="inlineStr"/>
      <c r="O512" s="21" t="inlineStr">
        <is>
          <t>import</t>
        </is>
      </c>
    </row>
    <row r="513">
      <c r="A513" s="21" t="inlineStr">
        <is>
          <t>12</t>
        </is>
      </c>
      <c r="B513" s="21" t="inlineStr">
        <is>
          <t>66815</t>
        </is>
      </c>
      <c r="C513" s="21" t="inlineStr"/>
      <c r="D513" s="21" t="inlineStr">
        <is>
          <t>ATHNA</t>
        </is>
      </c>
      <c r="E513" s="21" t="inlineStr">
        <is>
          <t>ABDILLAH</t>
        </is>
      </c>
      <c r="F513" s="21" t="inlineStr">
        <is>
          <t>23/03/2004</t>
        </is>
      </c>
      <c r="G513" s="21" t="inlineStr">
        <is>
          <t>MTE DE MORONI</t>
        </is>
      </c>
      <c r="H513" s="21" t="inlineStr"/>
      <c r="I513" s="21" t="inlineStr">
        <is>
          <t>L3</t>
        </is>
      </c>
      <c r="J513" s="21" t="inlineStr">
        <is>
          <t>Soins obstétricaux</t>
        </is>
      </c>
      <c r="K513" s="21" t="inlineStr"/>
      <c r="L513" s="21" t="inlineStr">
        <is>
          <t>2025-2026</t>
        </is>
      </c>
      <c r="M513" s="21" t="inlineStr">
        <is>
          <t>Inscrit</t>
        </is>
      </c>
      <c r="N513" s="21" t="inlineStr"/>
      <c r="O513" s="21" t="inlineStr">
        <is>
          <t>import</t>
        </is>
      </c>
    </row>
    <row r="514">
      <c r="A514" s="21" t="inlineStr">
        <is>
          <t>13</t>
        </is>
      </c>
      <c r="B514" s="21" t="inlineStr">
        <is>
          <t>64918</t>
        </is>
      </c>
      <c r="C514" s="21" t="inlineStr"/>
      <c r="D514" s="21" t="inlineStr">
        <is>
          <t>BARAKA</t>
        </is>
      </c>
      <c r="E514" s="21" t="inlineStr">
        <is>
          <t>DHAKRINA</t>
        </is>
      </c>
      <c r="F514" s="21" t="inlineStr">
        <is>
          <t>23/12/2001</t>
        </is>
      </c>
      <c r="G514" s="21" t="inlineStr">
        <is>
          <t>MREMANI ANJOUAN</t>
        </is>
      </c>
      <c r="H514" s="21" t="inlineStr"/>
      <c r="I514" s="21" t="inlineStr">
        <is>
          <t>L3</t>
        </is>
      </c>
      <c r="J514" s="21" t="inlineStr">
        <is>
          <t>Soins obstétricaux</t>
        </is>
      </c>
      <c r="K514" s="21" t="inlineStr"/>
      <c r="L514" s="21" t="inlineStr">
        <is>
          <t>2025-2026</t>
        </is>
      </c>
      <c r="M514" s="21" t="inlineStr">
        <is>
          <t>Inscrit</t>
        </is>
      </c>
      <c r="N514" s="21" t="inlineStr"/>
      <c r="O514" s="21" t="inlineStr">
        <is>
          <t>import</t>
        </is>
      </c>
    </row>
    <row r="515">
      <c r="A515" s="21" t="inlineStr">
        <is>
          <t>14</t>
        </is>
      </c>
      <c r="B515" s="21" t="inlineStr">
        <is>
          <t>69469</t>
        </is>
      </c>
      <c r="C515" s="21" t="inlineStr"/>
      <c r="D515" s="21" t="inlineStr">
        <is>
          <t>BOUCHRATI</t>
        </is>
      </c>
      <c r="E515" s="21" t="inlineStr">
        <is>
          <t>ALI MMADI</t>
        </is>
      </c>
      <c r="F515" s="21" t="inlineStr">
        <is>
          <t>19/12/2004</t>
        </is>
      </c>
      <c r="G515" s="21" t="inlineStr">
        <is>
          <t>DIBOINI</t>
        </is>
      </c>
      <c r="H515" s="21" t="inlineStr"/>
      <c r="I515" s="21" t="inlineStr">
        <is>
          <t>L3</t>
        </is>
      </c>
      <c r="J515" s="21" t="inlineStr">
        <is>
          <t>Soins obstétricaux</t>
        </is>
      </c>
      <c r="K515" s="21" t="inlineStr"/>
      <c r="L515" s="21" t="inlineStr">
        <is>
          <t>2025-2026</t>
        </is>
      </c>
      <c r="M515" s="21" t="inlineStr">
        <is>
          <t>Inscrit</t>
        </is>
      </c>
      <c r="N515" s="21" t="inlineStr"/>
      <c r="O515" s="21" t="inlineStr">
        <is>
          <t>import</t>
        </is>
      </c>
    </row>
    <row r="516">
      <c r="A516" s="21" t="inlineStr">
        <is>
          <t>15</t>
        </is>
      </c>
      <c r="B516" s="21" t="inlineStr">
        <is>
          <t>65952</t>
        </is>
      </c>
      <c r="C516" s="21" t="inlineStr"/>
      <c r="D516" s="21" t="inlineStr">
        <is>
          <t>CORINE</t>
        </is>
      </c>
      <c r="E516" s="21" t="inlineStr">
        <is>
          <t>MOHAMED</t>
        </is>
      </c>
      <c r="F516" s="21" t="inlineStr">
        <is>
          <t>27/11/2002</t>
        </is>
      </c>
      <c r="G516" s="21" t="inlineStr">
        <is>
          <t>MTE DE HOMBO ANJOUAN</t>
        </is>
      </c>
      <c r="H516" s="21" t="inlineStr"/>
      <c r="I516" s="21" t="inlineStr">
        <is>
          <t>L3</t>
        </is>
      </c>
      <c r="J516" s="21" t="inlineStr">
        <is>
          <t>Soins obstétricaux</t>
        </is>
      </c>
      <c r="K516" s="21" t="inlineStr"/>
      <c r="L516" s="21" t="inlineStr">
        <is>
          <t>2025-2026</t>
        </is>
      </c>
      <c r="M516" s="21" t="inlineStr">
        <is>
          <t>Inscrit</t>
        </is>
      </c>
      <c r="N516" s="21" t="inlineStr"/>
      <c r="O516" s="21" t="inlineStr">
        <is>
          <t>import</t>
        </is>
      </c>
    </row>
    <row r="517">
      <c r="A517" s="21" t="inlineStr">
        <is>
          <t>16</t>
        </is>
      </c>
      <c r="B517" s="21" t="inlineStr">
        <is>
          <t>69894</t>
        </is>
      </c>
      <c r="C517" s="21" t="inlineStr"/>
      <c r="D517" s="21" t="inlineStr">
        <is>
          <t>DHOIYFATI</t>
        </is>
      </c>
      <c r="E517" s="21" t="inlineStr">
        <is>
          <t>MAHAMOUD</t>
        </is>
      </c>
      <c r="F517" s="21" t="inlineStr">
        <is>
          <t>30/03/2001</t>
        </is>
      </c>
      <c r="G517" s="21" t="inlineStr">
        <is>
          <t>ONGOJOU - ANJOUAN</t>
        </is>
      </c>
      <c r="H517" s="21" t="inlineStr"/>
      <c r="I517" s="21" t="inlineStr">
        <is>
          <t>L3</t>
        </is>
      </c>
      <c r="J517" s="21" t="inlineStr">
        <is>
          <t>Soins obstétricaux</t>
        </is>
      </c>
      <c r="K517" s="21" t="inlineStr"/>
      <c r="L517" s="21" t="inlineStr">
        <is>
          <t>2025-2026</t>
        </is>
      </c>
      <c r="M517" s="21" t="inlineStr">
        <is>
          <t>Inscrit</t>
        </is>
      </c>
      <c r="N517" s="21" t="inlineStr"/>
      <c r="O517" s="21" t="inlineStr">
        <is>
          <t>import</t>
        </is>
      </c>
    </row>
    <row r="518">
      <c r="A518" s="21" t="inlineStr">
        <is>
          <t>17</t>
        </is>
      </c>
      <c r="B518" s="21" t="inlineStr">
        <is>
          <t>65031</t>
        </is>
      </c>
      <c r="C518" s="21" t="inlineStr"/>
      <c r="D518" s="21" t="inlineStr">
        <is>
          <t>DJAOIHERI</t>
        </is>
      </c>
      <c r="E518" s="21" t="inlineStr">
        <is>
          <t>SAID ABDOU</t>
        </is>
      </c>
      <c r="F518" s="21" t="inlineStr">
        <is>
          <t>22/04/2003</t>
        </is>
      </c>
      <c r="G518" s="21" t="inlineStr">
        <is>
          <t>MBENI</t>
        </is>
      </c>
      <c r="H518" s="21" t="inlineStr"/>
      <c r="I518" s="21" t="inlineStr">
        <is>
          <t>L3</t>
        </is>
      </c>
      <c r="J518" s="21" t="inlineStr">
        <is>
          <t>Soins obstétricaux</t>
        </is>
      </c>
      <c r="K518" s="21" t="inlineStr"/>
      <c r="L518" s="21" t="inlineStr">
        <is>
          <t>2025-2026</t>
        </is>
      </c>
      <c r="M518" s="21" t="inlineStr">
        <is>
          <t>Inscrit</t>
        </is>
      </c>
      <c r="N518" s="21" t="inlineStr"/>
      <c r="O518" s="21" t="inlineStr">
        <is>
          <t>import</t>
        </is>
      </c>
    </row>
    <row r="519">
      <c r="A519" s="21" t="inlineStr">
        <is>
          <t>18</t>
        </is>
      </c>
      <c r="B519" s="21" t="inlineStr">
        <is>
          <t>65798</t>
        </is>
      </c>
      <c r="C519" s="21" t="inlineStr"/>
      <c r="D519" s="21" t="inlineStr">
        <is>
          <t>DJOULEKA</t>
        </is>
      </c>
      <c r="E519" s="21" t="inlineStr">
        <is>
          <t>IBRAHIM</t>
        </is>
      </c>
      <c r="F519" s="21" t="inlineStr">
        <is>
          <t>02/06/2001</t>
        </is>
      </c>
      <c r="G519" s="21" t="inlineStr">
        <is>
          <t>NTSOUDJINI ITSANDRA</t>
        </is>
      </c>
      <c r="H519" s="21" t="inlineStr"/>
      <c r="I519" s="21" t="inlineStr">
        <is>
          <t>L3</t>
        </is>
      </c>
      <c r="J519" s="21" t="inlineStr">
        <is>
          <t>Soins obstétricaux</t>
        </is>
      </c>
      <c r="K519" s="21" t="inlineStr"/>
      <c r="L519" s="21" t="inlineStr">
        <is>
          <t>2025-2026</t>
        </is>
      </c>
      <c r="M519" s="21" t="inlineStr">
        <is>
          <t>Inscrit</t>
        </is>
      </c>
      <c r="N519" s="21" t="inlineStr"/>
      <c r="O519" s="21" t="inlineStr">
        <is>
          <t>import</t>
        </is>
      </c>
    </row>
    <row r="520">
      <c r="A520" s="21" t="inlineStr">
        <is>
          <t>19</t>
        </is>
      </c>
      <c r="B520" s="21" t="inlineStr">
        <is>
          <t>64847</t>
        </is>
      </c>
      <c r="C520" s="21" t="inlineStr"/>
      <c r="D520" s="21" t="inlineStr">
        <is>
          <t>FAINA</t>
        </is>
      </c>
      <c r="E520" s="21" t="inlineStr">
        <is>
          <t>ABDILLAH</t>
        </is>
      </c>
      <c r="F520" s="21" t="inlineStr">
        <is>
          <t>04/12/2004</t>
        </is>
      </c>
      <c r="G520" s="21" t="inlineStr">
        <is>
          <t>MREMANI - ANJOUAN</t>
        </is>
      </c>
      <c r="H520" s="21" t="inlineStr"/>
      <c r="I520" s="21" t="inlineStr">
        <is>
          <t>L3</t>
        </is>
      </c>
      <c r="J520" s="21" t="inlineStr">
        <is>
          <t>Soins obstétricaux</t>
        </is>
      </c>
      <c r="K520" s="21" t="inlineStr"/>
      <c r="L520" s="21" t="inlineStr">
        <is>
          <t>2025-2026</t>
        </is>
      </c>
      <c r="M520" s="21" t="inlineStr">
        <is>
          <t>Inscrit</t>
        </is>
      </c>
      <c r="N520" s="21" t="inlineStr"/>
      <c r="O520" s="21" t="inlineStr">
        <is>
          <t>import</t>
        </is>
      </c>
    </row>
    <row r="521">
      <c r="A521" s="21" t="inlineStr">
        <is>
          <t>20</t>
        </is>
      </c>
      <c r="B521" s="21" t="inlineStr">
        <is>
          <t>63624</t>
        </is>
      </c>
      <c r="C521" s="21" t="inlineStr"/>
      <c r="D521" s="21" t="inlineStr">
        <is>
          <t>FARDATI</t>
        </is>
      </c>
      <c r="E521" s="21" t="inlineStr">
        <is>
          <t>HASSANI</t>
        </is>
      </c>
      <c r="F521" s="21" t="inlineStr">
        <is>
          <t>15/04/2003</t>
        </is>
      </c>
      <c r="G521" s="21" t="inlineStr">
        <is>
          <t>MTE DE MITSAMIOULI</t>
        </is>
      </c>
      <c r="H521" s="21" t="inlineStr"/>
      <c r="I521" s="21" t="inlineStr">
        <is>
          <t>L3</t>
        </is>
      </c>
      <c r="J521" s="21" t="inlineStr">
        <is>
          <t>Soins obstétricaux</t>
        </is>
      </c>
      <c r="K521" s="21" t="inlineStr"/>
      <c r="L521" s="21" t="inlineStr">
        <is>
          <t>2025-2026</t>
        </is>
      </c>
      <c r="M521" s="21" t="inlineStr">
        <is>
          <t>Inscrit</t>
        </is>
      </c>
      <c r="N521" s="21" t="inlineStr"/>
      <c r="O521" s="21" t="inlineStr">
        <is>
          <t>import</t>
        </is>
      </c>
    </row>
    <row r="522">
      <c r="A522" s="21" t="inlineStr">
        <is>
          <t>21</t>
        </is>
      </c>
      <c r="B522" s="21" t="inlineStr">
        <is>
          <t>67497</t>
        </is>
      </c>
      <c r="C522" s="21" t="inlineStr"/>
      <c r="D522" s="21" t="inlineStr">
        <is>
          <t>FARZA</t>
        </is>
      </c>
      <c r="E522" s="21" t="inlineStr">
        <is>
          <t>ALI HOUMADI</t>
        </is>
      </c>
      <c r="F522" s="21" t="inlineStr">
        <is>
          <t>22/04/2005</t>
        </is>
      </c>
      <c r="G522" s="21" t="inlineStr">
        <is>
          <t>L'HOPITAL DE POMONI - ANJOUAN</t>
        </is>
      </c>
      <c r="H522" s="21" t="inlineStr"/>
      <c r="I522" s="21" t="inlineStr">
        <is>
          <t>L3</t>
        </is>
      </c>
      <c r="J522" s="21" t="inlineStr">
        <is>
          <t>Soins obstétricaux</t>
        </is>
      </c>
      <c r="K522" s="21" t="inlineStr"/>
      <c r="L522" s="21" t="inlineStr">
        <is>
          <t>2025-2026</t>
        </is>
      </c>
      <c r="M522" s="21" t="inlineStr">
        <is>
          <t>Inscrit</t>
        </is>
      </c>
      <c r="N522" s="21" t="inlineStr"/>
      <c r="O522" s="21" t="inlineStr">
        <is>
          <t>import</t>
        </is>
      </c>
    </row>
    <row r="523">
      <c r="A523" s="21" t="inlineStr">
        <is>
          <t>22</t>
        </is>
      </c>
      <c r="B523" s="21" t="inlineStr">
        <is>
          <t>68861</t>
        </is>
      </c>
      <c r="C523" s="21" t="inlineStr"/>
      <c r="D523" s="21" t="inlineStr">
        <is>
          <t>FATIMA</t>
        </is>
      </c>
      <c r="E523" s="21" t="inlineStr">
        <is>
          <t>ABDALLAH DJAZILA</t>
        </is>
      </c>
      <c r="F523" s="21" t="inlineStr">
        <is>
          <t>02/01/2006</t>
        </is>
      </c>
      <c r="G523" s="21" t="inlineStr">
        <is>
          <t>ONGOJOU ANJOUAN</t>
        </is>
      </c>
      <c r="H523" s="21" t="inlineStr"/>
      <c r="I523" s="21" t="inlineStr">
        <is>
          <t>L3</t>
        </is>
      </c>
      <c r="J523" s="21" t="inlineStr">
        <is>
          <t>Soins obstétricaux</t>
        </is>
      </c>
      <c r="K523" s="21" t="inlineStr"/>
      <c r="L523" s="21" t="inlineStr">
        <is>
          <t>2025-2026</t>
        </is>
      </c>
      <c r="M523" s="21" t="inlineStr">
        <is>
          <t>Inscrit</t>
        </is>
      </c>
      <c r="N523" s="21" t="inlineStr"/>
      <c r="O523" s="21" t="inlineStr">
        <is>
          <t>import</t>
        </is>
      </c>
    </row>
    <row r="524">
      <c r="A524" s="21" t="inlineStr">
        <is>
          <t>23</t>
        </is>
      </c>
      <c r="B524" s="21" t="inlineStr">
        <is>
          <t>45019</t>
        </is>
      </c>
      <c r="C524" s="21" t="inlineStr"/>
      <c r="D524" s="21" t="inlineStr">
        <is>
          <t>FATIMA</t>
        </is>
      </c>
      <c r="E524" s="21" t="inlineStr">
        <is>
          <t>ABDILLAH</t>
        </is>
      </c>
      <c r="F524" s="21" t="inlineStr">
        <is>
          <t>18/05/1996</t>
        </is>
      </c>
      <c r="G524" s="21" t="inlineStr">
        <is>
          <t>MINDRADOU BADJINI-OUEST</t>
        </is>
      </c>
      <c r="H524" s="21" t="inlineStr"/>
      <c r="I524" s="21" t="inlineStr">
        <is>
          <t>L3</t>
        </is>
      </c>
      <c r="J524" s="21" t="inlineStr">
        <is>
          <t>Soins obstétricaux</t>
        </is>
      </c>
      <c r="K524" s="21" t="inlineStr"/>
      <c r="L524" s="21" t="inlineStr">
        <is>
          <t>2025-2026</t>
        </is>
      </c>
      <c r="M524" s="21" t="inlineStr">
        <is>
          <t>Inscrit</t>
        </is>
      </c>
      <c r="N524" s="21" t="inlineStr"/>
      <c r="O524" s="21" t="inlineStr">
        <is>
          <t>import</t>
        </is>
      </c>
    </row>
    <row r="525">
      <c r="A525" s="21" t="inlineStr">
        <is>
          <t>24</t>
        </is>
      </c>
      <c r="B525" s="21" t="inlineStr">
        <is>
          <t>70251</t>
        </is>
      </c>
      <c r="C525" s="21" t="inlineStr"/>
      <c r="D525" s="21" t="inlineStr">
        <is>
          <t>FAZILATI</t>
        </is>
      </c>
      <c r="E525" s="21" t="inlineStr">
        <is>
          <t>OUMAR ALI</t>
        </is>
      </c>
      <c r="F525" s="21" t="inlineStr">
        <is>
          <t>31/07/2002</t>
        </is>
      </c>
      <c r="G525" s="21" t="inlineStr">
        <is>
          <t>MIRERENI DIMANI</t>
        </is>
      </c>
      <c r="H525" s="21" t="inlineStr"/>
      <c r="I525" s="21" t="inlineStr">
        <is>
          <t>L3</t>
        </is>
      </c>
      <c r="J525" s="21" t="inlineStr">
        <is>
          <t>Soins obstétricaux</t>
        </is>
      </c>
      <c r="K525" s="21" t="inlineStr"/>
      <c r="L525" s="21" t="inlineStr">
        <is>
          <t>2025-2026</t>
        </is>
      </c>
      <c r="M525" s="21" t="inlineStr">
        <is>
          <t>Inscrit</t>
        </is>
      </c>
      <c r="N525" s="21" t="inlineStr"/>
      <c r="O525" s="21" t="inlineStr">
        <is>
          <t>import</t>
        </is>
      </c>
    </row>
    <row r="526">
      <c r="A526" s="21" t="inlineStr">
        <is>
          <t>25</t>
        </is>
      </c>
      <c r="B526" s="21" t="inlineStr">
        <is>
          <t>62932</t>
        </is>
      </c>
      <c r="C526" s="21" t="inlineStr"/>
      <c r="D526" s="21" t="inlineStr">
        <is>
          <t>FLORINE</t>
        </is>
      </c>
      <c r="E526" s="21" t="inlineStr">
        <is>
          <t>MSAIDIE</t>
        </is>
      </c>
      <c r="F526" s="21" t="inlineStr">
        <is>
          <t>28/02/2001</t>
        </is>
      </c>
      <c r="G526" s="21" t="inlineStr">
        <is>
          <t>MTE DE KOIMBANI</t>
        </is>
      </c>
      <c r="H526" s="21" t="inlineStr"/>
      <c r="I526" s="21" t="inlineStr">
        <is>
          <t>L3</t>
        </is>
      </c>
      <c r="J526" s="21" t="inlineStr">
        <is>
          <t>Soins obstétricaux</t>
        </is>
      </c>
      <c r="K526" s="21" t="inlineStr"/>
      <c r="L526" s="21" t="inlineStr">
        <is>
          <t>2025-2026</t>
        </is>
      </c>
      <c r="M526" s="21" t="inlineStr">
        <is>
          <t>Inscrit</t>
        </is>
      </c>
      <c r="N526" s="21" t="inlineStr"/>
      <c r="O526" s="21" t="inlineStr">
        <is>
          <t>import</t>
        </is>
      </c>
    </row>
    <row r="527">
      <c r="A527" s="21" t="inlineStr">
        <is>
          <t>26</t>
        </is>
      </c>
      <c r="B527" s="21" t="inlineStr">
        <is>
          <t>69258</t>
        </is>
      </c>
      <c r="C527" s="21" t="inlineStr"/>
      <c r="D527" s="21" t="inlineStr">
        <is>
          <t>HADIA</t>
        </is>
      </c>
      <c r="E527" s="21" t="inlineStr">
        <is>
          <t>MOHAMED SAID</t>
        </is>
      </c>
      <c r="F527" s="21" t="inlineStr">
        <is>
          <t>10/04/2004</t>
        </is>
      </c>
      <c r="G527" s="21" t="inlineStr">
        <is>
          <t>KONI-DJODJO - ANJOUAN</t>
        </is>
      </c>
      <c r="H527" s="21" t="inlineStr"/>
      <c r="I527" s="21" t="inlineStr">
        <is>
          <t>L3</t>
        </is>
      </c>
      <c r="J527" s="21" t="inlineStr">
        <is>
          <t>Soins obstétricaux</t>
        </is>
      </c>
      <c r="K527" s="21" t="inlineStr"/>
      <c r="L527" s="21" t="inlineStr">
        <is>
          <t>2025-2026</t>
        </is>
      </c>
      <c r="M527" s="21" t="inlineStr">
        <is>
          <t>Inscrit</t>
        </is>
      </c>
      <c r="N527" s="21" t="inlineStr"/>
      <c r="O527" s="21" t="inlineStr">
        <is>
          <t>import</t>
        </is>
      </c>
    </row>
    <row r="528">
      <c r="A528" s="21" t="inlineStr">
        <is>
          <t>27</t>
        </is>
      </c>
      <c r="B528" s="21" t="inlineStr">
        <is>
          <t>65197</t>
        </is>
      </c>
      <c r="C528" s="21" t="inlineStr"/>
      <c r="D528" s="21" t="inlineStr">
        <is>
          <t>HADIDJA</t>
        </is>
      </c>
      <c r="E528" s="21" t="inlineStr">
        <is>
          <t>ABDOU MBAE</t>
        </is>
      </c>
      <c r="F528" s="21" t="inlineStr">
        <is>
          <t>20/06/2002</t>
        </is>
      </c>
      <c r="G528" s="21" t="inlineStr">
        <is>
          <t>HEROUMBILI</t>
        </is>
      </c>
      <c r="H528" s="21" t="inlineStr"/>
      <c r="I528" s="21" t="inlineStr">
        <is>
          <t>L3</t>
        </is>
      </c>
      <c r="J528" s="21" t="inlineStr">
        <is>
          <t>Soins obstétricaux</t>
        </is>
      </c>
      <c r="K528" s="21" t="inlineStr"/>
      <c r="L528" s="21" t="inlineStr">
        <is>
          <t>2025-2026</t>
        </is>
      </c>
      <c r="M528" s="21" t="inlineStr">
        <is>
          <t>Inscrit</t>
        </is>
      </c>
      <c r="N528" s="21" t="inlineStr"/>
      <c r="O528" s="21" t="inlineStr">
        <is>
          <t>import</t>
        </is>
      </c>
    </row>
    <row r="529">
      <c r="A529" s="21" t="inlineStr">
        <is>
          <t>28</t>
        </is>
      </c>
      <c r="B529" s="21" t="inlineStr">
        <is>
          <t>70336</t>
        </is>
      </c>
      <c r="C529" s="21" t="inlineStr"/>
      <c r="D529" s="21" t="inlineStr">
        <is>
          <t>HAITHAME</t>
        </is>
      </c>
      <c r="E529" s="21" t="inlineStr">
        <is>
          <t>ALYAMANE</t>
        </is>
      </c>
      <c r="F529" s="21" t="inlineStr">
        <is>
          <t>13/01/2003</t>
        </is>
      </c>
      <c r="G529" s="21" t="inlineStr">
        <is>
          <t>BANDRACOUNI</t>
        </is>
      </c>
      <c r="H529" s="21" t="inlineStr"/>
      <c r="I529" s="21" t="inlineStr">
        <is>
          <t>L3</t>
        </is>
      </c>
      <c r="J529" s="21" t="inlineStr">
        <is>
          <t>Soins obstétricaux</t>
        </is>
      </c>
      <c r="K529" s="21" t="inlineStr"/>
      <c r="L529" s="21" t="inlineStr">
        <is>
          <t>2025-2026</t>
        </is>
      </c>
      <c r="M529" s="21" t="inlineStr">
        <is>
          <t>Inscrit</t>
        </is>
      </c>
      <c r="N529" s="21" t="inlineStr"/>
      <c r="O529" s="21" t="inlineStr">
        <is>
          <t>import</t>
        </is>
      </c>
    </row>
    <row r="530">
      <c r="A530" s="21" t="inlineStr">
        <is>
          <t>29</t>
        </is>
      </c>
      <c r="B530" s="21" t="inlineStr">
        <is>
          <t>66691</t>
        </is>
      </c>
      <c r="C530" s="21" t="inlineStr"/>
      <c r="D530" s="21" t="inlineStr">
        <is>
          <t>HALIFA</t>
        </is>
      </c>
      <c r="E530" s="21" t="inlineStr">
        <is>
          <t>FATIMA</t>
        </is>
      </c>
      <c r="F530" s="21" t="inlineStr">
        <is>
          <t>03/12/1999</t>
        </is>
      </c>
      <c r="G530" s="21" t="inlineStr">
        <is>
          <t>DZAHADJOU ITSANDRA</t>
        </is>
      </c>
      <c r="H530" s="21" t="inlineStr"/>
      <c r="I530" s="21" t="inlineStr">
        <is>
          <t>L3</t>
        </is>
      </c>
      <c r="J530" s="21" t="inlineStr">
        <is>
          <t>Soins obstétricaux</t>
        </is>
      </c>
      <c r="K530" s="21" t="inlineStr"/>
      <c r="L530" s="21" t="inlineStr">
        <is>
          <t>2025-2026</t>
        </is>
      </c>
      <c r="M530" s="21" t="inlineStr">
        <is>
          <t>Inscrit</t>
        </is>
      </c>
      <c r="N530" s="21" t="inlineStr"/>
      <c r="O530" s="21" t="inlineStr">
        <is>
          <t>import</t>
        </is>
      </c>
    </row>
    <row r="531">
      <c r="A531" s="21" t="inlineStr">
        <is>
          <t>30</t>
        </is>
      </c>
      <c r="B531" s="21" t="inlineStr">
        <is>
          <t>67104</t>
        </is>
      </c>
      <c r="C531" s="21" t="inlineStr"/>
      <c r="D531" s="21" t="inlineStr">
        <is>
          <t>HILMA</t>
        </is>
      </c>
      <c r="E531" s="21" t="inlineStr">
        <is>
          <t>NADJIBOU MOHAMED SIDI</t>
        </is>
      </c>
      <c r="F531" s="21" t="inlineStr">
        <is>
          <t>23/06/2001</t>
        </is>
      </c>
      <c r="G531" s="21" t="inlineStr">
        <is>
          <t>MTE DE OUANI</t>
        </is>
      </c>
      <c r="H531" s="21" t="inlineStr"/>
      <c r="I531" s="21" t="inlineStr">
        <is>
          <t>L3</t>
        </is>
      </c>
      <c r="J531" s="21" t="inlineStr">
        <is>
          <t>Soins obstétricaux</t>
        </is>
      </c>
      <c r="K531" s="21" t="inlineStr"/>
      <c r="L531" s="21" t="inlineStr">
        <is>
          <t>2025-2026</t>
        </is>
      </c>
      <c r="M531" s="21" t="inlineStr">
        <is>
          <t>Inscrit</t>
        </is>
      </c>
      <c r="N531" s="21" t="inlineStr"/>
      <c r="O531" s="21" t="inlineStr">
        <is>
          <t>import</t>
        </is>
      </c>
    </row>
    <row r="532">
      <c r="A532" s="21" t="inlineStr">
        <is>
          <t>31</t>
        </is>
      </c>
      <c r="B532" s="21" t="inlineStr">
        <is>
          <t>71676</t>
        </is>
      </c>
      <c r="C532" s="21" t="inlineStr"/>
      <c r="D532" s="21" t="inlineStr">
        <is>
          <t>HOUZAIDATI</t>
        </is>
      </c>
      <c r="E532" s="21" t="inlineStr">
        <is>
          <t>YOUSSOUF</t>
        </is>
      </c>
      <c r="F532" s="21" t="inlineStr">
        <is>
          <t>05/11/2003</t>
        </is>
      </c>
      <c r="G532" s="21" t="inlineStr">
        <is>
          <t>CHEZANI MBOINKOU</t>
        </is>
      </c>
      <c r="H532" s="21" t="inlineStr"/>
      <c r="I532" s="21" t="inlineStr">
        <is>
          <t>L3</t>
        </is>
      </c>
      <c r="J532" s="21" t="inlineStr">
        <is>
          <t>Soins obstétricaux</t>
        </is>
      </c>
      <c r="K532" s="21" t="inlineStr"/>
      <c r="L532" s="21" t="inlineStr">
        <is>
          <t>2025-2026</t>
        </is>
      </c>
      <c r="M532" s="21" t="inlineStr">
        <is>
          <t>Inscrit</t>
        </is>
      </c>
      <c r="N532" s="21" t="inlineStr"/>
      <c r="O532" s="21" t="inlineStr">
        <is>
          <t>import</t>
        </is>
      </c>
    </row>
    <row r="533">
      <c r="A533" s="21" t="inlineStr">
        <is>
          <t>32</t>
        </is>
      </c>
      <c r="B533" s="21" t="inlineStr">
        <is>
          <t>65943</t>
        </is>
      </c>
      <c r="C533" s="21" t="inlineStr"/>
      <c r="D533" s="21" t="inlineStr">
        <is>
          <t>IDJIHADI</t>
        </is>
      </c>
      <c r="E533" s="21" t="inlineStr">
        <is>
          <t>SITINA</t>
        </is>
      </c>
      <c r="F533" s="21" t="inlineStr">
        <is>
          <t>20/01/2001</t>
        </is>
      </c>
      <c r="G533" s="21" t="inlineStr">
        <is>
          <t>MTE DE MORONI</t>
        </is>
      </c>
      <c r="H533" s="21" t="inlineStr"/>
      <c r="I533" s="21" t="inlineStr">
        <is>
          <t>L3</t>
        </is>
      </c>
      <c r="J533" s="21" t="inlineStr">
        <is>
          <t>Soins obstétricaux</t>
        </is>
      </c>
      <c r="K533" s="21" t="inlineStr"/>
      <c r="L533" s="21" t="inlineStr">
        <is>
          <t>2025-2026</t>
        </is>
      </c>
      <c r="M533" s="21" t="inlineStr">
        <is>
          <t>Inscrit</t>
        </is>
      </c>
      <c r="N533" s="21" t="inlineStr"/>
      <c r="O533" s="21" t="inlineStr">
        <is>
          <t>import</t>
        </is>
      </c>
    </row>
    <row r="534">
      <c r="A534" s="21" t="inlineStr">
        <is>
          <t>33</t>
        </is>
      </c>
      <c r="B534" s="21" t="inlineStr">
        <is>
          <t>69099</t>
        </is>
      </c>
      <c r="C534" s="21" t="inlineStr"/>
      <c r="D534" s="21" t="inlineStr">
        <is>
          <t>LAOUIYA</t>
        </is>
      </c>
      <c r="E534" s="21" t="inlineStr">
        <is>
          <t>TOIHA</t>
        </is>
      </c>
      <c r="F534" s="21" t="inlineStr">
        <is>
          <t>05/02/2005</t>
        </is>
      </c>
      <c r="G534" s="21" t="inlineStr">
        <is>
          <t>MTE DE MOYA</t>
        </is>
      </c>
      <c r="H534" s="21" t="inlineStr"/>
      <c r="I534" s="21" t="inlineStr">
        <is>
          <t>L3</t>
        </is>
      </c>
      <c r="J534" s="21" t="inlineStr">
        <is>
          <t>Soins obstétricaux</t>
        </is>
      </c>
      <c r="K534" s="21" t="inlineStr"/>
      <c r="L534" s="21" t="inlineStr">
        <is>
          <t>2025-2026</t>
        </is>
      </c>
      <c r="M534" s="21" t="inlineStr">
        <is>
          <t>Inscrit</t>
        </is>
      </c>
      <c r="N534" s="21" t="inlineStr"/>
      <c r="O534" s="21" t="inlineStr">
        <is>
          <t>import</t>
        </is>
      </c>
    </row>
    <row r="535">
      <c r="A535" s="21" t="inlineStr">
        <is>
          <t>34</t>
        </is>
      </c>
      <c r="B535" s="21" t="inlineStr">
        <is>
          <t>62557</t>
        </is>
      </c>
      <c r="C535" s="21" t="inlineStr"/>
      <c r="D535" s="21" t="inlineStr">
        <is>
          <t>MAOULIDA</t>
        </is>
      </c>
      <c r="E535" s="21" t="inlineStr">
        <is>
          <t>ALI FOUNDI</t>
        </is>
      </c>
      <c r="F535" s="21" t="inlineStr">
        <is>
          <t>09/05/2003</t>
        </is>
      </c>
      <c r="G535" s="21" t="inlineStr">
        <is>
          <t>BOUNI - HAMAHAMET</t>
        </is>
      </c>
      <c r="H535" s="21" t="inlineStr"/>
      <c r="I535" s="21" t="inlineStr">
        <is>
          <t>L3</t>
        </is>
      </c>
      <c r="J535" s="21" t="inlineStr">
        <is>
          <t>Soins obstétricaux</t>
        </is>
      </c>
      <c r="K535" s="21" t="inlineStr"/>
      <c r="L535" s="21" t="inlineStr">
        <is>
          <t>2025-2026</t>
        </is>
      </c>
      <c r="M535" s="21" t="inlineStr">
        <is>
          <t>Inscrit</t>
        </is>
      </c>
      <c r="N535" s="21" t="inlineStr"/>
      <c r="O535" s="21" t="inlineStr">
        <is>
          <t>import</t>
        </is>
      </c>
    </row>
    <row r="536">
      <c r="A536" s="21" t="inlineStr">
        <is>
          <t>35</t>
        </is>
      </c>
      <c r="B536" s="21" t="inlineStr">
        <is>
          <t>66066</t>
        </is>
      </c>
      <c r="C536" s="21" t="inlineStr"/>
      <c r="D536" s="21" t="inlineStr">
        <is>
          <t>MARIAMA</t>
        </is>
      </c>
      <c r="E536" s="21" t="inlineStr">
        <is>
          <t>MMADI</t>
        </is>
      </c>
      <c r="F536" s="21" t="inlineStr">
        <is>
          <t>14/09/1998</t>
        </is>
      </c>
      <c r="G536" s="21" t="inlineStr">
        <is>
          <t>DIBOINI</t>
        </is>
      </c>
      <c r="H536" s="21" t="inlineStr"/>
      <c r="I536" s="21" t="inlineStr">
        <is>
          <t>L3</t>
        </is>
      </c>
      <c r="J536" s="21" t="inlineStr">
        <is>
          <t>Soins obstétricaux</t>
        </is>
      </c>
      <c r="K536" s="21" t="inlineStr"/>
      <c r="L536" s="21" t="inlineStr">
        <is>
          <t>2025-2026</t>
        </is>
      </c>
      <c r="M536" s="21" t="inlineStr">
        <is>
          <t>Inscrit</t>
        </is>
      </c>
      <c r="N536" s="21" t="inlineStr"/>
      <c r="O536" s="21" t="inlineStr">
        <is>
          <t>import</t>
        </is>
      </c>
    </row>
    <row r="537">
      <c r="A537" s="21" t="inlineStr">
        <is>
          <t>36</t>
        </is>
      </c>
      <c r="B537" s="21" t="inlineStr">
        <is>
          <t>65674</t>
        </is>
      </c>
      <c r="C537" s="21" t="inlineStr"/>
      <c r="D537" s="21" t="inlineStr">
        <is>
          <t>MARIAMA</t>
        </is>
      </c>
      <c r="E537" s="21" t="inlineStr">
        <is>
          <t>SAID</t>
        </is>
      </c>
      <c r="F537" s="21" t="inlineStr">
        <is>
          <t>13/03/2001</t>
        </is>
      </c>
      <c r="G537" s="21" t="inlineStr">
        <is>
          <t>MTE DE MORONI</t>
        </is>
      </c>
      <c r="H537" s="21" t="inlineStr"/>
      <c r="I537" s="21" t="inlineStr">
        <is>
          <t>L3</t>
        </is>
      </c>
      <c r="J537" s="21" t="inlineStr">
        <is>
          <t>Soins obstétricaux</t>
        </is>
      </c>
      <c r="K537" s="21" t="inlineStr"/>
      <c r="L537" s="21" t="inlineStr">
        <is>
          <t>2025-2026</t>
        </is>
      </c>
      <c r="M537" s="21" t="inlineStr">
        <is>
          <t>Inscrit</t>
        </is>
      </c>
      <c r="N537" s="21" t="inlineStr"/>
      <c r="O537" s="21" t="inlineStr">
        <is>
          <t>import</t>
        </is>
      </c>
    </row>
    <row r="538">
      <c r="A538" s="21" t="inlineStr">
        <is>
          <t>37</t>
        </is>
      </c>
      <c r="B538" s="21" t="inlineStr">
        <is>
          <t>70485</t>
        </is>
      </c>
      <c r="C538" s="21" t="inlineStr"/>
      <c r="D538" s="21" t="inlineStr">
        <is>
          <t>MARIATA</t>
        </is>
      </c>
      <c r="E538" s="21" t="inlineStr">
        <is>
          <t>SOIDROUDINE</t>
        </is>
      </c>
      <c r="F538" s="21" t="inlineStr">
        <is>
          <t>28/12/2004</t>
        </is>
      </c>
      <c r="G538" s="21" t="inlineStr">
        <is>
          <t>MOIDJA HAMAHAMET</t>
        </is>
      </c>
      <c r="H538" s="21" t="inlineStr"/>
      <c r="I538" s="21" t="inlineStr">
        <is>
          <t>L3</t>
        </is>
      </c>
      <c r="J538" s="21" t="inlineStr">
        <is>
          <t>Soins obstétricaux</t>
        </is>
      </c>
      <c r="K538" s="21" t="inlineStr"/>
      <c r="L538" s="21" t="inlineStr">
        <is>
          <t>2025-2026</t>
        </is>
      </c>
      <c r="M538" s="21" t="inlineStr">
        <is>
          <t>Inscrit</t>
        </is>
      </c>
      <c r="N538" s="21" t="inlineStr"/>
      <c r="O538" s="21" t="inlineStr">
        <is>
          <t>import</t>
        </is>
      </c>
    </row>
    <row r="539">
      <c r="A539" s="21" t="inlineStr">
        <is>
          <t>38</t>
        </is>
      </c>
      <c r="B539" s="21" t="inlineStr">
        <is>
          <t>71563</t>
        </is>
      </c>
      <c r="C539" s="21" t="inlineStr"/>
      <c r="D539" s="21" t="inlineStr">
        <is>
          <t>MOINA</t>
        </is>
      </c>
      <c r="E539" s="21" t="inlineStr">
        <is>
          <t>ANFOU MMADI</t>
        </is>
      </c>
      <c r="F539" s="21" t="inlineStr">
        <is>
          <t>10/03/2003</t>
        </is>
      </c>
      <c r="G539" s="21" t="inlineStr">
        <is>
          <t>MTE DE KOIMBANI OICHILI</t>
        </is>
      </c>
      <c r="H539" s="21" t="inlineStr"/>
      <c r="I539" s="21" t="inlineStr">
        <is>
          <t>L3</t>
        </is>
      </c>
      <c r="J539" s="21" t="inlineStr">
        <is>
          <t>Soins obstétricaux</t>
        </is>
      </c>
      <c r="K539" s="21" t="inlineStr"/>
      <c r="L539" s="21" t="inlineStr">
        <is>
          <t>2025-2026</t>
        </is>
      </c>
      <c r="M539" s="21" t="inlineStr">
        <is>
          <t>Inscrit</t>
        </is>
      </c>
      <c r="N539" s="21" t="inlineStr"/>
      <c r="O539" s="21" t="inlineStr">
        <is>
          <t>import</t>
        </is>
      </c>
    </row>
    <row r="540">
      <c r="A540" s="21" t="inlineStr">
        <is>
          <t>39</t>
        </is>
      </c>
      <c r="B540" s="21" t="inlineStr">
        <is>
          <t>65066</t>
        </is>
      </c>
      <c r="C540" s="21" t="inlineStr"/>
      <c r="D540" s="21" t="inlineStr">
        <is>
          <t>MOINARAFA</t>
        </is>
      </c>
      <c r="E540" s="21" t="inlineStr">
        <is>
          <t>CHANFI</t>
        </is>
      </c>
      <c r="F540" s="21" t="inlineStr">
        <is>
          <t>05/03/2001</t>
        </is>
      </c>
      <c r="G540" s="21" t="inlineStr">
        <is>
          <t>MTE DE MORONI</t>
        </is>
      </c>
      <c r="H540" s="21" t="inlineStr"/>
      <c r="I540" s="21" t="inlineStr">
        <is>
          <t>L3</t>
        </is>
      </c>
      <c r="J540" s="21" t="inlineStr">
        <is>
          <t>Soins obstétricaux</t>
        </is>
      </c>
      <c r="K540" s="21" t="inlineStr"/>
      <c r="L540" s="21" t="inlineStr">
        <is>
          <t>2025-2026</t>
        </is>
      </c>
      <c r="M540" s="21" t="inlineStr">
        <is>
          <t>Inscrit</t>
        </is>
      </c>
      <c r="N540" s="21" t="inlineStr"/>
      <c r="O540" s="21" t="inlineStr">
        <is>
          <t>import</t>
        </is>
      </c>
    </row>
    <row r="541">
      <c r="A541" s="21" t="inlineStr">
        <is>
          <t>40</t>
        </is>
      </c>
      <c r="B541" s="21" t="inlineStr">
        <is>
          <t>63990</t>
        </is>
      </c>
      <c r="C541" s="21" t="inlineStr"/>
      <c r="D541" s="21" t="inlineStr">
        <is>
          <t>MOINRIZIKI</t>
        </is>
      </c>
      <c r="E541" s="21" t="inlineStr">
        <is>
          <t>ALI</t>
        </is>
      </c>
      <c r="F541" s="21" t="inlineStr">
        <is>
          <t>07/12/2000</t>
        </is>
      </c>
      <c r="G541" s="21" t="inlineStr">
        <is>
          <t>SINGAIN HAMBOU</t>
        </is>
      </c>
      <c r="H541" s="21" t="inlineStr"/>
      <c r="I541" s="21" t="inlineStr">
        <is>
          <t>L3</t>
        </is>
      </c>
      <c r="J541" s="21" t="inlineStr">
        <is>
          <t>Soins obstétricaux</t>
        </is>
      </c>
      <c r="K541" s="21" t="inlineStr"/>
      <c r="L541" s="21" t="inlineStr">
        <is>
          <t>2025-2026</t>
        </is>
      </c>
      <c r="M541" s="21" t="inlineStr">
        <is>
          <t>Inscrit</t>
        </is>
      </c>
      <c r="N541" s="21" t="inlineStr"/>
      <c r="O541" s="21" t="inlineStr">
        <is>
          <t>import</t>
        </is>
      </c>
    </row>
    <row r="542">
      <c r="A542" s="21" t="inlineStr">
        <is>
          <t>41</t>
        </is>
      </c>
      <c r="B542" s="21" t="inlineStr">
        <is>
          <t>69398</t>
        </is>
      </c>
      <c r="C542" s="21" t="inlineStr"/>
      <c r="D542" s="21" t="inlineStr">
        <is>
          <t>MOUOUMINA</t>
        </is>
      </c>
      <c r="E542" s="21" t="inlineStr">
        <is>
          <t>MOUANDHU</t>
        </is>
      </c>
      <c r="F542" s="21" t="inlineStr">
        <is>
          <t>14/12/2005</t>
        </is>
      </c>
      <c r="G542" s="21" t="inlineStr">
        <is>
          <t>MBATSE MOHELI</t>
        </is>
      </c>
      <c r="H542" s="21" t="inlineStr"/>
      <c r="I542" s="21" t="inlineStr">
        <is>
          <t>L3</t>
        </is>
      </c>
      <c r="J542" s="21" t="inlineStr">
        <is>
          <t>Soins obstétricaux</t>
        </is>
      </c>
      <c r="K542" s="21" t="inlineStr"/>
      <c r="L542" s="21" t="inlineStr">
        <is>
          <t>2025-2026</t>
        </is>
      </c>
      <c r="M542" s="21" t="inlineStr">
        <is>
          <t>Inscrit</t>
        </is>
      </c>
      <c r="N542" s="21" t="inlineStr"/>
      <c r="O542" s="21" t="inlineStr">
        <is>
          <t>import</t>
        </is>
      </c>
    </row>
    <row r="543">
      <c r="A543" s="21" t="inlineStr">
        <is>
          <t>42</t>
        </is>
      </c>
      <c r="B543" s="21" t="inlineStr">
        <is>
          <t>68955</t>
        </is>
      </c>
      <c r="C543" s="21" t="inlineStr"/>
      <c r="D543" s="21" t="inlineStr">
        <is>
          <t>NAFOUANTI</t>
        </is>
      </c>
      <c r="E543" s="21" t="inlineStr">
        <is>
          <t>AHMED ATTOUMANE</t>
        </is>
      </c>
      <c r="F543" s="21" t="inlineStr">
        <is>
          <t>14/04/2005</t>
        </is>
      </c>
      <c r="G543" s="21" t="inlineStr">
        <is>
          <t>MTE DE HOMBO - ANJOUAN</t>
        </is>
      </c>
      <c r="H543" s="21" t="inlineStr"/>
      <c r="I543" s="21" t="inlineStr">
        <is>
          <t>L3</t>
        </is>
      </c>
      <c r="J543" s="21" t="inlineStr">
        <is>
          <t>Soins obstétricaux</t>
        </is>
      </c>
      <c r="K543" s="21" t="inlineStr"/>
      <c r="L543" s="21" t="inlineStr">
        <is>
          <t>2025-2026</t>
        </is>
      </c>
      <c r="M543" s="21" t="inlineStr">
        <is>
          <t>Inscrit</t>
        </is>
      </c>
      <c r="N543" s="21" t="inlineStr"/>
      <c r="O543" s="21" t="inlineStr">
        <is>
          <t>import</t>
        </is>
      </c>
    </row>
    <row r="544">
      <c r="A544" s="21" t="inlineStr">
        <is>
          <t>43</t>
        </is>
      </c>
      <c r="B544" s="21" t="inlineStr">
        <is>
          <t>61395</t>
        </is>
      </c>
      <c r="C544" s="21" t="inlineStr"/>
      <c r="D544" s="21" t="inlineStr">
        <is>
          <t>NAILATI</t>
        </is>
      </c>
      <c r="E544" s="21" t="inlineStr">
        <is>
          <t>BOUSRI</t>
        </is>
      </c>
      <c r="F544" s="21" t="inlineStr">
        <is>
          <t>23/12/1998</t>
        </is>
      </c>
      <c r="G544" s="21" t="inlineStr">
        <is>
          <t>MTE DE FOUMBOUNI</t>
        </is>
      </c>
      <c r="H544" s="21" t="inlineStr"/>
      <c r="I544" s="21" t="inlineStr">
        <is>
          <t>L3</t>
        </is>
      </c>
      <c r="J544" s="21" t="inlineStr">
        <is>
          <t>Soins obstétricaux</t>
        </is>
      </c>
      <c r="K544" s="21" t="inlineStr"/>
      <c r="L544" s="21" t="inlineStr">
        <is>
          <t>2025-2026</t>
        </is>
      </c>
      <c r="M544" s="21" t="inlineStr">
        <is>
          <t>Inscrit</t>
        </is>
      </c>
      <c r="N544" s="21" t="inlineStr"/>
      <c r="O544" s="21" t="inlineStr">
        <is>
          <t>import</t>
        </is>
      </c>
    </row>
    <row r="545">
      <c r="A545" s="21" t="inlineStr">
        <is>
          <t>44</t>
        </is>
      </c>
      <c r="B545" s="21" t="inlineStr">
        <is>
          <t>70010</t>
        </is>
      </c>
      <c r="C545" s="21" t="inlineStr"/>
      <c r="D545" s="21" t="inlineStr">
        <is>
          <t>NASMIA</t>
        </is>
      </c>
      <c r="E545" s="21" t="inlineStr">
        <is>
          <t>SAÏD BACAR</t>
        </is>
      </c>
      <c r="F545" s="21" t="inlineStr">
        <is>
          <t>31/12/2004</t>
        </is>
      </c>
      <c r="G545" s="21" t="inlineStr">
        <is>
          <t>FOMBONI - MOHELI</t>
        </is>
      </c>
      <c r="H545" s="21" t="inlineStr"/>
      <c r="I545" s="21" t="inlineStr">
        <is>
          <t>L3</t>
        </is>
      </c>
      <c r="J545" s="21" t="inlineStr">
        <is>
          <t>Soins obstétricaux</t>
        </is>
      </c>
      <c r="K545" s="21" t="inlineStr"/>
      <c r="L545" s="21" t="inlineStr">
        <is>
          <t>2025-2026</t>
        </is>
      </c>
      <c r="M545" s="21" t="inlineStr">
        <is>
          <t>Inscrit</t>
        </is>
      </c>
      <c r="N545" s="21" t="inlineStr"/>
      <c r="O545" s="21" t="inlineStr">
        <is>
          <t>import</t>
        </is>
      </c>
    </row>
    <row r="546">
      <c r="A546" s="21" t="inlineStr">
        <is>
          <t>45</t>
        </is>
      </c>
      <c r="B546" s="21" t="inlineStr">
        <is>
          <t>69823</t>
        </is>
      </c>
      <c r="C546" s="21" t="inlineStr"/>
      <c r="D546" s="21" t="inlineStr">
        <is>
          <t>NASRA</t>
        </is>
      </c>
      <c r="E546" s="21" t="inlineStr">
        <is>
          <t>HASSANI ALI ABDILLAH</t>
        </is>
      </c>
      <c r="F546" s="21" t="inlineStr">
        <is>
          <t>24/08/2005</t>
        </is>
      </c>
      <c r="G546" s="21" t="inlineStr">
        <is>
          <t>MTE DE MORONI</t>
        </is>
      </c>
      <c r="H546" s="21" t="inlineStr"/>
      <c r="I546" s="21" t="inlineStr">
        <is>
          <t>L3</t>
        </is>
      </c>
      <c r="J546" s="21" t="inlineStr">
        <is>
          <t>Soins obstétricaux</t>
        </is>
      </c>
      <c r="K546" s="21" t="inlineStr"/>
      <c r="L546" s="21" t="inlineStr">
        <is>
          <t>2025-2026</t>
        </is>
      </c>
      <c r="M546" s="21" t="inlineStr">
        <is>
          <t>Inscrit</t>
        </is>
      </c>
      <c r="N546" s="21" t="inlineStr"/>
      <c r="O546" s="21" t="inlineStr">
        <is>
          <t>import</t>
        </is>
      </c>
    </row>
    <row r="547">
      <c r="A547" s="21" t="inlineStr">
        <is>
          <t>46</t>
        </is>
      </c>
      <c r="B547" s="21" t="inlineStr">
        <is>
          <t>64760</t>
        </is>
      </c>
      <c r="C547" s="21" t="inlineStr"/>
      <c r="D547" s="21" t="inlineStr">
        <is>
          <t>NOURFATI</t>
        </is>
      </c>
      <c r="E547" s="21" t="inlineStr">
        <is>
          <t>AHMED</t>
        </is>
      </c>
      <c r="F547" s="21" t="inlineStr">
        <is>
          <t>16/01/2003</t>
        </is>
      </c>
      <c r="G547" s="21" t="inlineStr">
        <is>
          <t>MTE DE MITSOUDJE</t>
        </is>
      </c>
      <c r="H547" s="21" t="inlineStr"/>
      <c r="I547" s="21" t="inlineStr">
        <is>
          <t>L3</t>
        </is>
      </c>
      <c r="J547" s="21" t="inlineStr">
        <is>
          <t>Soins obstétricaux</t>
        </is>
      </c>
      <c r="K547" s="21" t="inlineStr"/>
      <c r="L547" s="21" t="inlineStr">
        <is>
          <t>2025-2026</t>
        </is>
      </c>
      <c r="M547" s="21" t="inlineStr">
        <is>
          <t>Inscrit</t>
        </is>
      </c>
      <c r="N547" s="21" t="inlineStr"/>
      <c r="O547" s="21" t="inlineStr">
        <is>
          <t>import</t>
        </is>
      </c>
    </row>
    <row r="548">
      <c r="A548" s="21" t="inlineStr">
        <is>
          <t>47</t>
        </is>
      </c>
      <c r="B548" s="21" t="inlineStr">
        <is>
          <t>65175</t>
        </is>
      </c>
      <c r="C548" s="21" t="inlineStr"/>
      <c r="D548" s="21" t="inlineStr">
        <is>
          <t>OUMMOU-KOULTHOUM</t>
        </is>
      </c>
      <c r="E548" s="21" t="inlineStr">
        <is>
          <t>BOURA</t>
        </is>
      </c>
      <c r="F548" s="21" t="inlineStr">
        <is>
          <t>07/06/2004</t>
        </is>
      </c>
      <c r="G548" s="21" t="inlineStr">
        <is>
          <t>MTE DE TSEMBEHOU ANJOUAN</t>
        </is>
      </c>
      <c r="H548" s="21" t="inlineStr"/>
      <c r="I548" s="21" t="inlineStr">
        <is>
          <t>L3</t>
        </is>
      </c>
      <c r="J548" s="21" t="inlineStr">
        <is>
          <t>Soins obstétricaux</t>
        </is>
      </c>
      <c r="K548" s="21" t="inlineStr"/>
      <c r="L548" s="21" t="inlineStr">
        <is>
          <t>2025-2026</t>
        </is>
      </c>
      <c r="M548" s="21" t="inlineStr">
        <is>
          <t>Inscrit</t>
        </is>
      </c>
      <c r="N548" s="21" t="inlineStr"/>
      <c r="O548" s="21" t="inlineStr">
        <is>
          <t>import</t>
        </is>
      </c>
    </row>
    <row r="549">
      <c r="A549" s="21" t="inlineStr">
        <is>
          <t>48</t>
        </is>
      </c>
      <c r="B549" s="21" t="inlineStr">
        <is>
          <t>66869</t>
        </is>
      </c>
      <c r="C549" s="21" t="inlineStr"/>
      <c r="D549" s="21" t="inlineStr">
        <is>
          <t>OUMOURI</t>
        </is>
      </c>
      <c r="E549" s="21" t="inlineStr">
        <is>
          <t>MOINDJOUMOI</t>
        </is>
      </c>
      <c r="F549" s="21" t="inlineStr">
        <is>
          <t>05/09/2003</t>
        </is>
      </c>
      <c r="G549" s="21" t="inlineStr">
        <is>
          <t>MTE DE DOUNIANI</t>
        </is>
      </c>
      <c r="H549" s="21" t="inlineStr"/>
      <c r="I549" s="21" t="inlineStr">
        <is>
          <t>L3</t>
        </is>
      </c>
      <c r="J549" s="21" t="inlineStr">
        <is>
          <t>Soins obstétricaux</t>
        </is>
      </c>
      <c r="K549" s="21" t="inlineStr"/>
      <c r="L549" s="21" t="inlineStr">
        <is>
          <t>2025-2026</t>
        </is>
      </c>
      <c r="M549" s="21" t="inlineStr">
        <is>
          <t>Inscrit</t>
        </is>
      </c>
      <c r="N549" s="21" t="inlineStr"/>
      <c r="O549" s="21" t="inlineStr">
        <is>
          <t>import</t>
        </is>
      </c>
    </row>
    <row r="550">
      <c r="A550" s="21" t="inlineStr">
        <is>
          <t>49</t>
        </is>
      </c>
      <c r="B550" s="21" t="inlineStr">
        <is>
          <t>69646</t>
        </is>
      </c>
      <c r="C550" s="21" t="inlineStr"/>
      <c r="D550" s="21" t="inlineStr">
        <is>
          <t>RAICHATI</t>
        </is>
      </c>
      <c r="E550" s="21" t="inlineStr">
        <is>
          <t>ALI MOHAMED</t>
        </is>
      </c>
      <c r="F550" s="21" t="inlineStr">
        <is>
          <t>18/12/2006</t>
        </is>
      </c>
      <c r="G550" s="21" t="inlineStr">
        <is>
          <t>BAHANI ITSANDRA</t>
        </is>
      </c>
      <c r="H550" s="21" t="inlineStr"/>
      <c r="I550" s="21" t="inlineStr">
        <is>
          <t>L3</t>
        </is>
      </c>
      <c r="J550" s="21" t="inlineStr">
        <is>
          <t>Soins obstétricaux</t>
        </is>
      </c>
      <c r="K550" s="21" t="inlineStr"/>
      <c r="L550" s="21" t="inlineStr">
        <is>
          <t>2025-2026</t>
        </is>
      </c>
      <c r="M550" s="21" t="inlineStr">
        <is>
          <t>Inscrit</t>
        </is>
      </c>
      <c r="N550" s="21" t="inlineStr"/>
      <c r="O550" s="21" t="inlineStr">
        <is>
          <t>import</t>
        </is>
      </c>
    </row>
    <row r="551">
      <c r="A551" s="21" t="inlineStr">
        <is>
          <t>50</t>
        </is>
      </c>
      <c r="B551" s="21" t="inlineStr">
        <is>
          <t>69224</t>
        </is>
      </c>
      <c r="C551" s="21" t="inlineStr"/>
      <c r="D551" s="21" t="inlineStr">
        <is>
          <t>RAIMA</t>
        </is>
      </c>
      <c r="E551" s="21" t="inlineStr">
        <is>
          <t>MOHAMED MZE ABDALLAH</t>
        </is>
      </c>
      <c r="F551" s="21" t="inlineStr">
        <is>
          <t>29/12/2001</t>
        </is>
      </c>
      <c r="G551" s="21" t="inlineStr">
        <is>
          <t>MITSOUDJE</t>
        </is>
      </c>
      <c r="H551" s="21" t="inlineStr"/>
      <c r="I551" s="21" t="inlineStr">
        <is>
          <t>L3</t>
        </is>
      </c>
      <c r="J551" s="21" t="inlineStr">
        <is>
          <t>Soins obstétricaux</t>
        </is>
      </c>
      <c r="K551" s="21" t="inlineStr"/>
      <c r="L551" s="21" t="inlineStr">
        <is>
          <t>2025-2026</t>
        </is>
      </c>
      <c r="M551" s="21" t="inlineStr">
        <is>
          <t>Inscrit</t>
        </is>
      </c>
      <c r="N551" s="21" t="inlineStr"/>
      <c r="O551" s="21" t="inlineStr">
        <is>
          <t>import</t>
        </is>
      </c>
    </row>
    <row r="552">
      <c r="A552" s="21" t="inlineStr">
        <is>
          <t>51</t>
        </is>
      </c>
      <c r="B552" s="21" t="inlineStr">
        <is>
          <t>68966</t>
        </is>
      </c>
      <c r="C552" s="21" t="inlineStr"/>
      <c r="D552" s="21" t="inlineStr">
        <is>
          <t>ROUKAYYA</t>
        </is>
      </c>
      <c r="E552" s="21" t="inlineStr">
        <is>
          <t>SAINDOU ATTOUMANE</t>
        </is>
      </c>
      <c r="F552" s="21" t="inlineStr">
        <is>
          <t>21/11/2005</t>
        </is>
      </c>
      <c r="G552" s="21" t="inlineStr">
        <is>
          <t>OUANI ANJOUAN</t>
        </is>
      </c>
      <c r="H552" s="21" t="inlineStr"/>
      <c r="I552" s="21" t="inlineStr">
        <is>
          <t>L3</t>
        </is>
      </c>
      <c r="J552" s="21" t="inlineStr">
        <is>
          <t>Soins obstétricaux</t>
        </is>
      </c>
      <c r="K552" s="21" t="inlineStr"/>
      <c r="L552" s="21" t="inlineStr">
        <is>
          <t>2025-2026</t>
        </is>
      </c>
      <c r="M552" s="21" t="inlineStr">
        <is>
          <t>Inscrit</t>
        </is>
      </c>
      <c r="N552" s="21" t="inlineStr"/>
      <c r="O552" s="21" t="inlineStr">
        <is>
          <t>import</t>
        </is>
      </c>
    </row>
    <row r="553">
      <c r="A553" s="21" t="inlineStr">
        <is>
          <t>52</t>
        </is>
      </c>
      <c r="B553" s="21" t="inlineStr">
        <is>
          <t>68962</t>
        </is>
      </c>
      <c r="C553" s="21" t="inlineStr"/>
      <c r="D553" s="21" t="inlineStr">
        <is>
          <t>ROUWAYDA</t>
        </is>
      </c>
      <c r="E553" s="21" t="inlineStr">
        <is>
          <t>ANTHOUMANE</t>
        </is>
      </c>
      <c r="F553" s="21" t="inlineStr">
        <is>
          <t>01/03/2001</t>
        </is>
      </c>
      <c r="G553" s="21" t="inlineStr">
        <is>
          <t>OUANI</t>
        </is>
      </c>
      <c r="H553" s="21" t="inlineStr"/>
      <c r="I553" s="21" t="inlineStr">
        <is>
          <t>L3</t>
        </is>
      </c>
      <c r="J553" s="21" t="inlineStr">
        <is>
          <t>Soins obstétricaux</t>
        </is>
      </c>
      <c r="K553" s="21" t="inlineStr"/>
      <c r="L553" s="21" t="inlineStr">
        <is>
          <t>2025-2026</t>
        </is>
      </c>
      <c r="M553" s="21" t="inlineStr">
        <is>
          <t>Inscrit</t>
        </is>
      </c>
      <c r="N553" s="21" t="inlineStr"/>
      <c r="O553" s="21" t="inlineStr">
        <is>
          <t>import</t>
        </is>
      </c>
    </row>
    <row r="554">
      <c r="A554" s="21" t="inlineStr">
        <is>
          <t>53</t>
        </is>
      </c>
      <c r="B554" s="21" t="inlineStr">
        <is>
          <t>71305</t>
        </is>
      </c>
      <c r="C554" s="21" t="inlineStr"/>
      <c r="D554" s="21" t="inlineStr">
        <is>
          <t>SAAIDA</t>
        </is>
      </c>
      <c r="E554" s="21" t="inlineStr">
        <is>
          <t>LIHOMA</t>
        </is>
      </c>
      <c r="F554" s="21" t="inlineStr">
        <is>
          <t>11/04/2005</t>
        </is>
      </c>
      <c r="G554" s="21" t="inlineStr">
        <is>
          <t>DZAHADJOU - ITSANDRA</t>
        </is>
      </c>
      <c r="H554" s="21" t="inlineStr"/>
      <c r="I554" s="21" t="inlineStr">
        <is>
          <t>L3</t>
        </is>
      </c>
      <c r="J554" s="21" t="inlineStr">
        <is>
          <t>Soins obstétricaux</t>
        </is>
      </c>
      <c r="K554" s="21" t="inlineStr"/>
      <c r="L554" s="21" t="inlineStr">
        <is>
          <t>2025-2026</t>
        </is>
      </c>
      <c r="M554" s="21" t="inlineStr">
        <is>
          <t>Inscrit</t>
        </is>
      </c>
      <c r="N554" s="21" t="inlineStr"/>
      <c r="O554" s="21" t="inlineStr">
        <is>
          <t>import</t>
        </is>
      </c>
    </row>
    <row r="555">
      <c r="A555" s="21" t="inlineStr">
        <is>
          <t>54</t>
        </is>
      </c>
      <c r="B555" s="21" t="inlineStr">
        <is>
          <t>70819</t>
        </is>
      </c>
      <c r="C555" s="21" t="inlineStr"/>
      <c r="D555" s="21" t="inlineStr">
        <is>
          <t>SAFINA</t>
        </is>
      </c>
      <c r="E555" s="21" t="inlineStr">
        <is>
          <t>MOUHSINI</t>
        </is>
      </c>
      <c r="F555" s="21" t="inlineStr">
        <is>
          <t>01/06/2004</t>
        </is>
      </c>
      <c r="G555" s="21" t="inlineStr">
        <is>
          <t>MBENI</t>
        </is>
      </c>
      <c r="H555" s="21" t="inlineStr"/>
      <c r="I555" s="21" t="inlineStr">
        <is>
          <t>L3</t>
        </is>
      </c>
      <c r="J555" s="21" t="inlineStr">
        <is>
          <t>Soins obstétricaux</t>
        </is>
      </c>
      <c r="K555" s="21" t="inlineStr"/>
      <c r="L555" s="21" t="inlineStr">
        <is>
          <t>2025-2026</t>
        </is>
      </c>
      <c r="M555" s="21" t="inlineStr">
        <is>
          <t>Inscrit</t>
        </is>
      </c>
      <c r="N555" s="21" t="inlineStr"/>
      <c r="O555" s="21" t="inlineStr">
        <is>
          <t>import</t>
        </is>
      </c>
    </row>
    <row r="556">
      <c r="A556" s="21" t="inlineStr">
        <is>
          <t>55</t>
        </is>
      </c>
      <c r="B556" s="21" t="inlineStr">
        <is>
          <t>57258</t>
        </is>
      </c>
      <c r="C556" s="21" t="inlineStr"/>
      <c r="D556" s="21" t="inlineStr">
        <is>
          <t>SAINDA</t>
        </is>
      </c>
      <c r="E556" s="21" t="inlineStr">
        <is>
          <t>AHMED MOUSSA</t>
        </is>
      </c>
      <c r="F556" s="21" t="inlineStr">
        <is>
          <t>05/08/2002</t>
        </is>
      </c>
      <c r="G556" s="21" t="inlineStr">
        <is>
          <t>MTE DE MORONI</t>
        </is>
      </c>
      <c r="H556" s="21" t="inlineStr"/>
      <c r="I556" s="21" t="inlineStr">
        <is>
          <t>L3</t>
        </is>
      </c>
      <c r="J556" s="21" t="inlineStr">
        <is>
          <t>Soins obstétricaux</t>
        </is>
      </c>
      <c r="K556" s="21" t="inlineStr"/>
      <c r="L556" s="21" t="inlineStr">
        <is>
          <t>2025-2026</t>
        </is>
      </c>
      <c r="M556" s="21" t="inlineStr">
        <is>
          <t>Inscrit</t>
        </is>
      </c>
      <c r="N556" s="21" t="inlineStr"/>
      <c r="O556" s="21" t="inlineStr">
        <is>
          <t>import</t>
        </is>
      </c>
    </row>
    <row r="557">
      <c r="A557" s="21" t="inlineStr">
        <is>
          <t>56</t>
        </is>
      </c>
      <c r="B557" s="21" t="inlineStr">
        <is>
          <t>69989</t>
        </is>
      </c>
      <c r="C557" s="21" t="inlineStr"/>
      <c r="D557" s="21" t="inlineStr">
        <is>
          <t>SHADINA</t>
        </is>
      </c>
      <c r="E557" s="21" t="inlineStr">
        <is>
          <t>AHMED</t>
        </is>
      </c>
      <c r="F557" s="21" t="inlineStr">
        <is>
          <t>03/10/2003</t>
        </is>
      </c>
      <c r="G557" s="21" t="inlineStr">
        <is>
          <t>BAZIMINI ANJOUAN</t>
        </is>
      </c>
      <c r="H557" s="21" t="inlineStr"/>
      <c r="I557" s="21" t="inlineStr">
        <is>
          <t>L3</t>
        </is>
      </c>
      <c r="J557" s="21" t="inlineStr">
        <is>
          <t>Soins obstétricaux</t>
        </is>
      </c>
      <c r="K557" s="21" t="inlineStr"/>
      <c r="L557" s="21" t="inlineStr">
        <is>
          <t>2025-2026</t>
        </is>
      </c>
      <c r="M557" s="21" t="inlineStr">
        <is>
          <t>Inscrit</t>
        </is>
      </c>
      <c r="N557" s="21" t="inlineStr"/>
      <c r="O557" s="21" t="inlineStr">
        <is>
          <t>import</t>
        </is>
      </c>
    </row>
    <row r="558">
      <c r="A558" s="21" t="inlineStr">
        <is>
          <t>57</t>
        </is>
      </c>
      <c r="B558" s="21" t="inlineStr">
        <is>
          <t>65751</t>
        </is>
      </c>
      <c r="C558" s="21" t="inlineStr"/>
      <c r="D558" s="21" t="inlineStr">
        <is>
          <t>SOIFINIA</t>
        </is>
      </c>
      <c r="E558" s="21" t="inlineStr">
        <is>
          <t>MOUHAMADI ASSOUMANI</t>
        </is>
      </c>
      <c r="F558" s="21" t="inlineStr">
        <is>
          <t>24/07/2001</t>
        </is>
      </c>
      <c r="G558" s="21" t="inlineStr">
        <is>
          <t>MOUZDALIFA-FOMBONI - MOHELI</t>
        </is>
      </c>
      <c r="H558" s="21" t="inlineStr"/>
      <c r="I558" s="21" t="inlineStr">
        <is>
          <t>L3</t>
        </is>
      </c>
      <c r="J558" s="21" t="inlineStr">
        <is>
          <t>Soins obstétricaux</t>
        </is>
      </c>
      <c r="K558" s="21" t="inlineStr"/>
      <c r="L558" s="21" t="inlineStr">
        <is>
          <t>2025-2026</t>
        </is>
      </c>
      <c r="M558" s="21" t="inlineStr">
        <is>
          <t>Inscrit</t>
        </is>
      </c>
      <c r="N558" s="21" t="inlineStr"/>
      <c r="O558" s="21" t="inlineStr">
        <is>
          <t>import</t>
        </is>
      </c>
    </row>
    <row r="559">
      <c r="A559" s="21" t="inlineStr">
        <is>
          <t>58</t>
        </is>
      </c>
      <c r="B559" s="21" t="inlineStr">
        <is>
          <t>69019</t>
        </is>
      </c>
      <c r="C559" s="21" t="inlineStr"/>
      <c r="D559" s="21" t="inlineStr">
        <is>
          <t>SOULMA</t>
        </is>
      </c>
      <c r="E559" s="21" t="inlineStr">
        <is>
          <t>BACARI</t>
        </is>
      </c>
      <c r="F559" s="21" t="inlineStr">
        <is>
          <t>29/05/2005</t>
        </is>
      </c>
      <c r="G559" s="21" t="inlineStr">
        <is>
          <t>MATERNITÃ DE OUANI</t>
        </is>
      </c>
      <c r="H559" s="21" t="inlineStr"/>
      <c r="I559" s="21" t="inlineStr">
        <is>
          <t>L3</t>
        </is>
      </c>
      <c r="J559" s="21" t="inlineStr">
        <is>
          <t>Soins obstétricaux</t>
        </is>
      </c>
      <c r="K559" s="21" t="inlineStr"/>
      <c r="L559" s="21" t="inlineStr">
        <is>
          <t>2025-2026</t>
        </is>
      </c>
      <c r="M559" s="21" t="inlineStr">
        <is>
          <t>Inscrit</t>
        </is>
      </c>
      <c r="N559" s="21" t="inlineStr"/>
      <c r="O559" s="21" t="inlineStr">
        <is>
          <t>import</t>
        </is>
      </c>
    </row>
    <row r="560">
      <c r="A560" s="21" t="inlineStr">
        <is>
          <t>59</t>
        </is>
      </c>
      <c r="B560" s="21" t="inlineStr">
        <is>
          <t>69389</t>
        </is>
      </c>
      <c r="C560" s="21" t="inlineStr"/>
      <c r="D560" s="21" t="inlineStr">
        <is>
          <t>SOUMAYAT</t>
        </is>
      </c>
      <c r="E560" s="21" t="inlineStr">
        <is>
          <t>BINTI YOUSSOUF ALFEINE</t>
        </is>
      </c>
      <c r="F560" s="21" t="inlineStr">
        <is>
          <t>25/12/2005</t>
        </is>
      </c>
      <c r="G560" s="21" t="inlineStr">
        <is>
          <t>TSINIMOICHONGO BADJINI OUEST</t>
        </is>
      </c>
      <c r="H560" s="21" t="inlineStr"/>
      <c r="I560" s="21" t="inlineStr">
        <is>
          <t>L3</t>
        </is>
      </c>
      <c r="J560" s="21" t="inlineStr">
        <is>
          <t>Soins obstétricaux</t>
        </is>
      </c>
      <c r="K560" s="21" t="inlineStr"/>
      <c r="L560" s="21" t="inlineStr">
        <is>
          <t>2025-2026</t>
        </is>
      </c>
      <c r="M560" s="21" t="inlineStr">
        <is>
          <t>Inscrit</t>
        </is>
      </c>
      <c r="N560" s="21" t="inlineStr"/>
      <c r="O560" s="21" t="inlineStr">
        <is>
          <t>import</t>
        </is>
      </c>
    </row>
    <row r="561">
      <c r="A561" s="21" t="inlineStr">
        <is>
          <t>60</t>
        </is>
      </c>
      <c r="B561" s="21" t="inlineStr">
        <is>
          <t>69404</t>
        </is>
      </c>
      <c r="C561" s="21" t="inlineStr"/>
      <c r="D561" s="21" t="inlineStr">
        <is>
          <t>SOURAYA</t>
        </is>
      </c>
      <c r="E561" s="21" t="inlineStr">
        <is>
          <t>HOUMADI IBRAHIM</t>
        </is>
      </c>
      <c r="F561" s="21" t="inlineStr">
        <is>
          <t>22/05/2004</t>
        </is>
      </c>
      <c r="G561" s="21" t="inlineStr">
        <is>
          <t>HOPITAL TSEMBEHOU</t>
        </is>
      </c>
      <c r="H561" s="21" t="inlineStr"/>
      <c r="I561" s="21" t="inlineStr">
        <is>
          <t>L3</t>
        </is>
      </c>
      <c r="J561" s="21" t="inlineStr">
        <is>
          <t>Soins obstétricaux</t>
        </is>
      </c>
      <c r="K561" s="21" t="inlineStr"/>
      <c r="L561" s="21" t="inlineStr">
        <is>
          <t>2025-2026</t>
        </is>
      </c>
      <c r="M561" s="21" t="inlineStr">
        <is>
          <t>Inscrit</t>
        </is>
      </c>
      <c r="N561" s="21" t="inlineStr"/>
      <c r="O561" s="21" t="inlineStr">
        <is>
          <t>import</t>
        </is>
      </c>
    </row>
    <row r="562">
      <c r="A562" s="21" t="inlineStr">
        <is>
          <t>61</t>
        </is>
      </c>
      <c r="B562" s="21" t="inlineStr">
        <is>
          <t>72163</t>
        </is>
      </c>
      <c r="C562" s="21" t="inlineStr"/>
      <c r="D562" s="21" t="inlineStr">
        <is>
          <t>TOUFOULAINE</t>
        </is>
      </c>
      <c r="E562" s="21" t="inlineStr">
        <is>
          <t>ANDHUM</t>
        </is>
      </c>
      <c r="F562" s="21" t="inlineStr">
        <is>
          <t>08/04/2003</t>
        </is>
      </c>
      <c r="G562" s="21" t="inlineStr">
        <is>
          <t>DINDRI - ANJOUAN</t>
        </is>
      </c>
      <c r="H562" s="21" t="inlineStr"/>
      <c r="I562" s="21" t="inlineStr">
        <is>
          <t>L3</t>
        </is>
      </c>
      <c r="J562" s="21" t="inlineStr">
        <is>
          <t>Soins obstétricaux</t>
        </is>
      </c>
      <c r="K562" s="21" t="inlineStr"/>
      <c r="L562" s="21" t="inlineStr">
        <is>
          <t>2025-2026</t>
        </is>
      </c>
      <c r="M562" s="21" t="inlineStr">
        <is>
          <t>Inscrit</t>
        </is>
      </c>
      <c r="N562" s="21" t="inlineStr"/>
      <c r="O562" s="21" t="inlineStr">
        <is>
          <t>import</t>
        </is>
      </c>
    </row>
    <row r="563">
      <c r="A563" s="21" t="inlineStr">
        <is>
          <t>62</t>
        </is>
      </c>
      <c r="B563" s="21" t="inlineStr">
        <is>
          <t>66378</t>
        </is>
      </c>
      <c r="C563" s="21" t="inlineStr"/>
      <c r="D563" s="21" t="inlineStr">
        <is>
          <t>ZAMZAM</t>
        </is>
      </c>
      <c r="E563" s="21" t="inlineStr">
        <is>
          <t>DJOUMOI SAID ABDALLAH</t>
        </is>
      </c>
      <c r="F563" s="21" t="inlineStr">
        <is>
          <t>13/11/2003</t>
        </is>
      </c>
      <c r="G563" s="21" t="inlineStr">
        <is>
          <t>MTE DE MORONI</t>
        </is>
      </c>
      <c r="H563" s="21" t="inlineStr"/>
      <c r="I563" s="21" t="inlineStr">
        <is>
          <t>L3</t>
        </is>
      </c>
      <c r="J563" s="21" t="inlineStr">
        <is>
          <t>Soins obstétricaux</t>
        </is>
      </c>
      <c r="K563" s="21" t="inlineStr"/>
      <c r="L563" s="21" t="inlineStr">
        <is>
          <t>2025-2026</t>
        </is>
      </c>
      <c r="M563" s="21" t="inlineStr">
        <is>
          <t>Inscrit</t>
        </is>
      </c>
      <c r="N563" s="21" t="inlineStr"/>
      <c r="O563" s="21" t="inlineStr">
        <is>
          <t>import</t>
        </is>
      </c>
    </row>
    <row r="564">
      <c r="A564" s="21" t="inlineStr">
        <is>
          <t>63</t>
        </is>
      </c>
      <c r="B564" s="21" t="inlineStr">
        <is>
          <t>69532</t>
        </is>
      </c>
      <c r="C564" s="21" t="inlineStr"/>
      <c r="D564" s="21" t="inlineStr">
        <is>
          <t>ZOULFAT</t>
        </is>
      </c>
      <c r="E564" s="21" t="inlineStr">
        <is>
          <t>MOUZDALIFA</t>
        </is>
      </c>
      <c r="F564" s="21" t="inlineStr">
        <is>
          <t>10/12/1999</t>
        </is>
      </c>
      <c r="G564" s="21" t="inlineStr">
        <is>
          <t>BANDRACOUNI</t>
        </is>
      </c>
      <c r="H564" s="21" t="inlineStr"/>
      <c r="I564" s="21" t="inlineStr">
        <is>
          <t>L3</t>
        </is>
      </c>
      <c r="J564" s="21" t="inlineStr">
        <is>
          <t>Soins obstétricaux</t>
        </is>
      </c>
      <c r="K564" s="21" t="inlineStr"/>
      <c r="L564" s="21" t="inlineStr">
        <is>
          <t>2025-2026</t>
        </is>
      </c>
      <c r="M564" s="21" t="inlineStr">
        <is>
          <t>Inscrit</t>
        </is>
      </c>
      <c r="N564" s="21" t="inlineStr"/>
      <c r="O564" s="21" t="inlineStr">
        <is>
          <t>import</t>
        </is>
      </c>
    </row>
  </sheetData>
  <autoFilter ref="A2:O300"/>
  <mergeCells count="1">
    <mergeCell ref="A1:O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4" customWidth="1" style="21" min="1" max="1"/>
    <col width="18" customWidth="1" style="21" min="2" max="2"/>
    <col width="26" customWidth="1" style="21" min="3" max="3"/>
    <col width="16" customWidth="1" style="21" min="4" max="4"/>
    <col width="22" customWidth="1" style="21" min="5" max="5"/>
    <col width="17" customWidth="1" style="21" min="6" max="6"/>
  </cols>
  <sheetData>
    <row r="1" ht="30" customHeight="1" s="22">
      <c r="A1" s="23" t="inlineStr">
        <is>
          <t>PRESENCES DES ETUDIANTS — PAR CRENEAU HORAIRE</t>
        </is>
      </c>
    </row>
    <row r="2" ht="31.5" customHeight="1" s="22">
      <c r="A2" s="28" t="inlineStr">
        <is>
          <t>Date (**)</t>
        </is>
      </c>
      <c r="B2" s="28" t="inlineStr">
        <is>
          <t>Matricule (**)</t>
        </is>
      </c>
      <c r="C2" s="28" t="inlineStr">
        <is>
          <t>Session / Matiere (**)</t>
        </is>
      </c>
      <c r="D2" s="28" t="inlineStr">
        <is>
          <t>Creneau (**)</t>
        </is>
      </c>
      <c r="E2" s="28" t="inlineStr">
        <is>
          <t>Present (O/N) (**)</t>
        </is>
      </c>
      <c r="F2" s="28" t="inlineStr">
        <is>
          <t>Saisi par (*)</t>
        </is>
      </c>
    </row>
    <row r="3" ht="15" customHeight="1" s="22">
      <c r="A3" s="31" t="inlineStr">
        <is>
          <t>01/07/2026</t>
        </is>
      </c>
      <c r="B3" s="29" t="inlineStr">
        <is>
          <t>76496</t>
        </is>
      </c>
      <c r="C3" s="29" t="inlineStr">
        <is>
          <t>Aides-soignants - Test matiere</t>
        </is>
      </c>
      <c r="D3" s="29" t="inlineStr">
        <is>
          <t>10:00-12:00</t>
        </is>
      </c>
      <c r="E3" s="29" t="inlineStr">
        <is>
          <t>N</t>
        </is>
      </c>
      <c r="F3" s="29" t="inlineStr">
        <is>
          <t>superadmin</t>
        </is>
      </c>
    </row>
    <row r="4" ht="15" customHeight="1" s="22">
      <c r="A4" s="31" t="inlineStr">
        <is>
          <t>01/07/2026</t>
        </is>
      </c>
      <c r="B4" s="29" t="inlineStr">
        <is>
          <t>76500</t>
        </is>
      </c>
      <c r="C4" s="29" t="inlineStr">
        <is>
          <t>Aides-soignants - Test matiere</t>
        </is>
      </c>
      <c r="D4" s="29" t="inlineStr">
        <is>
          <t>10:00-12:00</t>
        </is>
      </c>
      <c r="E4" s="29" t="inlineStr">
        <is>
          <t>N</t>
        </is>
      </c>
      <c r="F4" s="29" t="inlineStr">
        <is>
          <t>superadmin</t>
        </is>
      </c>
    </row>
    <row r="5" ht="15" customHeight="1" s="22">
      <c r="A5" s="31" t="inlineStr">
        <is>
          <t>01/07/2026</t>
        </is>
      </c>
      <c r="B5" s="29" t="inlineStr">
        <is>
          <t>64934</t>
        </is>
      </c>
      <c r="C5" s="29" t="inlineStr">
        <is>
          <t>Aides-soignants - Test matiere</t>
        </is>
      </c>
      <c r="D5" s="29" t="inlineStr">
        <is>
          <t>10:00-12:00</t>
        </is>
      </c>
      <c r="E5" s="29" t="inlineStr">
        <is>
          <t>N</t>
        </is>
      </c>
      <c r="F5" s="29" t="inlineStr">
        <is>
          <t>superadmin</t>
        </is>
      </c>
    </row>
    <row r="6" ht="15" customHeight="1" s="22">
      <c r="A6" s="31" t="inlineStr">
        <is>
          <t>01/07/2026</t>
        </is>
      </c>
      <c r="B6" s="29" t="inlineStr">
        <is>
          <t>53338</t>
        </is>
      </c>
      <c r="C6" s="29" t="inlineStr">
        <is>
          <t>Aides-soignants - Test matiere</t>
        </is>
      </c>
      <c r="D6" s="29" t="inlineStr">
        <is>
          <t>10:00-12:00</t>
        </is>
      </c>
      <c r="E6" s="29" t="inlineStr">
        <is>
          <t>N</t>
        </is>
      </c>
      <c r="F6" s="29" t="inlineStr">
        <is>
          <t>superadmin</t>
        </is>
      </c>
    </row>
    <row r="7" ht="15" customHeight="1" s="22">
      <c r="A7" s="31" t="inlineStr">
        <is>
          <t>01/07/2026</t>
        </is>
      </c>
      <c r="B7" s="29" t="inlineStr">
        <is>
          <t>73821</t>
        </is>
      </c>
      <c r="C7" s="29" t="inlineStr">
        <is>
          <t>Aides-soignants - Test matiere</t>
        </is>
      </c>
      <c r="D7" s="29" t="inlineStr">
        <is>
          <t>10:00-12:00</t>
        </is>
      </c>
      <c r="E7" s="29" t="inlineStr">
        <is>
          <t>N</t>
        </is>
      </c>
      <c r="F7" s="29" t="inlineStr">
        <is>
          <t>superadmin</t>
        </is>
      </c>
    </row>
    <row r="8" ht="15" customHeight="1" s="22">
      <c r="A8" s="31" t="inlineStr">
        <is>
          <t>01/07/2026</t>
        </is>
      </c>
      <c r="B8" s="29" t="inlineStr">
        <is>
          <t>67587</t>
        </is>
      </c>
      <c r="C8" s="29" t="inlineStr">
        <is>
          <t>Aides-soignants - Test matiere</t>
        </is>
      </c>
      <c r="D8" s="29" t="inlineStr">
        <is>
          <t>10:00-12:00</t>
        </is>
      </c>
      <c r="E8" s="29" t="inlineStr">
        <is>
          <t>N</t>
        </is>
      </c>
      <c r="F8" s="29" t="inlineStr">
        <is>
          <t>superadmin</t>
        </is>
      </c>
    </row>
    <row r="9" ht="15" customHeight="1" s="22">
      <c r="A9" s="31" t="inlineStr">
        <is>
          <t>01/07/2026</t>
        </is>
      </c>
      <c r="B9" s="29" t="inlineStr">
        <is>
          <t>70008</t>
        </is>
      </c>
      <c r="C9" s="29" t="inlineStr">
        <is>
          <t>Aides-soignants - Test matiere</t>
        </is>
      </c>
      <c r="D9" s="29" t="inlineStr">
        <is>
          <t>10:00-12:00</t>
        </is>
      </c>
      <c r="E9" s="29" t="inlineStr">
        <is>
          <t>N</t>
        </is>
      </c>
      <c r="F9" s="29" t="inlineStr">
        <is>
          <t>superadmin</t>
        </is>
      </c>
    </row>
    <row r="10" ht="15" customHeight="1" s="22">
      <c r="A10" s="31" t="inlineStr">
        <is>
          <t>01/07/2026</t>
        </is>
      </c>
      <c r="B10" s="29" t="inlineStr">
        <is>
          <t>73436</t>
        </is>
      </c>
      <c r="C10" s="29" t="inlineStr">
        <is>
          <t>Aides-soignants - Test matiere</t>
        </is>
      </c>
      <c r="D10" s="29" t="inlineStr">
        <is>
          <t>10:00-12:00</t>
        </is>
      </c>
      <c r="E10" s="29" t="inlineStr">
        <is>
          <t>N</t>
        </is>
      </c>
      <c r="F10" s="29" t="inlineStr">
        <is>
          <t>superadmin</t>
        </is>
      </c>
    </row>
    <row r="11" ht="15" customHeight="1" s="22">
      <c r="A11" s="31" t="inlineStr">
        <is>
          <t>01/07/2026</t>
        </is>
      </c>
      <c r="B11" s="29" t="inlineStr">
        <is>
          <t>65358</t>
        </is>
      </c>
      <c r="C11" s="29" t="inlineStr">
        <is>
          <t>Aides-soignants - Test matiere</t>
        </is>
      </c>
      <c r="D11" s="29" t="inlineStr">
        <is>
          <t>10:00-12:00</t>
        </is>
      </c>
      <c r="E11" s="29" t="inlineStr">
        <is>
          <t>N</t>
        </is>
      </c>
      <c r="F11" s="29" t="inlineStr">
        <is>
          <t>superadmin</t>
        </is>
      </c>
    </row>
    <row r="12" ht="15" customHeight="1" s="22">
      <c r="A12" s="31" t="inlineStr">
        <is>
          <t>01/07/2026</t>
        </is>
      </c>
      <c r="B12" s="29" t="inlineStr">
        <is>
          <t>32872</t>
        </is>
      </c>
      <c r="C12" s="29" t="inlineStr">
        <is>
          <t>Aides-soignants - Test matiere</t>
        </is>
      </c>
      <c r="D12" s="29" t="inlineStr">
        <is>
          <t>10:00-12:00</t>
        </is>
      </c>
      <c r="E12" s="29" t="inlineStr">
        <is>
          <t>N</t>
        </is>
      </c>
      <c r="F12" s="29" t="inlineStr">
        <is>
          <t>superadmin</t>
        </is>
      </c>
    </row>
    <row r="13" ht="15" customHeight="1" s="22">
      <c r="A13" s="31" t="inlineStr">
        <is>
          <t>01/07/2026</t>
        </is>
      </c>
      <c r="B13" s="29" t="inlineStr">
        <is>
          <t>67561</t>
        </is>
      </c>
      <c r="C13" s="29" t="inlineStr">
        <is>
          <t>Aides-soignants - Test matiere</t>
        </is>
      </c>
      <c r="D13" s="29" t="inlineStr">
        <is>
          <t>10:00-12:00</t>
        </is>
      </c>
      <c r="E13" s="29" t="inlineStr">
        <is>
          <t>N</t>
        </is>
      </c>
      <c r="F13" s="29" t="inlineStr">
        <is>
          <t>superadmin</t>
        </is>
      </c>
    </row>
    <row r="14" ht="15" customHeight="1" s="22">
      <c r="A14" s="31" t="inlineStr">
        <is>
          <t>01/07/2026</t>
        </is>
      </c>
      <c r="B14" s="29" t="inlineStr">
        <is>
          <t>76498</t>
        </is>
      </c>
      <c r="C14" s="29" t="inlineStr">
        <is>
          <t>Aides-soignants - Test matiere</t>
        </is>
      </c>
      <c r="D14" s="29" t="inlineStr">
        <is>
          <t>10:00-12:00</t>
        </is>
      </c>
      <c r="E14" s="29" t="inlineStr">
        <is>
          <t>N</t>
        </is>
      </c>
      <c r="F14" s="29" t="inlineStr">
        <is>
          <t>superadmin</t>
        </is>
      </c>
    </row>
    <row r="15" ht="15" customHeight="1" s="22">
      <c r="A15" s="31" t="inlineStr">
        <is>
          <t>01/07/2026</t>
        </is>
      </c>
      <c r="B15" s="29" t="inlineStr">
        <is>
          <t>76501</t>
        </is>
      </c>
      <c r="C15" s="29" t="inlineStr">
        <is>
          <t>Aides-soignants - Test matiere</t>
        </is>
      </c>
      <c r="D15" s="29" t="inlineStr">
        <is>
          <t>10:00-12:00</t>
        </is>
      </c>
      <c r="E15" s="29" t="inlineStr">
        <is>
          <t>N</t>
        </is>
      </c>
      <c r="F15" s="29" t="inlineStr">
        <is>
          <t>superadmin</t>
        </is>
      </c>
    </row>
    <row r="16" ht="15" customHeight="1" s="22">
      <c r="A16" s="31" t="inlineStr">
        <is>
          <t>01/07/2026</t>
        </is>
      </c>
      <c r="B16" s="29" t="inlineStr">
        <is>
          <t>67640</t>
        </is>
      </c>
      <c r="C16" s="29" t="inlineStr">
        <is>
          <t>Aides-soignants - Test matiere</t>
        </is>
      </c>
      <c r="D16" s="29" t="inlineStr">
        <is>
          <t>10:00-12:00</t>
        </is>
      </c>
      <c r="E16" s="29" t="inlineStr">
        <is>
          <t>N</t>
        </is>
      </c>
      <c r="F16" s="29" t="inlineStr">
        <is>
          <t>superadmin</t>
        </is>
      </c>
    </row>
    <row r="17" ht="15" customHeight="1" s="22">
      <c r="A17" s="31" t="inlineStr">
        <is>
          <t>01/07/2026</t>
        </is>
      </c>
      <c r="B17" s="29" t="inlineStr">
        <is>
          <t>23301</t>
        </is>
      </c>
      <c r="C17" s="29" t="inlineStr">
        <is>
          <t>Aides-soignants - Test matiere</t>
        </is>
      </c>
      <c r="D17" s="29" t="inlineStr">
        <is>
          <t>10:00-12:00</t>
        </is>
      </c>
      <c r="E17" s="29" t="inlineStr">
        <is>
          <t>N</t>
        </is>
      </c>
      <c r="F17" s="29" t="inlineStr">
        <is>
          <t>superadmin</t>
        </is>
      </c>
    </row>
    <row r="18" ht="15" customHeight="1" s="22">
      <c r="A18" s="31" t="inlineStr">
        <is>
          <t>01/07/2026</t>
        </is>
      </c>
      <c r="B18" s="29" t="inlineStr">
        <is>
          <t>62426</t>
        </is>
      </c>
      <c r="C18" s="29" t="inlineStr">
        <is>
          <t>Aides-soignants - Test matiere</t>
        </is>
      </c>
      <c r="D18" s="29" t="inlineStr">
        <is>
          <t>10:00-12:00</t>
        </is>
      </c>
      <c r="E18" s="29" t="inlineStr">
        <is>
          <t>N</t>
        </is>
      </c>
      <c r="F18" s="29" t="inlineStr">
        <is>
          <t>superadmin</t>
        </is>
      </c>
    </row>
    <row r="19" ht="15" customHeight="1" s="22">
      <c r="A19" s="31" t="inlineStr">
        <is>
          <t>01/07/2026</t>
        </is>
      </c>
      <c r="B19" s="29" t="inlineStr">
        <is>
          <t>76502</t>
        </is>
      </c>
      <c r="C19" s="29" t="inlineStr">
        <is>
          <t>Aides-soignants - Test matiere</t>
        </is>
      </c>
      <c r="D19" s="29" t="inlineStr">
        <is>
          <t>10:00-12:00</t>
        </is>
      </c>
      <c r="E19" s="29" t="inlineStr">
        <is>
          <t>N</t>
        </is>
      </c>
      <c r="F19" s="29" t="inlineStr">
        <is>
          <t>superadmin</t>
        </is>
      </c>
    </row>
    <row r="20" ht="15" customHeight="1" s="22">
      <c r="A20" s="31" t="inlineStr">
        <is>
          <t>01/07/2026</t>
        </is>
      </c>
      <c r="B20" s="29" t="inlineStr">
        <is>
          <t>73395</t>
        </is>
      </c>
      <c r="C20" s="29" t="inlineStr">
        <is>
          <t>Aides-soignants - Test matiere</t>
        </is>
      </c>
      <c r="D20" s="29" t="inlineStr">
        <is>
          <t>10:00-12:00</t>
        </is>
      </c>
      <c r="E20" s="29" t="inlineStr">
        <is>
          <t>N</t>
        </is>
      </c>
      <c r="F20" s="29" t="inlineStr">
        <is>
          <t>superadmin</t>
        </is>
      </c>
    </row>
    <row r="21" ht="15" customHeight="1" s="22">
      <c r="A21" s="31" t="inlineStr">
        <is>
          <t>01/07/2026</t>
        </is>
      </c>
      <c r="B21" s="29" t="inlineStr">
        <is>
          <t>62699</t>
        </is>
      </c>
      <c r="C21" s="29" t="inlineStr">
        <is>
          <t>Aides-soignants - Test matiere</t>
        </is>
      </c>
      <c r="D21" s="29" t="inlineStr">
        <is>
          <t>10:00-12:00</t>
        </is>
      </c>
      <c r="E21" s="29" t="inlineStr">
        <is>
          <t>N</t>
        </is>
      </c>
      <c r="F21" s="29" t="inlineStr">
        <is>
          <t>superadmin</t>
        </is>
      </c>
    </row>
    <row r="22" ht="15" customHeight="1" s="22">
      <c r="A22" s="31" t="inlineStr">
        <is>
          <t>01/07/2026</t>
        </is>
      </c>
      <c r="B22" s="29" t="inlineStr">
        <is>
          <t>64220</t>
        </is>
      </c>
      <c r="C22" s="29" t="inlineStr">
        <is>
          <t>Aides-soignants - Test matiere</t>
        </is>
      </c>
      <c r="D22" s="29" t="inlineStr">
        <is>
          <t>10:00-12:00</t>
        </is>
      </c>
      <c r="E22" s="29" t="inlineStr">
        <is>
          <t>N</t>
        </is>
      </c>
      <c r="F22" s="29" t="inlineStr">
        <is>
          <t>superadmin</t>
        </is>
      </c>
    </row>
    <row r="23" ht="15" customHeight="1" s="22">
      <c r="A23" s="31" t="inlineStr">
        <is>
          <t>01/07/2026</t>
        </is>
      </c>
      <c r="B23" s="29" t="inlineStr">
        <is>
          <t>74057</t>
        </is>
      </c>
      <c r="C23" s="29" t="inlineStr">
        <is>
          <t>Aides-soignants - Test matiere</t>
        </is>
      </c>
      <c r="D23" s="29" t="inlineStr">
        <is>
          <t>10:00-12:00</t>
        </is>
      </c>
      <c r="E23" s="29" t="inlineStr">
        <is>
          <t>N</t>
        </is>
      </c>
      <c r="F23" s="29" t="inlineStr">
        <is>
          <t>superadmin</t>
        </is>
      </c>
    </row>
    <row r="24" ht="15" customHeight="1" s="22">
      <c r="A24" s="31" t="inlineStr">
        <is>
          <t>01/07/2026</t>
        </is>
      </c>
      <c r="B24" s="29" t="inlineStr">
        <is>
          <t>61474</t>
        </is>
      </c>
      <c r="C24" s="29" t="inlineStr">
        <is>
          <t>Aides-soignants - Test matiere</t>
        </is>
      </c>
      <c r="D24" s="29" t="inlineStr">
        <is>
          <t>10:00-12:00</t>
        </is>
      </c>
      <c r="E24" s="29" t="inlineStr">
        <is>
          <t>N</t>
        </is>
      </c>
      <c r="F24" s="29" t="inlineStr">
        <is>
          <t>superadmin</t>
        </is>
      </c>
    </row>
    <row r="25" ht="15" customHeight="1" s="22">
      <c r="A25" s="31" t="inlineStr">
        <is>
          <t>01/07/2026</t>
        </is>
      </c>
      <c r="B25" s="29" t="inlineStr">
        <is>
          <t>59577</t>
        </is>
      </c>
      <c r="C25" s="29" t="inlineStr">
        <is>
          <t>Aides-soignants - Test matiere</t>
        </is>
      </c>
      <c r="D25" s="29" t="inlineStr">
        <is>
          <t>10:00-12:00</t>
        </is>
      </c>
      <c r="E25" s="29" t="inlineStr">
        <is>
          <t>N</t>
        </is>
      </c>
      <c r="F25" s="29" t="inlineStr">
        <is>
          <t>superadmin</t>
        </is>
      </c>
    </row>
    <row r="26" ht="15" customHeight="1" s="22">
      <c r="A26" s="31" t="inlineStr">
        <is>
          <t>01/07/2026</t>
        </is>
      </c>
      <c r="B26" s="29" t="inlineStr">
        <is>
          <t>27206</t>
        </is>
      </c>
      <c r="C26" s="29" t="inlineStr">
        <is>
          <t>Aides-soignants - Test matiere</t>
        </is>
      </c>
      <c r="D26" s="29" t="inlineStr">
        <is>
          <t>10:00-12:00</t>
        </is>
      </c>
      <c r="E26" s="29" t="inlineStr">
        <is>
          <t>N</t>
        </is>
      </c>
      <c r="F26" s="29" t="inlineStr">
        <is>
          <t>superadmin</t>
        </is>
      </c>
    </row>
    <row r="27" ht="15" customHeight="1" s="22">
      <c r="A27" s="31" t="inlineStr">
        <is>
          <t>01/07/2026</t>
        </is>
      </c>
      <c r="B27" s="29" t="inlineStr">
        <is>
          <t>42485</t>
        </is>
      </c>
      <c r="C27" s="29" t="inlineStr">
        <is>
          <t>Aides-soignants - Test matiere</t>
        </is>
      </c>
      <c r="D27" s="29" t="inlineStr">
        <is>
          <t>10:00-12:00</t>
        </is>
      </c>
      <c r="E27" s="29" t="inlineStr">
        <is>
          <t>N</t>
        </is>
      </c>
      <c r="F27" s="29" t="inlineStr">
        <is>
          <t>superadmin</t>
        </is>
      </c>
    </row>
    <row r="28" ht="15" customHeight="1" s="22">
      <c r="A28" s="31" t="inlineStr">
        <is>
          <t>01/07/2026</t>
        </is>
      </c>
      <c r="B28" s="29" t="inlineStr">
        <is>
          <t>69954</t>
        </is>
      </c>
      <c r="C28" s="29" t="inlineStr">
        <is>
          <t>Aides-soignants - Test matiere</t>
        </is>
      </c>
      <c r="D28" s="29" t="inlineStr">
        <is>
          <t>10:00-12:00</t>
        </is>
      </c>
      <c r="E28" s="29" t="inlineStr">
        <is>
          <t>N</t>
        </is>
      </c>
      <c r="F28" s="29" t="inlineStr">
        <is>
          <t>superadmin</t>
        </is>
      </c>
    </row>
    <row r="29" ht="15" customHeight="1" s="22">
      <c r="A29" s="31" t="inlineStr">
        <is>
          <t>01/07/2026</t>
        </is>
      </c>
      <c r="B29" s="29" t="inlineStr">
        <is>
          <t>45459</t>
        </is>
      </c>
      <c r="C29" s="29" t="inlineStr">
        <is>
          <t>Aides-soignants - Test matiere</t>
        </is>
      </c>
      <c r="D29" s="29" t="inlineStr">
        <is>
          <t>10:00-12:00</t>
        </is>
      </c>
      <c r="E29" s="29" t="inlineStr">
        <is>
          <t>N</t>
        </is>
      </c>
      <c r="F29" s="29" t="inlineStr">
        <is>
          <t>superadmin</t>
        </is>
      </c>
    </row>
    <row r="30" ht="15" customHeight="1" s="22">
      <c r="A30" s="31" t="inlineStr">
        <is>
          <t>01/07/2026</t>
        </is>
      </c>
      <c r="B30" s="29" t="inlineStr">
        <is>
          <t>76499</t>
        </is>
      </c>
      <c r="C30" s="29" t="inlineStr">
        <is>
          <t>Aides-soignants - Test matiere</t>
        </is>
      </c>
      <c r="D30" s="29" t="inlineStr">
        <is>
          <t>10:00-12:00</t>
        </is>
      </c>
      <c r="E30" s="29" t="inlineStr">
        <is>
          <t>N</t>
        </is>
      </c>
      <c r="F30" s="29" t="inlineStr">
        <is>
          <t>superadmin</t>
        </is>
      </c>
    </row>
    <row r="31" ht="15" customHeight="1" s="22">
      <c r="A31" s="31" t="inlineStr">
        <is>
          <t>01/07/2026</t>
        </is>
      </c>
      <c r="B31" s="29" t="inlineStr">
        <is>
          <t>58927</t>
        </is>
      </c>
      <c r="C31" s="29" t="inlineStr">
        <is>
          <t>Aides-soignants - Test matiere</t>
        </is>
      </c>
      <c r="D31" s="29" t="inlineStr">
        <is>
          <t>10:00-12:00</t>
        </is>
      </c>
      <c r="E31" s="29" t="inlineStr">
        <is>
          <t>N</t>
        </is>
      </c>
      <c r="F31" s="29" t="inlineStr">
        <is>
          <t>superadmin</t>
        </is>
      </c>
    </row>
    <row r="32" ht="15" customHeight="1" s="22">
      <c r="A32" s="31" t="inlineStr">
        <is>
          <t>01/07/2026</t>
        </is>
      </c>
      <c r="B32" s="29" t="inlineStr">
        <is>
          <t>63164</t>
        </is>
      </c>
      <c r="C32" s="29" t="inlineStr">
        <is>
          <t>Aides-soignants - Test matiere</t>
        </is>
      </c>
      <c r="D32" s="29" t="inlineStr">
        <is>
          <t>10:00-12:00</t>
        </is>
      </c>
      <c r="E32" s="29" t="inlineStr">
        <is>
          <t>N</t>
        </is>
      </c>
      <c r="F32" s="29" t="inlineStr">
        <is>
          <t>superadmin</t>
        </is>
      </c>
    </row>
    <row r="33" ht="15" customHeight="1" s="22">
      <c r="A33" s="31" t="n"/>
      <c r="B33" s="29" t="n"/>
      <c r="C33" s="29" t="n"/>
      <c r="D33" s="29" t="n"/>
      <c r="E33" s="29" t="n"/>
      <c r="F33" s="29" t="n"/>
    </row>
    <row r="34" ht="15" customHeight="1" s="22">
      <c r="A34" s="31" t="n"/>
      <c r="B34" s="29" t="n"/>
      <c r="C34" s="29" t="n"/>
      <c r="D34" s="29" t="n"/>
      <c r="E34" s="29" t="n"/>
      <c r="F34" s="29" t="n"/>
    </row>
    <row r="35" ht="15" customHeight="1" s="22">
      <c r="A35" s="31" t="n"/>
      <c r="B35" s="29" t="n"/>
      <c r="C35" s="29" t="n"/>
      <c r="D35" s="29" t="n"/>
      <c r="E35" s="29" t="n"/>
      <c r="F35" s="29" t="n"/>
    </row>
    <row r="36" ht="15" customHeight="1" s="22">
      <c r="A36" s="31" t="n"/>
      <c r="B36" s="29" t="n"/>
      <c r="C36" s="29" t="n"/>
      <c r="D36" s="29" t="n"/>
      <c r="E36" s="29" t="n"/>
      <c r="F36" s="29" t="n"/>
    </row>
    <row r="37" ht="15" customHeight="1" s="22">
      <c r="A37" s="31" t="n"/>
      <c r="B37" s="29" t="n"/>
      <c r="C37" s="29" t="n"/>
      <c r="D37" s="29" t="n"/>
      <c r="E37" s="29" t="n"/>
      <c r="F37" s="29" t="n"/>
    </row>
    <row r="38" ht="15" customHeight="1" s="22">
      <c r="A38" s="31" t="n"/>
      <c r="B38" s="29" t="n"/>
      <c r="C38" s="29" t="n"/>
      <c r="D38" s="29" t="n"/>
      <c r="E38" s="29" t="n"/>
      <c r="F38" s="29" t="n"/>
    </row>
    <row r="39" ht="15" customHeight="1" s="22">
      <c r="A39" s="31" t="n"/>
      <c r="B39" s="29" t="n"/>
      <c r="C39" s="29" t="n"/>
      <c r="D39" s="29" t="n"/>
      <c r="E39" s="29" t="n"/>
      <c r="F39" s="29" t="n"/>
    </row>
    <row r="40" ht="15" customHeight="1" s="22">
      <c r="A40" s="31" t="n"/>
      <c r="B40" s="29" t="n"/>
      <c r="C40" s="29" t="n"/>
      <c r="D40" s="29" t="n"/>
      <c r="E40" s="29" t="n"/>
      <c r="F40" s="29" t="n"/>
    </row>
    <row r="41" ht="15" customHeight="1" s="22">
      <c r="A41" s="31" t="n"/>
      <c r="B41" s="29" t="n"/>
      <c r="C41" s="29" t="n"/>
      <c r="D41" s="29" t="n"/>
      <c r="E41" s="29" t="n"/>
      <c r="F41" s="29" t="n"/>
    </row>
    <row r="42" ht="15" customHeight="1" s="22">
      <c r="A42" s="31" t="n"/>
      <c r="B42" s="29" t="n"/>
      <c r="C42" s="29" t="n"/>
      <c r="D42" s="29" t="n"/>
      <c r="E42" s="29" t="n"/>
      <c r="F42" s="29" t="n"/>
    </row>
    <row r="43" ht="15" customHeight="1" s="22">
      <c r="A43" s="31" t="n"/>
      <c r="B43" s="29" t="n"/>
      <c r="C43" s="29" t="n"/>
      <c r="D43" s="29" t="n"/>
      <c r="E43" s="29" t="n"/>
      <c r="F43" s="29" t="n"/>
    </row>
    <row r="44" ht="15" customHeight="1" s="22">
      <c r="A44" s="31" t="n"/>
      <c r="B44" s="29" t="n"/>
      <c r="C44" s="29" t="n"/>
      <c r="D44" s="29" t="n"/>
      <c r="E44" s="29" t="n"/>
      <c r="F44" s="29" t="n"/>
    </row>
    <row r="45" ht="15" customHeight="1" s="22">
      <c r="A45" s="31" t="n"/>
      <c r="B45" s="29" t="n"/>
      <c r="C45" s="29" t="n"/>
      <c r="D45" s="29" t="n"/>
      <c r="E45" s="29" t="n"/>
      <c r="F45" s="29" t="n"/>
    </row>
    <row r="46" ht="15" customHeight="1" s="22">
      <c r="A46" s="31" t="n"/>
      <c r="B46" s="29" t="n"/>
      <c r="C46" s="29" t="n"/>
      <c r="D46" s="29" t="n"/>
      <c r="E46" s="29" t="n"/>
      <c r="F46" s="29" t="n"/>
    </row>
    <row r="47" ht="15" customHeight="1" s="22">
      <c r="A47" s="31" t="n"/>
      <c r="B47" s="29" t="n"/>
      <c r="C47" s="29" t="n"/>
      <c r="D47" s="29" t="n"/>
      <c r="E47" s="29" t="n"/>
      <c r="F47" s="29" t="n"/>
    </row>
    <row r="48" ht="15" customHeight="1" s="22">
      <c r="A48" s="31" t="n"/>
      <c r="B48" s="29" t="n"/>
      <c r="C48" s="29" t="n"/>
      <c r="D48" s="29" t="n"/>
      <c r="E48" s="29" t="n"/>
      <c r="F48" s="29" t="n"/>
    </row>
    <row r="49" ht="15" customHeight="1" s="22">
      <c r="A49" s="31" t="n"/>
      <c r="B49" s="29" t="n"/>
      <c r="C49" s="29" t="n"/>
      <c r="D49" s="29" t="n"/>
      <c r="E49" s="29" t="n"/>
      <c r="F49" s="29" t="n"/>
    </row>
    <row r="50" ht="15" customHeight="1" s="22">
      <c r="A50" s="31" t="n"/>
      <c r="B50" s="29" t="n"/>
      <c r="C50" s="29" t="n"/>
      <c r="D50" s="29" t="n"/>
      <c r="E50" s="29" t="n"/>
      <c r="F50" s="29" t="n"/>
    </row>
    <row r="51" ht="15" customHeight="1" s="22">
      <c r="A51" s="31" t="n"/>
      <c r="B51" s="29" t="n"/>
      <c r="C51" s="29" t="n"/>
      <c r="D51" s="29" t="n"/>
      <c r="E51" s="29" t="n"/>
      <c r="F51" s="29" t="n"/>
    </row>
    <row r="52" ht="15" customHeight="1" s="22">
      <c r="A52" s="31" t="n"/>
      <c r="B52" s="29" t="n"/>
      <c r="C52" s="29" t="n"/>
      <c r="D52" s="29" t="n"/>
      <c r="E52" s="29" t="n"/>
      <c r="F52" s="29" t="n"/>
    </row>
    <row r="53" ht="15" customHeight="1" s="22">
      <c r="A53" s="31" t="n"/>
      <c r="B53" s="29" t="n"/>
      <c r="C53" s="29" t="n"/>
      <c r="D53" s="29" t="n"/>
      <c r="E53" s="29" t="n"/>
      <c r="F53" s="29" t="n"/>
    </row>
    <row r="54" ht="15" customHeight="1" s="22">
      <c r="A54" s="31" t="n"/>
      <c r="B54" s="29" t="n"/>
      <c r="C54" s="29" t="n"/>
      <c r="D54" s="29" t="n"/>
      <c r="E54" s="29" t="n"/>
      <c r="F54" s="29" t="n"/>
    </row>
    <row r="55" ht="15" customHeight="1" s="22">
      <c r="A55" s="31" t="n"/>
      <c r="B55" s="29" t="n"/>
      <c r="C55" s="29" t="n"/>
      <c r="D55" s="29" t="n"/>
      <c r="E55" s="29" t="n"/>
      <c r="F55" s="29" t="n"/>
    </row>
    <row r="56" ht="15" customHeight="1" s="22">
      <c r="A56" s="31" t="n"/>
      <c r="B56" s="29" t="n"/>
      <c r="C56" s="29" t="n"/>
      <c r="D56" s="29" t="n"/>
      <c r="E56" s="29" t="n"/>
      <c r="F56" s="29" t="n"/>
    </row>
    <row r="57" ht="15" customHeight="1" s="22">
      <c r="A57" s="31" t="n"/>
      <c r="B57" s="29" t="n"/>
      <c r="C57" s="29" t="n"/>
      <c r="D57" s="29" t="n"/>
      <c r="E57" s="29" t="n"/>
      <c r="F57" s="29" t="n"/>
    </row>
    <row r="58" ht="15" customHeight="1" s="22">
      <c r="A58" s="31" t="n"/>
      <c r="B58" s="29" t="n"/>
      <c r="C58" s="29" t="n"/>
      <c r="D58" s="29" t="n"/>
      <c r="E58" s="29" t="n"/>
      <c r="F58" s="29" t="n"/>
    </row>
    <row r="59" ht="15" customHeight="1" s="22">
      <c r="A59" s="31" t="n"/>
      <c r="B59" s="29" t="n"/>
      <c r="C59" s="29" t="n"/>
      <c r="D59" s="29" t="n"/>
      <c r="E59" s="29" t="n"/>
      <c r="F59" s="29" t="n"/>
    </row>
    <row r="60" ht="15" customHeight="1" s="22">
      <c r="A60" s="31" t="n"/>
      <c r="B60" s="29" t="n"/>
      <c r="C60" s="29" t="n"/>
      <c r="D60" s="29" t="n"/>
      <c r="E60" s="29" t="n"/>
      <c r="F60" s="29" t="n"/>
    </row>
    <row r="61" ht="15" customHeight="1" s="22">
      <c r="A61" s="31" t="n"/>
      <c r="B61" s="29" t="n"/>
      <c r="C61" s="29" t="n"/>
      <c r="D61" s="29" t="n"/>
      <c r="E61" s="29" t="n"/>
      <c r="F61" s="29" t="n"/>
    </row>
    <row r="62" ht="15" customHeight="1" s="22">
      <c r="A62" s="31" t="n"/>
      <c r="B62" s="29" t="n"/>
      <c r="C62" s="29" t="n"/>
      <c r="D62" s="29" t="n"/>
      <c r="E62" s="29" t="n"/>
      <c r="F62" s="29" t="n"/>
    </row>
    <row r="63" ht="15" customHeight="1" s="22">
      <c r="A63" s="31" t="n"/>
      <c r="B63" s="29" t="n"/>
      <c r="C63" s="29" t="n"/>
      <c r="D63" s="29" t="n"/>
      <c r="E63" s="29" t="n"/>
      <c r="F63" s="29" t="n"/>
    </row>
    <row r="64" ht="15" customHeight="1" s="22">
      <c r="A64" s="31" t="n"/>
      <c r="B64" s="29" t="n"/>
      <c r="C64" s="29" t="n"/>
      <c r="D64" s="29" t="n"/>
      <c r="E64" s="29" t="n"/>
      <c r="F64" s="29" t="n"/>
    </row>
    <row r="65" ht="15" customHeight="1" s="22">
      <c r="A65" s="31" t="n"/>
      <c r="B65" s="29" t="n"/>
      <c r="C65" s="29" t="n"/>
      <c r="D65" s="29" t="n"/>
      <c r="E65" s="29" t="n"/>
      <c r="F65" s="29" t="n"/>
    </row>
    <row r="66" ht="15" customHeight="1" s="22">
      <c r="A66" s="31" t="n"/>
      <c r="B66" s="29" t="n"/>
      <c r="C66" s="29" t="n"/>
      <c r="D66" s="29" t="n"/>
      <c r="E66" s="29" t="n"/>
      <c r="F66" s="29" t="n"/>
    </row>
    <row r="67" ht="15" customHeight="1" s="22">
      <c r="A67" s="31" t="n"/>
      <c r="B67" s="29" t="n"/>
      <c r="C67" s="29" t="n"/>
      <c r="D67" s="29" t="n"/>
      <c r="E67" s="29" t="n"/>
      <c r="F67" s="29" t="n"/>
    </row>
    <row r="68" ht="15" customHeight="1" s="22">
      <c r="A68" s="31" t="n"/>
      <c r="B68" s="29" t="n"/>
      <c r="C68" s="29" t="n"/>
      <c r="D68" s="29" t="n"/>
      <c r="E68" s="29" t="n"/>
      <c r="F68" s="29" t="n"/>
    </row>
    <row r="69" ht="15" customHeight="1" s="22">
      <c r="A69" s="31" t="n"/>
      <c r="B69" s="29" t="n"/>
      <c r="C69" s="29" t="n"/>
      <c r="D69" s="29" t="n"/>
      <c r="E69" s="29" t="n"/>
      <c r="F69" s="29" t="n"/>
    </row>
    <row r="70" ht="15" customHeight="1" s="22">
      <c r="A70" s="31" t="n"/>
      <c r="B70" s="29" t="n"/>
      <c r="C70" s="29" t="n"/>
      <c r="D70" s="29" t="n"/>
      <c r="E70" s="29" t="n"/>
      <c r="F70" s="29" t="n"/>
    </row>
    <row r="71" ht="15" customHeight="1" s="22">
      <c r="A71" s="31" t="n"/>
      <c r="B71" s="29" t="n"/>
      <c r="C71" s="29" t="n"/>
      <c r="D71" s="29" t="n"/>
      <c r="E71" s="29" t="n"/>
      <c r="F71" s="29" t="n"/>
    </row>
    <row r="72" ht="15" customHeight="1" s="22">
      <c r="A72" s="31" t="n"/>
      <c r="B72" s="29" t="n"/>
      <c r="C72" s="29" t="n"/>
      <c r="D72" s="29" t="n"/>
      <c r="E72" s="29" t="n"/>
      <c r="F72" s="29" t="n"/>
    </row>
    <row r="73" ht="15" customHeight="1" s="22">
      <c r="A73" s="31" t="n"/>
      <c r="B73" s="29" t="n"/>
      <c r="C73" s="29" t="n"/>
      <c r="D73" s="29" t="n"/>
      <c r="E73" s="29" t="n"/>
      <c r="F73" s="29" t="n"/>
    </row>
    <row r="74" ht="15" customHeight="1" s="22">
      <c r="A74" s="31" t="n"/>
      <c r="B74" s="29" t="n"/>
      <c r="C74" s="29" t="n"/>
      <c r="D74" s="29" t="n"/>
      <c r="E74" s="29" t="n"/>
      <c r="F74" s="29" t="n"/>
    </row>
    <row r="75" ht="15" customHeight="1" s="22">
      <c r="A75" s="31" t="n"/>
      <c r="B75" s="29" t="n"/>
      <c r="C75" s="29" t="n"/>
      <c r="D75" s="29" t="n"/>
      <c r="E75" s="29" t="n"/>
      <c r="F75" s="29" t="n"/>
    </row>
    <row r="76" ht="15" customHeight="1" s="22">
      <c r="A76" s="31" t="n"/>
      <c r="B76" s="29" t="n"/>
      <c r="C76" s="29" t="n"/>
      <c r="D76" s="29" t="n"/>
      <c r="E76" s="29" t="n"/>
      <c r="F76" s="29" t="n"/>
    </row>
    <row r="77" ht="15" customHeight="1" s="22">
      <c r="A77" s="31" t="n"/>
      <c r="B77" s="29" t="n"/>
      <c r="C77" s="29" t="n"/>
      <c r="D77" s="29" t="n"/>
      <c r="E77" s="29" t="n"/>
      <c r="F77" s="29" t="n"/>
    </row>
    <row r="78" ht="15" customHeight="1" s="22">
      <c r="A78" s="31" t="n"/>
      <c r="B78" s="29" t="n"/>
      <c r="C78" s="29" t="n"/>
      <c r="D78" s="29" t="n"/>
      <c r="E78" s="29" t="n"/>
      <c r="F78" s="29" t="n"/>
    </row>
    <row r="79" ht="15" customHeight="1" s="22">
      <c r="A79" s="31" t="n"/>
      <c r="B79" s="29" t="n"/>
      <c r="C79" s="29" t="n"/>
      <c r="D79" s="29" t="n"/>
      <c r="E79" s="29" t="n"/>
      <c r="F79" s="29" t="n"/>
    </row>
    <row r="80" ht="15" customHeight="1" s="22">
      <c r="A80" s="31" t="n"/>
      <c r="B80" s="29" t="n"/>
      <c r="C80" s="29" t="n"/>
      <c r="D80" s="29" t="n"/>
      <c r="E80" s="29" t="n"/>
      <c r="F80" s="29" t="n"/>
    </row>
    <row r="81" ht="15" customHeight="1" s="22">
      <c r="A81" s="31" t="n"/>
      <c r="B81" s="29" t="n"/>
      <c r="C81" s="29" t="n"/>
      <c r="D81" s="29" t="n"/>
      <c r="E81" s="29" t="n"/>
      <c r="F81" s="29" t="n"/>
    </row>
    <row r="82" ht="15" customHeight="1" s="22">
      <c r="A82" s="31" t="n"/>
      <c r="B82" s="29" t="n"/>
      <c r="C82" s="29" t="n"/>
      <c r="D82" s="29" t="n"/>
      <c r="E82" s="29" t="n"/>
      <c r="F82" s="29" t="n"/>
    </row>
    <row r="83" ht="15" customHeight="1" s="22">
      <c r="A83" s="31" t="n"/>
      <c r="B83" s="29" t="n"/>
      <c r="C83" s="29" t="n"/>
      <c r="D83" s="29" t="n"/>
      <c r="E83" s="29" t="n"/>
      <c r="F83" s="29" t="n"/>
    </row>
    <row r="84" ht="15" customHeight="1" s="22">
      <c r="A84" s="31" t="n"/>
      <c r="B84" s="29" t="n"/>
      <c r="C84" s="29" t="n"/>
      <c r="D84" s="29" t="n"/>
      <c r="E84" s="29" t="n"/>
      <c r="F84" s="29" t="n"/>
    </row>
    <row r="85" ht="15" customHeight="1" s="22">
      <c r="A85" s="31" t="n"/>
      <c r="B85" s="29" t="n"/>
      <c r="C85" s="29" t="n"/>
      <c r="D85" s="29" t="n"/>
      <c r="E85" s="29" t="n"/>
      <c r="F85" s="29" t="n"/>
    </row>
    <row r="86" ht="15" customHeight="1" s="22">
      <c r="A86" s="31" t="n"/>
      <c r="B86" s="29" t="n"/>
      <c r="C86" s="29" t="n"/>
      <c r="D86" s="29" t="n"/>
      <c r="E86" s="29" t="n"/>
      <c r="F86" s="29" t="n"/>
    </row>
    <row r="87" ht="15" customHeight="1" s="22">
      <c r="A87" s="31" t="n"/>
      <c r="B87" s="29" t="n"/>
      <c r="C87" s="29" t="n"/>
      <c r="D87" s="29" t="n"/>
      <c r="E87" s="29" t="n"/>
      <c r="F87" s="29" t="n"/>
    </row>
    <row r="88" ht="15" customHeight="1" s="22">
      <c r="A88" s="31" t="n"/>
      <c r="B88" s="29" t="n"/>
      <c r="C88" s="29" t="n"/>
      <c r="D88" s="29" t="n"/>
      <c r="E88" s="29" t="n"/>
      <c r="F88" s="29" t="n"/>
    </row>
    <row r="89" ht="15" customHeight="1" s="22">
      <c r="A89" s="31" t="n"/>
      <c r="B89" s="29" t="n"/>
      <c r="C89" s="29" t="n"/>
      <c r="D89" s="29" t="n"/>
      <c r="E89" s="29" t="n"/>
      <c r="F89" s="29" t="n"/>
    </row>
    <row r="90" ht="15" customHeight="1" s="22">
      <c r="A90" s="31" t="n"/>
      <c r="B90" s="29" t="n"/>
      <c r="C90" s="29" t="n"/>
      <c r="D90" s="29" t="n"/>
      <c r="E90" s="29" t="n"/>
      <c r="F90" s="29" t="n"/>
    </row>
    <row r="91" ht="15" customHeight="1" s="22">
      <c r="A91" s="31" t="n"/>
      <c r="B91" s="29" t="n"/>
      <c r="C91" s="29" t="n"/>
      <c r="D91" s="29" t="n"/>
      <c r="E91" s="29" t="n"/>
      <c r="F91" s="29" t="n"/>
    </row>
    <row r="92" ht="15" customHeight="1" s="22">
      <c r="A92" s="31" t="n"/>
      <c r="B92" s="29" t="n"/>
      <c r="C92" s="29" t="n"/>
      <c r="D92" s="29" t="n"/>
      <c r="E92" s="29" t="n"/>
      <c r="F92" s="29" t="n"/>
    </row>
    <row r="93" ht="15" customHeight="1" s="22">
      <c r="A93" s="31" t="n"/>
      <c r="B93" s="29" t="n"/>
      <c r="C93" s="29" t="n"/>
      <c r="D93" s="29" t="n"/>
      <c r="E93" s="29" t="n"/>
      <c r="F93" s="29" t="n"/>
    </row>
    <row r="94" ht="15" customHeight="1" s="22">
      <c r="A94" s="31" t="n"/>
      <c r="B94" s="29" t="n"/>
      <c r="C94" s="29" t="n"/>
      <c r="D94" s="29" t="n"/>
      <c r="E94" s="29" t="n"/>
      <c r="F94" s="29" t="n"/>
    </row>
    <row r="95" ht="15" customHeight="1" s="22">
      <c r="A95" s="31" t="n"/>
      <c r="B95" s="29" t="n"/>
      <c r="C95" s="29" t="n"/>
      <c r="D95" s="29" t="n"/>
      <c r="E95" s="29" t="n"/>
      <c r="F95" s="29" t="n"/>
    </row>
    <row r="96" ht="15" customHeight="1" s="22">
      <c r="A96" s="31" t="n"/>
      <c r="B96" s="29" t="n"/>
      <c r="C96" s="29" t="n"/>
      <c r="D96" s="29" t="n"/>
      <c r="E96" s="29" t="n"/>
      <c r="F96" s="29" t="n"/>
    </row>
    <row r="97" ht="15" customHeight="1" s="22">
      <c r="A97" s="31" t="n"/>
      <c r="B97" s="29" t="n"/>
      <c r="C97" s="29" t="n"/>
      <c r="D97" s="29" t="n"/>
      <c r="E97" s="29" t="n"/>
      <c r="F97" s="29" t="n"/>
    </row>
    <row r="98" ht="15" customHeight="1" s="22">
      <c r="A98" s="31" t="n"/>
      <c r="B98" s="29" t="n"/>
      <c r="C98" s="29" t="n"/>
      <c r="D98" s="29" t="n"/>
      <c r="E98" s="29" t="n"/>
      <c r="F98" s="29" t="n"/>
    </row>
    <row r="99" ht="15" customHeight="1" s="22">
      <c r="A99" s="31" t="n"/>
      <c r="B99" s="29" t="n"/>
      <c r="C99" s="29" t="n"/>
      <c r="D99" s="29" t="n"/>
      <c r="E99" s="29" t="n"/>
      <c r="F99" s="29" t="n"/>
    </row>
    <row r="100" ht="15" customHeight="1" s="22">
      <c r="A100" s="31" t="n"/>
      <c r="B100" s="29" t="n"/>
      <c r="C100" s="29" t="n"/>
      <c r="D100" s="29" t="n"/>
      <c r="E100" s="29" t="n"/>
      <c r="F100" s="29" t="n"/>
    </row>
    <row r="101" ht="15" customHeight="1" s="22">
      <c r="A101" s="31" t="n"/>
      <c r="B101" s="29" t="n"/>
      <c r="C101" s="29" t="n"/>
      <c r="D101" s="29" t="n"/>
      <c r="E101" s="29" t="n"/>
      <c r="F101" s="29" t="n"/>
    </row>
    <row r="102" ht="15" customHeight="1" s="22">
      <c r="A102" s="31" t="n"/>
      <c r="B102" s="29" t="n"/>
      <c r="C102" s="29" t="n"/>
      <c r="D102" s="29" t="n"/>
      <c r="E102" s="29" t="n"/>
      <c r="F102" s="29" t="n"/>
    </row>
    <row r="103" ht="15" customHeight="1" s="22">
      <c r="A103" s="31" t="n"/>
      <c r="B103" s="29" t="n"/>
      <c r="C103" s="29" t="n"/>
      <c r="D103" s="29" t="n"/>
      <c r="E103" s="29" t="n"/>
      <c r="F103" s="29" t="n"/>
    </row>
    <row r="104" ht="15" customHeight="1" s="22">
      <c r="A104" s="31" t="n"/>
      <c r="B104" s="29" t="n"/>
      <c r="C104" s="29" t="n"/>
      <c r="D104" s="29" t="n"/>
      <c r="E104" s="29" t="n"/>
      <c r="F104" s="29" t="n"/>
    </row>
    <row r="105" ht="15" customHeight="1" s="22">
      <c r="A105" s="31" t="n"/>
      <c r="B105" s="29" t="n"/>
      <c r="C105" s="29" t="n"/>
      <c r="D105" s="29" t="n"/>
      <c r="E105" s="29" t="n"/>
      <c r="F105" s="29" t="n"/>
    </row>
    <row r="106" ht="15" customHeight="1" s="22">
      <c r="A106" s="31" t="n"/>
      <c r="B106" s="29" t="n"/>
      <c r="C106" s="29" t="n"/>
      <c r="D106" s="29" t="n"/>
      <c r="E106" s="29" t="n"/>
      <c r="F106" s="29" t="n"/>
    </row>
    <row r="107" ht="15" customHeight="1" s="22">
      <c r="A107" s="31" t="n"/>
      <c r="B107" s="29" t="n"/>
      <c r="C107" s="29" t="n"/>
      <c r="D107" s="29" t="n"/>
      <c r="E107" s="29" t="n"/>
      <c r="F107" s="29" t="n"/>
    </row>
    <row r="108" ht="15" customHeight="1" s="22">
      <c r="A108" s="31" t="n"/>
      <c r="B108" s="29" t="n"/>
      <c r="C108" s="29" t="n"/>
      <c r="D108" s="29" t="n"/>
      <c r="E108" s="29" t="n"/>
      <c r="F108" s="29" t="n"/>
    </row>
    <row r="109" ht="15" customHeight="1" s="22">
      <c r="A109" s="31" t="n"/>
      <c r="B109" s="29" t="n"/>
      <c r="C109" s="29" t="n"/>
      <c r="D109" s="29" t="n"/>
      <c r="E109" s="29" t="n"/>
      <c r="F109" s="29" t="n"/>
    </row>
    <row r="110" ht="15" customHeight="1" s="22">
      <c r="A110" s="31" t="n"/>
      <c r="B110" s="29" t="n"/>
      <c r="C110" s="29" t="n"/>
      <c r="D110" s="29" t="n"/>
      <c r="E110" s="29" t="n"/>
      <c r="F110" s="29" t="n"/>
    </row>
    <row r="111" ht="15" customHeight="1" s="22">
      <c r="A111" s="31" t="n"/>
      <c r="B111" s="29" t="n"/>
      <c r="C111" s="29" t="n"/>
      <c r="D111" s="29" t="n"/>
      <c r="E111" s="29" t="n"/>
      <c r="F111" s="29" t="n"/>
    </row>
    <row r="112" ht="15" customHeight="1" s="22">
      <c r="A112" s="31" t="n"/>
      <c r="B112" s="29" t="n"/>
      <c r="C112" s="29" t="n"/>
      <c r="D112" s="29" t="n"/>
      <c r="E112" s="29" t="n"/>
      <c r="F112" s="29" t="n"/>
    </row>
    <row r="113" ht="15" customHeight="1" s="22">
      <c r="A113" s="31" t="n"/>
      <c r="B113" s="29" t="n"/>
      <c r="C113" s="29" t="n"/>
      <c r="D113" s="29" t="n"/>
      <c r="E113" s="29" t="n"/>
      <c r="F113" s="29" t="n"/>
    </row>
    <row r="114" ht="15" customHeight="1" s="22">
      <c r="A114" s="31" t="n"/>
      <c r="B114" s="29" t="n"/>
      <c r="C114" s="29" t="n"/>
      <c r="D114" s="29" t="n"/>
      <c r="E114" s="29" t="n"/>
      <c r="F114" s="29" t="n"/>
    </row>
    <row r="115" ht="15" customHeight="1" s="22">
      <c r="A115" s="31" t="n"/>
      <c r="B115" s="29" t="n"/>
      <c r="C115" s="29" t="n"/>
      <c r="D115" s="29" t="n"/>
      <c r="E115" s="29" t="n"/>
      <c r="F115" s="29" t="n"/>
    </row>
    <row r="116" ht="15" customHeight="1" s="22">
      <c r="A116" s="31" t="n"/>
      <c r="B116" s="29" t="n"/>
      <c r="C116" s="29" t="n"/>
      <c r="D116" s="29" t="n"/>
      <c r="E116" s="29" t="n"/>
      <c r="F116" s="29" t="n"/>
    </row>
    <row r="117" ht="15" customHeight="1" s="22">
      <c r="A117" s="31" t="n"/>
      <c r="B117" s="29" t="n"/>
      <c r="C117" s="29" t="n"/>
      <c r="D117" s="29" t="n"/>
      <c r="E117" s="29" t="n"/>
      <c r="F117" s="29" t="n"/>
    </row>
    <row r="118" ht="15" customHeight="1" s="22">
      <c r="A118" s="31" t="n"/>
      <c r="B118" s="29" t="n"/>
      <c r="C118" s="29" t="n"/>
      <c r="D118" s="29" t="n"/>
      <c r="E118" s="29" t="n"/>
      <c r="F118" s="29" t="n"/>
    </row>
    <row r="119" ht="15" customHeight="1" s="22">
      <c r="A119" s="31" t="n"/>
      <c r="B119" s="29" t="n"/>
      <c r="C119" s="29" t="n"/>
      <c r="D119" s="29" t="n"/>
      <c r="E119" s="29" t="n"/>
      <c r="F119" s="29" t="n"/>
    </row>
    <row r="120" ht="15" customHeight="1" s="22">
      <c r="A120" s="31" t="n"/>
      <c r="B120" s="29" t="n"/>
      <c r="C120" s="29" t="n"/>
      <c r="D120" s="29" t="n"/>
      <c r="E120" s="29" t="n"/>
      <c r="F120" s="29" t="n"/>
    </row>
    <row r="121" ht="15" customHeight="1" s="22">
      <c r="A121" s="31" t="n"/>
      <c r="B121" s="29" t="n"/>
      <c r="C121" s="29" t="n"/>
      <c r="D121" s="29" t="n"/>
      <c r="E121" s="29" t="n"/>
      <c r="F121" s="29" t="n"/>
    </row>
    <row r="122" ht="15" customHeight="1" s="22">
      <c r="A122" s="31" t="n"/>
      <c r="B122" s="29" t="n"/>
      <c r="C122" s="29" t="n"/>
      <c r="D122" s="29" t="n"/>
      <c r="E122" s="29" t="n"/>
      <c r="F122" s="29" t="n"/>
    </row>
    <row r="123" ht="15" customHeight="1" s="22">
      <c r="A123" s="31" t="n"/>
      <c r="B123" s="29" t="n"/>
      <c r="C123" s="29" t="n"/>
      <c r="D123" s="29" t="n"/>
      <c r="E123" s="29" t="n"/>
      <c r="F123" s="29" t="n"/>
    </row>
    <row r="124" ht="15" customHeight="1" s="22">
      <c r="A124" s="31" t="n"/>
      <c r="B124" s="29" t="n"/>
      <c r="C124" s="29" t="n"/>
      <c r="D124" s="29" t="n"/>
      <c r="E124" s="29" t="n"/>
      <c r="F124" s="29" t="n"/>
    </row>
    <row r="125" ht="15" customHeight="1" s="22">
      <c r="A125" s="31" t="n"/>
      <c r="B125" s="29" t="n"/>
      <c r="C125" s="29" t="n"/>
      <c r="D125" s="29" t="n"/>
      <c r="E125" s="29" t="n"/>
      <c r="F125" s="29" t="n"/>
    </row>
    <row r="126" ht="15" customHeight="1" s="22">
      <c r="A126" s="31" t="n"/>
      <c r="B126" s="29" t="n"/>
      <c r="C126" s="29" t="n"/>
      <c r="D126" s="29" t="n"/>
      <c r="E126" s="29" t="n"/>
      <c r="F126" s="29" t="n"/>
    </row>
    <row r="127" ht="15" customHeight="1" s="22">
      <c r="A127" s="31" t="n"/>
      <c r="B127" s="29" t="n"/>
      <c r="C127" s="29" t="n"/>
      <c r="D127" s="29" t="n"/>
      <c r="E127" s="29" t="n"/>
      <c r="F127" s="29" t="n"/>
    </row>
    <row r="128" ht="15" customHeight="1" s="22">
      <c r="A128" s="31" t="n"/>
      <c r="B128" s="29" t="n"/>
      <c r="C128" s="29" t="n"/>
      <c r="D128" s="29" t="n"/>
      <c r="E128" s="29" t="n"/>
      <c r="F128" s="29" t="n"/>
    </row>
    <row r="129" ht="15" customHeight="1" s="22">
      <c r="A129" s="31" t="n"/>
      <c r="B129" s="29" t="n"/>
      <c r="C129" s="29" t="n"/>
      <c r="D129" s="29" t="n"/>
      <c r="E129" s="29" t="n"/>
      <c r="F129" s="29" t="n"/>
    </row>
    <row r="130" ht="15" customHeight="1" s="22">
      <c r="A130" s="31" t="n"/>
      <c r="B130" s="29" t="n"/>
      <c r="C130" s="29" t="n"/>
      <c r="D130" s="29" t="n"/>
      <c r="E130" s="29" t="n"/>
      <c r="F130" s="29" t="n"/>
    </row>
    <row r="131" ht="15" customHeight="1" s="22">
      <c r="A131" s="31" t="n"/>
      <c r="B131" s="29" t="n"/>
      <c r="C131" s="29" t="n"/>
      <c r="D131" s="29" t="n"/>
      <c r="E131" s="29" t="n"/>
      <c r="F131" s="29" t="n"/>
    </row>
    <row r="132" ht="15" customHeight="1" s="22">
      <c r="A132" s="31" t="n"/>
      <c r="B132" s="29" t="n"/>
      <c r="C132" s="29" t="n"/>
      <c r="D132" s="29" t="n"/>
      <c r="E132" s="29" t="n"/>
      <c r="F132" s="29" t="n"/>
    </row>
    <row r="133" ht="15" customHeight="1" s="22">
      <c r="A133" s="31" t="n"/>
      <c r="B133" s="29" t="n"/>
      <c r="C133" s="29" t="n"/>
      <c r="D133" s="29" t="n"/>
      <c r="E133" s="29" t="n"/>
      <c r="F133" s="29" t="n"/>
    </row>
    <row r="134" ht="15" customHeight="1" s="22">
      <c r="A134" s="31" t="n"/>
      <c r="B134" s="29" t="n"/>
      <c r="C134" s="29" t="n"/>
      <c r="D134" s="29" t="n"/>
      <c r="E134" s="29" t="n"/>
      <c r="F134" s="29" t="n"/>
    </row>
    <row r="135" ht="15" customHeight="1" s="22">
      <c r="A135" s="31" t="n"/>
      <c r="B135" s="29" t="n"/>
      <c r="C135" s="29" t="n"/>
      <c r="D135" s="29" t="n"/>
      <c r="E135" s="29" t="n"/>
      <c r="F135" s="29" t="n"/>
    </row>
    <row r="136" ht="15" customHeight="1" s="22">
      <c r="A136" s="31" t="n"/>
      <c r="B136" s="29" t="n"/>
      <c r="C136" s="29" t="n"/>
      <c r="D136" s="29" t="n"/>
      <c r="E136" s="29" t="n"/>
      <c r="F136" s="29" t="n"/>
    </row>
    <row r="137" ht="15" customHeight="1" s="22">
      <c r="A137" s="31" t="n"/>
      <c r="B137" s="29" t="n"/>
      <c r="C137" s="29" t="n"/>
      <c r="D137" s="29" t="n"/>
      <c r="E137" s="29" t="n"/>
      <c r="F137" s="29" t="n"/>
    </row>
    <row r="138" ht="15" customHeight="1" s="22">
      <c r="A138" s="31" t="n"/>
      <c r="B138" s="29" t="n"/>
      <c r="C138" s="29" t="n"/>
      <c r="D138" s="29" t="n"/>
      <c r="E138" s="29" t="n"/>
      <c r="F138" s="29" t="n"/>
    </row>
    <row r="139" ht="15" customHeight="1" s="22">
      <c r="A139" s="31" t="n"/>
      <c r="B139" s="29" t="n"/>
      <c r="C139" s="29" t="n"/>
      <c r="D139" s="29" t="n"/>
      <c r="E139" s="29" t="n"/>
      <c r="F139" s="29" t="n"/>
    </row>
    <row r="140" ht="15" customHeight="1" s="22">
      <c r="A140" s="31" t="n"/>
      <c r="B140" s="29" t="n"/>
      <c r="C140" s="29" t="n"/>
      <c r="D140" s="29" t="n"/>
      <c r="E140" s="29" t="n"/>
      <c r="F140" s="29" t="n"/>
    </row>
    <row r="141" ht="15" customHeight="1" s="22">
      <c r="A141" s="31" t="n"/>
      <c r="B141" s="29" t="n"/>
      <c r="C141" s="29" t="n"/>
      <c r="D141" s="29" t="n"/>
      <c r="E141" s="29" t="n"/>
      <c r="F141" s="29" t="n"/>
    </row>
    <row r="142" ht="15" customHeight="1" s="22">
      <c r="A142" s="31" t="n"/>
      <c r="B142" s="29" t="n"/>
      <c r="C142" s="29" t="n"/>
      <c r="D142" s="29" t="n"/>
      <c r="E142" s="29" t="n"/>
      <c r="F142" s="29" t="n"/>
    </row>
    <row r="143" ht="15" customHeight="1" s="22">
      <c r="A143" s="31" t="n"/>
      <c r="B143" s="29" t="n"/>
      <c r="C143" s="29" t="n"/>
      <c r="D143" s="29" t="n"/>
      <c r="E143" s="29" t="n"/>
      <c r="F143" s="29" t="n"/>
    </row>
    <row r="144" ht="15" customHeight="1" s="22">
      <c r="A144" s="31" t="n"/>
      <c r="B144" s="29" t="n"/>
      <c r="C144" s="29" t="n"/>
      <c r="D144" s="29" t="n"/>
      <c r="E144" s="29" t="n"/>
      <c r="F144" s="29" t="n"/>
    </row>
    <row r="145" ht="15" customHeight="1" s="22">
      <c r="A145" s="31" t="n"/>
      <c r="B145" s="29" t="n"/>
      <c r="C145" s="29" t="n"/>
      <c r="D145" s="29" t="n"/>
      <c r="E145" s="29" t="n"/>
      <c r="F145" s="29" t="n"/>
    </row>
    <row r="146" ht="15" customHeight="1" s="22">
      <c r="A146" s="31" t="n"/>
      <c r="B146" s="29" t="n"/>
      <c r="C146" s="29" t="n"/>
      <c r="D146" s="29" t="n"/>
      <c r="E146" s="29" t="n"/>
      <c r="F146" s="29" t="n"/>
    </row>
    <row r="147" ht="15" customHeight="1" s="22">
      <c r="A147" s="31" t="n"/>
      <c r="B147" s="29" t="n"/>
      <c r="C147" s="29" t="n"/>
      <c r="D147" s="29" t="n"/>
      <c r="E147" s="29" t="n"/>
      <c r="F147" s="29" t="n"/>
    </row>
    <row r="148" ht="15" customHeight="1" s="22">
      <c r="A148" s="31" t="n"/>
      <c r="B148" s="29" t="n"/>
      <c r="C148" s="29" t="n"/>
      <c r="D148" s="29" t="n"/>
      <c r="E148" s="29" t="n"/>
      <c r="F148" s="29" t="n"/>
    </row>
    <row r="149" ht="15" customHeight="1" s="22">
      <c r="A149" s="31" t="n"/>
      <c r="B149" s="29" t="n"/>
      <c r="C149" s="29" t="n"/>
      <c r="D149" s="29" t="n"/>
      <c r="E149" s="29" t="n"/>
      <c r="F149" s="29" t="n"/>
    </row>
    <row r="150" ht="15" customHeight="1" s="22">
      <c r="A150" s="31" t="n"/>
      <c r="B150" s="29" t="n"/>
      <c r="C150" s="29" t="n"/>
      <c r="D150" s="29" t="n"/>
      <c r="E150" s="29" t="n"/>
      <c r="F150" s="29" t="n"/>
    </row>
    <row r="151" ht="15" customHeight="1" s="22">
      <c r="A151" s="31" t="n"/>
      <c r="B151" s="29" t="n"/>
      <c r="C151" s="29" t="n"/>
      <c r="D151" s="29" t="n"/>
      <c r="E151" s="29" t="n"/>
      <c r="F151" s="29" t="n"/>
    </row>
    <row r="152" ht="15" customHeight="1" s="22">
      <c r="A152" s="31" t="n"/>
      <c r="B152" s="29" t="n"/>
      <c r="C152" s="29" t="n"/>
      <c r="D152" s="29" t="n"/>
      <c r="E152" s="29" t="n"/>
      <c r="F152" s="29" t="n"/>
    </row>
    <row r="153" ht="15" customHeight="1" s="22">
      <c r="A153" s="31" t="n"/>
      <c r="B153" s="29" t="n"/>
      <c r="C153" s="29" t="n"/>
      <c r="D153" s="29" t="n"/>
      <c r="E153" s="29" t="n"/>
      <c r="F153" s="29" t="n"/>
    </row>
    <row r="154" ht="15" customHeight="1" s="22">
      <c r="A154" s="31" t="n"/>
      <c r="B154" s="29" t="n"/>
      <c r="C154" s="29" t="n"/>
      <c r="D154" s="29" t="n"/>
      <c r="E154" s="29" t="n"/>
      <c r="F154" s="29" t="n"/>
    </row>
    <row r="155" ht="15" customHeight="1" s="22">
      <c r="A155" s="31" t="n"/>
      <c r="B155" s="29" t="n"/>
      <c r="C155" s="29" t="n"/>
      <c r="D155" s="29" t="n"/>
      <c r="E155" s="29" t="n"/>
      <c r="F155" s="29" t="n"/>
    </row>
    <row r="156" ht="15" customHeight="1" s="22">
      <c r="A156" s="31" t="n"/>
      <c r="B156" s="29" t="n"/>
      <c r="C156" s="29" t="n"/>
      <c r="D156" s="29" t="n"/>
      <c r="E156" s="29" t="n"/>
      <c r="F156" s="29" t="n"/>
    </row>
    <row r="157" ht="15" customHeight="1" s="22">
      <c r="A157" s="31" t="n"/>
      <c r="B157" s="29" t="n"/>
      <c r="C157" s="29" t="n"/>
      <c r="D157" s="29" t="n"/>
      <c r="E157" s="29" t="n"/>
      <c r="F157" s="29" t="n"/>
    </row>
    <row r="158" ht="15" customHeight="1" s="22">
      <c r="A158" s="31" t="n"/>
      <c r="B158" s="29" t="n"/>
      <c r="C158" s="29" t="n"/>
      <c r="D158" s="29" t="n"/>
      <c r="E158" s="29" t="n"/>
      <c r="F158" s="29" t="n"/>
    </row>
    <row r="159" ht="15" customHeight="1" s="22">
      <c r="A159" s="31" t="n"/>
      <c r="B159" s="29" t="n"/>
      <c r="C159" s="29" t="n"/>
      <c r="D159" s="29" t="n"/>
      <c r="E159" s="29" t="n"/>
      <c r="F159" s="29" t="n"/>
    </row>
    <row r="160" ht="15" customHeight="1" s="22">
      <c r="A160" s="31" t="n"/>
      <c r="B160" s="29" t="n"/>
      <c r="C160" s="29" t="n"/>
      <c r="D160" s="29" t="n"/>
      <c r="E160" s="29" t="n"/>
      <c r="F160" s="29" t="n"/>
    </row>
    <row r="161" ht="15" customHeight="1" s="22">
      <c r="A161" s="31" t="n"/>
      <c r="B161" s="29" t="n"/>
      <c r="C161" s="29" t="n"/>
      <c r="D161" s="29" t="n"/>
      <c r="E161" s="29" t="n"/>
      <c r="F161" s="29" t="n"/>
    </row>
    <row r="162" ht="15" customHeight="1" s="22">
      <c r="A162" s="31" t="n"/>
      <c r="B162" s="29" t="n"/>
      <c r="C162" s="29" t="n"/>
      <c r="D162" s="29" t="n"/>
      <c r="E162" s="29" t="n"/>
      <c r="F162" s="29" t="n"/>
    </row>
    <row r="163" ht="15" customHeight="1" s="22">
      <c r="A163" s="31" t="n"/>
      <c r="B163" s="29" t="n"/>
      <c r="C163" s="29" t="n"/>
      <c r="D163" s="29" t="n"/>
      <c r="E163" s="29" t="n"/>
      <c r="F163" s="29" t="n"/>
    </row>
    <row r="164" ht="15" customHeight="1" s="22">
      <c r="A164" s="31" t="n"/>
      <c r="B164" s="29" t="n"/>
      <c r="C164" s="29" t="n"/>
      <c r="D164" s="29" t="n"/>
      <c r="E164" s="29" t="n"/>
      <c r="F164" s="29" t="n"/>
    </row>
    <row r="165" ht="15" customHeight="1" s="22">
      <c r="A165" s="31" t="n"/>
      <c r="B165" s="29" t="n"/>
      <c r="C165" s="29" t="n"/>
      <c r="D165" s="29" t="n"/>
      <c r="E165" s="29" t="n"/>
      <c r="F165" s="29" t="n"/>
    </row>
    <row r="166" ht="15" customHeight="1" s="22">
      <c r="A166" s="31" t="n"/>
      <c r="B166" s="29" t="n"/>
      <c r="C166" s="29" t="n"/>
      <c r="D166" s="29" t="n"/>
      <c r="E166" s="29" t="n"/>
      <c r="F166" s="29" t="n"/>
    </row>
    <row r="167" ht="15" customHeight="1" s="22">
      <c r="A167" s="31" t="n"/>
      <c r="B167" s="29" t="n"/>
      <c r="C167" s="29" t="n"/>
      <c r="D167" s="29" t="n"/>
      <c r="E167" s="29" t="n"/>
      <c r="F167" s="29" t="n"/>
    </row>
    <row r="168" ht="15" customHeight="1" s="22">
      <c r="A168" s="31" t="n"/>
      <c r="B168" s="29" t="n"/>
      <c r="C168" s="29" t="n"/>
      <c r="D168" s="29" t="n"/>
      <c r="E168" s="29" t="n"/>
      <c r="F168" s="29" t="n"/>
    </row>
    <row r="169" ht="15" customHeight="1" s="22">
      <c r="A169" s="31" t="n"/>
      <c r="B169" s="29" t="n"/>
      <c r="C169" s="29" t="n"/>
      <c r="D169" s="29" t="n"/>
      <c r="E169" s="29" t="n"/>
      <c r="F169" s="29" t="n"/>
    </row>
    <row r="170" ht="15" customHeight="1" s="22">
      <c r="A170" s="31" t="n"/>
      <c r="B170" s="29" t="n"/>
      <c r="C170" s="29" t="n"/>
      <c r="D170" s="29" t="n"/>
      <c r="E170" s="29" t="n"/>
      <c r="F170" s="29" t="n"/>
    </row>
    <row r="171" ht="15" customHeight="1" s="22">
      <c r="A171" s="31" t="n"/>
      <c r="B171" s="29" t="n"/>
      <c r="C171" s="29" t="n"/>
      <c r="D171" s="29" t="n"/>
      <c r="E171" s="29" t="n"/>
      <c r="F171" s="29" t="n"/>
    </row>
    <row r="172" ht="15" customHeight="1" s="22">
      <c r="A172" s="31" t="n"/>
      <c r="B172" s="29" t="n"/>
      <c r="C172" s="29" t="n"/>
      <c r="D172" s="29" t="n"/>
      <c r="E172" s="29" t="n"/>
      <c r="F172" s="29" t="n"/>
    </row>
    <row r="173" ht="15" customHeight="1" s="22">
      <c r="A173" s="31" t="n"/>
      <c r="B173" s="29" t="n"/>
      <c r="C173" s="29" t="n"/>
      <c r="D173" s="29" t="n"/>
      <c r="E173" s="29" t="n"/>
      <c r="F173" s="29" t="n"/>
    </row>
    <row r="174" ht="15" customHeight="1" s="22">
      <c r="A174" s="31" t="n"/>
      <c r="B174" s="29" t="n"/>
      <c r="C174" s="29" t="n"/>
      <c r="D174" s="29" t="n"/>
      <c r="E174" s="29" t="n"/>
      <c r="F174" s="29" t="n"/>
    </row>
    <row r="175" ht="15" customHeight="1" s="22">
      <c r="A175" s="31" t="n"/>
      <c r="B175" s="29" t="n"/>
      <c r="C175" s="29" t="n"/>
      <c r="D175" s="29" t="n"/>
      <c r="E175" s="29" t="n"/>
      <c r="F175" s="29" t="n"/>
    </row>
    <row r="176" ht="15" customHeight="1" s="22">
      <c r="A176" s="31" t="n"/>
      <c r="B176" s="29" t="n"/>
      <c r="C176" s="29" t="n"/>
      <c r="D176" s="29" t="n"/>
      <c r="E176" s="29" t="n"/>
      <c r="F176" s="29" t="n"/>
    </row>
    <row r="177" ht="15" customHeight="1" s="22">
      <c r="A177" s="31" t="n"/>
      <c r="B177" s="29" t="n"/>
      <c r="C177" s="29" t="n"/>
      <c r="D177" s="29" t="n"/>
      <c r="E177" s="29" t="n"/>
      <c r="F177" s="29" t="n"/>
    </row>
    <row r="178" ht="15" customHeight="1" s="22">
      <c r="A178" s="31" t="n"/>
      <c r="B178" s="29" t="n"/>
      <c r="C178" s="29" t="n"/>
      <c r="D178" s="29" t="n"/>
      <c r="E178" s="29" t="n"/>
      <c r="F178" s="29" t="n"/>
    </row>
    <row r="179" ht="15" customHeight="1" s="22">
      <c r="A179" s="31" t="n"/>
      <c r="B179" s="29" t="n"/>
      <c r="C179" s="29" t="n"/>
      <c r="D179" s="29" t="n"/>
      <c r="E179" s="29" t="n"/>
      <c r="F179" s="29" t="n"/>
    </row>
    <row r="180" ht="15" customHeight="1" s="22">
      <c r="A180" s="31" t="n"/>
      <c r="B180" s="29" t="n"/>
      <c r="C180" s="29" t="n"/>
      <c r="D180" s="29" t="n"/>
      <c r="E180" s="29" t="n"/>
      <c r="F180" s="29" t="n"/>
    </row>
    <row r="181" ht="15" customHeight="1" s="22">
      <c r="A181" s="31" t="n"/>
      <c r="B181" s="29" t="n"/>
      <c r="C181" s="29" t="n"/>
      <c r="D181" s="29" t="n"/>
      <c r="E181" s="29" t="n"/>
      <c r="F181" s="29" t="n"/>
    </row>
    <row r="182" ht="15" customHeight="1" s="22">
      <c r="A182" s="31" t="n"/>
      <c r="B182" s="29" t="n"/>
      <c r="C182" s="29" t="n"/>
      <c r="D182" s="29" t="n"/>
      <c r="E182" s="29" t="n"/>
      <c r="F182" s="29" t="n"/>
    </row>
    <row r="183" ht="15" customHeight="1" s="22">
      <c r="A183" s="31" t="n"/>
      <c r="B183" s="29" t="n"/>
      <c r="C183" s="29" t="n"/>
      <c r="D183" s="29" t="n"/>
      <c r="E183" s="29" t="n"/>
      <c r="F183" s="29" t="n"/>
    </row>
    <row r="184" ht="15" customHeight="1" s="22">
      <c r="A184" s="31" t="n"/>
      <c r="B184" s="29" t="n"/>
      <c r="C184" s="29" t="n"/>
      <c r="D184" s="29" t="n"/>
      <c r="E184" s="29" t="n"/>
      <c r="F184" s="29" t="n"/>
    </row>
    <row r="185" ht="15" customHeight="1" s="22">
      <c r="A185" s="31" t="n"/>
      <c r="B185" s="29" t="n"/>
      <c r="C185" s="29" t="n"/>
      <c r="D185" s="29" t="n"/>
      <c r="E185" s="29" t="n"/>
      <c r="F185" s="29" t="n"/>
    </row>
    <row r="186" ht="15" customHeight="1" s="22">
      <c r="A186" s="31" t="n"/>
      <c r="B186" s="29" t="n"/>
      <c r="C186" s="29" t="n"/>
      <c r="D186" s="29" t="n"/>
      <c r="E186" s="29" t="n"/>
      <c r="F186" s="29" t="n"/>
    </row>
    <row r="187" ht="15" customHeight="1" s="22">
      <c r="A187" s="31" t="n"/>
      <c r="B187" s="29" t="n"/>
      <c r="C187" s="29" t="n"/>
      <c r="D187" s="29" t="n"/>
      <c r="E187" s="29" t="n"/>
      <c r="F187" s="29" t="n"/>
    </row>
    <row r="188" ht="15" customHeight="1" s="22">
      <c r="A188" s="31" t="n"/>
      <c r="B188" s="29" t="n"/>
      <c r="C188" s="29" t="n"/>
      <c r="D188" s="29" t="n"/>
      <c r="E188" s="29" t="n"/>
      <c r="F188" s="29" t="n"/>
    </row>
    <row r="189" ht="15" customHeight="1" s="22">
      <c r="A189" s="31" t="n"/>
      <c r="B189" s="29" t="n"/>
      <c r="C189" s="29" t="n"/>
      <c r="D189" s="29" t="n"/>
      <c r="E189" s="29" t="n"/>
      <c r="F189" s="29" t="n"/>
    </row>
    <row r="190" ht="15" customHeight="1" s="22">
      <c r="A190" s="31" t="n"/>
      <c r="B190" s="29" t="n"/>
      <c r="C190" s="29" t="n"/>
      <c r="D190" s="29" t="n"/>
      <c r="E190" s="29" t="n"/>
      <c r="F190" s="29" t="n"/>
    </row>
    <row r="191" ht="15" customHeight="1" s="22">
      <c r="A191" s="31" t="n"/>
      <c r="B191" s="29" t="n"/>
      <c r="C191" s="29" t="n"/>
      <c r="D191" s="29" t="n"/>
      <c r="E191" s="29" t="n"/>
      <c r="F191" s="29" t="n"/>
    </row>
    <row r="192" ht="15" customHeight="1" s="22">
      <c r="A192" s="31" t="n"/>
      <c r="B192" s="29" t="n"/>
      <c r="C192" s="29" t="n"/>
      <c r="D192" s="29" t="n"/>
      <c r="E192" s="29" t="n"/>
      <c r="F192" s="29" t="n"/>
    </row>
    <row r="193" ht="15" customHeight="1" s="22">
      <c r="A193" s="31" t="n"/>
      <c r="B193" s="29" t="n"/>
      <c r="C193" s="29" t="n"/>
      <c r="D193" s="29" t="n"/>
      <c r="E193" s="29" t="n"/>
      <c r="F193" s="29" t="n"/>
    </row>
    <row r="194" ht="15" customHeight="1" s="22">
      <c r="A194" s="31" t="n"/>
      <c r="B194" s="29" t="n"/>
      <c r="C194" s="29" t="n"/>
      <c r="D194" s="29" t="n"/>
      <c r="E194" s="29" t="n"/>
      <c r="F194" s="29" t="n"/>
    </row>
    <row r="195" ht="15" customHeight="1" s="22">
      <c r="A195" s="31" t="n"/>
      <c r="B195" s="29" t="n"/>
      <c r="C195" s="29" t="n"/>
      <c r="D195" s="29" t="n"/>
      <c r="E195" s="29" t="n"/>
      <c r="F195" s="29" t="n"/>
    </row>
    <row r="196" ht="15" customHeight="1" s="22">
      <c r="A196" s="31" t="n"/>
      <c r="B196" s="29" t="n"/>
      <c r="C196" s="29" t="n"/>
      <c r="D196" s="29" t="n"/>
      <c r="E196" s="29" t="n"/>
      <c r="F196" s="29" t="n"/>
    </row>
    <row r="197" ht="15" customHeight="1" s="22">
      <c r="A197" s="31" t="n"/>
      <c r="B197" s="29" t="n"/>
      <c r="C197" s="29" t="n"/>
      <c r="D197" s="29" t="n"/>
      <c r="E197" s="29" t="n"/>
      <c r="F197" s="29" t="n"/>
    </row>
    <row r="198" ht="15" customHeight="1" s="22">
      <c r="A198" s="31" t="n"/>
      <c r="B198" s="29" t="n"/>
      <c r="C198" s="29" t="n"/>
      <c r="D198" s="29" t="n"/>
      <c r="E198" s="29" t="n"/>
      <c r="F198" s="29" t="n"/>
    </row>
    <row r="199" ht="15" customHeight="1" s="22">
      <c r="A199" s="31" t="n"/>
      <c r="B199" s="29" t="n"/>
      <c r="C199" s="29" t="n"/>
      <c r="D199" s="29" t="n"/>
      <c r="E199" s="29" t="n"/>
      <c r="F199" s="29" t="n"/>
    </row>
    <row r="200" ht="15" customHeight="1" s="22">
      <c r="A200" s="31" t="n"/>
      <c r="B200" s="29" t="n"/>
      <c r="C200" s="29" t="n"/>
      <c r="D200" s="29" t="n"/>
      <c r="E200" s="29" t="n"/>
      <c r="F200" s="29" t="n"/>
    </row>
    <row r="201" ht="15" customHeight="1" s="22">
      <c r="A201" s="31" t="n"/>
      <c r="B201" s="29" t="n"/>
      <c r="C201" s="29" t="n"/>
      <c r="D201" s="29" t="n"/>
      <c r="E201" s="29" t="n"/>
      <c r="F201" s="29" t="n"/>
    </row>
    <row r="202" ht="15" customHeight="1" s="22">
      <c r="A202" s="31" t="n"/>
      <c r="B202" s="29" t="n"/>
      <c r="C202" s="29" t="n"/>
      <c r="D202" s="29" t="n"/>
      <c r="E202" s="29" t="n"/>
      <c r="F202" s="29" t="n"/>
    </row>
    <row r="203" ht="15" customHeight="1" s="22">
      <c r="A203" s="31" t="n"/>
      <c r="B203" s="29" t="n"/>
      <c r="C203" s="29" t="n"/>
      <c r="D203" s="29" t="n"/>
      <c r="E203" s="29" t="n"/>
      <c r="F203" s="29" t="n"/>
    </row>
    <row r="204" ht="15" customHeight="1" s="22">
      <c r="A204" s="31" t="n"/>
      <c r="B204" s="29" t="n"/>
      <c r="C204" s="29" t="n"/>
      <c r="D204" s="29" t="n"/>
      <c r="E204" s="29" t="n"/>
      <c r="F204" s="29" t="n"/>
    </row>
    <row r="205" ht="15" customHeight="1" s="22">
      <c r="A205" s="31" t="n"/>
      <c r="B205" s="29" t="n"/>
      <c r="C205" s="29" t="n"/>
      <c r="D205" s="29" t="n"/>
      <c r="E205" s="29" t="n"/>
      <c r="F205" s="29" t="n"/>
    </row>
    <row r="206" ht="15" customHeight="1" s="22">
      <c r="A206" s="31" t="n"/>
      <c r="B206" s="29" t="n"/>
      <c r="C206" s="29" t="n"/>
      <c r="D206" s="29" t="n"/>
      <c r="E206" s="29" t="n"/>
      <c r="F206" s="29" t="n"/>
    </row>
    <row r="207" ht="15" customHeight="1" s="22">
      <c r="A207" s="31" t="n"/>
      <c r="B207" s="29" t="n"/>
      <c r="C207" s="29" t="n"/>
      <c r="D207" s="29" t="n"/>
      <c r="E207" s="29" t="n"/>
      <c r="F207" s="29" t="n"/>
    </row>
    <row r="208" ht="15" customHeight="1" s="22">
      <c r="A208" s="31" t="n"/>
      <c r="B208" s="29" t="n"/>
      <c r="C208" s="29" t="n"/>
      <c r="D208" s="29" t="n"/>
      <c r="E208" s="29" t="n"/>
      <c r="F208" s="29" t="n"/>
    </row>
    <row r="209" ht="15" customHeight="1" s="22">
      <c r="A209" s="31" t="n"/>
      <c r="B209" s="29" t="n"/>
      <c r="C209" s="29" t="n"/>
      <c r="D209" s="29" t="n"/>
      <c r="E209" s="29" t="n"/>
      <c r="F209" s="29" t="n"/>
    </row>
    <row r="210" ht="15" customHeight="1" s="22">
      <c r="A210" s="31" t="n"/>
      <c r="B210" s="29" t="n"/>
      <c r="C210" s="29" t="n"/>
      <c r="D210" s="29" t="n"/>
      <c r="E210" s="29" t="n"/>
      <c r="F210" s="29" t="n"/>
    </row>
    <row r="211" ht="15" customHeight="1" s="22">
      <c r="A211" s="31" t="n"/>
      <c r="B211" s="29" t="n"/>
      <c r="C211" s="29" t="n"/>
      <c r="D211" s="29" t="n"/>
      <c r="E211" s="29" t="n"/>
      <c r="F211" s="29" t="n"/>
    </row>
    <row r="212" ht="15" customHeight="1" s="22">
      <c r="A212" s="31" t="n"/>
      <c r="B212" s="29" t="n"/>
      <c r="C212" s="29" t="n"/>
      <c r="D212" s="29" t="n"/>
      <c r="E212" s="29" t="n"/>
      <c r="F212" s="29" t="n"/>
    </row>
    <row r="213" ht="15" customHeight="1" s="22">
      <c r="A213" s="31" t="n"/>
      <c r="B213" s="29" t="n"/>
      <c r="C213" s="29" t="n"/>
      <c r="D213" s="29" t="n"/>
      <c r="E213" s="29" t="n"/>
      <c r="F213" s="29" t="n"/>
    </row>
    <row r="214" ht="15" customHeight="1" s="22">
      <c r="A214" s="31" t="n"/>
      <c r="B214" s="29" t="n"/>
      <c r="C214" s="29" t="n"/>
      <c r="D214" s="29" t="n"/>
      <c r="E214" s="29" t="n"/>
      <c r="F214" s="29" t="n"/>
    </row>
    <row r="215" ht="15" customHeight="1" s="22">
      <c r="A215" s="31" t="n"/>
      <c r="B215" s="29" t="n"/>
      <c r="C215" s="29" t="n"/>
      <c r="D215" s="29" t="n"/>
      <c r="E215" s="29" t="n"/>
      <c r="F215" s="29" t="n"/>
    </row>
    <row r="216" ht="15" customHeight="1" s="22">
      <c r="A216" s="31" t="n"/>
      <c r="B216" s="29" t="n"/>
      <c r="C216" s="29" t="n"/>
      <c r="D216" s="29" t="n"/>
      <c r="E216" s="29" t="n"/>
      <c r="F216" s="29" t="n"/>
    </row>
    <row r="217" ht="15" customHeight="1" s="22">
      <c r="A217" s="31" t="n"/>
      <c r="B217" s="29" t="n"/>
      <c r="C217" s="29" t="n"/>
      <c r="D217" s="29" t="n"/>
      <c r="E217" s="29" t="n"/>
      <c r="F217" s="29" t="n"/>
    </row>
    <row r="218" ht="15" customHeight="1" s="22">
      <c r="A218" s="31" t="n"/>
      <c r="B218" s="29" t="n"/>
      <c r="C218" s="29" t="n"/>
      <c r="D218" s="29" t="n"/>
      <c r="E218" s="29" t="n"/>
      <c r="F218" s="29" t="n"/>
    </row>
    <row r="219" ht="15" customHeight="1" s="22">
      <c r="A219" s="31" t="n"/>
      <c r="B219" s="29" t="n"/>
      <c r="C219" s="29" t="n"/>
      <c r="D219" s="29" t="n"/>
      <c r="E219" s="29" t="n"/>
      <c r="F219" s="29" t="n"/>
    </row>
    <row r="220" ht="15" customHeight="1" s="22">
      <c r="A220" s="31" t="n"/>
      <c r="B220" s="29" t="n"/>
      <c r="C220" s="29" t="n"/>
      <c r="D220" s="29" t="n"/>
      <c r="E220" s="29" t="n"/>
      <c r="F220" s="29" t="n"/>
    </row>
    <row r="221" ht="15" customHeight="1" s="22">
      <c r="A221" s="31" t="n"/>
      <c r="B221" s="29" t="n"/>
      <c r="C221" s="29" t="n"/>
      <c r="D221" s="29" t="n"/>
      <c r="E221" s="29" t="n"/>
      <c r="F221" s="29" t="n"/>
    </row>
    <row r="222" ht="15" customHeight="1" s="22">
      <c r="A222" s="31" t="n"/>
      <c r="B222" s="29" t="n"/>
      <c r="C222" s="29" t="n"/>
      <c r="D222" s="29" t="n"/>
      <c r="E222" s="29" t="n"/>
      <c r="F222" s="29" t="n"/>
    </row>
    <row r="223" ht="15" customHeight="1" s="22">
      <c r="A223" s="31" t="n"/>
      <c r="B223" s="29" t="n"/>
      <c r="C223" s="29" t="n"/>
      <c r="D223" s="29" t="n"/>
      <c r="E223" s="29" t="n"/>
      <c r="F223" s="29" t="n"/>
    </row>
    <row r="224" ht="15" customHeight="1" s="22">
      <c r="A224" s="31" t="n"/>
      <c r="B224" s="29" t="n"/>
      <c r="C224" s="29" t="n"/>
      <c r="D224" s="29" t="n"/>
      <c r="E224" s="29" t="n"/>
      <c r="F224" s="29" t="n"/>
    </row>
    <row r="225" ht="15" customHeight="1" s="22">
      <c r="A225" s="31" t="n"/>
      <c r="B225" s="29" t="n"/>
      <c r="C225" s="29" t="n"/>
      <c r="D225" s="29" t="n"/>
      <c r="E225" s="29" t="n"/>
      <c r="F225" s="29" t="n"/>
    </row>
    <row r="226" ht="15" customHeight="1" s="22">
      <c r="A226" s="31" t="n"/>
      <c r="B226" s="29" t="n"/>
      <c r="C226" s="29" t="n"/>
      <c r="D226" s="29" t="n"/>
      <c r="E226" s="29" t="n"/>
      <c r="F226" s="29" t="n"/>
    </row>
    <row r="227" ht="15" customHeight="1" s="22">
      <c r="A227" s="31" t="n"/>
      <c r="B227" s="29" t="n"/>
      <c r="C227" s="29" t="n"/>
      <c r="D227" s="29" t="n"/>
      <c r="E227" s="29" t="n"/>
      <c r="F227" s="29" t="n"/>
    </row>
    <row r="228" ht="15" customHeight="1" s="22">
      <c r="A228" s="31" t="n"/>
      <c r="B228" s="29" t="n"/>
      <c r="C228" s="29" t="n"/>
      <c r="D228" s="29" t="n"/>
      <c r="E228" s="29" t="n"/>
      <c r="F228" s="29" t="n"/>
    </row>
    <row r="229" ht="15" customHeight="1" s="22">
      <c r="A229" s="31" t="n"/>
      <c r="B229" s="29" t="n"/>
      <c r="C229" s="29" t="n"/>
      <c r="D229" s="29" t="n"/>
      <c r="E229" s="29" t="n"/>
      <c r="F229" s="29" t="n"/>
    </row>
    <row r="230" ht="15" customHeight="1" s="22">
      <c r="A230" s="31" t="n"/>
      <c r="B230" s="29" t="n"/>
      <c r="C230" s="29" t="n"/>
      <c r="D230" s="29" t="n"/>
      <c r="E230" s="29" t="n"/>
      <c r="F230" s="29" t="n"/>
    </row>
    <row r="231" ht="15" customHeight="1" s="22">
      <c r="A231" s="31" t="n"/>
      <c r="B231" s="29" t="n"/>
      <c r="C231" s="29" t="n"/>
      <c r="D231" s="29" t="n"/>
      <c r="E231" s="29" t="n"/>
      <c r="F231" s="29" t="n"/>
    </row>
    <row r="232" ht="15" customHeight="1" s="22">
      <c r="A232" s="31" t="n"/>
      <c r="B232" s="29" t="n"/>
      <c r="C232" s="29" t="n"/>
      <c r="D232" s="29" t="n"/>
      <c r="E232" s="29" t="n"/>
      <c r="F232" s="29" t="n"/>
    </row>
    <row r="233" ht="15" customHeight="1" s="22">
      <c r="A233" s="31" t="n"/>
      <c r="B233" s="29" t="n"/>
      <c r="C233" s="29" t="n"/>
      <c r="D233" s="29" t="n"/>
      <c r="E233" s="29" t="n"/>
      <c r="F233" s="29" t="n"/>
    </row>
    <row r="234" ht="15" customHeight="1" s="22">
      <c r="A234" s="31" t="n"/>
      <c r="B234" s="29" t="n"/>
      <c r="C234" s="29" t="n"/>
      <c r="D234" s="29" t="n"/>
      <c r="E234" s="29" t="n"/>
      <c r="F234" s="29" t="n"/>
    </row>
    <row r="235" ht="15" customHeight="1" s="22">
      <c r="A235" s="31" t="n"/>
      <c r="B235" s="29" t="n"/>
      <c r="C235" s="29" t="n"/>
      <c r="D235" s="29" t="n"/>
      <c r="E235" s="29" t="n"/>
      <c r="F235" s="29" t="n"/>
    </row>
    <row r="236" ht="15" customHeight="1" s="22">
      <c r="A236" s="31" t="n"/>
      <c r="B236" s="29" t="n"/>
      <c r="C236" s="29" t="n"/>
      <c r="D236" s="29" t="n"/>
      <c r="E236" s="29" t="n"/>
      <c r="F236" s="29" t="n"/>
    </row>
    <row r="237" ht="15" customHeight="1" s="22">
      <c r="A237" s="31" t="n"/>
      <c r="B237" s="29" t="n"/>
      <c r="C237" s="29" t="n"/>
      <c r="D237" s="29" t="n"/>
      <c r="E237" s="29" t="n"/>
      <c r="F237" s="29" t="n"/>
    </row>
    <row r="238" ht="15" customHeight="1" s="22">
      <c r="A238" s="31" t="n"/>
      <c r="B238" s="29" t="n"/>
      <c r="C238" s="29" t="n"/>
      <c r="D238" s="29" t="n"/>
      <c r="E238" s="29" t="n"/>
      <c r="F238" s="29" t="n"/>
    </row>
    <row r="239" ht="15" customHeight="1" s="22">
      <c r="A239" s="31" t="n"/>
      <c r="B239" s="29" t="n"/>
      <c r="C239" s="29" t="n"/>
      <c r="D239" s="29" t="n"/>
      <c r="E239" s="29" t="n"/>
      <c r="F239" s="29" t="n"/>
    </row>
    <row r="240" ht="15" customHeight="1" s="22">
      <c r="A240" s="31" t="n"/>
      <c r="B240" s="29" t="n"/>
      <c r="C240" s="29" t="n"/>
      <c r="D240" s="29" t="n"/>
      <c r="E240" s="29" t="n"/>
      <c r="F240" s="29" t="n"/>
    </row>
    <row r="241" ht="15" customHeight="1" s="22">
      <c r="A241" s="31" t="n"/>
      <c r="B241" s="29" t="n"/>
      <c r="C241" s="29" t="n"/>
      <c r="D241" s="29" t="n"/>
      <c r="E241" s="29" t="n"/>
      <c r="F241" s="29" t="n"/>
    </row>
    <row r="242" ht="15" customHeight="1" s="22">
      <c r="A242" s="31" t="n"/>
      <c r="B242" s="29" t="n"/>
      <c r="C242" s="29" t="n"/>
      <c r="D242" s="29" t="n"/>
      <c r="E242" s="29" t="n"/>
      <c r="F242" s="29" t="n"/>
    </row>
    <row r="243" ht="15" customHeight="1" s="22">
      <c r="A243" s="31" t="n"/>
      <c r="B243" s="29" t="n"/>
      <c r="C243" s="29" t="n"/>
      <c r="D243" s="29" t="n"/>
      <c r="E243" s="29" t="n"/>
      <c r="F243" s="29" t="n"/>
    </row>
    <row r="244" ht="15" customHeight="1" s="22">
      <c r="A244" s="31" t="n"/>
      <c r="B244" s="29" t="n"/>
      <c r="C244" s="29" t="n"/>
      <c r="D244" s="29" t="n"/>
      <c r="E244" s="29" t="n"/>
      <c r="F244" s="29" t="n"/>
    </row>
    <row r="245" ht="15" customHeight="1" s="22">
      <c r="A245" s="31" t="n"/>
      <c r="B245" s="29" t="n"/>
      <c r="C245" s="29" t="n"/>
      <c r="D245" s="29" t="n"/>
      <c r="E245" s="29" t="n"/>
      <c r="F245" s="29" t="n"/>
    </row>
    <row r="246" ht="15" customHeight="1" s="22">
      <c r="A246" s="31" t="n"/>
      <c r="B246" s="29" t="n"/>
      <c r="C246" s="29" t="n"/>
      <c r="D246" s="29" t="n"/>
      <c r="E246" s="29" t="n"/>
      <c r="F246" s="29" t="n"/>
    </row>
    <row r="247" ht="15" customHeight="1" s="22">
      <c r="A247" s="31" t="n"/>
      <c r="B247" s="29" t="n"/>
      <c r="C247" s="29" t="n"/>
      <c r="D247" s="29" t="n"/>
      <c r="E247" s="29" t="n"/>
      <c r="F247" s="29" t="n"/>
    </row>
    <row r="248" ht="15" customHeight="1" s="22">
      <c r="A248" s="31" t="n"/>
      <c r="B248" s="29" t="n"/>
      <c r="C248" s="29" t="n"/>
      <c r="D248" s="29" t="n"/>
      <c r="E248" s="29" t="n"/>
      <c r="F248" s="29" t="n"/>
    </row>
    <row r="249" ht="15" customHeight="1" s="22">
      <c r="A249" s="31" t="n"/>
      <c r="B249" s="29" t="n"/>
      <c r="C249" s="29" t="n"/>
      <c r="D249" s="29" t="n"/>
      <c r="E249" s="29" t="n"/>
      <c r="F249" s="29" t="n"/>
    </row>
    <row r="250" ht="15" customHeight="1" s="22">
      <c r="A250" s="31" t="n"/>
      <c r="B250" s="29" t="n"/>
      <c r="C250" s="29" t="n"/>
      <c r="D250" s="29" t="n"/>
      <c r="E250" s="29" t="n"/>
      <c r="F250" s="29" t="n"/>
    </row>
    <row r="251" ht="15" customHeight="1" s="22">
      <c r="A251" s="31" t="n"/>
      <c r="B251" s="29" t="n"/>
      <c r="C251" s="29" t="n"/>
      <c r="D251" s="29" t="n"/>
      <c r="E251" s="29" t="n"/>
      <c r="F251" s="29" t="n"/>
    </row>
    <row r="252" ht="15" customHeight="1" s="22">
      <c r="A252" s="31" t="n"/>
      <c r="B252" s="29" t="n"/>
      <c r="C252" s="29" t="n"/>
      <c r="D252" s="29" t="n"/>
      <c r="E252" s="29" t="n"/>
      <c r="F252" s="29" t="n"/>
    </row>
    <row r="253" ht="15" customHeight="1" s="22">
      <c r="A253" s="31" t="n"/>
      <c r="B253" s="29" t="n"/>
      <c r="C253" s="29" t="n"/>
      <c r="D253" s="29" t="n"/>
      <c r="E253" s="29" t="n"/>
      <c r="F253" s="29" t="n"/>
    </row>
    <row r="254" ht="15" customHeight="1" s="22">
      <c r="A254" s="31" t="n"/>
      <c r="B254" s="29" t="n"/>
      <c r="C254" s="29" t="n"/>
      <c r="D254" s="29" t="n"/>
      <c r="E254" s="29" t="n"/>
      <c r="F254" s="29" t="n"/>
    </row>
    <row r="255" ht="15" customHeight="1" s="22">
      <c r="A255" s="31" t="n"/>
      <c r="B255" s="29" t="n"/>
      <c r="C255" s="29" t="n"/>
      <c r="D255" s="29" t="n"/>
      <c r="E255" s="29" t="n"/>
      <c r="F255" s="29" t="n"/>
    </row>
    <row r="256" ht="15" customHeight="1" s="22">
      <c r="A256" s="31" t="n"/>
      <c r="B256" s="29" t="n"/>
      <c r="C256" s="29" t="n"/>
      <c r="D256" s="29" t="n"/>
      <c r="E256" s="29" t="n"/>
      <c r="F256" s="29" t="n"/>
    </row>
    <row r="257" ht="15" customHeight="1" s="22">
      <c r="A257" s="31" t="n"/>
      <c r="B257" s="29" t="n"/>
      <c r="C257" s="29" t="n"/>
      <c r="D257" s="29" t="n"/>
      <c r="E257" s="29" t="n"/>
      <c r="F257" s="29" t="n"/>
    </row>
    <row r="258" ht="15" customHeight="1" s="22">
      <c r="A258" s="31" t="n"/>
      <c r="B258" s="29" t="n"/>
      <c r="C258" s="29" t="n"/>
      <c r="D258" s="29" t="n"/>
      <c r="E258" s="29" t="n"/>
      <c r="F258" s="29" t="n"/>
    </row>
    <row r="259" ht="15" customHeight="1" s="22">
      <c r="A259" s="31" t="n"/>
      <c r="B259" s="29" t="n"/>
      <c r="C259" s="29" t="n"/>
      <c r="D259" s="29" t="n"/>
      <c r="E259" s="29" t="n"/>
      <c r="F259" s="29" t="n"/>
    </row>
    <row r="260" ht="15" customHeight="1" s="22">
      <c r="A260" s="31" t="n"/>
      <c r="B260" s="29" t="n"/>
      <c r="C260" s="29" t="n"/>
      <c r="D260" s="29" t="n"/>
      <c r="E260" s="29" t="n"/>
      <c r="F260" s="29" t="n"/>
    </row>
    <row r="261" ht="15" customHeight="1" s="22">
      <c r="A261" s="31" t="n"/>
      <c r="B261" s="29" t="n"/>
      <c r="C261" s="29" t="n"/>
      <c r="D261" s="29" t="n"/>
      <c r="E261" s="29" t="n"/>
      <c r="F261" s="29" t="n"/>
    </row>
    <row r="262" ht="15" customHeight="1" s="22">
      <c r="A262" s="31" t="n"/>
      <c r="B262" s="29" t="n"/>
      <c r="C262" s="29" t="n"/>
      <c r="D262" s="29" t="n"/>
      <c r="E262" s="29" t="n"/>
      <c r="F262" s="29" t="n"/>
    </row>
    <row r="263" ht="15" customHeight="1" s="22">
      <c r="A263" s="31" t="n"/>
      <c r="B263" s="29" t="n"/>
      <c r="C263" s="29" t="n"/>
      <c r="D263" s="29" t="n"/>
      <c r="E263" s="29" t="n"/>
      <c r="F263" s="29" t="n"/>
    </row>
    <row r="264" ht="15" customHeight="1" s="22">
      <c r="A264" s="31" t="n"/>
      <c r="B264" s="29" t="n"/>
      <c r="C264" s="29" t="n"/>
      <c r="D264" s="29" t="n"/>
      <c r="E264" s="29" t="n"/>
      <c r="F264" s="29" t="n"/>
    </row>
    <row r="265" ht="15" customHeight="1" s="22">
      <c r="A265" s="31" t="n"/>
      <c r="B265" s="29" t="n"/>
      <c r="C265" s="29" t="n"/>
      <c r="D265" s="29" t="n"/>
      <c r="E265" s="29" t="n"/>
      <c r="F265" s="29" t="n"/>
    </row>
    <row r="266" ht="15" customHeight="1" s="22">
      <c r="A266" s="31" t="n"/>
      <c r="B266" s="29" t="n"/>
      <c r="C266" s="29" t="n"/>
      <c r="D266" s="29" t="n"/>
      <c r="E266" s="29" t="n"/>
      <c r="F266" s="29" t="n"/>
    </row>
    <row r="267" ht="15" customHeight="1" s="22">
      <c r="A267" s="31" t="n"/>
      <c r="B267" s="29" t="n"/>
      <c r="C267" s="29" t="n"/>
      <c r="D267" s="29" t="n"/>
      <c r="E267" s="29" t="n"/>
      <c r="F267" s="29" t="n"/>
    </row>
    <row r="268" ht="15" customHeight="1" s="22">
      <c r="A268" s="31" t="n"/>
      <c r="B268" s="29" t="n"/>
      <c r="C268" s="29" t="n"/>
      <c r="D268" s="29" t="n"/>
      <c r="E268" s="29" t="n"/>
      <c r="F268" s="29" t="n"/>
    </row>
    <row r="269" ht="15" customHeight="1" s="22">
      <c r="A269" s="31" t="n"/>
      <c r="B269" s="29" t="n"/>
      <c r="C269" s="29" t="n"/>
      <c r="D269" s="29" t="n"/>
      <c r="E269" s="29" t="n"/>
      <c r="F269" s="29" t="n"/>
    </row>
    <row r="270" ht="15" customHeight="1" s="22">
      <c r="A270" s="31" t="n"/>
      <c r="B270" s="29" t="n"/>
      <c r="C270" s="29" t="n"/>
      <c r="D270" s="29" t="n"/>
      <c r="E270" s="29" t="n"/>
      <c r="F270" s="29" t="n"/>
    </row>
    <row r="271" ht="15" customHeight="1" s="22">
      <c r="A271" s="31" t="n"/>
      <c r="B271" s="29" t="n"/>
      <c r="C271" s="29" t="n"/>
      <c r="D271" s="29" t="n"/>
      <c r="E271" s="29" t="n"/>
      <c r="F271" s="29" t="n"/>
    </row>
    <row r="272" ht="15" customHeight="1" s="22">
      <c r="A272" s="31" t="n"/>
      <c r="B272" s="29" t="n"/>
      <c r="C272" s="29" t="n"/>
      <c r="D272" s="29" t="n"/>
      <c r="E272" s="29" t="n"/>
      <c r="F272" s="29" t="n"/>
    </row>
    <row r="273" ht="15" customHeight="1" s="22">
      <c r="A273" s="31" t="n"/>
      <c r="B273" s="29" t="n"/>
      <c r="C273" s="29" t="n"/>
      <c r="D273" s="29" t="n"/>
      <c r="E273" s="29" t="n"/>
      <c r="F273" s="29" t="n"/>
    </row>
    <row r="274" ht="15" customHeight="1" s="22">
      <c r="A274" s="31" t="n"/>
      <c r="B274" s="29" t="n"/>
      <c r="C274" s="29" t="n"/>
      <c r="D274" s="29" t="n"/>
      <c r="E274" s="29" t="n"/>
      <c r="F274" s="29" t="n"/>
    </row>
    <row r="275" ht="15" customHeight="1" s="22">
      <c r="A275" s="31" t="n"/>
      <c r="B275" s="29" t="n"/>
      <c r="C275" s="29" t="n"/>
      <c r="D275" s="29" t="n"/>
      <c r="E275" s="29" t="n"/>
      <c r="F275" s="29" t="n"/>
    </row>
    <row r="276" ht="15" customHeight="1" s="22">
      <c r="A276" s="31" t="n"/>
      <c r="B276" s="29" t="n"/>
      <c r="C276" s="29" t="n"/>
      <c r="D276" s="29" t="n"/>
      <c r="E276" s="29" t="n"/>
      <c r="F276" s="29" t="n"/>
    </row>
    <row r="277" ht="15" customHeight="1" s="22">
      <c r="A277" s="31" t="n"/>
      <c r="B277" s="29" t="n"/>
      <c r="C277" s="29" t="n"/>
      <c r="D277" s="29" t="n"/>
      <c r="E277" s="29" t="n"/>
      <c r="F277" s="29" t="n"/>
    </row>
    <row r="278" ht="15" customHeight="1" s="22">
      <c r="A278" s="31" t="n"/>
      <c r="B278" s="29" t="n"/>
      <c r="C278" s="29" t="n"/>
      <c r="D278" s="29" t="n"/>
      <c r="E278" s="29" t="n"/>
      <c r="F278" s="29" t="n"/>
    </row>
    <row r="279" ht="15" customHeight="1" s="22">
      <c r="A279" s="31" t="n"/>
      <c r="B279" s="29" t="n"/>
      <c r="C279" s="29" t="n"/>
      <c r="D279" s="29" t="n"/>
      <c r="E279" s="29" t="n"/>
      <c r="F279" s="29" t="n"/>
    </row>
    <row r="280" ht="15" customHeight="1" s="22">
      <c r="A280" s="31" t="n"/>
      <c r="B280" s="29" t="n"/>
      <c r="C280" s="29" t="n"/>
      <c r="D280" s="29" t="n"/>
      <c r="E280" s="29" t="n"/>
      <c r="F280" s="29" t="n"/>
    </row>
    <row r="281" ht="15" customHeight="1" s="22">
      <c r="A281" s="31" t="n"/>
      <c r="B281" s="29" t="n"/>
      <c r="C281" s="29" t="n"/>
      <c r="D281" s="29" t="n"/>
      <c r="E281" s="29" t="n"/>
      <c r="F281" s="29" t="n"/>
    </row>
    <row r="282" ht="15" customHeight="1" s="22">
      <c r="A282" s="31" t="n"/>
      <c r="B282" s="29" t="n"/>
      <c r="C282" s="29" t="n"/>
      <c r="D282" s="29" t="n"/>
      <c r="E282" s="29" t="n"/>
      <c r="F282" s="29" t="n"/>
    </row>
    <row r="283" ht="15" customHeight="1" s="22">
      <c r="A283" s="31" t="n"/>
      <c r="B283" s="29" t="n"/>
      <c r="C283" s="29" t="n"/>
      <c r="D283" s="29" t="n"/>
      <c r="E283" s="29" t="n"/>
      <c r="F283" s="29" t="n"/>
    </row>
    <row r="284" ht="15" customHeight="1" s="22">
      <c r="A284" s="31" t="n"/>
      <c r="B284" s="29" t="n"/>
      <c r="C284" s="29" t="n"/>
      <c r="D284" s="29" t="n"/>
      <c r="E284" s="29" t="n"/>
      <c r="F284" s="29" t="n"/>
    </row>
    <row r="285" ht="15" customHeight="1" s="22">
      <c r="A285" s="31" t="n"/>
      <c r="B285" s="29" t="n"/>
      <c r="C285" s="29" t="n"/>
      <c r="D285" s="29" t="n"/>
      <c r="E285" s="29" t="n"/>
      <c r="F285" s="29" t="n"/>
    </row>
    <row r="286" ht="15" customHeight="1" s="22">
      <c r="A286" s="31" t="n"/>
      <c r="B286" s="29" t="n"/>
      <c r="C286" s="29" t="n"/>
      <c r="D286" s="29" t="n"/>
      <c r="E286" s="29" t="n"/>
      <c r="F286" s="29" t="n"/>
    </row>
    <row r="287" ht="15" customHeight="1" s="22">
      <c r="A287" s="31" t="n"/>
      <c r="B287" s="29" t="n"/>
      <c r="C287" s="29" t="n"/>
      <c r="D287" s="29" t="n"/>
      <c r="E287" s="29" t="n"/>
      <c r="F287" s="29" t="n"/>
    </row>
    <row r="288" ht="15" customHeight="1" s="22">
      <c r="A288" s="31" t="n"/>
      <c r="B288" s="29" t="n"/>
      <c r="C288" s="29" t="n"/>
      <c r="D288" s="29" t="n"/>
      <c r="E288" s="29" t="n"/>
      <c r="F288" s="29" t="n"/>
    </row>
    <row r="289" ht="15" customHeight="1" s="22">
      <c r="A289" s="31" t="n"/>
      <c r="B289" s="29" t="n"/>
      <c r="C289" s="29" t="n"/>
      <c r="D289" s="29" t="n"/>
      <c r="E289" s="29" t="n"/>
      <c r="F289" s="29" t="n"/>
    </row>
    <row r="290" ht="15" customHeight="1" s="22">
      <c r="A290" s="31" t="n"/>
      <c r="B290" s="29" t="n"/>
      <c r="C290" s="29" t="n"/>
      <c r="D290" s="29" t="n"/>
      <c r="E290" s="29" t="n"/>
      <c r="F290" s="29" t="n"/>
    </row>
    <row r="291" ht="15" customHeight="1" s="22">
      <c r="A291" s="31" t="n"/>
      <c r="B291" s="29" t="n"/>
      <c r="C291" s="29" t="n"/>
      <c r="D291" s="29" t="n"/>
      <c r="E291" s="29" t="n"/>
      <c r="F291" s="29" t="n"/>
    </row>
    <row r="292" ht="15" customHeight="1" s="22">
      <c r="A292" s="31" t="n"/>
      <c r="B292" s="29" t="n"/>
      <c r="C292" s="29" t="n"/>
      <c r="D292" s="29" t="n"/>
      <c r="E292" s="29" t="n"/>
      <c r="F292" s="29" t="n"/>
    </row>
    <row r="293" ht="15" customHeight="1" s="22">
      <c r="A293" s="31" t="n"/>
      <c r="B293" s="29" t="n"/>
      <c r="C293" s="29" t="n"/>
      <c r="D293" s="29" t="n"/>
      <c r="E293" s="29" t="n"/>
      <c r="F293" s="29" t="n"/>
    </row>
    <row r="294" ht="15" customHeight="1" s="22">
      <c r="A294" s="31" t="n"/>
      <c r="B294" s="29" t="n"/>
      <c r="C294" s="29" t="n"/>
      <c r="D294" s="29" t="n"/>
      <c r="E294" s="29" t="n"/>
      <c r="F294" s="29" t="n"/>
    </row>
    <row r="295" ht="15" customHeight="1" s="22">
      <c r="A295" s="31" t="n"/>
      <c r="B295" s="29" t="n"/>
      <c r="C295" s="29" t="n"/>
      <c r="D295" s="29" t="n"/>
      <c r="E295" s="29" t="n"/>
      <c r="F295" s="29" t="n"/>
    </row>
    <row r="296" ht="15" customHeight="1" s="22">
      <c r="A296" s="31" t="n"/>
      <c r="B296" s="29" t="n"/>
      <c r="C296" s="29" t="n"/>
      <c r="D296" s="29" t="n"/>
      <c r="E296" s="29" t="n"/>
      <c r="F296" s="29" t="n"/>
    </row>
    <row r="297" ht="15" customHeight="1" s="22">
      <c r="A297" s="31" t="n"/>
      <c r="B297" s="29" t="n"/>
      <c r="C297" s="29" t="n"/>
      <c r="D297" s="29" t="n"/>
      <c r="E297" s="29" t="n"/>
      <c r="F297" s="29" t="n"/>
    </row>
    <row r="298" ht="15" customHeight="1" s="22">
      <c r="A298" s="31" t="n"/>
      <c r="B298" s="29" t="n"/>
      <c r="C298" s="29" t="n"/>
      <c r="D298" s="29" t="n"/>
      <c r="E298" s="29" t="n"/>
      <c r="F298" s="29" t="n"/>
    </row>
    <row r="299" ht="15" customHeight="1" s="22">
      <c r="A299" s="31" t="n"/>
      <c r="B299" s="29" t="n"/>
      <c r="C299" s="29" t="n"/>
      <c r="D299" s="29" t="n"/>
      <c r="E299" s="29" t="n"/>
      <c r="F299" s="29" t="n"/>
    </row>
    <row r="300" ht="15" customHeight="1" s="22">
      <c r="A300" s="31" t="n"/>
      <c r="B300" s="29" t="n"/>
      <c r="C300" s="29" t="n"/>
      <c r="D300" s="29" t="n"/>
      <c r="E300" s="29" t="n"/>
      <c r="F300" s="29" t="n"/>
    </row>
  </sheetData>
  <autoFilter ref="A2:F300"/>
  <mergeCells count="1">
    <mergeCell ref="A1:F1"/>
  </mergeCells>
  <dataValidations count="2">
    <dataValidation sqref="D3:D300" showDropDown="0" showInputMessage="0" showErrorMessage="0" allowBlank="1" type="list" errorStyle="stop" operator="between">
      <formula1>"10h,12h,15h,17h"</formula1>
      <formula2>0</formula2>
    </dataValidation>
    <dataValidation sqref="E3:E300" showDropDown="0" showInputMessage="0" showErrorMessage="0" allowBlank="1" type="list" errorStyle="stop" operator="between">
      <formula1>"O,N"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N64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4" customWidth="1" style="21" min="1" max="1"/>
    <col width="19" customWidth="1" style="21" min="2" max="2"/>
    <col width="14" customWidth="1" style="21" min="3" max="5"/>
    <col width="15" customWidth="1" style="21" min="6" max="6"/>
    <col width="14" customWidth="1" style="21" min="7" max="10"/>
    <col width="15" customWidth="1" style="21" min="11" max="11"/>
    <col width="14" customWidth="1" style="21" min="12" max="13"/>
    <col width="26" customWidth="1" style="21" min="14" max="14"/>
  </cols>
  <sheetData>
    <row r="1" ht="30" customHeight="1" s="22">
      <c r="A1" s="23" t="inlineStr">
        <is>
          <t>SEANCES ET PLANNING — MATIERES, ENSEIGNANTS, SALLES</t>
        </is>
      </c>
    </row>
    <row r="2" ht="31.5" customHeight="1" s="22">
      <c r="A2" s="28" t="inlineStr">
        <is>
          <t>ID session</t>
        </is>
      </c>
      <c r="B2" s="28" t="inlineStr">
        <is>
          <t>Annee acad. (*)</t>
        </is>
      </c>
      <c r="C2" s="28" t="inlineStr">
        <is>
          <t>Semestre</t>
        </is>
      </c>
      <c r="D2" s="28" t="inlineStr">
        <is>
          <t>Filiere</t>
        </is>
      </c>
      <c r="E2" s="28" t="inlineStr">
        <is>
          <t>Niveau</t>
        </is>
      </c>
      <c r="F2" s="28" t="inlineStr">
        <is>
          <t>Section (*)</t>
        </is>
      </c>
      <c r="G2" s="28" t="inlineStr">
        <is>
          <t>Matiere</t>
        </is>
      </c>
      <c r="H2" s="28" t="inlineStr">
        <is>
          <t>Enseignant</t>
        </is>
      </c>
      <c r="I2" s="28" t="inlineStr">
        <is>
          <t>Salle</t>
        </is>
      </c>
      <c r="J2" s="28" t="inlineStr">
        <is>
          <t>Jour</t>
        </is>
      </c>
      <c r="K2" s="28" t="inlineStr">
        <is>
          <t>Heure debut</t>
        </is>
      </c>
      <c r="L2" s="28" t="inlineStr">
        <is>
          <t>Heure fin</t>
        </is>
      </c>
      <c r="M2" s="28" t="inlineStr">
        <is>
          <t>Type (*)</t>
        </is>
      </c>
      <c r="N2" s="28" t="inlineStr">
        <is>
          <t>Vol. horaire prog. (*)</t>
        </is>
      </c>
    </row>
    <row r="3" ht="15" customHeight="1" s="22">
      <c r="A3" s="29" t="inlineStr">
        <is>
          <t>S001</t>
        </is>
      </c>
      <c r="B3" s="29" t="inlineStr">
        <is>
          <t>2025-2026</t>
        </is>
      </c>
      <c r="C3" s="29" t="inlineStr">
        <is>
          <t>1</t>
        </is>
      </c>
      <c r="D3" s="29" t="inlineStr">
        <is>
          <t>Soins infirmiers</t>
        </is>
      </c>
      <c r="E3" s="29" t="inlineStr">
        <is>
          <t>L1</t>
        </is>
      </c>
      <c r="F3" s="29" t="inlineStr">
        <is>
          <t>S.I</t>
        </is>
      </c>
      <c r="G3" s="29" t="inlineStr">
        <is>
          <t>Microbiologie</t>
        </is>
      </c>
      <c r="H3" s="29" t="inlineStr">
        <is>
          <t>Dr EL HABIB</t>
        </is>
      </c>
      <c r="I3" s="29" t="inlineStr"/>
      <c r="J3" s="29" t="inlineStr">
        <is>
          <t>Jeudi</t>
        </is>
      </c>
      <c r="K3" s="29" t="inlineStr">
        <is>
          <t>10h05</t>
        </is>
      </c>
      <c r="L3" s="29" t="inlineStr">
        <is>
          <t>12h05</t>
        </is>
      </c>
      <c r="M3" s="29" t="n"/>
      <c r="N3" s="29" t="n">
        <v>30</v>
      </c>
    </row>
    <row r="4" ht="15" customHeight="1" s="22">
      <c r="A4" s="29" t="inlineStr">
        <is>
          <t>S002</t>
        </is>
      </c>
      <c r="B4" s="29" t="inlineStr">
        <is>
          <t>2025-2026</t>
        </is>
      </c>
      <c r="C4" s="29" t="inlineStr">
        <is>
          <t>1</t>
        </is>
      </c>
      <c r="D4" s="29" t="inlineStr">
        <is>
          <t>Soins infirmiers</t>
        </is>
      </c>
      <c r="E4" s="29" t="inlineStr">
        <is>
          <t>L1</t>
        </is>
      </c>
      <c r="F4" s="29" t="inlineStr">
        <is>
          <t>S.I</t>
        </is>
      </c>
      <c r="G4" s="29" t="inlineStr">
        <is>
          <t>Besoins fondamentaux du patient</t>
        </is>
      </c>
      <c r="H4" s="29" t="inlineStr">
        <is>
          <t>Mme Zainaba Mohamed</t>
        </is>
      </c>
      <c r="I4" s="29" t="inlineStr"/>
      <c r="J4" s="29" t="inlineStr">
        <is>
          <t>Jeudi</t>
        </is>
      </c>
      <c r="K4" s="29" t="inlineStr">
        <is>
          <t>13h00</t>
        </is>
      </c>
      <c r="L4" s="29" t="inlineStr">
        <is>
          <t>15h00</t>
        </is>
      </c>
      <c r="M4" s="29" t="n"/>
      <c r="N4" s="29" t="n">
        <v>2</v>
      </c>
    </row>
    <row r="5" ht="15" customHeight="1" s="22">
      <c r="A5" s="29" t="inlineStr">
        <is>
          <t>S003</t>
        </is>
      </c>
      <c r="B5" s="29" t="inlineStr">
        <is>
          <t>2025-2026</t>
        </is>
      </c>
      <c r="C5" s="29" t="inlineStr">
        <is>
          <t>1</t>
        </is>
      </c>
      <c r="D5" s="29" t="inlineStr">
        <is>
          <t>Soins infirmiers</t>
        </is>
      </c>
      <c r="E5" s="29" t="inlineStr">
        <is>
          <t>L1</t>
        </is>
      </c>
      <c r="F5" s="29" t="inlineStr">
        <is>
          <t>S.I</t>
        </is>
      </c>
      <c r="G5" s="29" t="inlineStr">
        <is>
          <t>Démarche de soins et Projet de soins</t>
        </is>
      </c>
      <c r="H5" s="29" t="inlineStr"/>
      <c r="I5" s="29" t="inlineStr"/>
      <c r="J5" s="29" t="inlineStr">
        <is>
          <t>Jeudi</t>
        </is>
      </c>
      <c r="K5" s="29" t="inlineStr">
        <is>
          <t>13h00</t>
        </is>
      </c>
      <c r="L5" s="29" t="inlineStr">
        <is>
          <t>15h00</t>
        </is>
      </c>
      <c r="M5" s="29" t="n"/>
      <c r="N5" s="29" t="n">
        <v>2</v>
      </c>
    </row>
    <row r="6" ht="15" customHeight="1" s="22">
      <c r="A6" s="29" t="inlineStr">
        <is>
          <t>S004</t>
        </is>
      </c>
      <c r="B6" s="29" t="inlineStr">
        <is>
          <t>2025-2026</t>
        </is>
      </c>
      <c r="C6" s="29" t="inlineStr">
        <is>
          <t>1</t>
        </is>
      </c>
      <c r="D6" s="29" t="inlineStr">
        <is>
          <t>Soins infirmiers</t>
        </is>
      </c>
      <c r="E6" s="29" t="inlineStr">
        <is>
          <t>L1</t>
        </is>
      </c>
      <c r="F6" s="29" t="inlineStr">
        <is>
          <t>S.I</t>
        </is>
      </c>
      <c r="G6" s="29" t="inlineStr">
        <is>
          <t>Généralité sur la SP/SC</t>
        </is>
      </c>
      <c r="H6" s="29" t="inlineStr">
        <is>
          <t>Anne Beugny</t>
        </is>
      </c>
      <c r="I6" s="29" t="inlineStr"/>
      <c r="J6" s="29" t="inlineStr">
        <is>
          <t>Jeudi</t>
        </is>
      </c>
      <c r="K6" s="29" t="inlineStr">
        <is>
          <t>13h00</t>
        </is>
      </c>
      <c r="L6" s="29" t="inlineStr">
        <is>
          <t>15h00</t>
        </is>
      </c>
      <c r="M6" s="29" t="n"/>
      <c r="N6" s="29" t="n">
        <v>8</v>
      </c>
    </row>
    <row r="7" ht="15" customHeight="1" s="22">
      <c r="A7" s="29" t="inlineStr">
        <is>
          <t>S005</t>
        </is>
      </c>
      <c r="B7" s="29" t="inlineStr">
        <is>
          <t>2025-2026</t>
        </is>
      </c>
      <c r="C7" s="29" t="inlineStr">
        <is>
          <t>1</t>
        </is>
      </c>
      <c r="D7" s="29" t="inlineStr">
        <is>
          <t>Soins infirmiers</t>
        </is>
      </c>
      <c r="E7" s="29" t="inlineStr">
        <is>
          <t>L1</t>
        </is>
      </c>
      <c r="F7" s="29" t="inlineStr">
        <is>
          <t>S.I</t>
        </is>
      </c>
      <c r="G7" s="29" t="inlineStr">
        <is>
          <t>Liquides et életrolytes</t>
        </is>
      </c>
      <c r="H7" s="29" t="inlineStr"/>
      <c r="I7" s="29" t="inlineStr"/>
      <c r="J7" s="29" t="inlineStr">
        <is>
          <t>Jeudi</t>
        </is>
      </c>
      <c r="K7" s="29" t="inlineStr">
        <is>
          <t>13h00</t>
        </is>
      </c>
      <c r="L7" s="29" t="inlineStr">
        <is>
          <t>15h00</t>
        </is>
      </c>
      <c r="M7" s="29" t="n"/>
      <c r="N7" s="29" t="n">
        <v>4</v>
      </c>
    </row>
    <row r="8" ht="15" customHeight="1" s="22">
      <c r="A8" s="29" t="inlineStr">
        <is>
          <t>S006</t>
        </is>
      </c>
      <c r="B8" s="29" t="inlineStr">
        <is>
          <t>2025-2026</t>
        </is>
      </c>
      <c r="C8" s="29" t="inlineStr">
        <is>
          <t>1</t>
        </is>
      </c>
      <c r="D8" s="29" t="inlineStr">
        <is>
          <t>Soins infirmiers</t>
        </is>
      </c>
      <c r="E8" s="29" t="inlineStr">
        <is>
          <t>L1</t>
        </is>
      </c>
      <c r="F8" s="29" t="inlineStr">
        <is>
          <t>S.I</t>
        </is>
      </c>
      <c r="G8" s="29" t="inlineStr">
        <is>
          <t>Procédure d’admission</t>
        </is>
      </c>
      <c r="H8" s="29" t="inlineStr"/>
      <c r="I8" s="29" t="inlineStr"/>
      <c r="J8" s="29" t="inlineStr">
        <is>
          <t>Jeudi</t>
        </is>
      </c>
      <c r="K8" s="29" t="inlineStr">
        <is>
          <t>13h00</t>
        </is>
      </c>
      <c r="L8" s="29" t="inlineStr">
        <is>
          <t>15h00</t>
        </is>
      </c>
      <c r="M8" s="29" t="n"/>
      <c r="N8" s="29" t="n">
        <v>4</v>
      </c>
    </row>
    <row r="9" ht="15" customHeight="1" s="22">
      <c r="A9" s="29" t="inlineStr">
        <is>
          <t>S007</t>
        </is>
      </c>
      <c r="B9" s="29" t="inlineStr">
        <is>
          <t>2025-2026</t>
        </is>
      </c>
      <c r="C9" s="29" t="inlineStr">
        <is>
          <t>1</t>
        </is>
      </c>
      <c r="D9" s="29" t="inlineStr">
        <is>
          <t>Soins infirmiers</t>
        </is>
      </c>
      <c r="E9" s="29" t="inlineStr">
        <is>
          <t>L1</t>
        </is>
      </c>
      <c r="F9" s="29" t="inlineStr">
        <is>
          <t>S.I</t>
        </is>
      </c>
      <c r="G9" s="29" t="inlineStr">
        <is>
          <t>Système cardiovasculaire</t>
        </is>
      </c>
      <c r="H9" s="29" t="inlineStr"/>
      <c r="I9" s="29" t="inlineStr"/>
      <c r="J9" s="29" t="inlineStr">
        <is>
          <t>Jeudi</t>
        </is>
      </c>
      <c r="K9" s="29" t="inlineStr">
        <is>
          <t>13h00</t>
        </is>
      </c>
      <c r="L9" s="29" t="inlineStr">
        <is>
          <t>15h00</t>
        </is>
      </c>
      <c r="M9" s="29" t="n"/>
      <c r="N9" s="29" t="n">
        <v>2</v>
      </c>
    </row>
    <row r="10" ht="15" customHeight="1" s="22">
      <c r="A10" s="29" t="inlineStr">
        <is>
          <t>S008</t>
        </is>
      </c>
      <c r="B10" s="29" t="inlineStr">
        <is>
          <t>2025-2026</t>
        </is>
      </c>
      <c r="C10" s="29" t="inlineStr">
        <is>
          <t>1</t>
        </is>
      </c>
      <c r="D10" s="29" t="inlineStr">
        <is>
          <t>Soins infirmiers</t>
        </is>
      </c>
      <c r="E10" s="29" t="inlineStr">
        <is>
          <t>L1</t>
        </is>
      </c>
      <c r="F10" s="29" t="inlineStr">
        <is>
          <t>S.I</t>
        </is>
      </c>
      <c r="G10" s="29" t="inlineStr">
        <is>
          <t>TD Besoins fondamentaux du patient</t>
        </is>
      </c>
      <c r="H10" s="29" t="inlineStr"/>
      <c r="I10" s="29" t="inlineStr"/>
      <c r="J10" s="29" t="inlineStr">
        <is>
          <t>Jeudi</t>
        </is>
      </c>
      <c r="K10" s="29" t="inlineStr">
        <is>
          <t>13h00</t>
        </is>
      </c>
      <c r="L10" s="29" t="inlineStr">
        <is>
          <t>15h00</t>
        </is>
      </c>
      <c r="M10" s="29" t="n"/>
      <c r="N10" s="29" t="n">
        <v>6</v>
      </c>
    </row>
    <row r="11" ht="15" customHeight="1" s="22">
      <c r="A11" s="29" t="inlineStr">
        <is>
          <t>S009</t>
        </is>
      </c>
      <c r="B11" s="29" t="inlineStr">
        <is>
          <t>2025-2026</t>
        </is>
      </c>
      <c r="C11" s="29" t="inlineStr">
        <is>
          <t>1</t>
        </is>
      </c>
      <c r="D11" s="29" t="inlineStr">
        <is>
          <t>Soins infirmiers</t>
        </is>
      </c>
      <c r="E11" s="29" t="inlineStr">
        <is>
          <t>L1</t>
        </is>
      </c>
      <c r="F11" s="29" t="inlineStr">
        <is>
          <t>S.I</t>
        </is>
      </c>
      <c r="G11" s="29" t="inlineStr">
        <is>
          <t>TD Démarche de soins et Projet de soins</t>
        </is>
      </c>
      <c r="H11" s="29" t="inlineStr"/>
      <c r="I11" s="29" t="inlineStr"/>
      <c r="J11" s="29" t="inlineStr">
        <is>
          <t>Jeudi</t>
        </is>
      </c>
      <c r="K11" s="29" t="inlineStr">
        <is>
          <t>13h00</t>
        </is>
      </c>
      <c r="L11" s="29" t="inlineStr">
        <is>
          <t>15h00</t>
        </is>
      </c>
      <c r="M11" s="29" t="n"/>
      <c r="N11" s="29" t="n">
        <v>2</v>
      </c>
    </row>
    <row r="12" ht="15" customHeight="1" s="22">
      <c r="A12" s="29" t="inlineStr">
        <is>
          <t>S010</t>
        </is>
      </c>
      <c r="B12" s="29" t="inlineStr">
        <is>
          <t>2025-2026</t>
        </is>
      </c>
      <c r="C12" s="29" t="inlineStr">
        <is>
          <t>1</t>
        </is>
      </c>
      <c r="D12" s="29" t="inlineStr">
        <is>
          <t>Soins infirmiers</t>
        </is>
      </c>
      <c r="E12" s="29" t="inlineStr">
        <is>
          <t>L1</t>
        </is>
      </c>
      <c r="F12" s="29" t="inlineStr">
        <is>
          <t>S.I</t>
        </is>
      </c>
      <c r="G12" s="29" t="inlineStr">
        <is>
          <t>Epidémiologie</t>
        </is>
      </c>
      <c r="H12" s="29" t="inlineStr"/>
      <c r="I12" s="29" t="inlineStr"/>
      <c r="J12" s="29" t="inlineStr">
        <is>
          <t>Jeudi</t>
        </is>
      </c>
      <c r="K12" s="29" t="inlineStr">
        <is>
          <t>15h05</t>
        </is>
      </c>
      <c r="L12" s="29" t="inlineStr">
        <is>
          <t>17h05</t>
        </is>
      </c>
      <c r="M12" s="29" t="n"/>
      <c r="N12" s="29" t="n">
        <v>2</v>
      </c>
    </row>
    <row r="13" ht="15" customHeight="1" s="22">
      <c r="A13" s="29" t="inlineStr">
        <is>
          <t>S011</t>
        </is>
      </c>
      <c r="B13" s="29" t="inlineStr">
        <is>
          <t>2025-2026</t>
        </is>
      </c>
      <c r="C13" s="29" t="inlineStr">
        <is>
          <t>1</t>
        </is>
      </c>
      <c r="D13" s="29" t="inlineStr">
        <is>
          <t>Soins infirmiers</t>
        </is>
      </c>
      <c r="E13" s="29" t="inlineStr">
        <is>
          <t>L1</t>
        </is>
      </c>
      <c r="F13" s="29" t="inlineStr">
        <is>
          <t>S.I</t>
        </is>
      </c>
      <c r="G13" s="29" t="inlineStr">
        <is>
          <t>Examens de laboratoire</t>
        </is>
      </c>
      <c r="H13" s="29" t="inlineStr"/>
      <c r="I13" s="29" t="inlineStr"/>
      <c r="J13" s="29" t="inlineStr">
        <is>
          <t>Jeudi</t>
        </is>
      </c>
      <c r="K13" s="29" t="inlineStr">
        <is>
          <t>15h05</t>
        </is>
      </c>
      <c r="L13" s="29" t="inlineStr">
        <is>
          <t>17h05</t>
        </is>
      </c>
      <c r="M13" s="29" t="n"/>
      <c r="N13" s="29" t="n">
        <v>10</v>
      </c>
    </row>
    <row r="14" ht="15" customHeight="1" s="22">
      <c r="A14" s="29" t="inlineStr">
        <is>
          <t>S012</t>
        </is>
      </c>
      <c r="B14" s="29" t="inlineStr">
        <is>
          <t>2025-2026</t>
        </is>
      </c>
      <c r="C14" s="29" t="inlineStr">
        <is>
          <t>1</t>
        </is>
      </c>
      <c r="D14" s="29" t="inlineStr">
        <is>
          <t>Soins infirmiers</t>
        </is>
      </c>
      <c r="E14" s="29" t="inlineStr">
        <is>
          <t>L1</t>
        </is>
      </c>
      <c r="F14" s="29" t="inlineStr">
        <is>
          <t>S.I</t>
        </is>
      </c>
      <c r="G14" s="29" t="inlineStr">
        <is>
          <t>Généralités sur la pharmacologie</t>
        </is>
      </c>
      <c r="H14" s="29" t="inlineStr"/>
      <c r="I14" s="29" t="inlineStr"/>
      <c r="J14" s="29" t="inlineStr">
        <is>
          <t>Jeudi</t>
        </is>
      </c>
      <c r="K14" s="29" t="inlineStr">
        <is>
          <t>15h05</t>
        </is>
      </c>
      <c r="L14" s="29" t="inlineStr">
        <is>
          <t>17h05</t>
        </is>
      </c>
      <c r="M14" s="29" t="n"/>
      <c r="N14" s="29" t="n">
        <v>8</v>
      </c>
    </row>
    <row r="15" ht="15" customHeight="1" s="22">
      <c r="A15" s="29" t="inlineStr">
        <is>
          <t>S013</t>
        </is>
      </c>
      <c r="B15" s="29" t="inlineStr">
        <is>
          <t>2025-2026</t>
        </is>
      </c>
      <c r="C15" s="29" t="inlineStr">
        <is>
          <t>1</t>
        </is>
      </c>
      <c r="D15" s="29" t="inlineStr">
        <is>
          <t>Soins infirmiers</t>
        </is>
      </c>
      <c r="E15" s="29" t="inlineStr">
        <is>
          <t>L1</t>
        </is>
      </c>
      <c r="F15" s="29" t="inlineStr">
        <is>
          <t>S.I</t>
        </is>
      </c>
      <c r="G15" s="29" t="inlineStr">
        <is>
          <t>Methodes statistiques</t>
        </is>
      </c>
      <c r="H15" s="29" t="inlineStr"/>
      <c r="I15" s="29" t="inlineStr"/>
      <c r="J15" s="29" t="inlineStr">
        <is>
          <t>Jeudi</t>
        </is>
      </c>
      <c r="K15" s="29" t="inlineStr">
        <is>
          <t>15h05</t>
        </is>
      </c>
      <c r="L15" s="29" t="inlineStr">
        <is>
          <t>17h05</t>
        </is>
      </c>
      <c r="M15" s="29" t="n"/>
      <c r="N15" s="29" t="n">
        <v>4</v>
      </c>
    </row>
    <row r="16" ht="15" customHeight="1" s="22">
      <c r="A16" s="29" t="inlineStr">
        <is>
          <t>S014</t>
        </is>
      </c>
      <c r="B16" s="29" t="inlineStr">
        <is>
          <t>2025-2026</t>
        </is>
      </c>
      <c r="C16" s="29" t="inlineStr">
        <is>
          <t>1</t>
        </is>
      </c>
      <c r="D16" s="29" t="inlineStr">
        <is>
          <t>Soins infirmiers</t>
        </is>
      </c>
      <c r="E16" s="29" t="inlineStr">
        <is>
          <t>L1</t>
        </is>
      </c>
      <c r="F16" s="29" t="inlineStr">
        <is>
          <t>S.I</t>
        </is>
      </c>
      <c r="G16" s="29" t="inlineStr">
        <is>
          <t>Système cardiovasculaire</t>
        </is>
      </c>
      <c r="H16" s="29" t="inlineStr"/>
      <c r="I16" s="29" t="inlineStr"/>
      <c r="J16" s="29" t="inlineStr">
        <is>
          <t>Jeudi</t>
        </is>
      </c>
      <c r="K16" s="29" t="inlineStr">
        <is>
          <t>15h05</t>
        </is>
      </c>
      <c r="L16" s="29" t="inlineStr">
        <is>
          <t>17h05</t>
        </is>
      </c>
      <c r="M16" s="29" t="n"/>
      <c r="N16" s="29" t="n">
        <v>4</v>
      </c>
    </row>
    <row r="17" ht="15" customHeight="1" s="22">
      <c r="A17" s="29" t="inlineStr">
        <is>
          <t>S015</t>
        </is>
      </c>
      <c r="B17" s="29" t="inlineStr">
        <is>
          <t>2025-2026</t>
        </is>
      </c>
      <c r="C17" s="29" t="inlineStr">
        <is>
          <t>1</t>
        </is>
      </c>
      <c r="D17" s="29" t="inlineStr">
        <is>
          <t>Soins infirmiers</t>
        </is>
      </c>
      <c r="E17" s="29" t="inlineStr">
        <is>
          <t>L1</t>
        </is>
      </c>
      <c r="F17" s="29" t="inlineStr">
        <is>
          <t>S.I</t>
        </is>
      </c>
      <c r="G17" s="29" t="inlineStr">
        <is>
          <t>TD Généralités sur la pharmacologie</t>
        </is>
      </c>
      <c r="H17" s="29" t="inlineStr"/>
      <c r="I17" s="29" t="inlineStr"/>
      <c r="J17" s="29" t="inlineStr">
        <is>
          <t>Jeudi</t>
        </is>
      </c>
      <c r="K17" s="29" t="inlineStr">
        <is>
          <t>15h05</t>
        </is>
      </c>
      <c r="L17" s="29" t="inlineStr">
        <is>
          <t>17h05</t>
        </is>
      </c>
      <c r="M17" s="29" t="n"/>
      <c r="N17" s="29" t="n">
        <v>2</v>
      </c>
    </row>
    <row r="18" ht="15" customHeight="1" s="22">
      <c r="A18" s="29" t="inlineStr">
        <is>
          <t>S016</t>
        </is>
      </c>
      <c r="B18" s="29" t="inlineStr">
        <is>
          <t>2025-2026</t>
        </is>
      </c>
      <c r="C18" s="29" t="inlineStr">
        <is>
          <t>1</t>
        </is>
      </c>
      <c r="D18" s="29" t="inlineStr">
        <is>
          <t>Soins infirmiers</t>
        </is>
      </c>
      <c r="E18" s="29" t="inlineStr">
        <is>
          <t>L1</t>
        </is>
      </c>
      <c r="F18" s="29" t="inlineStr">
        <is>
          <t>S.I</t>
        </is>
      </c>
      <c r="G18" s="29" t="inlineStr">
        <is>
          <t>Anatomie  du système digestif</t>
        </is>
      </c>
      <c r="H18" s="29" t="inlineStr"/>
      <c r="I18" s="29" t="inlineStr"/>
      <c r="J18" s="29" t="inlineStr">
        <is>
          <t>Jeudi</t>
        </is>
      </c>
      <c r="K18" s="29" t="inlineStr">
        <is>
          <t>8h00</t>
        </is>
      </c>
      <c r="L18" s="29" t="inlineStr">
        <is>
          <t>10h00</t>
        </is>
      </c>
      <c r="M18" s="29" t="n"/>
      <c r="N18" s="29" t="n">
        <v>2</v>
      </c>
    </row>
    <row r="19" ht="15" customHeight="1" s="22">
      <c r="A19" s="29" t="inlineStr">
        <is>
          <t>S017</t>
        </is>
      </c>
      <c r="B19" s="29" t="inlineStr">
        <is>
          <t>2025-2026</t>
        </is>
      </c>
      <c r="C19" s="29" t="inlineStr">
        <is>
          <t>1</t>
        </is>
      </c>
      <c r="D19" s="29" t="inlineStr">
        <is>
          <t>Soins infirmiers</t>
        </is>
      </c>
      <c r="E19" s="29" t="inlineStr">
        <is>
          <t>L1</t>
        </is>
      </c>
      <c r="F19" s="29" t="inlineStr">
        <is>
          <t>S.I</t>
        </is>
      </c>
      <c r="G19" s="29" t="inlineStr">
        <is>
          <t>Langue chinoise</t>
        </is>
      </c>
      <c r="H19" s="29" t="inlineStr"/>
      <c r="I19" s="29" t="inlineStr"/>
      <c r="J19" s="29" t="inlineStr">
        <is>
          <t>Jeudi</t>
        </is>
      </c>
      <c r="K19" s="29" t="inlineStr">
        <is>
          <t>8h00</t>
        </is>
      </c>
      <c r="L19" s="29" t="inlineStr">
        <is>
          <t>10h00</t>
        </is>
      </c>
      <c r="M19" s="29" t="n"/>
      <c r="N19" s="29" t="n">
        <v>28</v>
      </c>
    </row>
    <row r="20" ht="15" customHeight="1" s="22">
      <c r="A20" s="29" t="inlineStr">
        <is>
          <t>S018</t>
        </is>
      </c>
      <c r="B20" s="29" t="inlineStr">
        <is>
          <t>2025-2026</t>
        </is>
      </c>
      <c r="C20" s="29" t="inlineStr">
        <is>
          <t>1</t>
        </is>
      </c>
      <c r="D20" s="29" t="inlineStr">
        <is>
          <t>Soins infirmiers</t>
        </is>
      </c>
      <c r="E20" s="29" t="inlineStr">
        <is>
          <t>L1</t>
        </is>
      </c>
      <c r="F20" s="29" t="inlineStr">
        <is>
          <t>S.I</t>
        </is>
      </c>
      <c r="G20" s="29" t="inlineStr">
        <is>
          <t>Anatomie du système Respiratoire</t>
        </is>
      </c>
      <c r="H20" s="29" t="inlineStr"/>
      <c r="I20" s="29" t="inlineStr"/>
      <c r="J20" s="29" t="inlineStr">
        <is>
          <t>Lundi</t>
        </is>
      </c>
      <c r="K20" s="29" t="inlineStr">
        <is>
          <t>10h05</t>
        </is>
      </c>
      <c r="L20" s="29" t="inlineStr">
        <is>
          <t>12h05</t>
        </is>
      </c>
      <c r="M20" s="29" t="n"/>
      <c r="N20" s="29" t="n">
        <v>2</v>
      </c>
    </row>
    <row r="21" ht="15" customHeight="1" s="22">
      <c r="A21" s="29" t="inlineStr">
        <is>
          <t>S019</t>
        </is>
      </c>
      <c r="B21" s="29" t="inlineStr">
        <is>
          <t>2025-2026</t>
        </is>
      </c>
      <c r="C21" s="29" t="inlineStr">
        <is>
          <t>1</t>
        </is>
      </c>
      <c r="D21" s="29" t="inlineStr">
        <is>
          <t>Soins infirmiers</t>
        </is>
      </c>
      <c r="E21" s="29" t="inlineStr">
        <is>
          <t>L1</t>
        </is>
      </c>
      <c r="F21" s="29" t="inlineStr">
        <is>
          <t>S.I</t>
        </is>
      </c>
      <c r="G21" s="29" t="inlineStr">
        <is>
          <t>Anatomie du système endocrinien</t>
        </is>
      </c>
      <c r="H21" s="29" t="inlineStr">
        <is>
          <t>Moussa Mohamed Ahmed (Chef de département formation continue et santé publique)</t>
        </is>
      </c>
      <c r="I21" s="29" t="inlineStr"/>
      <c r="J21" s="29" t="inlineStr">
        <is>
          <t>Lundi</t>
        </is>
      </c>
      <c r="K21" s="29" t="inlineStr">
        <is>
          <t>10h05</t>
        </is>
      </c>
      <c r="L21" s="29" t="inlineStr">
        <is>
          <t>12h05</t>
        </is>
      </c>
      <c r="M21" s="29" t="n"/>
      <c r="N21" s="29" t="n">
        <v>4</v>
      </c>
    </row>
    <row r="22" ht="15" customHeight="1" s="22">
      <c r="A22" s="29" t="inlineStr">
        <is>
          <t>S020</t>
        </is>
      </c>
      <c r="B22" s="29" t="inlineStr">
        <is>
          <t>2025-2026</t>
        </is>
      </c>
      <c r="C22" s="29" t="inlineStr">
        <is>
          <t>1</t>
        </is>
      </c>
      <c r="D22" s="29" t="inlineStr">
        <is>
          <t>Soins infirmiers</t>
        </is>
      </c>
      <c r="E22" s="29" t="inlineStr">
        <is>
          <t>L1</t>
        </is>
      </c>
      <c r="F22" s="29" t="inlineStr">
        <is>
          <t>S.I</t>
        </is>
      </c>
      <c r="G22" s="29" t="inlineStr">
        <is>
          <t>Anatomie du système nerveux</t>
        </is>
      </c>
      <c r="H22" s="29" t="inlineStr"/>
      <c r="I22" s="29" t="inlineStr"/>
      <c r="J22" s="29" t="inlineStr">
        <is>
          <t>Lundi</t>
        </is>
      </c>
      <c r="K22" s="29" t="inlineStr">
        <is>
          <t>10h05</t>
        </is>
      </c>
      <c r="L22" s="29" t="inlineStr">
        <is>
          <t>12h05</t>
        </is>
      </c>
      <c r="M22" s="29" t="n"/>
      <c r="N22" s="29" t="n">
        <v>4</v>
      </c>
    </row>
    <row r="23" ht="15" customHeight="1" s="22">
      <c r="A23" s="29" t="inlineStr">
        <is>
          <t>S021</t>
        </is>
      </c>
      <c r="B23" s="29" t="inlineStr">
        <is>
          <t>2025-2026</t>
        </is>
      </c>
      <c r="C23" s="29" t="inlineStr">
        <is>
          <t>1</t>
        </is>
      </c>
      <c r="D23" s="29" t="inlineStr">
        <is>
          <t>Soins infirmiers</t>
        </is>
      </c>
      <c r="E23" s="29" t="inlineStr">
        <is>
          <t>L1</t>
        </is>
      </c>
      <c r="F23" s="29" t="inlineStr">
        <is>
          <t>S.I</t>
        </is>
      </c>
      <c r="G23" s="29" t="inlineStr">
        <is>
          <t>Appareil locomoteur</t>
        </is>
      </c>
      <c r="H23" s="29" t="inlineStr"/>
      <c r="I23" s="29" t="inlineStr"/>
      <c r="J23" s="29" t="inlineStr">
        <is>
          <t>Lundi</t>
        </is>
      </c>
      <c r="K23" s="29" t="inlineStr">
        <is>
          <t>10h05</t>
        </is>
      </c>
      <c r="L23" s="29" t="inlineStr">
        <is>
          <t>12h05</t>
        </is>
      </c>
      <c r="M23" s="29" t="n"/>
      <c r="N23" s="29" t="n">
        <v>2</v>
      </c>
    </row>
    <row r="24" ht="15" customHeight="1" s="22">
      <c r="A24" s="29" t="inlineStr">
        <is>
          <t>S022</t>
        </is>
      </c>
      <c r="B24" s="29" t="inlineStr">
        <is>
          <t>2025-2026</t>
        </is>
      </c>
      <c r="C24" s="29" t="inlineStr">
        <is>
          <t>1</t>
        </is>
      </c>
      <c r="D24" s="29" t="inlineStr">
        <is>
          <t>Soins infirmiers</t>
        </is>
      </c>
      <c r="E24" s="29" t="inlineStr">
        <is>
          <t>L1</t>
        </is>
      </c>
      <c r="F24" s="29" t="inlineStr">
        <is>
          <t>S.I</t>
        </is>
      </c>
      <c r="G24" s="29" t="inlineStr">
        <is>
          <t>Sémiologie médicochirurgicale</t>
        </is>
      </c>
      <c r="H24" s="29" t="inlineStr"/>
      <c r="I24" s="29" t="inlineStr"/>
      <c r="J24" s="29" t="inlineStr">
        <is>
          <t>Lundi</t>
        </is>
      </c>
      <c r="K24" s="29" t="inlineStr">
        <is>
          <t>10h05</t>
        </is>
      </c>
      <c r="L24" s="29" t="inlineStr">
        <is>
          <t>12h05</t>
        </is>
      </c>
      <c r="M24" s="29" t="n"/>
      <c r="N24" s="29" t="n">
        <v>14</v>
      </c>
    </row>
    <row r="25" ht="15" customHeight="1" s="22">
      <c r="A25" s="29" t="inlineStr">
        <is>
          <t>S023</t>
        </is>
      </c>
      <c r="B25" s="29" t="inlineStr">
        <is>
          <t>2025-2026</t>
        </is>
      </c>
      <c r="C25" s="29" t="inlineStr">
        <is>
          <t>1</t>
        </is>
      </c>
      <c r="D25" s="29" t="inlineStr">
        <is>
          <t>Soins infirmiers</t>
        </is>
      </c>
      <c r="E25" s="29" t="inlineStr">
        <is>
          <t>L1</t>
        </is>
      </c>
      <c r="F25" s="29" t="inlineStr">
        <is>
          <t>S.I</t>
        </is>
      </c>
      <c r="G25" s="29" t="inlineStr">
        <is>
          <t>TD Disposition d’un environnement sûr</t>
        </is>
      </c>
      <c r="H25" s="29" t="inlineStr"/>
      <c r="I25" s="29" t="inlineStr"/>
      <c r="J25" s="29" t="inlineStr">
        <is>
          <t>Lundi</t>
        </is>
      </c>
      <c r="K25" s="29" t="inlineStr">
        <is>
          <t>10h05</t>
        </is>
      </c>
      <c r="L25" s="29" t="inlineStr">
        <is>
          <t>12h05</t>
        </is>
      </c>
      <c r="M25" s="29" t="n"/>
      <c r="N25" s="29" t="n">
        <v>2</v>
      </c>
    </row>
    <row r="26" ht="15" customHeight="1" s="22">
      <c r="A26" s="29" t="inlineStr">
        <is>
          <t>S024</t>
        </is>
      </c>
      <c r="B26" s="29" t="inlineStr">
        <is>
          <t>2025-2026</t>
        </is>
      </c>
      <c r="C26" s="29" t="inlineStr">
        <is>
          <t>1</t>
        </is>
      </c>
      <c r="D26" s="29" t="inlineStr">
        <is>
          <t>Soins infirmiers</t>
        </is>
      </c>
      <c r="E26" s="29" t="inlineStr">
        <is>
          <t>L1</t>
        </is>
      </c>
      <c r="F26" s="29" t="inlineStr">
        <is>
          <t>S.I</t>
        </is>
      </c>
      <c r="G26" s="29" t="inlineStr">
        <is>
          <t>Anatomie des organes de sens</t>
        </is>
      </c>
      <c r="H26" s="29" t="inlineStr">
        <is>
          <t>Irina Ismaïla Abdou</t>
        </is>
      </c>
      <c r="I26" s="29" t="inlineStr"/>
      <c r="J26" s="29" t="inlineStr">
        <is>
          <t>Lundi</t>
        </is>
      </c>
      <c r="K26" s="29" t="inlineStr">
        <is>
          <t>13h00</t>
        </is>
      </c>
      <c r="L26" s="29" t="inlineStr">
        <is>
          <t>15h00</t>
        </is>
      </c>
      <c r="M26" s="29" t="n"/>
      <c r="N26" s="29" t="n">
        <v>4</v>
      </c>
    </row>
    <row r="27" ht="15" customHeight="1" s="22">
      <c r="A27" s="29" t="inlineStr">
        <is>
          <t>S025</t>
        </is>
      </c>
      <c r="B27" s="29" t="inlineStr">
        <is>
          <t>2025-2026</t>
        </is>
      </c>
      <c r="C27" s="29" t="inlineStr">
        <is>
          <t>1</t>
        </is>
      </c>
      <c r="D27" s="29" t="inlineStr">
        <is>
          <t>Soins infirmiers</t>
        </is>
      </c>
      <c r="E27" s="29" t="inlineStr">
        <is>
          <t>L1</t>
        </is>
      </c>
      <c r="F27" s="29" t="inlineStr">
        <is>
          <t>S.I</t>
        </is>
      </c>
      <c r="G27" s="29" t="inlineStr">
        <is>
          <t>Démographie</t>
        </is>
      </c>
      <c r="H27" s="29" t="inlineStr"/>
      <c r="I27" s="29" t="inlineStr"/>
      <c r="J27" s="29" t="inlineStr">
        <is>
          <t>Lundi</t>
        </is>
      </c>
      <c r="K27" s="29" t="inlineStr">
        <is>
          <t>13h00</t>
        </is>
      </c>
      <c r="L27" s="29" t="inlineStr">
        <is>
          <t>15h00</t>
        </is>
      </c>
      <c r="M27" s="29" t="n"/>
      <c r="N27" s="29" t="n">
        <v>14</v>
      </c>
    </row>
    <row r="28" ht="15" customHeight="1" s="22">
      <c r="A28" s="29" t="inlineStr">
        <is>
          <t>S026</t>
        </is>
      </c>
      <c r="B28" s="29" t="inlineStr">
        <is>
          <t>2025-2026</t>
        </is>
      </c>
      <c r="C28" s="29" t="inlineStr">
        <is>
          <t>1</t>
        </is>
      </c>
      <c r="D28" s="29" t="inlineStr">
        <is>
          <t>Soins infirmiers</t>
        </is>
      </c>
      <c r="E28" s="29" t="inlineStr">
        <is>
          <t>L1</t>
        </is>
      </c>
      <c r="F28" s="29" t="inlineStr">
        <is>
          <t>S.I</t>
        </is>
      </c>
      <c r="G28" s="29" t="inlineStr">
        <is>
          <t>L’infirmier dans l’environnement sanitaire</t>
        </is>
      </c>
      <c r="H28" s="29" t="inlineStr"/>
      <c r="I28" s="29" t="inlineStr"/>
      <c r="J28" s="29" t="inlineStr">
        <is>
          <t>Lundi</t>
        </is>
      </c>
      <c r="K28" s="29" t="inlineStr">
        <is>
          <t>13h00</t>
        </is>
      </c>
      <c r="L28" s="29" t="inlineStr">
        <is>
          <t>15h00</t>
        </is>
      </c>
      <c r="M28" s="29" t="n"/>
      <c r="N28" s="29" t="n">
        <v>2</v>
      </c>
    </row>
    <row r="29" ht="15" customHeight="1" s="22">
      <c r="A29" s="29" t="inlineStr">
        <is>
          <t>S027</t>
        </is>
      </c>
      <c r="B29" s="29" t="inlineStr">
        <is>
          <t>2025-2026</t>
        </is>
      </c>
      <c r="C29" s="29" t="inlineStr">
        <is>
          <t>1</t>
        </is>
      </c>
      <c r="D29" s="29" t="inlineStr">
        <is>
          <t>Soins infirmiers</t>
        </is>
      </c>
      <c r="E29" s="29" t="inlineStr">
        <is>
          <t>L1</t>
        </is>
      </c>
      <c r="F29" s="29" t="inlineStr">
        <is>
          <t>S.I</t>
        </is>
      </c>
      <c r="G29" s="29" t="inlineStr">
        <is>
          <t>Perceptions en matière de santé</t>
        </is>
      </c>
      <c r="H29" s="29" t="inlineStr">
        <is>
          <t>Mréha Abdou (Chef de département S.O)</t>
        </is>
      </c>
      <c r="I29" s="29" t="inlineStr"/>
      <c r="J29" s="29" t="inlineStr">
        <is>
          <t>Lundi</t>
        </is>
      </c>
      <c r="K29" s="29" t="inlineStr">
        <is>
          <t>13h00</t>
        </is>
      </c>
      <c r="L29" s="29" t="inlineStr">
        <is>
          <t>15h00</t>
        </is>
      </c>
      <c r="M29" s="29" t="n"/>
      <c r="N29" s="29" t="n">
        <v>2</v>
      </c>
    </row>
    <row r="30" ht="15" customHeight="1" s="22">
      <c r="A30" s="29" t="inlineStr">
        <is>
          <t>S028</t>
        </is>
      </c>
      <c r="B30" s="29" t="inlineStr">
        <is>
          <t>2025-2026</t>
        </is>
      </c>
      <c r="C30" s="29" t="inlineStr">
        <is>
          <t>1</t>
        </is>
      </c>
      <c r="D30" s="29" t="inlineStr">
        <is>
          <t>Soins infirmiers</t>
        </is>
      </c>
      <c r="E30" s="29" t="inlineStr">
        <is>
          <t>L1</t>
        </is>
      </c>
      <c r="F30" s="29" t="inlineStr">
        <is>
          <t>S.I</t>
        </is>
      </c>
      <c r="G30" s="29" t="inlineStr">
        <is>
          <t>TD Disposition d’un environnement sûr</t>
        </is>
      </c>
      <c r="H30" s="29" t="inlineStr"/>
      <c r="I30" s="29" t="inlineStr"/>
      <c r="J30" s="29" t="inlineStr">
        <is>
          <t>Lundi</t>
        </is>
      </c>
      <c r="K30" s="29" t="inlineStr">
        <is>
          <t>13h00</t>
        </is>
      </c>
      <c r="L30" s="29" t="inlineStr">
        <is>
          <t>15h00</t>
        </is>
      </c>
      <c r="M30" s="29" t="n"/>
      <c r="N30" s="29" t="n">
        <v>4</v>
      </c>
    </row>
    <row r="31" ht="15" customHeight="1" s="22">
      <c r="A31" s="29" t="inlineStr">
        <is>
          <t>S029</t>
        </is>
      </c>
      <c r="B31" s="29" t="inlineStr">
        <is>
          <t>2025-2026</t>
        </is>
      </c>
      <c r="C31" s="29" t="inlineStr">
        <is>
          <t>1</t>
        </is>
      </c>
      <c r="D31" s="29" t="inlineStr">
        <is>
          <t>Soins infirmiers</t>
        </is>
      </c>
      <c r="E31" s="29" t="inlineStr">
        <is>
          <t>L1</t>
        </is>
      </c>
      <c r="F31" s="29" t="inlineStr">
        <is>
          <t>S.I</t>
        </is>
      </c>
      <c r="G31" s="29" t="inlineStr">
        <is>
          <t>TD Perceptions en matière de santé</t>
        </is>
      </c>
      <c r="H31" s="29" t="inlineStr"/>
      <c r="I31" s="29" t="inlineStr"/>
      <c r="J31" s="29" t="inlineStr">
        <is>
          <t>Lundi</t>
        </is>
      </c>
      <c r="K31" s="29" t="inlineStr">
        <is>
          <t>13h00</t>
        </is>
      </c>
      <c r="L31" s="29" t="inlineStr">
        <is>
          <t>15h00</t>
        </is>
      </c>
      <c r="M31" s="29" t="n"/>
      <c r="N31" s="29" t="n">
        <v>2</v>
      </c>
    </row>
    <row r="32" ht="15" customHeight="1" s="22">
      <c r="A32" s="29" t="inlineStr">
        <is>
          <t>S030</t>
        </is>
      </c>
      <c r="B32" s="29" t="inlineStr">
        <is>
          <t>2025-2026</t>
        </is>
      </c>
      <c r="C32" s="29" t="inlineStr">
        <is>
          <t>1</t>
        </is>
      </c>
      <c r="D32" s="29" t="inlineStr">
        <is>
          <t>Soins infirmiers</t>
        </is>
      </c>
      <c r="E32" s="29" t="inlineStr">
        <is>
          <t>L1</t>
        </is>
      </c>
      <c r="F32" s="29" t="inlineStr">
        <is>
          <t>S.I</t>
        </is>
      </c>
      <c r="G32" s="29" t="inlineStr">
        <is>
          <t>Appareil urogénital</t>
        </is>
      </c>
      <c r="H32" s="29" t="inlineStr"/>
      <c r="I32" s="29" t="inlineStr"/>
      <c r="J32" s="29" t="inlineStr">
        <is>
          <t>Lundi</t>
        </is>
      </c>
      <c r="K32" s="29" t="inlineStr">
        <is>
          <t>15h05</t>
        </is>
      </c>
      <c r="L32" s="29" t="inlineStr">
        <is>
          <t>17h05</t>
        </is>
      </c>
      <c r="M32" s="29" t="n"/>
      <c r="N32" s="29" t="n">
        <v>8</v>
      </c>
    </row>
    <row r="33" ht="15" customHeight="1" s="22">
      <c r="A33" s="29" t="inlineStr">
        <is>
          <t>S031</t>
        </is>
      </c>
      <c r="B33" s="29" t="inlineStr">
        <is>
          <t>2025-2026</t>
        </is>
      </c>
      <c r="C33" s="29" t="inlineStr">
        <is>
          <t>1</t>
        </is>
      </c>
      <c r="D33" s="29" t="inlineStr">
        <is>
          <t>Soins infirmiers</t>
        </is>
      </c>
      <c r="E33" s="29" t="inlineStr">
        <is>
          <t>L1</t>
        </is>
      </c>
      <c r="F33" s="29" t="inlineStr">
        <is>
          <t>S.I</t>
        </is>
      </c>
      <c r="G33" s="29" t="inlineStr">
        <is>
          <t>Communication</t>
        </is>
      </c>
      <c r="H33" s="29" t="inlineStr"/>
      <c r="I33" s="29" t="inlineStr"/>
      <c r="J33" s="29" t="inlineStr">
        <is>
          <t>Lundi</t>
        </is>
      </c>
      <c r="K33" s="29" t="inlineStr">
        <is>
          <t>15h05</t>
        </is>
      </c>
      <c r="L33" s="29" t="inlineStr">
        <is>
          <t>17h05</t>
        </is>
      </c>
      <c r="M33" s="29" t="n"/>
      <c r="N33" s="29" t="n">
        <v>10</v>
      </c>
    </row>
    <row r="34" ht="15" customHeight="1" s="22">
      <c r="A34" s="29" t="inlineStr">
        <is>
          <t>S032</t>
        </is>
      </c>
      <c r="B34" s="29" t="inlineStr">
        <is>
          <t>2025-2026</t>
        </is>
      </c>
      <c r="C34" s="29" t="inlineStr">
        <is>
          <t>1</t>
        </is>
      </c>
      <c r="D34" s="29" t="inlineStr">
        <is>
          <t>Soins infirmiers</t>
        </is>
      </c>
      <c r="E34" s="29" t="inlineStr">
        <is>
          <t>L1</t>
        </is>
      </c>
      <c r="F34" s="29" t="inlineStr">
        <is>
          <t>S.I</t>
        </is>
      </c>
      <c r="G34" s="29" t="inlineStr">
        <is>
          <t>Epidémiologie</t>
        </is>
      </c>
      <c r="H34" s="29" t="inlineStr"/>
      <c r="I34" s="29" t="inlineStr"/>
      <c r="J34" s="29" t="inlineStr">
        <is>
          <t>Lundi</t>
        </is>
      </c>
      <c r="K34" s="29" t="inlineStr">
        <is>
          <t>15h05</t>
        </is>
      </c>
      <c r="L34" s="29" t="inlineStr">
        <is>
          <t>17h05</t>
        </is>
      </c>
      <c r="M34" s="29" t="n"/>
      <c r="N34" s="29" t="n">
        <v>2</v>
      </c>
    </row>
    <row r="35" ht="15" customHeight="1" s="22">
      <c r="A35" s="29" t="inlineStr">
        <is>
          <t>S033</t>
        </is>
      </c>
      <c r="B35" s="29" t="inlineStr">
        <is>
          <t>2025-2026</t>
        </is>
      </c>
      <c r="C35" s="29" t="inlineStr">
        <is>
          <t>1</t>
        </is>
      </c>
      <c r="D35" s="29" t="inlineStr">
        <is>
          <t>Soins infirmiers</t>
        </is>
      </c>
      <c r="E35" s="29" t="inlineStr">
        <is>
          <t>L1</t>
        </is>
      </c>
      <c r="F35" s="29" t="inlineStr">
        <is>
          <t>S.I</t>
        </is>
      </c>
      <c r="G35" s="29" t="inlineStr">
        <is>
          <t>Methodes statistiques</t>
        </is>
      </c>
      <c r="H35" s="29" t="inlineStr"/>
      <c r="I35" s="29" t="inlineStr"/>
      <c r="J35" s="29" t="inlineStr">
        <is>
          <t>Lundi</t>
        </is>
      </c>
      <c r="K35" s="29" t="inlineStr">
        <is>
          <t>15h05</t>
        </is>
      </c>
      <c r="L35" s="29" t="inlineStr">
        <is>
          <t>17h05</t>
        </is>
      </c>
      <c r="M35" s="29" t="n"/>
      <c r="N35" s="29" t="n">
        <v>2</v>
      </c>
    </row>
    <row r="36" ht="15" customHeight="1" s="22">
      <c r="A36" s="29" t="inlineStr">
        <is>
          <t>S034</t>
        </is>
      </c>
      <c r="B36" s="29" t="inlineStr">
        <is>
          <t>2025-2026</t>
        </is>
      </c>
      <c r="C36" s="29" t="inlineStr">
        <is>
          <t>1</t>
        </is>
      </c>
      <c r="D36" s="29" t="inlineStr">
        <is>
          <t>Soins infirmiers</t>
        </is>
      </c>
      <c r="E36" s="29" t="inlineStr">
        <is>
          <t>L1</t>
        </is>
      </c>
      <c r="F36" s="29" t="inlineStr">
        <is>
          <t>S.I</t>
        </is>
      </c>
      <c r="G36" s="29" t="inlineStr">
        <is>
          <t>Sémiologie médicochirurgicale</t>
        </is>
      </c>
      <c r="H36" s="29" t="inlineStr"/>
      <c r="I36" s="29" t="inlineStr"/>
      <c r="J36" s="29" t="inlineStr">
        <is>
          <t>Lundi</t>
        </is>
      </c>
      <c r="K36" s="29" t="inlineStr">
        <is>
          <t>15h05</t>
        </is>
      </c>
      <c r="L36" s="29" t="inlineStr">
        <is>
          <t>17h05</t>
        </is>
      </c>
      <c r="M36" s="29" t="n"/>
      <c r="N36" s="29" t="n">
        <v>2</v>
      </c>
    </row>
    <row r="37" ht="15" customHeight="1" s="22">
      <c r="A37" s="29" t="inlineStr">
        <is>
          <t>S035</t>
        </is>
      </c>
      <c r="B37" s="29" t="inlineStr">
        <is>
          <t>2025-2026</t>
        </is>
      </c>
      <c r="C37" s="29" t="inlineStr">
        <is>
          <t>1</t>
        </is>
      </c>
      <c r="D37" s="29" t="inlineStr">
        <is>
          <t>Soins infirmiers</t>
        </is>
      </c>
      <c r="E37" s="29" t="inlineStr">
        <is>
          <t>L1</t>
        </is>
      </c>
      <c r="F37" s="29" t="inlineStr">
        <is>
          <t>S.I</t>
        </is>
      </c>
      <c r="G37" s="29" t="inlineStr">
        <is>
          <t>TD Théories, modèles et interaction</t>
        </is>
      </c>
      <c r="H37" s="29" t="inlineStr"/>
      <c r="I37" s="29" t="inlineStr"/>
      <c r="J37" s="29" t="inlineStr">
        <is>
          <t>Lundi</t>
        </is>
      </c>
      <c r="K37" s="29" t="inlineStr">
        <is>
          <t>15h05</t>
        </is>
      </c>
      <c r="L37" s="29" t="inlineStr">
        <is>
          <t>17h05</t>
        </is>
      </c>
      <c r="M37" s="29" t="n"/>
      <c r="N37" s="29" t="n">
        <v>2</v>
      </c>
    </row>
    <row r="38" ht="15" customHeight="1" s="22">
      <c r="A38" s="29" t="inlineStr">
        <is>
          <t>S036</t>
        </is>
      </c>
      <c r="B38" s="29" t="inlineStr">
        <is>
          <t>2025-2026</t>
        </is>
      </c>
      <c r="C38" s="29" t="inlineStr">
        <is>
          <t>1</t>
        </is>
      </c>
      <c r="D38" s="29" t="inlineStr">
        <is>
          <t>Soins infirmiers</t>
        </is>
      </c>
      <c r="E38" s="29" t="inlineStr">
        <is>
          <t>L1</t>
        </is>
      </c>
      <c r="F38" s="29" t="inlineStr">
        <is>
          <t>S.I</t>
        </is>
      </c>
      <c r="G38" s="29" t="inlineStr">
        <is>
          <t>Théories, modèles et interaction</t>
        </is>
      </c>
      <c r="H38" s="29" t="inlineStr"/>
      <c r="I38" s="29" t="inlineStr"/>
      <c r="J38" s="29" t="inlineStr">
        <is>
          <t>Lundi</t>
        </is>
      </c>
      <c r="K38" s="29" t="inlineStr">
        <is>
          <t>15h05</t>
        </is>
      </c>
      <c r="L38" s="29" t="inlineStr">
        <is>
          <t>17h05</t>
        </is>
      </c>
      <c r="M38" s="29" t="n"/>
      <c r="N38" s="29" t="n">
        <v>2</v>
      </c>
    </row>
    <row r="39" ht="15" customHeight="1" s="22">
      <c r="A39" s="29" t="inlineStr">
        <is>
          <t>S037</t>
        </is>
      </c>
      <c r="B39" s="29" t="inlineStr">
        <is>
          <t>2025-2026</t>
        </is>
      </c>
      <c r="C39" s="29" t="inlineStr">
        <is>
          <t>1</t>
        </is>
      </c>
      <c r="D39" s="29" t="inlineStr">
        <is>
          <t>Soins infirmiers</t>
        </is>
      </c>
      <c r="E39" s="29" t="inlineStr">
        <is>
          <t>L1</t>
        </is>
      </c>
      <c r="F39" s="29" t="inlineStr">
        <is>
          <t>S.I</t>
        </is>
      </c>
      <c r="G39" s="29" t="inlineStr">
        <is>
          <t>Anatomie des organes de sens</t>
        </is>
      </c>
      <c r="H39" s="29" t="inlineStr">
        <is>
          <t>Irina Ismaïla Abdou</t>
        </is>
      </c>
      <c r="I39" s="29" t="inlineStr"/>
      <c r="J39" s="29" t="inlineStr">
        <is>
          <t>Lundi</t>
        </is>
      </c>
      <c r="K39" s="29" t="inlineStr">
        <is>
          <t>8h00</t>
        </is>
      </c>
      <c r="L39" s="29" t="inlineStr">
        <is>
          <t>10h00</t>
        </is>
      </c>
      <c r="M39" s="29" t="n"/>
      <c r="N39" s="29" t="n">
        <v>4</v>
      </c>
    </row>
    <row r="40" ht="15" customHeight="1" s="22">
      <c r="A40" s="29" t="inlineStr">
        <is>
          <t>S038</t>
        </is>
      </c>
      <c r="B40" s="29" t="inlineStr">
        <is>
          <t>2025-2026</t>
        </is>
      </c>
      <c r="C40" s="29" t="inlineStr">
        <is>
          <t>1</t>
        </is>
      </c>
      <c r="D40" s="29" t="inlineStr">
        <is>
          <t>Soins infirmiers</t>
        </is>
      </c>
      <c r="E40" s="29" t="inlineStr">
        <is>
          <t>L1</t>
        </is>
      </c>
      <c r="F40" s="29" t="inlineStr">
        <is>
          <t>S.I</t>
        </is>
      </c>
      <c r="G40" s="29" t="inlineStr">
        <is>
          <t>Contrôle Anatomie du système Respiratoire et digestif</t>
        </is>
      </c>
      <c r="H40" s="29" t="inlineStr"/>
      <c r="I40" s="29" t="inlineStr"/>
      <c r="J40" s="29" t="inlineStr">
        <is>
          <t>Lundi</t>
        </is>
      </c>
      <c r="K40" s="29" t="inlineStr">
        <is>
          <t>8h00</t>
        </is>
      </c>
      <c r="L40" s="29" t="inlineStr">
        <is>
          <t>10h00</t>
        </is>
      </c>
      <c r="M40" s="29" t="n"/>
      <c r="N40" s="29" t="n">
        <v>2</v>
      </c>
    </row>
    <row r="41" ht="15" customHeight="1" s="22">
      <c r="A41" s="29" t="inlineStr">
        <is>
          <t>S039</t>
        </is>
      </c>
      <c r="B41" s="29" t="inlineStr">
        <is>
          <t>2025-2026</t>
        </is>
      </c>
      <c r="C41" s="29" t="inlineStr">
        <is>
          <t>1</t>
        </is>
      </c>
      <c r="D41" s="29" t="inlineStr">
        <is>
          <t>Soins infirmiers</t>
        </is>
      </c>
      <c r="E41" s="29" t="inlineStr">
        <is>
          <t>L1</t>
        </is>
      </c>
      <c r="F41" s="29" t="inlineStr">
        <is>
          <t>S.I</t>
        </is>
      </c>
      <c r="G41" s="29" t="inlineStr">
        <is>
          <t>Contrôle Généralités sur la pharmacologie</t>
        </is>
      </c>
      <c r="H41" s="29" t="inlineStr"/>
      <c r="I41" s="29" t="inlineStr"/>
      <c r="J41" s="29" t="inlineStr">
        <is>
          <t>Lundi</t>
        </is>
      </c>
      <c r="K41" s="29" t="inlineStr">
        <is>
          <t>8h00</t>
        </is>
      </c>
      <c r="L41" s="29" t="inlineStr">
        <is>
          <t>10h00</t>
        </is>
      </c>
      <c r="M41" s="29" t="n"/>
      <c r="N41" s="29" t="n">
        <v>2</v>
      </c>
    </row>
    <row r="42" ht="15" customHeight="1" s="22">
      <c r="A42" s="29" t="inlineStr">
        <is>
          <t>S040</t>
        </is>
      </c>
      <c r="B42" s="29" t="inlineStr">
        <is>
          <t>2025-2026</t>
        </is>
      </c>
      <c r="C42" s="29" t="inlineStr">
        <is>
          <t>1</t>
        </is>
      </c>
      <c r="D42" s="29" t="inlineStr">
        <is>
          <t>Soins infirmiers</t>
        </is>
      </c>
      <c r="E42" s="29" t="inlineStr">
        <is>
          <t>L1</t>
        </is>
      </c>
      <c r="F42" s="29" t="inlineStr">
        <is>
          <t>S.I</t>
        </is>
      </c>
      <c r="G42" s="29" t="inlineStr">
        <is>
          <t>Immunité</t>
        </is>
      </c>
      <c r="H42" s="29" t="inlineStr"/>
      <c r="I42" s="29" t="inlineStr"/>
      <c r="J42" s="29" t="inlineStr">
        <is>
          <t>Lundi</t>
        </is>
      </c>
      <c r="K42" s="29" t="inlineStr">
        <is>
          <t>8h00</t>
        </is>
      </c>
      <c r="L42" s="29" t="inlineStr">
        <is>
          <t>10h00</t>
        </is>
      </c>
      <c r="M42" s="29" t="n"/>
      <c r="N42" s="29" t="n">
        <v>2</v>
      </c>
    </row>
    <row r="43" ht="15" customHeight="1" s="22">
      <c r="A43" s="29" t="inlineStr">
        <is>
          <t>S041</t>
        </is>
      </c>
      <c r="B43" s="29" t="inlineStr">
        <is>
          <t>2025-2026</t>
        </is>
      </c>
      <c r="C43" s="29" t="inlineStr">
        <is>
          <t>1</t>
        </is>
      </c>
      <c r="D43" s="29" t="inlineStr">
        <is>
          <t>Soins infirmiers</t>
        </is>
      </c>
      <c r="E43" s="29" t="inlineStr">
        <is>
          <t>L1</t>
        </is>
      </c>
      <c r="F43" s="29" t="inlineStr">
        <is>
          <t>S.I</t>
        </is>
      </c>
      <c r="G43" s="29" t="inlineStr">
        <is>
          <t>Santé et environnement</t>
        </is>
      </c>
      <c r="H43" s="29" t="inlineStr">
        <is>
          <t>Soudjay Mohamed</t>
        </is>
      </c>
      <c r="I43" s="29" t="inlineStr"/>
      <c r="J43" s="29" t="inlineStr">
        <is>
          <t>Lundi</t>
        </is>
      </c>
      <c r="K43" s="29" t="inlineStr">
        <is>
          <t>8h00</t>
        </is>
      </c>
      <c r="L43" s="29" t="inlineStr">
        <is>
          <t>10h00</t>
        </is>
      </c>
      <c r="M43" s="29" t="n"/>
      <c r="N43" s="29" t="n">
        <v>4</v>
      </c>
    </row>
    <row r="44" ht="15" customHeight="1" s="22">
      <c r="A44" s="29" t="inlineStr">
        <is>
          <t>S042</t>
        </is>
      </c>
      <c r="B44" s="29" t="inlineStr">
        <is>
          <t>2025-2026</t>
        </is>
      </c>
      <c r="C44" s="29" t="inlineStr">
        <is>
          <t>1</t>
        </is>
      </c>
      <c r="D44" s="29" t="inlineStr">
        <is>
          <t>Soins infirmiers</t>
        </is>
      </c>
      <c r="E44" s="29" t="inlineStr">
        <is>
          <t>L1</t>
        </is>
      </c>
      <c r="F44" s="29" t="inlineStr">
        <is>
          <t>S.I</t>
        </is>
      </c>
      <c r="G44" s="29" t="inlineStr">
        <is>
          <t>Sémiologie médicochirurgicale</t>
        </is>
      </c>
      <c r="H44" s="29" t="inlineStr"/>
      <c r="I44" s="29" t="inlineStr"/>
      <c r="J44" s="29" t="inlineStr">
        <is>
          <t>Lundi</t>
        </is>
      </c>
      <c r="K44" s="29" t="inlineStr">
        <is>
          <t>8h00</t>
        </is>
      </c>
      <c r="L44" s="29" t="inlineStr">
        <is>
          <t>10h00</t>
        </is>
      </c>
      <c r="M44" s="29" t="n"/>
      <c r="N44" s="29" t="n">
        <v>2</v>
      </c>
    </row>
    <row r="45" ht="15" customHeight="1" s="22">
      <c r="A45" s="29" t="inlineStr">
        <is>
          <t>S043</t>
        </is>
      </c>
      <c r="B45" s="29" t="inlineStr">
        <is>
          <t>2025-2026</t>
        </is>
      </c>
      <c r="C45" s="29" t="inlineStr">
        <is>
          <t>1</t>
        </is>
      </c>
      <c r="D45" s="29" t="inlineStr">
        <is>
          <t>Soins infirmiers</t>
        </is>
      </c>
      <c r="E45" s="29" t="inlineStr">
        <is>
          <t>L1</t>
        </is>
      </c>
      <c r="F45" s="29" t="inlineStr">
        <is>
          <t>S.I</t>
        </is>
      </c>
      <c r="G45" s="29" t="inlineStr">
        <is>
          <t>TD  L’infirmier dans l’environnement sanitaire</t>
        </is>
      </c>
      <c r="H45" s="29" t="inlineStr"/>
      <c r="I45" s="29" t="inlineStr"/>
      <c r="J45" s="29" t="inlineStr">
        <is>
          <t>Lundi</t>
        </is>
      </c>
      <c r="K45" s="29" t="inlineStr">
        <is>
          <t>8h00</t>
        </is>
      </c>
      <c r="L45" s="29" t="inlineStr">
        <is>
          <t>10h00</t>
        </is>
      </c>
      <c r="M45" s="29" t="n"/>
      <c r="N45" s="29" t="n">
        <v>2</v>
      </c>
    </row>
    <row r="46" ht="15" customHeight="1" s="22">
      <c r="A46" s="29" t="inlineStr">
        <is>
          <t>S044</t>
        </is>
      </c>
      <c r="B46" s="29" t="inlineStr">
        <is>
          <t>2025-2026</t>
        </is>
      </c>
      <c r="C46" s="29" t="inlineStr">
        <is>
          <t>1</t>
        </is>
      </c>
      <c r="D46" s="29" t="inlineStr">
        <is>
          <t>Soins infirmiers</t>
        </is>
      </c>
      <c r="E46" s="29" t="inlineStr">
        <is>
          <t>L1</t>
        </is>
      </c>
      <c r="F46" s="29" t="inlineStr">
        <is>
          <t>S.I</t>
        </is>
      </c>
      <c r="G46" s="29" t="inlineStr">
        <is>
          <t>TD Anatomie  du système digestif</t>
        </is>
      </c>
      <c r="H46" s="29" t="inlineStr"/>
      <c r="I46" s="29" t="inlineStr"/>
      <c r="J46" s="29" t="inlineStr">
        <is>
          <t>Lundi</t>
        </is>
      </c>
      <c r="K46" s="29" t="inlineStr">
        <is>
          <t>8h00</t>
        </is>
      </c>
      <c r="L46" s="29" t="inlineStr">
        <is>
          <t>10h00</t>
        </is>
      </c>
      <c r="M46" s="29" t="n"/>
      <c r="N46" s="29" t="n">
        <v>2</v>
      </c>
    </row>
    <row r="47" ht="15" customHeight="1" s="22">
      <c r="A47" s="29" t="inlineStr">
        <is>
          <t>S045</t>
        </is>
      </c>
      <c r="B47" s="29" t="inlineStr">
        <is>
          <t>2025-2026</t>
        </is>
      </c>
      <c r="C47" s="29" t="inlineStr">
        <is>
          <t>1</t>
        </is>
      </c>
      <c r="D47" s="29" t="inlineStr">
        <is>
          <t>Soins infirmiers</t>
        </is>
      </c>
      <c r="E47" s="29" t="inlineStr">
        <is>
          <t>L1</t>
        </is>
      </c>
      <c r="F47" s="29" t="inlineStr">
        <is>
          <t>S.I</t>
        </is>
      </c>
      <c r="G47" s="29" t="inlineStr">
        <is>
          <t>TD Besoins fondamentaux du patient</t>
        </is>
      </c>
      <c r="H47" s="29" t="inlineStr"/>
      <c r="I47" s="29" t="inlineStr"/>
      <c r="J47" s="29" t="inlineStr">
        <is>
          <t>Lundi</t>
        </is>
      </c>
      <c r="K47" s="29" t="inlineStr">
        <is>
          <t>8h00</t>
        </is>
      </c>
      <c r="L47" s="29" t="inlineStr">
        <is>
          <t>10h00</t>
        </is>
      </c>
      <c r="M47" s="29" t="n"/>
      <c r="N47" s="29" t="n">
        <v>2</v>
      </c>
    </row>
    <row r="48" ht="15" customHeight="1" s="22">
      <c r="A48" s="29" t="inlineStr">
        <is>
          <t>S046</t>
        </is>
      </c>
      <c r="B48" s="29" t="inlineStr">
        <is>
          <t>2025-2026</t>
        </is>
      </c>
      <c r="C48" s="29" t="inlineStr">
        <is>
          <t>1</t>
        </is>
      </c>
      <c r="D48" s="29" t="inlineStr">
        <is>
          <t>Soins infirmiers</t>
        </is>
      </c>
      <c r="E48" s="29" t="inlineStr">
        <is>
          <t>L1</t>
        </is>
      </c>
      <c r="F48" s="29" t="inlineStr">
        <is>
          <t>S.I</t>
        </is>
      </c>
      <c r="G48" s="29" t="inlineStr">
        <is>
          <t>TD Immunité</t>
        </is>
      </c>
      <c r="H48" s="29" t="inlineStr"/>
      <c r="I48" s="29" t="inlineStr"/>
      <c r="J48" s="29" t="inlineStr">
        <is>
          <t>Lundi</t>
        </is>
      </c>
      <c r="K48" s="29" t="inlineStr">
        <is>
          <t>8h00</t>
        </is>
      </c>
      <c r="L48" s="29" t="inlineStr">
        <is>
          <t>10h00</t>
        </is>
      </c>
      <c r="M48" s="29" t="n"/>
      <c r="N48" s="29" t="n">
        <v>2</v>
      </c>
    </row>
    <row r="49" ht="15" customHeight="1" s="22">
      <c r="A49" s="29" t="inlineStr">
        <is>
          <t>S047</t>
        </is>
      </c>
      <c r="B49" s="29" t="inlineStr">
        <is>
          <t>2025-2026</t>
        </is>
      </c>
      <c r="C49" s="29" t="inlineStr">
        <is>
          <t>1</t>
        </is>
      </c>
      <c r="D49" s="29" t="inlineStr">
        <is>
          <t>Soins infirmiers</t>
        </is>
      </c>
      <c r="E49" s="29" t="inlineStr">
        <is>
          <t>L1</t>
        </is>
      </c>
      <c r="F49" s="29" t="inlineStr">
        <is>
          <t>S.I</t>
        </is>
      </c>
      <c r="G49" s="29" t="inlineStr">
        <is>
          <t>TD Santé et environnement</t>
        </is>
      </c>
      <c r="H49" s="29" t="inlineStr"/>
      <c r="I49" s="29" t="inlineStr"/>
      <c r="J49" s="29" t="inlineStr">
        <is>
          <t>Lundi</t>
        </is>
      </c>
      <c r="K49" s="29" t="inlineStr">
        <is>
          <t>8h00</t>
        </is>
      </c>
      <c r="L49" s="29" t="inlineStr">
        <is>
          <t>10h00</t>
        </is>
      </c>
      <c r="M49" s="29" t="n"/>
      <c r="N49" s="29" t="n">
        <v>2</v>
      </c>
    </row>
    <row r="50" ht="15" customHeight="1" s="22">
      <c r="A50" s="29" t="inlineStr">
        <is>
          <t>S048</t>
        </is>
      </c>
      <c r="B50" s="29" t="inlineStr">
        <is>
          <t>2025-2026</t>
        </is>
      </c>
      <c r="C50" s="29" t="inlineStr">
        <is>
          <t>1</t>
        </is>
      </c>
      <c r="D50" s="29" t="inlineStr">
        <is>
          <t>Soins infirmiers</t>
        </is>
      </c>
      <c r="E50" s="29" t="inlineStr">
        <is>
          <t>L1</t>
        </is>
      </c>
      <c r="F50" s="29" t="inlineStr">
        <is>
          <t>S.I</t>
        </is>
      </c>
      <c r="G50" s="29" t="inlineStr">
        <is>
          <t>contrôle Anatomie des organes de sens et système nerveux</t>
        </is>
      </c>
      <c r="H50" s="29" t="inlineStr"/>
      <c r="I50" s="29" t="inlineStr"/>
      <c r="J50" s="29" t="inlineStr">
        <is>
          <t>Lundi</t>
        </is>
      </c>
      <c r="K50" s="29" t="inlineStr">
        <is>
          <t>8h00</t>
        </is>
      </c>
      <c r="L50" s="29" t="inlineStr">
        <is>
          <t>10h00</t>
        </is>
      </c>
      <c r="M50" s="29" t="n"/>
      <c r="N50" s="29" t="n">
        <v>2</v>
      </c>
    </row>
    <row r="51" ht="15" customHeight="1" s="22">
      <c r="A51" s="29" t="inlineStr">
        <is>
          <t>S049</t>
        </is>
      </c>
      <c r="B51" s="29" t="inlineStr">
        <is>
          <t>2025-2026</t>
        </is>
      </c>
      <c r="C51" s="29" t="inlineStr">
        <is>
          <t>1</t>
        </is>
      </c>
      <c r="D51" s="29" t="inlineStr">
        <is>
          <t>Soins infirmiers</t>
        </is>
      </c>
      <c r="E51" s="29" t="inlineStr">
        <is>
          <t>L1</t>
        </is>
      </c>
      <c r="F51" s="29" t="inlineStr">
        <is>
          <t>S.I</t>
        </is>
      </c>
      <c r="G51" s="29" t="inlineStr">
        <is>
          <t>Biochimie</t>
        </is>
      </c>
      <c r="H51" s="29" t="inlineStr"/>
      <c r="I51" s="29" t="inlineStr"/>
      <c r="J51" s="29" t="inlineStr">
        <is>
          <t>Mardi</t>
        </is>
      </c>
      <c r="K51" s="29" t="inlineStr">
        <is>
          <t>10h05</t>
        </is>
      </c>
      <c r="L51" s="29" t="inlineStr">
        <is>
          <t>12h05</t>
        </is>
      </c>
      <c r="M51" s="29" t="n"/>
      <c r="N51" s="29" t="n">
        <v>30</v>
      </c>
    </row>
    <row r="52" ht="15" customHeight="1" s="22">
      <c r="A52" s="29" t="inlineStr">
        <is>
          <t>S050</t>
        </is>
      </c>
      <c r="B52" s="29" t="inlineStr">
        <is>
          <t>2025-2026</t>
        </is>
      </c>
      <c r="C52" s="29" t="inlineStr">
        <is>
          <t>1</t>
        </is>
      </c>
      <c r="D52" s="29" t="inlineStr">
        <is>
          <t>Soins infirmiers</t>
        </is>
      </c>
      <c r="E52" s="29" t="inlineStr">
        <is>
          <t>L1</t>
        </is>
      </c>
      <c r="F52" s="29" t="inlineStr">
        <is>
          <t>S.I</t>
        </is>
      </c>
      <c r="G52" s="29" t="inlineStr">
        <is>
          <t>Généralité sur la SP/SC</t>
        </is>
      </c>
      <c r="H52" s="29" t="inlineStr">
        <is>
          <t>Anne Beugny</t>
        </is>
      </c>
      <c r="I52" s="29" t="inlineStr"/>
      <c r="J52" s="29" t="inlineStr">
        <is>
          <t>Mardi</t>
        </is>
      </c>
      <c r="K52" s="29" t="inlineStr">
        <is>
          <t>13h00</t>
        </is>
      </c>
      <c r="L52" s="29" t="inlineStr">
        <is>
          <t>15h00</t>
        </is>
      </c>
      <c r="M52" s="29" t="n"/>
      <c r="N52" s="29" t="n">
        <v>12</v>
      </c>
    </row>
    <row r="53" ht="15" customHeight="1" s="22">
      <c r="A53" s="29" t="inlineStr">
        <is>
          <t>S051</t>
        </is>
      </c>
      <c r="B53" s="29" t="inlineStr">
        <is>
          <t>2025-2026</t>
        </is>
      </c>
      <c r="C53" s="29" t="inlineStr">
        <is>
          <t>1</t>
        </is>
      </c>
      <c r="D53" s="29" t="inlineStr">
        <is>
          <t>Soins infirmiers</t>
        </is>
      </c>
      <c r="E53" s="29" t="inlineStr">
        <is>
          <t>L1</t>
        </is>
      </c>
      <c r="F53" s="29" t="inlineStr">
        <is>
          <t>S.I</t>
        </is>
      </c>
      <c r="G53" s="29" t="inlineStr">
        <is>
          <t>Système de disoense de soins aux Comores</t>
        </is>
      </c>
      <c r="H53" s="29" t="inlineStr"/>
      <c r="I53" s="29" t="inlineStr"/>
      <c r="J53" s="29" t="inlineStr">
        <is>
          <t>Mardi</t>
        </is>
      </c>
      <c r="K53" s="29" t="inlineStr">
        <is>
          <t>13h00</t>
        </is>
      </c>
      <c r="L53" s="29" t="inlineStr">
        <is>
          <t>15h00</t>
        </is>
      </c>
      <c r="M53" s="29" t="n"/>
      <c r="N53" s="29" t="n">
        <v>4</v>
      </c>
    </row>
    <row r="54" ht="15" customHeight="1" s="22">
      <c r="A54" s="29" t="inlineStr">
        <is>
          <t>S052</t>
        </is>
      </c>
      <c r="B54" s="29" t="inlineStr">
        <is>
          <t>2025-2026</t>
        </is>
      </c>
      <c r="C54" s="29" t="inlineStr">
        <is>
          <t>1</t>
        </is>
      </c>
      <c r="D54" s="29" t="inlineStr">
        <is>
          <t>Soins infirmiers</t>
        </is>
      </c>
      <c r="E54" s="29" t="inlineStr">
        <is>
          <t>L1</t>
        </is>
      </c>
      <c r="F54" s="29" t="inlineStr">
        <is>
          <t>S.I</t>
        </is>
      </c>
      <c r="G54" s="29" t="inlineStr">
        <is>
          <t>Sémiologie médicochirurgicale</t>
        </is>
      </c>
      <c r="H54" s="29" t="inlineStr"/>
      <c r="I54" s="29" t="inlineStr"/>
      <c r="J54" s="29" t="inlineStr">
        <is>
          <t>Mardi</t>
        </is>
      </c>
      <c r="K54" s="29" t="inlineStr">
        <is>
          <t>13h00</t>
        </is>
      </c>
      <c r="L54" s="29" t="inlineStr">
        <is>
          <t>15h00</t>
        </is>
      </c>
      <c r="M54" s="29" t="n"/>
      <c r="N54" s="29" t="n">
        <v>12</v>
      </c>
    </row>
    <row r="55" ht="15" customHeight="1" s="22">
      <c r="A55" s="29" t="inlineStr">
        <is>
          <t>S053</t>
        </is>
      </c>
      <c r="B55" s="29" t="inlineStr">
        <is>
          <t>2025-2026</t>
        </is>
      </c>
      <c r="C55" s="29" t="inlineStr">
        <is>
          <t>1</t>
        </is>
      </c>
      <c r="D55" s="29" t="inlineStr">
        <is>
          <t>Soins infirmiers</t>
        </is>
      </c>
      <c r="E55" s="29" t="inlineStr">
        <is>
          <t>L1</t>
        </is>
      </c>
      <c r="F55" s="29" t="inlineStr">
        <is>
          <t>S.I</t>
        </is>
      </c>
      <c r="G55" s="29" t="inlineStr">
        <is>
          <t>TD Système de dispense de soins aux Comores</t>
        </is>
      </c>
      <c r="H55" s="29" t="inlineStr"/>
      <c r="I55" s="29" t="inlineStr"/>
      <c r="J55" s="29" t="inlineStr">
        <is>
          <t>Mardi</t>
        </is>
      </c>
      <c r="K55" s="29" t="inlineStr">
        <is>
          <t>13h00</t>
        </is>
      </c>
      <c r="L55" s="29" t="inlineStr">
        <is>
          <t>15h00</t>
        </is>
      </c>
      <c r="M55" s="29" t="n"/>
      <c r="N55" s="29" t="n">
        <v>2</v>
      </c>
    </row>
    <row r="56" ht="15" customHeight="1" s="22">
      <c r="A56" s="29" t="inlineStr">
        <is>
          <t>S054</t>
        </is>
      </c>
      <c r="B56" s="29" t="inlineStr">
        <is>
          <t>2025-2026</t>
        </is>
      </c>
      <c r="C56" s="29" t="inlineStr">
        <is>
          <t>1</t>
        </is>
      </c>
      <c r="D56" s="29" t="inlineStr">
        <is>
          <t>Soins infirmiers</t>
        </is>
      </c>
      <c r="E56" s="29" t="inlineStr">
        <is>
          <t>L1</t>
        </is>
      </c>
      <c r="F56" s="29" t="inlineStr">
        <is>
          <t>S.I</t>
        </is>
      </c>
      <c r="G56" s="29" t="inlineStr">
        <is>
          <t>Appareil urogénital</t>
        </is>
      </c>
      <c r="H56" s="29" t="inlineStr"/>
      <c r="I56" s="29" t="inlineStr"/>
      <c r="J56" s="29" t="inlineStr">
        <is>
          <t>Mardi</t>
        </is>
      </c>
      <c r="K56" s="29" t="inlineStr">
        <is>
          <t>15h05</t>
        </is>
      </c>
      <c r="L56" s="29" t="inlineStr">
        <is>
          <t>17h05</t>
        </is>
      </c>
      <c r="M56" s="29" t="n"/>
      <c r="N56" s="29" t="n">
        <v>6</v>
      </c>
    </row>
    <row r="57" ht="15" customHeight="1" s="22">
      <c r="A57" s="29" t="inlineStr">
        <is>
          <t>S055</t>
        </is>
      </c>
      <c r="B57" s="29" t="inlineStr">
        <is>
          <t>2025-2026</t>
        </is>
      </c>
      <c r="C57" s="29" t="inlineStr">
        <is>
          <t>1</t>
        </is>
      </c>
      <c r="D57" s="29" t="inlineStr">
        <is>
          <t>Soins infirmiers</t>
        </is>
      </c>
      <c r="E57" s="29" t="inlineStr">
        <is>
          <t>L1</t>
        </is>
      </c>
      <c r="F57" s="29" t="inlineStr">
        <is>
          <t>S.I</t>
        </is>
      </c>
      <c r="G57" s="29" t="inlineStr">
        <is>
          <t>Epidémiologie</t>
        </is>
      </c>
      <c r="H57" s="29" t="inlineStr"/>
      <c r="I57" s="29" t="inlineStr"/>
      <c r="J57" s="29" t="inlineStr">
        <is>
          <t>Mardi</t>
        </is>
      </c>
      <c r="K57" s="29" t="inlineStr">
        <is>
          <t>15h05</t>
        </is>
      </c>
      <c r="L57" s="29" t="inlineStr">
        <is>
          <t>17h05</t>
        </is>
      </c>
      <c r="M57" s="29" t="n"/>
      <c r="N57" s="29" t="n">
        <v>2</v>
      </c>
    </row>
    <row r="58" ht="15" customHeight="1" s="22">
      <c r="A58" s="29" t="inlineStr">
        <is>
          <t>S056</t>
        </is>
      </c>
      <c r="B58" s="29" t="inlineStr">
        <is>
          <t>2025-2026</t>
        </is>
      </c>
      <c r="C58" s="29" t="inlineStr">
        <is>
          <t>1</t>
        </is>
      </c>
      <c r="D58" s="29" t="inlineStr">
        <is>
          <t>Soins infirmiers</t>
        </is>
      </c>
      <c r="E58" s="29" t="inlineStr">
        <is>
          <t>L1</t>
        </is>
      </c>
      <c r="F58" s="29" t="inlineStr">
        <is>
          <t>S.I</t>
        </is>
      </c>
      <c r="G58" s="29" t="inlineStr">
        <is>
          <t>Examens de laboratoire</t>
        </is>
      </c>
      <c r="H58" s="29" t="inlineStr"/>
      <c r="I58" s="29" t="inlineStr"/>
      <c r="J58" s="29" t="inlineStr">
        <is>
          <t>Mardi</t>
        </is>
      </c>
      <c r="K58" s="29" t="inlineStr">
        <is>
          <t>15h05</t>
        </is>
      </c>
      <c r="L58" s="29" t="inlineStr">
        <is>
          <t>17h05</t>
        </is>
      </c>
      <c r="M58" s="29" t="n"/>
      <c r="N58" s="29" t="n">
        <v>10</v>
      </c>
    </row>
    <row r="59" ht="15" customHeight="1" s="22">
      <c r="A59" s="29" t="inlineStr">
        <is>
          <t>S057</t>
        </is>
      </c>
      <c r="B59" s="29" t="inlineStr">
        <is>
          <t>2025-2026</t>
        </is>
      </c>
      <c r="C59" s="29" t="inlineStr">
        <is>
          <t>1</t>
        </is>
      </c>
      <c r="D59" s="29" t="inlineStr">
        <is>
          <t>Soins infirmiers</t>
        </is>
      </c>
      <c r="E59" s="29" t="inlineStr">
        <is>
          <t>L1</t>
        </is>
      </c>
      <c r="F59" s="29" t="inlineStr">
        <is>
          <t>S.I</t>
        </is>
      </c>
      <c r="G59" s="29" t="inlineStr">
        <is>
          <t>Introduction du corps humain</t>
        </is>
      </c>
      <c r="H59" s="29" t="inlineStr"/>
      <c r="I59" s="29" t="inlineStr"/>
      <c r="J59" s="29" t="inlineStr">
        <is>
          <t>Mardi</t>
        </is>
      </c>
      <c r="K59" s="29" t="inlineStr">
        <is>
          <t>15h05</t>
        </is>
      </c>
      <c r="L59" s="29" t="inlineStr">
        <is>
          <t>17h05</t>
        </is>
      </c>
      <c r="M59" s="29" t="n"/>
      <c r="N59" s="29" t="n">
        <v>2</v>
      </c>
    </row>
    <row r="60" ht="15" customHeight="1" s="22">
      <c r="A60" s="29" t="inlineStr">
        <is>
          <t>S058</t>
        </is>
      </c>
      <c r="B60" s="29" t="inlineStr">
        <is>
          <t>2025-2026</t>
        </is>
      </c>
      <c r="C60" s="29" t="inlineStr">
        <is>
          <t>1</t>
        </is>
      </c>
      <c r="D60" s="29" t="inlineStr">
        <is>
          <t>Soins infirmiers</t>
        </is>
      </c>
      <c r="E60" s="29" t="inlineStr">
        <is>
          <t>L1</t>
        </is>
      </c>
      <c r="F60" s="29" t="inlineStr">
        <is>
          <t>S.I</t>
        </is>
      </c>
      <c r="G60" s="29" t="inlineStr">
        <is>
          <t>Le sang</t>
        </is>
      </c>
      <c r="H60" s="29" t="inlineStr"/>
      <c r="I60" s="29" t="inlineStr"/>
      <c r="J60" s="29" t="inlineStr">
        <is>
          <t>Mardi</t>
        </is>
      </c>
      <c r="K60" s="29" t="inlineStr">
        <is>
          <t>15h05</t>
        </is>
      </c>
      <c r="L60" s="29" t="inlineStr">
        <is>
          <t>17h05</t>
        </is>
      </c>
      <c r="M60" s="29" t="n"/>
      <c r="N60" s="29" t="n">
        <v>2</v>
      </c>
    </row>
    <row r="61" ht="15" customHeight="1" s="22">
      <c r="A61" s="29" t="inlineStr">
        <is>
          <t>S059</t>
        </is>
      </c>
      <c r="B61" s="29" t="inlineStr">
        <is>
          <t>2025-2026</t>
        </is>
      </c>
      <c r="C61" s="29" t="inlineStr">
        <is>
          <t>1</t>
        </is>
      </c>
      <c r="D61" s="29" t="inlineStr">
        <is>
          <t>Soins infirmiers</t>
        </is>
      </c>
      <c r="E61" s="29" t="inlineStr">
        <is>
          <t>L1</t>
        </is>
      </c>
      <c r="F61" s="29" t="inlineStr">
        <is>
          <t>S.I</t>
        </is>
      </c>
      <c r="G61" s="29" t="inlineStr">
        <is>
          <t>Santé et environnement</t>
        </is>
      </c>
      <c r="H61" s="29" t="inlineStr">
        <is>
          <t>Soudjay Mohamed</t>
        </is>
      </c>
      <c r="I61" s="29" t="inlineStr"/>
      <c r="J61" s="29" t="inlineStr">
        <is>
          <t>Mardi</t>
        </is>
      </c>
      <c r="K61" s="29" t="inlineStr">
        <is>
          <t>15h05</t>
        </is>
      </c>
      <c r="L61" s="29" t="inlineStr">
        <is>
          <t>17h05</t>
        </is>
      </c>
      <c r="M61" s="29" t="n"/>
      <c r="N61" s="29" t="n">
        <v>4</v>
      </c>
    </row>
    <row r="62" ht="15" customHeight="1" s="22">
      <c r="A62" s="29" t="inlineStr">
        <is>
          <t>S060</t>
        </is>
      </c>
      <c r="B62" s="29" t="inlineStr">
        <is>
          <t>2025-2026</t>
        </is>
      </c>
      <c r="C62" s="29" t="inlineStr">
        <is>
          <t>1</t>
        </is>
      </c>
      <c r="D62" s="29" t="inlineStr">
        <is>
          <t>Soins infirmiers</t>
        </is>
      </c>
      <c r="E62" s="29" t="inlineStr">
        <is>
          <t>L1</t>
        </is>
      </c>
      <c r="F62" s="29" t="inlineStr">
        <is>
          <t>S.I</t>
        </is>
      </c>
      <c r="G62" s="29" t="inlineStr">
        <is>
          <t>TD Appareil urogénital</t>
        </is>
      </c>
      <c r="H62" s="29" t="inlineStr"/>
      <c r="I62" s="29" t="inlineStr"/>
      <c r="J62" s="29" t="inlineStr">
        <is>
          <t>Mardi</t>
        </is>
      </c>
      <c r="K62" s="29" t="inlineStr">
        <is>
          <t>15h05</t>
        </is>
      </c>
      <c r="L62" s="29" t="inlineStr">
        <is>
          <t>17h05</t>
        </is>
      </c>
      <c r="M62" s="29" t="n"/>
      <c r="N62" s="29" t="n">
        <v>2</v>
      </c>
    </row>
    <row r="63" ht="15" customHeight="1" s="22">
      <c r="A63" s="29" t="inlineStr">
        <is>
          <t>S061</t>
        </is>
      </c>
      <c r="B63" s="29" t="inlineStr">
        <is>
          <t>2025-2026</t>
        </is>
      </c>
      <c r="C63" s="29" t="inlineStr">
        <is>
          <t>1</t>
        </is>
      </c>
      <c r="D63" s="29" t="inlineStr">
        <is>
          <t>Soins infirmiers</t>
        </is>
      </c>
      <c r="E63" s="29" t="inlineStr">
        <is>
          <t>L1</t>
        </is>
      </c>
      <c r="F63" s="29" t="inlineStr">
        <is>
          <t>S.I</t>
        </is>
      </c>
      <c r="G63" s="29" t="inlineStr">
        <is>
          <t>Théories, modèles et interaction</t>
        </is>
      </c>
      <c r="H63" s="29" t="inlineStr"/>
      <c r="I63" s="29" t="inlineStr"/>
      <c r="J63" s="29" t="inlineStr">
        <is>
          <t>Mardi</t>
        </is>
      </c>
      <c r="K63" s="29" t="inlineStr">
        <is>
          <t>15h05</t>
        </is>
      </c>
      <c r="L63" s="29" t="inlineStr">
        <is>
          <t>17h05</t>
        </is>
      </c>
      <c r="M63" s="29" t="n"/>
      <c r="N63" s="29" t="n">
        <v>2</v>
      </c>
    </row>
    <row r="64" ht="15" customHeight="1" s="22">
      <c r="A64" s="29" t="inlineStr">
        <is>
          <t>S062</t>
        </is>
      </c>
      <c r="B64" s="29" t="inlineStr">
        <is>
          <t>2025-2026</t>
        </is>
      </c>
      <c r="C64" s="29" t="inlineStr">
        <is>
          <t>1</t>
        </is>
      </c>
      <c r="D64" s="29" t="inlineStr">
        <is>
          <t>Soins infirmiers</t>
        </is>
      </c>
      <c r="E64" s="29" t="inlineStr">
        <is>
          <t>L1</t>
        </is>
      </c>
      <c r="F64" s="29" t="inlineStr">
        <is>
          <t>S.I</t>
        </is>
      </c>
      <c r="G64" s="29" t="inlineStr">
        <is>
          <t>Anatomie  du système digestif</t>
        </is>
      </c>
      <c r="H64" s="29" t="inlineStr"/>
      <c r="I64" s="29" t="inlineStr"/>
      <c r="J64" s="29" t="inlineStr">
        <is>
          <t>Mardi</t>
        </is>
      </c>
      <c r="K64" s="29" t="inlineStr">
        <is>
          <t>8h00</t>
        </is>
      </c>
      <c r="L64" s="29" t="inlineStr">
        <is>
          <t>10h00</t>
        </is>
      </c>
      <c r="M64" s="29" t="n"/>
      <c r="N64" s="29" t="n">
        <v>2</v>
      </c>
    </row>
    <row r="65" ht="15" customHeight="1" s="22">
      <c r="A65" s="29" t="inlineStr">
        <is>
          <t>S063</t>
        </is>
      </c>
      <c r="B65" s="29" t="inlineStr">
        <is>
          <t>2025-2026</t>
        </is>
      </c>
      <c r="C65" s="29" t="inlineStr">
        <is>
          <t>1</t>
        </is>
      </c>
      <c r="D65" s="29" t="inlineStr">
        <is>
          <t>Soins infirmiers</t>
        </is>
      </c>
      <c r="E65" s="29" t="inlineStr">
        <is>
          <t>L1</t>
        </is>
      </c>
      <c r="F65" s="29" t="inlineStr">
        <is>
          <t>S.I</t>
        </is>
      </c>
      <c r="G65" s="29" t="inlineStr">
        <is>
          <t>Anatomie du système Respiratoire</t>
        </is>
      </c>
      <c r="H65" s="29" t="inlineStr"/>
      <c r="I65" s="29" t="inlineStr"/>
      <c r="J65" s="29" t="inlineStr">
        <is>
          <t>Mardi</t>
        </is>
      </c>
      <c r="K65" s="29" t="inlineStr">
        <is>
          <t>8h00</t>
        </is>
      </c>
      <c r="L65" s="29" t="inlineStr">
        <is>
          <t>10h00</t>
        </is>
      </c>
      <c r="M65" s="29" t="n"/>
      <c r="N65" s="29" t="n">
        <v>2</v>
      </c>
    </row>
    <row r="66" ht="15" customHeight="1" s="22">
      <c r="A66" s="29" t="inlineStr">
        <is>
          <t>S064</t>
        </is>
      </c>
      <c r="B66" s="29" t="inlineStr">
        <is>
          <t>2025-2026</t>
        </is>
      </c>
      <c r="C66" s="29" t="inlineStr">
        <is>
          <t>1</t>
        </is>
      </c>
      <c r="D66" s="29" t="inlineStr">
        <is>
          <t>Soins infirmiers</t>
        </is>
      </c>
      <c r="E66" s="29" t="inlineStr">
        <is>
          <t>L1</t>
        </is>
      </c>
      <c r="F66" s="29" t="inlineStr">
        <is>
          <t>S.I</t>
        </is>
      </c>
      <c r="G66" s="29" t="inlineStr">
        <is>
          <t>Anatomie du système nerveux</t>
        </is>
      </c>
      <c r="H66" s="29" t="inlineStr"/>
      <c r="I66" s="29" t="inlineStr"/>
      <c r="J66" s="29" t="inlineStr">
        <is>
          <t>Mardi</t>
        </is>
      </c>
      <c r="K66" s="29" t="inlineStr">
        <is>
          <t>8h00</t>
        </is>
      </c>
      <c r="L66" s="29" t="inlineStr">
        <is>
          <t>10h00</t>
        </is>
      </c>
      <c r="M66" s="29" t="n"/>
      <c r="N66" s="29" t="n">
        <v>2</v>
      </c>
    </row>
    <row r="67" ht="15" customHeight="1" s="22">
      <c r="A67" s="29" t="inlineStr">
        <is>
          <t>S065</t>
        </is>
      </c>
      <c r="B67" s="29" t="inlineStr">
        <is>
          <t>2025-2026</t>
        </is>
      </c>
      <c r="C67" s="29" t="inlineStr">
        <is>
          <t>1</t>
        </is>
      </c>
      <c r="D67" s="29" t="inlineStr">
        <is>
          <t>Soins infirmiers</t>
        </is>
      </c>
      <c r="E67" s="29" t="inlineStr">
        <is>
          <t>L1</t>
        </is>
      </c>
      <c r="F67" s="29" t="inlineStr">
        <is>
          <t>S.I</t>
        </is>
      </c>
      <c r="G67" s="29" t="inlineStr">
        <is>
          <t>Contrôle  Introduction du corps humain</t>
        </is>
      </c>
      <c r="H67" s="29" t="inlineStr"/>
      <c r="I67" s="29" t="inlineStr"/>
      <c r="J67" s="29" t="inlineStr">
        <is>
          <t>Mardi</t>
        </is>
      </c>
      <c r="K67" s="29" t="inlineStr">
        <is>
          <t>8h00</t>
        </is>
      </c>
      <c r="L67" s="29" t="inlineStr">
        <is>
          <t>10h00</t>
        </is>
      </c>
      <c r="M67" s="29" t="n"/>
      <c r="N67" s="29" t="n">
        <v>2</v>
      </c>
    </row>
    <row r="68" ht="15" customHeight="1" s="22">
      <c r="A68" s="29" t="inlineStr">
        <is>
          <t>S066</t>
        </is>
      </c>
      <c r="B68" s="29" t="inlineStr">
        <is>
          <t>2025-2026</t>
        </is>
      </c>
      <c r="C68" s="29" t="inlineStr">
        <is>
          <t>1</t>
        </is>
      </c>
      <c r="D68" s="29" t="inlineStr">
        <is>
          <t>Soins infirmiers</t>
        </is>
      </c>
      <c r="E68" s="29" t="inlineStr">
        <is>
          <t>L1</t>
        </is>
      </c>
      <c r="F68" s="29" t="inlineStr">
        <is>
          <t>S.I</t>
        </is>
      </c>
      <c r="G68" s="29" t="inlineStr">
        <is>
          <t>Contrôle Disposition d’un environnement sûr et besoins fondamentaux</t>
        </is>
      </c>
      <c r="H68" s="29" t="inlineStr"/>
      <c r="I68" s="29" t="inlineStr"/>
      <c r="J68" s="29" t="inlineStr">
        <is>
          <t>Mardi</t>
        </is>
      </c>
      <c r="K68" s="29" t="inlineStr">
        <is>
          <t>8h00</t>
        </is>
      </c>
      <c r="L68" s="29" t="inlineStr">
        <is>
          <t>10h00</t>
        </is>
      </c>
      <c r="M68" s="29" t="n"/>
      <c r="N68" s="29" t="n">
        <v>2</v>
      </c>
    </row>
    <row r="69" ht="15" customHeight="1" s="22">
      <c r="A69" s="29" t="inlineStr">
        <is>
          <t>S067</t>
        </is>
      </c>
      <c r="B69" s="29" t="inlineStr">
        <is>
          <t>2025-2026</t>
        </is>
      </c>
      <c r="C69" s="29" t="inlineStr">
        <is>
          <t>1</t>
        </is>
      </c>
      <c r="D69" s="29" t="inlineStr">
        <is>
          <t>Soins infirmiers</t>
        </is>
      </c>
      <c r="E69" s="29" t="inlineStr">
        <is>
          <t>L1</t>
        </is>
      </c>
      <c r="F69" s="29" t="inlineStr">
        <is>
          <t>S.I</t>
        </is>
      </c>
      <c r="G69" s="29" t="inlineStr">
        <is>
          <t>Contrôle Le sang</t>
        </is>
      </c>
      <c r="H69" s="29" t="inlineStr"/>
      <c r="I69" s="29" t="inlineStr"/>
      <c r="J69" s="29" t="inlineStr">
        <is>
          <t>Mardi</t>
        </is>
      </c>
      <c r="K69" s="29" t="inlineStr">
        <is>
          <t>8h00</t>
        </is>
      </c>
      <c r="L69" s="29" t="inlineStr">
        <is>
          <t>10h00</t>
        </is>
      </c>
      <c r="M69" s="29" t="n"/>
      <c r="N69" s="29" t="n">
        <v>2</v>
      </c>
    </row>
    <row r="70" ht="15" customHeight="1" s="22">
      <c r="A70" s="29" t="inlineStr">
        <is>
          <t>S068</t>
        </is>
      </c>
      <c r="B70" s="29" t="inlineStr">
        <is>
          <t>2025-2026</t>
        </is>
      </c>
      <c r="C70" s="29" t="inlineStr">
        <is>
          <t>1</t>
        </is>
      </c>
      <c r="D70" s="29" t="inlineStr">
        <is>
          <t>Soins infirmiers</t>
        </is>
      </c>
      <c r="E70" s="29" t="inlineStr">
        <is>
          <t>L1</t>
        </is>
      </c>
      <c r="F70" s="29" t="inlineStr">
        <is>
          <t>S.I</t>
        </is>
      </c>
      <c r="G70" s="29" t="inlineStr">
        <is>
          <t>Contrôle Liquides et életrolytes</t>
        </is>
      </c>
      <c r="H70" s="29" t="inlineStr"/>
      <c r="I70" s="29" t="inlineStr"/>
      <c r="J70" s="29" t="inlineStr">
        <is>
          <t>Mardi</t>
        </is>
      </c>
      <c r="K70" s="29" t="inlineStr">
        <is>
          <t>8h00</t>
        </is>
      </c>
      <c r="L70" s="29" t="inlineStr">
        <is>
          <t>10h00</t>
        </is>
      </c>
      <c r="M70" s="29" t="n"/>
      <c r="N70" s="29" t="n">
        <v>2</v>
      </c>
    </row>
    <row r="71" ht="15" customHeight="1" s="22">
      <c r="A71" s="29" t="inlineStr">
        <is>
          <t>S069</t>
        </is>
      </c>
      <c r="B71" s="29" t="inlineStr">
        <is>
          <t>2025-2026</t>
        </is>
      </c>
      <c r="C71" s="29" t="inlineStr">
        <is>
          <t>1</t>
        </is>
      </c>
      <c r="D71" s="29" t="inlineStr">
        <is>
          <t>Soins infirmiers</t>
        </is>
      </c>
      <c r="E71" s="29" t="inlineStr">
        <is>
          <t>L1</t>
        </is>
      </c>
      <c r="F71" s="29" t="inlineStr">
        <is>
          <t>S.I</t>
        </is>
      </c>
      <c r="G71" s="29" t="inlineStr">
        <is>
          <t>Démarche de soins et Projet de soins</t>
        </is>
      </c>
      <c r="H71" s="29" t="inlineStr"/>
      <c r="I71" s="29" t="inlineStr"/>
      <c r="J71" s="29" t="inlineStr">
        <is>
          <t>Mardi</t>
        </is>
      </c>
      <c r="K71" s="29" t="inlineStr">
        <is>
          <t>8h00</t>
        </is>
      </c>
      <c r="L71" s="29" t="inlineStr">
        <is>
          <t>10h00</t>
        </is>
      </c>
      <c r="M71" s="29" t="n"/>
      <c r="N71" s="29" t="n">
        <v>2</v>
      </c>
    </row>
    <row r="72" ht="15" customHeight="1" s="22">
      <c r="A72" s="29" t="inlineStr">
        <is>
          <t>S070</t>
        </is>
      </c>
      <c r="B72" s="29" t="inlineStr">
        <is>
          <t>2025-2026</t>
        </is>
      </c>
      <c r="C72" s="29" t="inlineStr">
        <is>
          <t>1</t>
        </is>
      </c>
      <c r="D72" s="29" t="inlineStr">
        <is>
          <t>Soins infirmiers</t>
        </is>
      </c>
      <c r="E72" s="29" t="inlineStr">
        <is>
          <t>L1</t>
        </is>
      </c>
      <c r="F72" s="29" t="inlineStr">
        <is>
          <t>S.I</t>
        </is>
      </c>
      <c r="G72" s="29" t="inlineStr">
        <is>
          <t>Immunité</t>
        </is>
      </c>
      <c r="H72" s="29" t="inlineStr"/>
      <c r="I72" s="29" t="inlineStr"/>
      <c r="J72" s="29" t="inlineStr">
        <is>
          <t>Mardi</t>
        </is>
      </c>
      <c r="K72" s="29" t="inlineStr">
        <is>
          <t>8h00</t>
        </is>
      </c>
      <c r="L72" s="29" t="inlineStr">
        <is>
          <t>10h00</t>
        </is>
      </c>
      <c r="M72" s="29" t="n"/>
      <c r="N72" s="29" t="n">
        <v>2</v>
      </c>
    </row>
    <row r="73" ht="15" customHeight="1" s="22">
      <c r="A73" s="29" t="inlineStr">
        <is>
          <t>S071</t>
        </is>
      </c>
      <c r="B73" s="29" t="inlineStr">
        <is>
          <t>2025-2026</t>
        </is>
      </c>
      <c r="C73" s="29" t="inlineStr">
        <is>
          <t>1</t>
        </is>
      </c>
      <c r="D73" s="29" t="inlineStr">
        <is>
          <t>Soins infirmiers</t>
        </is>
      </c>
      <c r="E73" s="29" t="inlineStr">
        <is>
          <t>L1</t>
        </is>
      </c>
      <c r="F73" s="29" t="inlineStr">
        <is>
          <t>S.I</t>
        </is>
      </c>
      <c r="G73" s="29" t="inlineStr">
        <is>
          <t>Procédure d’admission</t>
        </is>
      </c>
      <c r="H73" s="29" t="inlineStr"/>
      <c r="I73" s="29" t="inlineStr"/>
      <c r="J73" s="29" t="inlineStr">
        <is>
          <t>Mardi</t>
        </is>
      </c>
      <c r="K73" s="29" t="inlineStr">
        <is>
          <t>8h00</t>
        </is>
      </c>
      <c r="L73" s="29" t="inlineStr">
        <is>
          <t>10h00</t>
        </is>
      </c>
      <c r="M73" s="29" t="n"/>
      <c r="N73" s="29" t="n">
        <v>4</v>
      </c>
    </row>
    <row r="74" ht="15" customHeight="1" s="22">
      <c r="A74" s="29" t="inlineStr">
        <is>
          <t>S072</t>
        </is>
      </c>
      <c r="B74" s="29" t="inlineStr">
        <is>
          <t>2025-2026</t>
        </is>
      </c>
      <c r="C74" s="29" t="inlineStr">
        <is>
          <t>1</t>
        </is>
      </c>
      <c r="D74" s="29" t="inlineStr">
        <is>
          <t>Soins infirmiers</t>
        </is>
      </c>
      <c r="E74" s="29" t="inlineStr">
        <is>
          <t>L1</t>
        </is>
      </c>
      <c r="F74" s="29" t="inlineStr">
        <is>
          <t>S.I</t>
        </is>
      </c>
      <c r="G74" s="29" t="inlineStr">
        <is>
          <t>Sémiologie médicochirurgicale</t>
        </is>
      </c>
      <c r="H74" s="29" t="inlineStr"/>
      <c r="I74" s="29" t="inlineStr"/>
      <c r="J74" s="29" t="inlineStr">
        <is>
          <t>Mardi</t>
        </is>
      </c>
      <c r="K74" s="29" t="inlineStr">
        <is>
          <t>8h00</t>
        </is>
      </c>
      <c r="L74" s="29" t="inlineStr">
        <is>
          <t>10h00</t>
        </is>
      </c>
      <c r="M74" s="29" t="n"/>
      <c r="N74" s="29" t="n">
        <v>4</v>
      </c>
    </row>
    <row r="75" ht="15" customHeight="1" s="22">
      <c r="A75" s="29" t="inlineStr">
        <is>
          <t>S073</t>
        </is>
      </c>
      <c r="B75" s="29" t="inlineStr">
        <is>
          <t>2025-2026</t>
        </is>
      </c>
      <c r="C75" s="29" t="inlineStr">
        <is>
          <t>1</t>
        </is>
      </c>
      <c r="D75" s="29" t="inlineStr">
        <is>
          <t>Soins infirmiers</t>
        </is>
      </c>
      <c r="E75" s="29" t="inlineStr">
        <is>
          <t>L1</t>
        </is>
      </c>
      <c r="F75" s="29" t="inlineStr">
        <is>
          <t>S.I</t>
        </is>
      </c>
      <c r="G75" s="29" t="inlineStr">
        <is>
          <t>TD Anatomie du système nerveux</t>
        </is>
      </c>
      <c r="H75" s="29" t="inlineStr"/>
      <c r="I75" s="29" t="inlineStr"/>
      <c r="J75" s="29" t="inlineStr">
        <is>
          <t>Mardi</t>
        </is>
      </c>
      <c r="K75" s="29" t="inlineStr">
        <is>
          <t>8h00</t>
        </is>
      </c>
      <c r="L75" s="29" t="inlineStr">
        <is>
          <t>10h00</t>
        </is>
      </c>
      <c r="M75" s="29" t="n"/>
      <c r="N75" s="29" t="n">
        <v>2</v>
      </c>
    </row>
    <row r="76" ht="15" customHeight="1" s="22">
      <c r="A76" s="29" t="inlineStr">
        <is>
          <t>S074</t>
        </is>
      </c>
      <c r="B76" s="29" t="inlineStr">
        <is>
          <t>2025-2026</t>
        </is>
      </c>
      <c r="C76" s="29" t="inlineStr">
        <is>
          <t>1</t>
        </is>
      </c>
      <c r="D76" s="29" t="inlineStr">
        <is>
          <t>Soins infirmiers</t>
        </is>
      </c>
      <c r="E76" s="29" t="inlineStr">
        <is>
          <t>L1</t>
        </is>
      </c>
      <c r="F76" s="29" t="inlineStr">
        <is>
          <t>S.I</t>
        </is>
      </c>
      <c r="G76" s="29" t="inlineStr">
        <is>
          <t>TD Démarche de soins et Projet de soins</t>
        </is>
      </c>
      <c r="H76" s="29" t="inlineStr"/>
      <c r="I76" s="29" t="inlineStr"/>
      <c r="J76" s="29" t="inlineStr">
        <is>
          <t>Mardi</t>
        </is>
      </c>
      <c r="K76" s="29" t="inlineStr">
        <is>
          <t>8h00</t>
        </is>
      </c>
      <c r="L76" s="29" t="inlineStr">
        <is>
          <t>10h00</t>
        </is>
      </c>
      <c r="M76" s="29" t="n"/>
      <c r="N76" s="29" t="n">
        <v>2</v>
      </c>
    </row>
    <row r="77" ht="15" customHeight="1" s="22">
      <c r="A77" s="29" t="inlineStr">
        <is>
          <t>S075</t>
        </is>
      </c>
      <c r="B77" s="29" t="inlineStr">
        <is>
          <t>2025-2026</t>
        </is>
      </c>
      <c r="C77" s="29" t="inlineStr">
        <is>
          <t>1</t>
        </is>
      </c>
      <c r="D77" s="29" t="inlineStr">
        <is>
          <t>Soins infirmiers</t>
        </is>
      </c>
      <c r="E77" s="29" t="inlineStr">
        <is>
          <t>L1</t>
        </is>
      </c>
      <c r="F77" s="29" t="inlineStr">
        <is>
          <t>S.I</t>
        </is>
      </c>
      <c r="G77" s="29" t="inlineStr">
        <is>
          <t>Anatomie du système Respiratoire</t>
        </is>
      </c>
      <c r="H77" s="29" t="inlineStr"/>
      <c r="I77" s="29" t="inlineStr"/>
      <c r="J77" s="29" t="inlineStr">
        <is>
          <t>Mercredi</t>
        </is>
      </c>
      <c r="K77" s="29" t="inlineStr">
        <is>
          <t>10h05</t>
        </is>
      </c>
      <c r="L77" s="29" t="inlineStr">
        <is>
          <t>12h05</t>
        </is>
      </c>
      <c r="M77" s="29" t="n"/>
      <c r="N77" s="29" t="n">
        <v>2</v>
      </c>
    </row>
    <row r="78" ht="15" customHeight="1" s="22">
      <c r="A78" s="29" t="inlineStr">
        <is>
          <t>S076</t>
        </is>
      </c>
      <c r="B78" s="29" t="inlineStr">
        <is>
          <t>2025-2026</t>
        </is>
      </c>
      <c r="C78" s="29" t="inlineStr">
        <is>
          <t>1</t>
        </is>
      </c>
      <c r="D78" s="29" t="inlineStr">
        <is>
          <t>Soins infirmiers</t>
        </is>
      </c>
      <c r="E78" s="29" t="inlineStr">
        <is>
          <t>L1</t>
        </is>
      </c>
      <c r="F78" s="29" t="inlineStr">
        <is>
          <t>S.I</t>
        </is>
      </c>
      <c r="G78" s="29" t="inlineStr">
        <is>
          <t>Anatomie du système endocrinien</t>
        </is>
      </c>
      <c r="H78" s="29" t="inlineStr">
        <is>
          <t>Moussa Mohamed Ahmed (Chef de département formation continue et santé publique)</t>
        </is>
      </c>
      <c r="I78" s="29" t="inlineStr"/>
      <c r="J78" s="29" t="inlineStr">
        <is>
          <t>Mercredi</t>
        </is>
      </c>
      <c r="K78" s="29" t="inlineStr">
        <is>
          <t>10h05</t>
        </is>
      </c>
      <c r="L78" s="29" t="inlineStr">
        <is>
          <t>12h05</t>
        </is>
      </c>
      <c r="M78" s="29" t="n"/>
      <c r="N78" s="29" t="n">
        <v>2</v>
      </c>
    </row>
    <row r="79" ht="15" customHeight="1" s="22">
      <c r="A79" s="29" t="inlineStr">
        <is>
          <t>S077</t>
        </is>
      </c>
      <c r="B79" s="29" t="inlineStr">
        <is>
          <t>2025-2026</t>
        </is>
      </c>
      <c r="C79" s="29" t="inlineStr">
        <is>
          <t>1</t>
        </is>
      </c>
      <c r="D79" s="29" t="inlineStr">
        <is>
          <t>Soins infirmiers</t>
        </is>
      </c>
      <c r="E79" s="29" t="inlineStr">
        <is>
          <t>L1</t>
        </is>
      </c>
      <c r="F79" s="29" t="inlineStr">
        <is>
          <t>S.I</t>
        </is>
      </c>
      <c r="G79" s="29" t="inlineStr">
        <is>
          <t>Appareil locomoteur</t>
        </is>
      </c>
      <c r="H79" s="29" t="inlineStr"/>
      <c r="I79" s="29" t="inlineStr"/>
      <c r="J79" s="29" t="inlineStr">
        <is>
          <t>Mercredi</t>
        </is>
      </c>
      <c r="K79" s="29" t="inlineStr">
        <is>
          <t>10h05</t>
        </is>
      </c>
      <c r="L79" s="29" t="inlineStr">
        <is>
          <t>12h05</t>
        </is>
      </c>
      <c r="M79" s="29" t="n"/>
      <c r="N79" s="29" t="n">
        <v>22</v>
      </c>
    </row>
    <row r="80" ht="15" customHeight="1" s="22">
      <c r="A80" s="29" t="inlineStr">
        <is>
          <t>S078</t>
        </is>
      </c>
      <c r="B80" s="29" t="inlineStr">
        <is>
          <t>2025-2026</t>
        </is>
      </c>
      <c r="C80" s="29" t="inlineStr">
        <is>
          <t>1</t>
        </is>
      </c>
      <c r="D80" s="29" t="inlineStr">
        <is>
          <t>Soins infirmiers</t>
        </is>
      </c>
      <c r="E80" s="29" t="inlineStr">
        <is>
          <t>L1</t>
        </is>
      </c>
      <c r="F80" s="29" t="inlineStr">
        <is>
          <t>S.I</t>
        </is>
      </c>
      <c r="G80" s="29" t="inlineStr">
        <is>
          <t>Le sang</t>
        </is>
      </c>
      <c r="H80" s="29" t="inlineStr"/>
      <c r="I80" s="29" t="inlineStr"/>
      <c r="J80" s="29" t="inlineStr">
        <is>
          <t>Mercredi</t>
        </is>
      </c>
      <c r="K80" s="29" t="inlineStr">
        <is>
          <t>10h05</t>
        </is>
      </c>
      <c r="L80" s="29" t="inlineStr">
        <is>
          <t>12h05</t>
        </is>
      </c>
      <c r="M80" s="29" t="n"/>
      <c r="N80" s="29" t="n">
        <v>2</v>
      </c>
    </row>
    <row r="81" ht="15" customHeight="1" s="22">
      <c r="A81" s="29" t="inlineStr">
        <is>
          <t>S079</t>
        </is>
      </c>
      <c r="B81" s="29" t="inlineStr">
        <is>
          <t>2025-2026</t>
        </is>
      </c>
      <c r="C81" s="29" t="inlineStr">
        <is>
          <t>1</t>
        </is>
      </c>
      <c r="D81" s="29" t="inlineStr">
        <is>
          <t>Soins infirmiers</t>
        </is>
      </c>
      <c r="E81" s="29" t="inlineStr">
        <is>
          <t>L1</t>
        </is>
      </c>
      <c r="F81" s="29" t="inlineStr">
        <is>
          <t>S.I</t>
        </is>
      </c>
      <c r="G81" s="29" t="inlineStr">
        <is>
          <t>TD Anatomie du système Respiratoire</t>
        </is>
      </c>
      <c r="H81" s="29" t="inlineStr"/>
      <c r="I81" s="29" t="inlineStr"/>
      <c r="J81" s="29" t="inlineStr">
        <is>
          <t>Mercredi</t>
        </is>
      </c>
      <c r="K81" s="29" t="inlineStr">
        <is>
          <t>10h05</t>
        </is>
      </c>
      <c r="L81" s="29" t="inlineStr">
        <is>
          <t>12h05</t>
        </is>
      </c>
      <c r="M81" s="29" t="n"/>
      <c r="N81" s="29" t="n">
        <v>2</v>
      </c>
    </row>
    <row r="82" ht="15" customHeight="1" s="22">
      <c r="A82" s="29" t="inlineStr">
        <is>
          <t>S080</t>
        </is>
      </c>
      <c r="B82" s="29" t="inlineStr">
        <is>
          <t>2025-2026</t>
        </is>
      </c>
      <c r="C82" s="29" t="inlineStr">
        <is>
          <t>1</t>
        </is>
      </c>
      <c r="D82" s="29" t="inlineStr">
        <is>
          <t>Soins infirmiers</t>
        </is>
      </c>
      <c r="E82" s="29" t="inlineStr">
        <is>
          <t>L1</t>
        </is>
      </c>
      <c r="F82" s="29" t="inlineStr">
        <is>
          <t>S.I</t>
        </is>
      </c>
      <c r="G82" s="29" t="inlineStr">
        <is>
          <t>Anatomie  du système digestif</t>
        </is>
      </c>
      <c r="H82" s="29" t="inlineStr"/>
      <c r="I82" s="29" t="inlineStr"/>
      <c r="J82" s="29" t="inlineStr">
        <is>
          <t>Mercredi</t>
        </is>
      </c>
      <c r="K82" s="29" t="inlineStr">
        <is>
          <t>13h00</t>
        </is>
      </c>
      <c r="L82" s="29" t="inlineStr">
        <is>
          <t>15h00</t>
        </is>
      </c>
      <c r="M82" s="29" t="n"/>
      <c r="N82" s="29" t="n">
        <v>2</v>
      </c>
    </row>
    <row r="83" ht="15" customHeight="1" s="22">
      <c r="A83" s="29" t="inlineStr">
        <is>
          <t>S081</t>
        </is>
      </c>
      <c r="B83" s="29" t="inlineStr">
        <is>
          <t>2025-2026</t>
        </is>
      </c>
      <c r="C83" s="29" t="inlineStr">
        <is>
          <t>1</t>
        </is>
      </c>
      <c r="D83" s="29" t="inlineStr">
        <is>
          <t>Soins infirmiers</t>
        </is>
      </c>
      <c r="E83" s="29" t="inlineStr">
        <is>
          <t>L1</t>
        </is>
      </c>
      <c r="F83" s="29" t="inlineStr">
        <is>
          <t>S.I</t>
        </is>
      </c>
      <c r="G83" s="29" t="inlineStr">
        <is>
          <t>Besoins fondamentaux du patient</t>
        </is>
      </c>
      <c r="H83" s="29" t="inlineStr">
        <is>
          <t>Mme Zainaba Mohamed</t>
        </is>
      </c>
      <c r="I83" s="29" t="inlineStr"/>
      <c r="J83" s="29" t="inlineStr">
        <is>
          <t>Mercredi</t>
        </is>
      </c>
      <c r="K83" s="29" t="inlineStr">
        <is>
          <t>13h00</t>
        </is>
      </c>
      <c r="L83" s="29" t="inlineStr">
        <is>
          <t>15h00</t>
        </is>
      </c>
      <c r="M83" s="29" t="n"/>
      <c r="N83" s="29" t="n">
        <v>2</v>
      </c>
    </row>
    <row r="84" ht="15" customHeight="1" s="22">
      <c r="A84" s="29" t="inlineStr">
        <is>
          <t>S082</t>
        </is>
      </c>
      <c r="B84" s="29" t="inlineStr">
        <is>
          <t>2025-2026</t>
        </is>
      </c>
      <c r="C84" s="29" t="inlineStr">
        <is>
          <t>1</t>
        </is>
      </c>
      <c r="D84" s="29" t="inlineStr">
        <is>
          <t>Soins infirmiers</t>
        </is>
      </c>
      <c r="E84" s="29" t="inlineStr">
        <is>
          <t>L1</t>
        </is>
      </c>
      <c r="F84" s="29" t="inlineStr">
        <is>
          <t>S.I</t>
        </is>
      </c>
      <c r="G84" s="29" t="inlineStr">
        <is>
          <t>Contrôle Immunité</t>
        </is>
      </c>
      <c r="H84" s="29" t="inlineStr"/>
      <c r="I84" s="29" t="inlineStr"/>
      <c r="J84" s="29" t="inlineStr">
        <is>
          <t>Mercredi</t>
        </is>
      </c>
      <c r="K84" s="29" t="inlineStr">
        <is>
          <t>13h00</t>
        </is>
      </c>
      <c r="L84" s="29" t="inlineStr">
        <is>
          <t>15h00</t>
        </is>
      </c>
      <c r="M84" s="29" t="n"/>
      <c r="N84" s="29" t="n">
        <v>2</v>
      </c>
    </row>
    <row r="85" ht="15" customHeight="1" s="22">
      <c r="A85" s="29" t="inlineStr">
        <is>
          <t>S083</t>
        </is>
      </c>
      <c r="B85" s="29" t="inlineStr">
        <is>
          <t>2025-2026</t>
        </is>
      </c>
      <c r="C85" s="29" t="inlineStr">
        <is>
          <t>1</t>
        </is>
      </c>
      <c r="D85" s="29" t="inlineStr">
        <is>
          <t>Soins infirmiers</t>
        </is>
      </c>
      <c r="E85" s="29" t="inlineStr">
        <is>
          <t>L1</t>
        </is>
      </c>
      <c r="F85" s="29" t="inlineStr">
        <is>
          <t>S.I</t>
        </is>
      </c>
      <c r="G85" s="29" t="inlineStr">
        <is>
          <t>Disposition d’un environnement sûr</t>
        </is>
      </c>
      <c r="H85" s="29" t="inlineStr"/>
      <c r="I85" s="29" t="inlineStr"/>
      <c r="J85" s="29" t="inlineStr">
        <is>
          <t>Mercredi</t>
        </is>
      </c>
      <c r="K85" s="29" t="inlineStr">
        <is>
          <t>13h00</t>
        </is>
      </c>
      <c r="L85" s="29" t="inlineStr">
        <is>
          <t>15h00</t>
        </is>
      </c>
      <c r="M85" s="29" t="n"/>
      <c r="N85" s="29" t="n">
        <v>4</v>
      </c>
    </row>
    <row r="86" ht="15" customHeight="1" s="22">
      <c r="A86" s="29" t="inlineStr">
        <is>
          <t>S084</t>
        </is>
      </c>
      <c r="B86" s="29" t="inlineStr">
        <is>
          <t>2025-2026</t>
        </is>
      </c>
      <c r="C86" s="29" t="inlineStr">
        <is>
          <t>1</t>
        </is>
      </c>
      <c r="D86" s="29" t="inlineStr">
        <is>
          <t>Soins infirmiers</t>
        </is>
      </c>
      <c r="E86" s="29" t="inlineStr">
        <is>
          <t>L1</t>
        </is>
      </c>
      <c r="F86" s="29" t="inlineStr">
        <is>
          <t>S.I</t>
        </is>
      </c>
      <c r="G86" s="29" t="inlineStr">
        <is>
          <t>Démarche de soins et Projet de soins</t>
        </is>
      </c>
      <c r="H86" s="29" t="inlineStr"/>
      <c r="I86" s="29" t="inlineStr"/>
      <c r="J86" s="29" t="inlineStr">
        <is>
          <t>Mercredi</t>
        </is>
      </c>
      <c r="K86" s="29" t="inlineStr">
        <is>
          <t>13h00</t>
        </is>
      </c>
      <c r="L86" s="29" t="inlineStr">
        <is>
          <t>15h00</t>
        </is>
      </c>
      <c r="M86" s="29" t="n"/>
      <c r="N86" s="29" t="n">
        <v>2</v>
      </c>
    </row>
    <row r="87" ht="15" customHeight="1" s="22">
      <c r="A87" s="29" t="inlineStr">
        <is>
          <t>S085</t>
        </is>
      </c>
      <c r="B87" s="29" t="inlineStr">
        <is>
          <t>2025-2026</t>
        </is>
      </c>
      <c r="C87" s="29" t="inlineStr">
        <is>
          <t>1</t>
        </is>
      </c>
      <c r="D87" s="29" t="inlineStr">
        <is>
          <t>Soins infirmiers</t>
        </is>
      </c>
      <c r="E87" s="29" t="inlineStr">
        <is>
          <t>L1</t>
        </is>
      </c>
      <c r="F87" s="29" t="inlineStr">
        <is>
          <t>S.I</t>
        </is>
      </c>
      <c r="G87" s="29" t="inlineStr">
        <is>
          <t>Immunité</t>
        </is>
      </c>
      <c r="H87" s="29" t="inlineStr"/>
      <c r="I87" s="29" t="inlineStr"/>
      <c r="J87" s="29" t="inlineStr">
        <is>
          <t>Mercredi</t>
        </is>
      </c>
      <c r="K87" s="29" t="inlineStr">
        <is>
          <t>13h00</t>
        </is>
      </c>
      <c r="L87" s="29" t="inlineStr">
        <is>
          <t>15h00</t>
        </is>
      </c>
      <c r="M87" s="29" t="n"/>
      <c r="N87" s="29" t="n">
        <v>2</v>
      </c>
    </row>
    <row r="88" ht="15" customHeight="1" s="22">
      <c r="A88" s="29" t="inlineStr">
        <is>
          <t>S086</t>
        </is>
      </c>
      <c r="B88" s="29" t="inlineStr">
        <is>
          <t>2025-2026</t>
        </is>
      </c>
      <c r="C88" s="29" t="inlineStr">
        <is>
          <t>1</t>
        </is>
      </c>
      <c r="D88" s="29" t="inlineStr">
        <is>
          <t>Soins infirmiers</t>
        </is>
      </c>
      <c r="E88" s="29" t="inlineStr">
        <is>
          <t>L1</t>
        </is>
      </c>
      <c r="F88" s="29" t="inlineStr">
        <is>
          <t>S.I</t>
        </is>
      </c>
      <c r="G88" s="29" t="inlineStr">
        <is>
          <t>L’infirmier dans l’environnement sanitaire</t>
        </is>
      </c>
      <c r="H88" s="29" t="inlineStr"/>
      <c r="I88" s="29" t="inlineStr"/>
      <c r="J88" s="29" t="inlineStr">
        <is>
          <t>Mercredi</t>
        </is>
      </c>
      <c r="K88" s="29" t="inlineStr">
        <is>
          <t>13h00</t>
        </is>
      </c>
      <c r="L88" s="29" t="inlineStr">
        <is>
          <t>15h00</t>
        </is>
      </c>
      <c r="M88" s="29" t="n"/>
      <c r="N88" s="29" t="n">
        <v>4</v>
      </c>
    </row>
    <row r="89" ht="15" customHeight="1" s="22">
      <c r="A89" s="29" t="inlineStr">
        <is>
          <t>S087</t>
        </is>
      </c>
      <c r="B89" s="29" t="inlineStr">
        <is>
          <t>2025-2026</t>
        </is>
      </c>
      <c r="C89" s="29" t="inlineStr">
        <is>
          <t>1</t>
        </is>
      </c>
      <c r="D89" s="29" t="inlineStr">
        <is>
          <t>Soins infirmiers</t>
        </is>
      </c>
      <c r="E89" s="29" t="inlineStr">
        <is>
          <t>L1</t>
        </is>
      </c>
      <c r="F89" s="29" t="inlineStr">
        <is>
          <t>S.I</t>
        </is>
      </c>
      <c r="G89" s="29" t="inlineStr">
        <is>
          <t>Perceptions en matière de santé</t>
        </is>
      </c>
      <c r="H89" s="29" t="inlineStr">
        <is>
          <t>Mréha Abdou (Chef de département S.O)</t>
        </is>
      </c>
      <c r="I89" s="29" t="inlineStr"/>
      <c r="J89" s="29" t="inlineStr">
        <is>
          <t>Mercredi</t>
        </is>
      </c>
      <c r="K89" s="29" t="inlineStr">
        <is>
          <t>13h00</t>
        </is>
      </c>
      <c r="L89" s="29" t="inlineStr">
        <is>
          <t>15h00</t>
        </is>
      </c>
      <c r="M89" s="29" t="n"/>
      <c r="N89" s="29" t="n">
        <v>2</v>
      </c>
    </row>
    <row r="90" ht="15" customHeight="1" s="22">
      <c r="A90" s="29" t="inlineStr">
        <is>
          <t>S088</t>
        </is>
      </c>
      <c r="B90" s="29" t="inlineStr">
        <is>
          <t>2025-2026</t>
        </is>
      </c>
      <c r="C90" s="29" t="inlineStr">
        <is>
          <t>1</t>
        </is>
      </c>
      <c r="D90" s="29" t="inlineStr">
        <is>
          <t>Soins infirmiers</t>
        </is>
      </c>
      <c r="E90" s="29" t="inlineStr">
        <is>
          <t>L1</t>
        </is>
      </c>
      <c r="F90" s="29" t="inlineStr">
        <is>
          <t>S.I</t>
        </is>
      </c>
      <c r="G90" s="29" t="inlineStr">
        <is>
          <t>Procédure d’admission</t>
        </is>
      </c>
      <c r="H90" s="29" t="inlineStr"/>
      <c r="I90" s="29" t="inlineStr"/>
      <c r="J90" s="29" t="inlineStr">
        <is>
          <t>Mercredi</t>
        </is>
      </c>
      <c r="K90" s="29" t="inlineStr">
        <is>
          <t>13h00</t>
        </is>
      </c>
      <c r="L90" s="29" t="inlineStr">
        <is>
          <t>15h00</t>
        </is>
      </c>
      <c r="M90" s="29" t="n"/>
      <c r="N90" s="29" t="n">
        <v>4</v>
      </c>
    </row>
    <row r="91" ht="15" customHeight="1" s="22">
      <c r="A91" s="29" t="inlineStr">
        <is>
          <t>S089</t>
        </is>
      </c>
      <c r="B91" s="29" t="inlineStr">
        <is>
          <t>2025-2026</t>
        </is>
      </c>
      <c r="C91" s="29" t="inlineStr">
        <is>
          <t>1</t>
        </is>
      </c>
      <c r="D91" s="29" t="inlineStr">
        <is>
          <t>Soins infirmiers</t>
        </is>
      </c>
      <c r="E91" s="29" t="inlineStr">
        <is>
          <t>L1</t>
        </is>
      </c>
      <c r="F91" s="29" t="inlineStr">
        <is>
          <t>S.I</t>
        </is>
      </c>
      <c r="G91" s="29" t="inlineStr">
        <is>
          <t>TD Besoins fondamentaux du patient</t>
        </is>
      </c>
      <c r="H91" s="29" t="inlineStr"/>
      <c r="I91" s="29" t="inlineStr"/>
      <c r="J91" s="29" t="inlineStr">
        <is>
          <t>Mercredi</t>
        </is>
      </c>
      <c r="K91" s="29" t="inlineStr">
        <is>
          <t>13h00</t>
        </is>
      </c>
      <c r="L91" s="29" t="inlineStr">
        <is>
          <t>15h00</t>
        </is>
      </c>
      <c r="M91" s="29" t="n"/>
      <c r="N91" s="29" t="n">
        <v>4</v>
      </c>
    </row>
    <row r="92" ht="15" customHeight="1" s="22">
      <c r="A92" s="29" t="inlineStr">
        <is>
          <t>S090</t>
        </is>
      </c>
      <c r="B92" s="29" t="inlineStr">
        <is>
          <t>2025-2026</t>
        </is>
      </c>
      <c r="C92" s="29" t="inlineStr">
        <is>
          <t>1</t>
        </is>
      </c>
      <c r="D92" s="29" t="inlineStr">
        <is>
          <t>Soins infirmiers</t>
        </is>
      </c>
      <c r="E92" s="29" t="inlineStr">
        <is>
          <t>L1</t>
        </is>
      </c>
      <c r="F92" s="29" t="inlineStr">
        <is>
          <t>S.I</t>
        </is>
      </c>
      <c r="G92" s="29" t="inlineStr">
        <is>
          <t>TD Démarche de soins et Projet de soins</t>
        </is>
      </c>
      <c r="H92" s="29" t="inlineStr"/>
      <c r="I92" s="29" t="inlineStr"/>
      <c r="J92" s="29" t="inlineStr">
        <is>
          <t>Mercredi</t>
        </is>
      </c>
      <c r="K92" s="29" t="inlineStr">
        <is>
          <t>13h00</t>
        </is>
      </c>
      <c r="L92" s="29" t="inlineStr">
        <is>
          <t>15h00</t>
        </is>
      </c>
      <c r="M92" s="29" t="n"/>
      <c r="N92" s="29" t="n">
        <v>2</v>
      </c>
    </row>
    <row r="93" ht="15" customHeight="1" s="22">
      <c r="A93" s="29" t="inlineStr">
        <is>
          <t>S091</t>
        </is>
      </c>
      <c r="B93" s="29" t="inlineStr">
        <is>
          <t>2025-2026</t>
        </is>
      </c>
      <c r="C93" s="29" t="inlineStr">
        <is>
          <t>1</t>
        </is>
      </c>
      <c r="D93" s="29" t="inlineStr">
        <is>
          <t>Soins infirmiers</t>
        </is>
      </c>
      <c r="E93" s="29" t="inlineStr">
        <is>
          <t>L1</t>
        </is>
      </c>
      <c r="F93" s="29" t="inlineStr">
        <is>
          <t>S.I</t>
        </is>
      </c>
      <c r="G93" s="29" t="inlineStr">
        <is>
          <t>Anatomie des organes de sens</t>
        </is>
      </c>
      <c r="H93" s="29" t="inlineStr">
        <is>
          <t>Irina Ismaïla Abdou</t>
        </is>
      </c>
      <c r="I93" s="29" t="inlineStr"/>
      <c r="J93" s="29" t="inlineStr">
        <is>
          <t>Mercredi</t>
        </is>
      </c>
      <c r="K93" s="29" t="inlineStr">
        <is>
          <t>15h05</t>
        </is>
      </c>
      <c r="L93" s="29" t="inlineStr">
        <is>
          <t>17h05</t>
        </is>
      </c>
      <c r="M93" s="29" t="n"/>
      <c r="N93" s="29" t="n">
        <v>2</v>
      </c>
    </row>
    <row r="94" ht="15" customHeight="1" s="22">
      <c r="A94" s="29" t="inlineStr">
        <is>
          <t>S092</t>
        </is>
      </c>
      <c r="B94" s="29" t="inlineStr">
        <is>
          <t>2025-2026</t>
        </is>
      </c>
      <c r="C94" s="29" t="inlineStr">
        <is>
          <t>1</t>
        </is>
      </c>
      <c r="D94" s="29" t="inlineStr">
        <is>
          <t>Soins infirmiers</t>
        </is>
      </c>
      <c r="E94" s="29" t="inlineStr">
        <is>
          <t>L1</t>
        </is>
      </c>
      <c r="F94" s="29" t="inlineStr">
        <is>
          <t>S.I</t>
        </is>
      </c>
      <c r="G94" s="29" t="inlineStr">
        <is>
          <t>Communication</t>
        </is>
      </c>
      <c r="H94" s="29" t="inlineStr"/>
      <c r="I94" s="29" t="inlineStr"/>
      <c r="J94" s="29" t="inlineStr">
        <is>
          <t>Mercredi</t>
        </is>
      </c>
      <c r="K94" s="29" t="inlineStr">
        <is>
          <t>15h05</t>
        </is>
      </c>
      <c r="L94" s="29" t="inlineStr">
        <is>
          <t>17h05</t>
        </is>
      </c>
      <c r="M94" s="29" t="n"/>
      <c r="N94" s="29" t="n">
        <v>10</v>
      </c>
    </row>
    <row r="95" ht="15" customHeight="1" s="22">
      <c r="A95" s="29" t="inlineStr">
        <is>
          <t>S093</t>
        </is>
      </c>
      <c r="B95" s="29" t="inlineStr">
        <is>
          <t>2025-2026</t>
        </is>
      </c>
      <c r="C95" s="29" t="inlineStr">
        <is>
          <t>1</t>
        </is>
      </c>
      <c r="D95" s="29" t="inlineStr">
        <is>
          <t>Soins infirmiers</t>
        </is>
      </c>
      <c r="E95" s="29" t="inlineStr">
        <is>
          <t>L1</t>
        </is>
      </c>
      <c r="F95" s="29" t="inlineStr">
        <is>
          <t>S.I</t>
        </is>
      </c>
      <c r="G95" s="29" t="inlineStr">
        <is>
          <t>Epidémiologie</t>
        </is>
      </c>
      <c r="H95" s="29" t="inlineStr"/>
      <c r="I95" s="29" t="inlineStr"/>
      <c r="J95" s="29" t="inlineStr">
        <is>
          <t>Mercredi</t>
        </is>
      </c>
      <c r="K95" s="29" t="inlineStr">
        <is>
          <t>15h05</t>
        </is>
      </c>
      <c r="L95" s="29" t="inlineStr">
        <is>
          <t>17h05</t>
        </is>
      </c>
      <c r="M95" s="29" t="n"/>
      <c r="N95" s="29" t="n">
        <v>2</v>
      </c>
    </row>
    <row r="96" ht="15" customHeight="1" s="22">
      <c r="A96" s="29" t="inlineStr">
        <is>
          <t>S094</t>
        </is>
      </c>
      <c r="B96" s="29" t="inlineStr">
        <is>
          <t>2025-2026</t>
        </is>
      </c>
      <c r="C96" s="29" t="inlineStr">
        <is>
          <t>1</t>
        </is>
      </c>
      <c r="D96" s="29" t="inlineStr">
        <is>
          <t>Soins infirmiers</t>
        </is>
      </c>
      <c r="E96" s="29" t="inlineStr">
        <is>
          <t>L1</t>
        </is>
      </c>
      <c r="F96" s="29" t="inlineStr">
        <is>
          <t>S.I</t>
        </is>
      </c>
      <c r="G96" s="29" t="inlineStr">
        <is>
          <t>Généralités sur la pharmacologie</t>
        </is>
      </c>
      <c r="H96" s="29" t="inlineStr"/>
      <c r="I96" s="29" t="inlineStr"/>
      <c r="J96" s="29" t="inlineStr">
        <is>
          <t>Mercredi</t>
        </is>
      </c>
      <c r="K96" s="29" t="inlineStr">
        <is>
          <t>15h05</t>
        </is>
      </c>
      <c r="L96" s="29" t="inlineStr">
        <is>
          <t>17h05</t>
        </is>
      </c>
      <c r="M96" s="29" t="n"/>
      <c r="N96" s="29" t="n">
        <v>10</v>
      </c>
    </row>
    <row r="97" ht="15" customHeight="1" s="22">
      <c r="A97" s="29" t="inlineStr">
        <is>
          <t>S095</t>
        </is>
      </c>
      <c r="B97" s="29" t="inlineStr">
        <is>
          <t>2025-2026</t>
        </is>
      </c>
      <c r="C97" s="29" t="inlineStr">
        <is>
          <t>1</t>
        </is>
      </c>
      <c r="D97" s="29" t="inlineStr">
        <is>
          <t>Soins infirmiers</t>
        </is>
      </c>
      <c r="E97" s="29" t="inlineStr">
        <is>
          <t>L1</t>
        </is>
      </c>
      <c r="F97" s="29" t="inlineStr">
        <is>
          <t>S.I</t>
        </is>
      </c>
      <c r="G97" s="29" t="inlineStr">
        <is>
          <t>Methodes statistiques</t>
        </is>
      </c>
      <c r="H97" s="29" t="inlineStr"/>
      <c r="I97" s="29" t="inlineStr"/>
      <c r="J97" s="29" t="inlineStr">
        <is>
          <t>Mercredi</t>
        </is>
      </c>
      <c r="K97" s="29" t="inlineStr">
        <is>
          <t>15h05</t>
        </is>
      </c>
      <c r="L97" s="29" t="inlineStr">
        <is>
          <t>17h05</t>
        </is>
      </c>
      <c r="M97" s="29" t="n"/>
      <c r="N97" s="29" t="n">
        <v>2</v>
      </c>
    </row>
    <row r="98" ht="15" customHeight="1" s="22">
      <c r="A98" s="29" t="inlineStr">
        <is>
          <t>S096</t>
        </is>
      </c>
      <c r="B98" s="29" t="inlineStr">
        <is>
          <t>2025-2026</t>
        </is>
      </c>
      <c r="C98" s="29" t="inlineStr">
        <is>
          <t>1</t>
        </is>
      </c>
      <c r="D98" s="29" t="inlineStr">
        <is>
          <t>Soins infirmiers</t>
        </is>
      </c>
      <c r="E98" s="29" t="inlineStr">
        <is>
          <t>L1</t>
        </is>
      </c>
      <c r="F98" s="29" t="inlineStr">
        <is>
          <t>S.I</t>
        </is>
      </c>
      <c r="G98" s="29" t="inlineStr">
        <is>
          <t>Système cardiovasculaire</t>
        </is>
      </c>
      <c r="H98" s="29" t="inlineStr"/>
      <c r="I98" s="29" t="inlineStr"/>
      <c r="J98" s="29" t="inlineStr">
        <is>
          <t>Mercredi</t>
        </is>
      </c>
      <c r="K98" s="29" t="inlineStr">
        <is>
          <t>15h05</t>
        </is>
      </c>
      <c r="L98" s="29" t="inlineStr">
        <is>
          <t>17h05</t>
        </is>
      </c>
      <c r="M98" s="29" t="n"/>
      <c r="N98" s="29" t="n">
        <v>2</v>
      </c>
    </row>
    <row r="99" ht="15" customHeight="1" s="22">
      <c r="A99" s="29" t="inlineStr">
        <is>
          <t>S097</t>
        </is>
      </c>
      <c r="B99" s="29" t="inlineStr">
        <is>
          <t>2025-2026</t>
        </is>
      </c>
      <c r="C99" s="29" t="inlineStr">
        <is>
          <t>1</t>
        </is>
      </c>
      <c r="D99" s="29" t="inlineStr">
        <is>
          <t>Soins infirmiers</t>
        </is>
      </c>
      <c r="E99" s="29" t="inlineStr">
        <is>
          <t>L1</t>
        </is>
      </c>
      <c r="F99" s="29" t="inlineStr">
        <is>
          <t>S.I</t>
        </is>
      </c>
      <c r="G99" s="29" t="inlineStr">
        <is>
          <t>TD Anatomie des organes de sens</t>
        </is>
      </c>
      <c r="H99" s="29" t="inlineStr"/>
      <c r="I99" s="29" t="inlineStr"/>
      <c r="J99" s="29" t="inlineStr">
        <is>
          <t>Mercredi</t>
        </is>
      </c>
      <c r="K99" s="29" t="inlineStr">
        <is>
          <t>15h05</t>
        </is>
      </c>
      <c r="L99" s="29" t="inlineStr">
        <is>
          <t>17h05</t>
        </is>
      </c>
      <c r="M99" s="29" t="n"/>
      <c r="N99" s="29" t="n">
        <v>2</v>
      </c>
    </row>
    <row r="100" ht="15" customHeight="1" s="22">
      <c r="A100" s="29" t="inlineStr">
        <is>
          <t>S098</t>
        </is>
      </c>
      <c r="B100" s="29" t="inlineStr">
        <is>
          <t>2025-2026</t>
        </is>
      </c>
      <c r="C100" s="29" t="inlineStr">
        <is>
          <t>1</t>
        </is>
      </c>
      <c r="D100" s="29" t="inlineStr">
        <is>
          <t>Soins infirmiers</t>
        </is>
      </c>
      <c r="E100" s="29" t="inlineStr">
        <is>
          <t>L1</t>
        </is>
      </c>
      <c r="F100" s="29" t="inlineStr">
        <is>
          <t>S.I</t>
        </is>
      </c>
      <c r="G100" s="29" t="inlineStr">
        <is>
          <t>Anglais professionnel</t>
        </is>
      </c>
      <c r="H100" s="29" t="inlineStr"/>
      <c r="I100" s="29" t="inlineStr"/>
      <c r="J100" s="29" t="inlineStr">
        <is>
          <t>Mercredi</t>
        </is>
      </c>
      <c r="K100" s="29" t="inlineStr">
        <is>
          <t>8h00</t>
        </is>
      </c>
      <c r="L100" s="29" t="inlineStr">
        <is>
          <t>10h00</t>
        </is>
      </c>
      <c r="M100" s="29" t="n"/>
      <c r="N100" s="29" t="n">
        <v>4</v>
      </c>
    </row>
    <row r="101" ht="15" customHeight="1" s="22">
      <c r="A101" s="29" t="inlineStr">
        <is>
          <t>S099</t>
        </is>
      </c>
      <c r="B101" s="29" t="inlineStr">
        <is>
          <t>2025-2026</t>
        </is>
      </c>
      <c r="C101" s="29" t="inlineStr">
        <is>
          <t>1</t>
        </is>
      </c>
      <c r="D101" s="29" t="inlineStr">
        <is>
          <t>Soins infirmiers</t>
        </is>
      </c>
      <c r="E101" s="29" t="inlineStr">
        <is>
          <t>L1</t>
        </is>
      </c>
      <c r="F101" s="29" t="inlineStr">
        <is>
          <t>S.I</t>
        </is>
      </c>
      <c r="G101" s="29" t="inlineStr">
        <is>
          <t>Expression française</t>
        </is>
      </c>
      <c r="H101" s="29" t="inlineStr"/>
      <c r="I101" s="29" t="inlineStr"/>
      <c r="J101" s="29" t="inlineStr">
        <is>
          <t>Mercredi</t>
        </is>
      </c>
      <c r="K101" s="29" t="inlineStr">
        <is>
          <t>8h00</t>
        </is>
      </c>
      <c r="L101" s="29" t="inlineStr">
        <is>
          <t>10h00</t>
        </is>
      </c>
      <c r="M101" s="29" t="n"/>
      <c r="N101" s="29" t="n">
        <v>2</v>
      </c>
    </row>
    <row r="102" ht="15" customHeight="1" s="22">
      <c r="A102" s="29" t="inlineStr">
        <is>
          <t>S100</t>
        </is>
      </c>
      <c r="B102" s="29" t="inlineStr">
        <is>
          <t>2025-2026</t>
        </is>
      </c>
      <c r="C102" s="29" t="inlineStr">
        <is>
          <t>1</t>
        </is>
      </c>
      <c r="D102" s="29" t="inlineStr">
        <is>
          <t>Soins infirmiers</t>
        </is>
      </c>
      <c r="E102" s="29" t="inlineStr">
        <is>
          <t>L1</t>
        </is>
      </c>
      <c r="F102" s="29" t="inlineStr">
        <is>
          <t>S.I</t>
        </is>
      </c>
      <c r="G102" s="29" t="inlineStr">
        <is>
          <t>Liquides et életrolytes</t>
        </is>
      </c>
      <c r="H102" s="29" t="inlineStr"/>
      <c r="I102" s="29" t="inlineStr"/>
      <c r="J102" s="29" t="inlineStr">
        <is>
          <t>Mercredi</t>
        </is>
      </c>
      <c r="K102" s="29" t="inlineStr">
        <is>
          <t>8h00</t>
        </is>
      </c>
      <c r="L102" s="29" t="inlineStr">
        <is>
          <t>10h00</t>
        </is>
      </c>
      <c r="M102" s="29" t="n"/>
      <c r="N102" s="29" t="n">
        <v>4</v>
      </c>
    </row>
    <row r="103" ht="15" customHeight="1" s="22">
      <c r="A103" s="29" t="inlineStr">
        <is>
          <t>S101</t>
        </is>
      </c>
      <c r="B103" s="29" t="inlineStr">
        <is>
          <t>2025-2026</t>
        </is>
      </c>
      <c r="C103" s="29" t="inlineStr">
        <is>
          <t>1</t>
        </is>
      </c>
      <c r="D103" s="29" t="inlineStr">
        <is>
          <t>Soins infirmiers</t>
        </is>
      </c>
      <c r="E103" s="29" t="inlineStr">
        <is>
          <t>L1</t>
        </is>
      </c>
      <c r="F103" s="29" t="inlineStr">
        <is>
          <t>S.I</t>
        </is>
      </c>
      <c r="G103" s="29" t="inlineStr">
        <is>
          <t>Observation du malade</t>
        </is>
      </c>
      <c r="H103" s="29" t="inlineStr"/>
      <c r="I103" s="29" t="inlineStr"/>
      <c r="J103" s="29" t="inlineStr">
        <is>
          <t>Mercredi</t>
        </is>
      </c>
      <c r="K103" s="29" t="inlineStr">
        <is>
          <t>8h00</t>
        </is>
      </c>
      <c r="L103" s="29" t="inlineStr">
        <is>
          <t>10h00</t>
        </is>
      </c>
      <c r="M103" s="29" t="n"/>
      <c r="N103" s="29" t="n">
        <v>2</v>
      </c>
    </row>
    <row r="104" ht="15" customHeight="1" s="22">
      <c r="A104" s="29" t="inlineStr">
        <is>
          <t>S102</t>
        </is>
      </c>
      <c r="B104" s="29" t="inlineStr">
        <is>
          <t>2025-2026</t>
        </is>
      </c>
      <c r="C104" s="29" t="inlineStr">
        <is>
          <t>1</t>
        </is>
      </c>
      <c r="D104" s="29" t="inlineStr">
        <is>
          <t>Soins infirmiers</t>
        </is>
      </c>
      <c r="E104" s="29" t="inlineStr">
        <is>
          <t>L1</t>
        </is>
      </c>
      <c r="F104" s="29" t="inlineStr">
        <is>
          <t>S.I</t>
        </is>
      </c>
      <c r="G104" s="29" t="inlineStr">
        <is>
          <t>Soins de base prodigués au patient</t>
        </is>
      </c>
      <c r="H104" s="29" t="inlineStr"/>
      <c r="I104" s="29" t="inlineStr"/>
      <c r="J104" s="29" t="inlineStr">
        <is>
          <t>Mercredi</t>
        </is>
      </c>
      <c r="K104" s="29" t="inlineStr">
        <is>
          <t>8h00</t>
        </is>
      </c>
      <c r="L104" s="29" t="inlineStr">
        <is>
          <t>10h00</t>
        </is>
      </c>
      <c r="M104" s="29" t="n"/>
      <c r="N104" s="29" t="n">
        <v>10</v>
      </c>
    </row>
    <row r="105" ht="15" customHeight="1" s="22">
      <c r="A105" s="29" t="inlineStr">
        <is>
          <t>S103</t>
        </is>
      </c>
      <c r="B105" s="29" t="inlineStr">
        <is>
          <t>2025-2026</t>
        </is>
      </c>
      <c r="C105" s="29" t="inlineStr">
        <is>
          <t>1</t>
        </is>
      </c>
      <c r="D105" s="29" t="inlineStr">
        <is>
          <t>Soins infirmiers</t>
        </is>
      </c>
      <c r="E105" s="29" t="inlineStr">
        <is>
          <t>L1</t>
        </is>
      </c>
      <c r="F105" s="29" t="inlineStr">
        <is>
          <t>S.I</t>
        </is>
      </c>
      <c r="G105" s="29" t="inlineStr">
        <is>
          <t>Sémiologie médicochirurgicale</t>
        </is>
      </c>
      <c r="H105" s="29" t="inlineStr"/>
      <c r="I105" s="29" t="inlineStr"/>
      <c r="J105" s="29" t="inlineStr">
        <is>
          <t>Mercredi</t>
        </is>
      </c>
      <c r="K105" s="29" t="inlineStr">
        <is>
          <t>8h00</t>
        </is>
      </c>
      <c r="L105" s="29" t="inlineStr">
        <is>
          <t>10h00</t>
        </is>
      </c>
      <c r="M105" s="29" t="n"/>
      <c r="N105" s="29" t="n">
        <v>2</v>
      </c>
    </row>
    <row r="106" ht="15" customHeight="1" s="22">
      <c r="A106" s="29" t="inlineStr">
        <is>
          <t>S104</t>
        </is>
      </c>
      <c r="B106" s="29" t="inlineStr">
        <is>
          <t>2025-2026</t>
        </is>
      </c>
      <c r="C106" s="29" t="inlineStr">
        <is>
          <t>1</t>
        </is>
      </c>
      <c r="D106" s="29" t="inlineStr">
        <is>
          <t>Soins infirmiers</t>
        </is>
      </c>
      <c r="E106" s="29" t="inlineStr">
        <is>
          <t>L1</t>
        </is>
      </c>
      <c r="F106" s="29" t="inlineStr">
        <is>
          <t>S.I</t>
        </is>
      </c>
      <c r="G106" s="29" t="inlineStr">
        <is>
          <t>TD Anglais professionnel</t>
        </is>
      </c>
      <c r="H106" s="29" t="inlineStr"/>
      <c r="I106" s="29" t="inlineStr"/>
      <c r="J106" s="29" t="inlineStr">
        <is>
          <t>Mercredi</t>
        </is>
      </c>
      <c r="K106" s="29" t="inlineStr">
        <is>
          <t>8h00</t>
        </is>
      </c>
      <c r="L106" s="29" t="inlineStr">
        <is>
          <t>10h00</t>
        </is>
      </c>
      <c r="M106" s="29" t="n"/>
      <c r="N106" s="29" t="n">
        <v>2</v>
      </c>
    </row>
    <row r="107" ht="15" customHeight="1" s="22">
      <c r="A107" s="29" t="inlineStr">
        <is>
          <t>S105</t>
        </is>
      </c>
      <c r="B107" s="29" t="inlineStr">
        <is>
          <t>2025-2026</t>
        </is>
      </c>
      <c r="C107" s="29" t="inlineStr">
        <is>
          <t>1</t>
        </is>
      </c>
      <c r="D107" s="29" t="inlineStr">
        <is>
          <t>Soins infirmiers</t>
        </is>
      </c>
      <c r="E107" s="29" t="inlineStr">
        <is>
          <t>L1</t>
        </is>
      </c>
      <c r="F107" s="29" t="inlineStr">
        <is>
          <t>S.I</t>
        </is>
      </c>
      <c r="G107" s="29" t="inlineStr">
        <is>
          <t>TD Liquides et életrolytes</t>
        </is>
      </c>
      <c r="H107" s="29" t="inlineStr"/>
      <c r="I107" s="29" t="inlineStr"/>
      <c r="J107" s="29" t="inlineStr">
        <is>
          <t>Mercredi</t>
        </is>
      </c>
      <c r="K107" s="29" t="inlineStr">
        <is>
          <t>8h00</t>
        </is>
      </c>
      <c r="L107" s="29" t="inlineStr">
        <is>
          <t>10h00</t>
        </is>
      </c>
      <c r="M107" s="29" t="n"/>
      <c r="N107" s="29" t="n">
        <v>2</v>
      </c>
    </row>
    <row r="108" ht="15" customHeight="1" s="22">
      <c r="A108" s="29" t="inlineStr">
        <is>
          <t>S106</t>
        </is>
      </c>
      <c r="B108" s="29" t="inlineStr">
        <is>
          <t>2025-2026</t>
        </is>
      </c>
      <c r="C108" s="29" t="inlineStr">
        <is>
          <t>1</t>
        </is>
      </c>
      <c r="D108" s="29" t="inlineStr">
        <is>
          <t>Soins infirmiers</t>
        </is>
      </c>
      <c r="E108" s="29" t="inlineStr">
        <is>
          <t>L1</t>
        </is>
      </c>
      <c r="F108" s="29" t="inlineStr">
        <is>
          <t>S.I</t>
        </is>
      </c>
      <c r="G108" s="29" t="inlineStr">
        <is>
          <t>TD Observation du malade</t>
        </is>
      </c>
      <c r="H108" s="29" t="inlineStr"/>
      <c r="I108" s="29" t="inlineStr"/>
      <c r="J108" s="29" t="inlineStr">
        <is>
          <t>Mercredi</t>
        </is>
      </c>
      <c r="K108" s="29" t="inlineStr">
        <is>
          <t>8h00</t>
        </is>
      </c>
      <c r="L108" s="29" t="inlineStr">
        <is>
          <t>10h00</t>
        </is>
      </c>
      <c r="M108" s="29" t="n"/>
      <c r="N108" s="29" t="n">
        <v>2</v>
      </c>
    </row>
    <row r="109" ht="15" customHeight="1" s="22">
      <c r="A109" s="29" t="inlineStr">
        <is>
          <t>S107</t>
        </is>
      </c>
      <c r="B109" s="29" t="inlineStr">
        <is>
          <t>2025-2026</t>
        </is>
      </c>
      <c r="C109" s="29" t="inlineStr">
        <is>
          <t>1</t>
        </is>
      </c>
      <c r="D109" s="29" t="inlineStr">
        <is>
          <t>Soins infirmiers</t>
        </is>
      </c>
      <c r="E109" s="29" t="inlineStr">
        <is>
          <t>L1</t>
        </is>
      </c>
      <c r="F109" s="29" t="inlineStr">
        <is>
          <t>S.I</t>
        </is>
      </c>
      <c r="G109" s="29" t="inlineStr">
        <is>
          <t>Anatomie du système endocrinien</t>
        </is>
      </c>
      <c r="H109" s="29" t="inlineStr">
        <is>
          <t>Moussa Mohamed Ahmed (Chef de département formation continue et santé publique)</t>
        </is>
      </c>
      <c r="I109" s="29" t="inlineStr"/>
      <c r="J109" s="29" t="inlineStr">
        <is>
          <t>Vendredi</t>
        </is>
      </c>
      <c r="K109" s="29" t="inlineStr">
        <is>
          <t>10h05</t>
        </is>
      </c>
      <c r="L109" s="29" t="inlineStr">
        <is>
          <t>12h05</t>
        </is>
      </c>
      <c r="M109" s="29" t="n"/>
      <c r="N109" s="29" t="n">
        <v>2</v>
      </c>
    </row>
    <row r="110" ht="15" customHeight="1" s="22">
      <c r="A110" s="29" t="inlineStr">
        <is>
          <t>S108</t>
        </is>
      </c>
      <c r="B110" s="29" t="inlineStr">
        <is>
          <t>2025-2026</t>
        </is>
      </c>
      <c r="C110" s="29" t="inlineStr">
        <is>
          <t>1</t>
        </is>
      </c>
      <c r="D110" s="29" t="inlineStr">
        <is>
          <t>Soins infirmiers</t>
        </is>
      </c>
      <c r="E110" s="29" t="inlineStr">
        <is>
          <t>L1</t>
        </is>
      </c>
      <c r="F110" s="29" t="inlineStr">
        <is>
          <t>S.I</t>
        </is>
      </c>
      <c r="G110" s="29" t="inlineStr">
        <is>
          <t>Appareil locomoteur</t>
        </is>
      </c>
      <c r="H110" s="29" t="inlineStr"/>
      <c r="I110" s="29" t="inlineStr"/>
      <c r="J110" s="29" t="inlineStr">
        <is>
          <t>Vendredi</t>
        </is>
      </c>
      <c r="K110" s="29" t="inlineStr">
        <is>
          <t>10h05</t>
        </is>
      </c>
      <c r="L110" s="29" t="inlineStr">
        <is>
          <t>12h05</t>
        </is>
      </c>
      <c r="M110" s="29" t="n"/>
      <c r="N110" s="29" t="n">
        <v>6</v>
      </c>
    </row>
    <row r="111" ht="15" customHeight="1" s="22">
      <c r="A111" s="29" t="inlineStr">
        <is>
          <t>S109</t>
        </is>
      </c>
      <c r="B111" s="29" t="inlineStr">
        <is>
          <t>2025-2026</t>
        </is>
      </c>
      <c r="C111" s="29" t="inlineStr">
        <is>
          <t>1</t>
        </is>
      </c>
      <c r="D111" s="29" t="inlineStr">
        <is>
          <t>Soins infirmiers</t>
        </is>
      </c>
      <c r="E111" s="29" t="inlineStr">
        <is>
          <t>L1</t>
        </is>
      </c>
      <c r="F111" s="29" t="inlineStr">
        <is>
          <t>S.I</t>
        </is>
      </c>
      <c r="G111" s="29" t="inlineStr">
        <is>
          <t>Contrôle  Appareil locomoteur</t>
        </is>
      </c>
      <c r="H111" s="29" t="inlineStr"/>
      <c r="I111" s="29" t="inlineStr"/>
      <c r="J111" s="29" t="inlineStr">
        <is>
          <t>Vendredi</t>
        </is>
      </c>
      <c r="K111" s="29" t="inlineStr">
        <is>
          <t>10h05</t>
        </is>
      </c>
      <c r="L111" s="29" t="inlineStr">
        <is>
          <t>12h05</t>
        </is>
      </c>
      <c r="M111" s="29" t="n"/>
      <c r="N111" s="29" t="n">
        <v>2</v>
      </c>
    </row>
    <row r="112" ht="15" customHeight="1" s="22">
      <c r="A112" s="29" t="inlineStr">
        <is>
          <t>S110</t>
        </is>
      </c>
      <c r="B112" s="29" t="inlineStr">
        <is>
          <t>2025-2026</t>
        </is>
      </c>
      <c r="C112" s="29" t="inlineStr">
        <is>
          <t>1</t>
        </is>
      </c>
      <c r="D112" s="29" t="inlineStr">
        <is>
          <t>Soins infirmiers</t>
        </is>
      </c>
      <c r="E112" s="29" t="inlineStr">
        <is>
          <t>L1</t>
        </is>
      </c>
      <c r="F112" s="29" t="inlineStr">
        <is>
          <t>S.I</t>
        </is>
      </c>
      <c r="G112" s="29" t="inlineStr">
        <is>
          <t>Introduction du corps humain</t>
        </is>
      </c>
      <c r="H112" s="29" t="inlineStr"/>
      <c r="I112" s="29" t="inlineStr"/>
      <c r="J112" s="29" t="inlineStr">
        <is>
          <t>Vendredi</t>
        </is>
      </c>
      <c r="K112" s="29" t="inlineStr">
        <is>
          <t>10h05</t>
        </is>
      </c>
      <c r="L112" s="29" t="inlineStr">
        <is>
          <t>12h05</t>
        </is>
      </c>
      <c r="M112" s="29" t="n"/>
      <c r="N112" s="29" t="n">
        <v>2</v>
      </c>
    </row>
    <row r="113" ht="15" customHeight="1" s="22">
      <c r="A113" s="29" t="inlineStr">
        <is>
          <t>S111</t>
        </is>
      </c>
      <c r="B113" s="29" t="inlineStr">
        <is>
          <t>2025-2026</t>
        </is>
      </c>
      <c r="C113" s="29" t="inlineStr">
        <is>
          <t>1</t>
        </is>
      </c>
      <c r="D113" s="29" t="inlineStr">
        <is>
          <t>Soins infirmiers</t>
        </is>
      </c>
      <c r="E113" s="29" t="inlineStr">
        <is>
          <t>L1</t>
        </is>
      </c>
      <c r="F113" s="29" t="inlineStr">
        <is>
          <t>S.I</t>
        </is>
      </c>
      <c r="G113" s="29" t="inlineStr">
        <is>
          <t>Sémiologie médicochirurgicale</t>
        </is>
      </c>
      <c r="H113" s="29" t="inlineStr"/>
      <c r="I113" s="29" t="inlineStr"/>
      <c r="J113" s="29" t="inlineStr">
        <is>
          <t>Vendredi</t>
        </is>
      </c>
      <c r="K113" s="29" t="inlineStr">
        <is>
          <t>10h05</t>
        </is>
      </c>
      <c r="L113" s="29" t="inlineStr">
        <is>
          <t>12h05</t>
        </is>
      </c>
      <c r="M113" s="29" t="n"/>
      <c r="N113" s="29" t="n">
        <v>12</v>
      </c>
    </row>
    <row r="114" ht="15" customHeight="1" s="22">
      <c r="A114" s="29" t="inlineStr">
        <is>
          <t>S112</t>
        </is>
      </c>
      <c r="B114" s="29" t="inlineStr">
        <is>
          <t>2025-2026</t>
        </is>
      </c>
      <c r="C114" s="29" t="inlineStr">
        <is>
          <t>1</t>
        </is>
      </c>
      <c r="D114" s="29" t="inlineStr">
        <is>
          <t>Soins infirmiers</t>
        </is>
      </c>
      <c r="E114" s="29" t="inlineStr">
        <is>
          <t>L1</t>
        </is>
      </c>
      <c r="F114" s="29" t="inlineStr">
        <is>
          <t>S.I</t>
        </is>
      </c>
      <c r="G114" s="29" t="inlineStr">
        <is>
          <t>TD Anatomie du système endocrinien</t>
        </is>
      </c>
      <c r="H114" s="29" t="inlineStr"/>
      <c r="I114" s="29" t="inlineStr"/>
      <c r="J114" s="29" t="inlineStr">
        <is>
          <t>Vendredi</t>
        </is>
      </c>
      <c r="K114" s="29" t="inlineStr">
        <is>
          <t>10h05</t>
        </is>
      </c>
      <c r="L114" s="29" t="inlineStr">
        <is>
          <t>12h05</t>
        </is>
      </c>
      <c r="M114" s="29" t="n"/>
      <c r="N114" s="29" t="n">
        <v>2</v>
      </c>
    </row>
    <row r="115" ht="15" customHeight="1" s="22">
      <c r="A115" s="29" t="inlineStr">
        <is>
          <t>S113</t>
        </is>
      </c>
      <c r="B115" s="29" t="inlineStr">
        <is>
          <t>2025-2026</t>
        </is>
      </c>
      <c r="C115" s="29" t="inlineStr">
        <is>
          <t>1</t>
        </is>
      </c>
      <c r="D115" s="29" t="inlineStr">
        <is>
          <t>Soins infirmiers</t>
        </is>
      </c>
      <c r="E115" s="29" t="inlineStr">
        <is>
          <t>L1</t>
        </is>
      </c>
      <c r="F115" s="29" t="inlineStr">
        <is>
          <t>S.I</t>
        </is>
      </c>
      <c r="G115" s="29" t="inlineStr">
        <is>
          <t>TD Appareil locomoteur</t>
        </is>
      </c>
      <c r="H115" s="29" t="inlineStr"/>
      <c r="I115" s="29" t="inlineStr"/>
      <c r="J115" s="29" t="inlineStr">
        <is>
          <t>Vendredi</t>
        </is>
      </c>
      <c r="K115" s="29" t="inlineStr">
        <is>
          <t>10h05</t>
        </is>
      </c>
      <c r="L115" s="29" t="inlineStr">
        <is>
          <t>12h05</t>
        </is>
      </c>
      <c r="M115" s="29" t="n"/>
      <c r="N115" s="29" t="n">
        <v>2</v>
      </c>
    </row>
    <row r="116" ht="15" customHeight="1" s="22">
      <c r="A116" s="29" t="inlineStr">
        <is>
          <t>S114</t>
        </is>
      </c>
      <c r="B116" s="29" t="inlineStr">
        <is>
          <t>2025-2026</t>
        </is>
      </c>
      <c r="C116" s="29" t="inlineStr">
        <is>
          <t>1</t>
        </is>
      </c>
      <c r="D116" s="29" t="inlineStr">
        <is>
          <t>Soins infirmiers</t>
        </is>
      </c>
      <c r="E116" s="29" t="inlineStr">
        <is>
          <t>L1</t>
        </is>
      </c>
      <c r="F116" s="29" t="inlineStr">
        <is>
          <t>S.I</t>
        </is>
      </c>
      <c r="G116" s="29" t="inlineStr">
        <is>
          <t>TD Introduction du corps humain</t>
        </is>
      </c>
      <c r="H116" s="29" t="inlineStr"/>
      <c r="I116" s="29" t="inlineStr"/>
      <c r="J116" s="29" t="inlineStr">
        <is>
          <t>Vendredi</t>
        </is>
      </c>
      <c r="K116" s="29" t="inlineStr">
        <is>
          <t>10h05</t>
        </is>
      </c>
      <c r="L116" s="29" t="inlineStr">
        <is>
          <t>12h05</t>
        </is>
      </c>
      <c r="M116" s="29" t="n"/>
      <c r="N116" s="29" t="n">
        <v>2</v>
      </c>
    </row>
    <row r="117" ht="15" customHeight="1" s="22">
      <c r="A117" s="29" t="inlineStr">
        <is>
          <t>S115</t>
        </is>
      </c>
      <c r="B117" s="29" t="inlineStr">
        <is>
          <t>2025-2026</t>
        </is>
      </c>
      <c r="C117" s="29" t="inlineStr">
        <is>
          <t>1</t>
        </is>
      </c>
      <c r="D117" s="29" t="inlineStr">
        <is>
          <t>Soins infirmiers</t>
        </is>
      </c>
      <c r="E117" s="29" t="inlineStr">
        <is>
          <t>L1</t>
        </is>
      </c>
      <c r="F117" s="29" t="inlineStr">
        <is>
          <t>S.I</t>
        </is>
      </c>
      <c r="G117" s="29" t="inlineStr">
        <is>
          <t>Anglais professionnel</t>
        </is>
      </c>
      <c r="H117" s="29" t="inlineStr"/>
      <c r="I117" s="29" t="inlineStr"/>
      <c r="J117" s="29" t="inlineStr">
        <is>
          <t>Vendredi</t>
        </is>
      </c>
      <c r="K117" s="29" t="inlineStr">
        <is>
          <t>8h00</t>
        </is>
      </c>
      <c r="L117" s="29" t="inlineStr">
        <is>
          <t>10h00</t>
        </is>
      </c>
      <c r="M117" s="29" t="n"/>
      <c r="N117" s="29" t="n">
        <v>4</v>
      </c>
    </row>
    <row r="118" ht="15" customHeight="1" s="22">
      <c r="A118" s="29" t="inlineStr">
        <is>
          <t>S116</t>
        </is>
      </c>
      <c r="B118" s="29" t="inlineStr">
        <is>
          <t>2025-2026</t>
        </is>
      </c>
      <c r="C118" s="29" t="inlineStr">
        <is>
          <t>1</t>
        </is>
      </c>
      <c r="D118" s="29" t="inlineStr">
        <is>
          <t>Soins infirmiers</t>
        </is>
      </c>
      <c r="E118" s="29" t="inlineStr">
        <is>
          <t>L1</t>
        </is>
      </c>
      <c r="F118" s="29" t="inlineStr">
        <is>
          <t>S.I</t>
        </is>
      </c>
      <c r="G118" s="29" t="inlineStr">
        <is>
          <t>Contrôle  Anglais professionnel</t>
        </is>
      </c>
      <c r="H118" s="29" t="inlineStr"/>
      <c r="I118" s="29" t="inlineStr"/>
      <c r="J118" s="29" t="inlineStr">
        <is>
          <t>Vendredi</t>
        </is>
      </c>
      <c r="K118" s="29" t="inlineStr">
        <is>
          <t>8h00</t>
        </is>
      </c>
      <c r="L118" s="29" t="inlineStr">
        <is>
          <t>10h00</t>
        </is>
      </c>
      <c r="M118" s="29" t="n"/>
      <c r="N118" s="29" t="n">
        <v>2</v>
      </c>
    </row>
    <row r="119" ht="15" customHeight="1" s="22">
      <c r="A119" s="29" t="inlineStr">
        <is>
          <t>S117</t>
        </is>
      </c>
      <c r="B119" s="29" t="inlineStr">
        <is>
          <t>2025-2026</t>
        </is>
      </c>
      <c r="C119" s="29" t="inlineStr">
        <is>
          <t>1</t>
        </is>
      </c>
      <c r="D119" s="29" t="inlineStr">
        <is>
          <t>Soins infirmiers</t>
        </is>
      </c>
      <c r="E119" s="29" t="inlineStr">
        <is>
          <t>L1</t>
        </is>
      </c>
      <c r="F119" s="29" t="inlineStr">
        <is>
          <t>S.I</t>
        </is>
      </c>
      <c r="G119" s="29" t="inlineStr">
        <is>
          <t>Contrôle Appareil urogénital</t>
        </is>
      </c>
      <c r="H119" s="29" t="inlineStr"/>
      <c r="I119" s="29" t="inlineStr"/>
      <c r="J119" s="29" t="inlineStr">
        <is>
          <t>Vendredi</t>
        </is>
      </c>
      <c r="K119" s="29" t="inlineStr">
        <is>
          <t>8h00</t>
        </is>
      </c>
      <c r="L119" s="29" t="inlineStr">
        <is>
          <t>10h00</t>
        </is>
      </c>
      <c r="M119" s="29" t="n"/>
      <c r="N119" s="29" t="n">
        <v>2</v>
      </c>
    </row>
    <row r="120" ht="15" customHeight="1" s="22">
      <c r="A120" s="29" t="inlineStr">
        <is>
          <t>S118</t>
        </is>
      </c>
      <c r="B120" s="29" t="inlineStr">
        <is>
          <t>2025-2026</t>
        </is>
      </c>
      <c r="C120" s="29" t="inlineStr">
        <is>
          <t>1</t>
        </is>
      </c>
      <c r="D120" s="29" t="inlineStr">
        <is>
          <t>Soins infirmiers</t>
        </is>
      </c>
      <c r="E120" s="29" t="inlineStr">
        <is>
          <t>L1</t>
        </is>
      </c>
      <c r="F120" s="29" t="inlineStr">
        <is>
          <t>S.I</t>
        </is>
      </c>
      <c r="G120" s="29" t="inlineStr">
        <is>
          <t>Contrôle Expression française</t>
        </is>
      </c>
      <c r="H120" s="29" t="inlineStr"/>
      <c r="I120" s="29" t="inlineStr"/>
      <c r="J120" s="29" t="inlineStr">
        <is>
          <t>Vendredi</t>
        </is>
      </c>
      <c r="K120" s="29" t="inlineStr">
        <is>
          <t>8h00</t>
        </is>
      </c>
      <c r="L120" s="29" t="inlineStr">
        <is>
          <t>10h00</t>
        </is>
      </c>
      <c r="M120" s="29" t="n"/>
      <c r="N120" s="29" t="n">
        <v>2</v>
      </c>
    </row>
    <row r="121" ht="15" customHeight="1" s="22">
      <c r="A121" s="29" t="inlineStr">
        <is>
          <t>S119</t>
        </is>
      </c>
      <c r="B121" s="29" t="inlineStr">
        <is>
          <t>2025-2026</t>
        </is>
      </c>
      <c r="C121" s="29" t="inlineStr">
        <is>
          <t>1</t>
        </is>
      </c>
      <c r="D121" s="29" t="inlineStr">
        <is>
          <t>Soins infirmiers</t>
        </is>
      </c>
      <c r="E121" s="29" t="inlineStr">
        <is>
          <t>L1</t>
        </is>
      </c>
      <c r="F121" s="29" t="inlineStr">
        <is>
          <t>S.I</t>
        </is>
      </c>
      <c r="G121" s="29" t="inlineStr">
        <is>
          <t>Expression française</t>
        </is>
      </c>
      <c r="H121" s="29" t="inlineStr"/>
      <c r="I121" s="29" t="inlineStr"/>
      <c r="J121" s="29" t="inlineStr">
        <is>
          <t>Vendredi</t>
        </is>
      </c>
      <c r="K121" s="29" t="inlineStr">
        <is>
          <t>8h00</t>
        </is>
      </c>
      <c r="L121" s="29" t="inlineStr">
        <is>
          <t>10h00</t>
        </is>
      </c>
      <c r="M121" s="29" t="n"/>
      <c r="N121" s="29" t="n">
        <v>4</v>
      </c>
    </row>
    <row r="122" ht="15" customHeight="1" s="22">
      <c r="A122" s="29" t="inlineStr">
        <is>
          <t>S120</t>
        </is>
      </c>
      <c r="B122" s="29" t="inlineStr">
        <is>
          <t>2025-2026</t>
        </is>
      </c>
      <c r="C122" s="29" t="inlineStr">
        <is>
          <t>1</t>
        </is>
      </c>
      <c r="D122" s="29" t="inlineStr">
        <is>
          <t>Soins infirmiers</t>
        </is>
      </c>
      <c r="E122" s="29" t="inlineStr">
        <is>
          <t>L1</t>
        </is>
      </c>
      <c r="F122" s="29" t="inlineStr">
        <is>
          <t>S.I</t>
        </is>
      </c>
      <c r="G122" s="29" t="inlineStr">
        <is>
          <t>Observation du malade</t>
        </is>
      </c>
      <c r="H122" s="29" t="inlineStr"/>
      <c r="I122" s="29" t="inlineStr"/>
      <c r="J122" s="29" t="inlineStr">
        <is>
          <t>Vendredi</t>
        </is>
      </c>
      <c r="K122" s="29" t="inlineStr">
        <is>
          <t>8h00</t>
        </is>
      </c>
      <c r="L122" s="29" t="inlineStr">
        <is>
          <t>10h00</t>
        </is>
      </c>
      <c r="M122" s="29" t="n"/>
      <c r="N122" s="29" t="n">
        <v>4</v>
      </c>
    </row>
    <row r="123" ht="15" customHeight="1" s="22">
      <c r="A123" s="29" t="inlineStr">
        <is>
          <t>S121</t>
        </is>
      </c>
      <c r="B123" s="29" t="inlineStr">
        <is>
          <t>2025-2026</t>
        </is>
      </c>
      <c r="C123" s="29" t="inlineStr">
        <is>
          <t>1</t>
        </is>
      </c>
      <c r="D123" s="29" t="inlineStr">
        <is>
          <t>Soins infirmiers</t>
        </is>
      </c>
      <c r="E123" s="29" t="inlineStr">
        <is>
          <t>L1</t>
        </is>
      </c>
      <c r="F123" s="29" t="inlineStr">
        <is>
          <t>S.I</t>
        </is>
      </c>
      <c r="G123" s="29" t="inlineStr">
        <is>
          <t>Soins de base prodigués au patient</t>
        </is>
      </c>
      <c r="H123" s="29" t="inlineStr"/>
      <c r="I123" s="29" t="inlineStr"/>
      <c r="J123" s="29" t="inlineStr">
        <is>
          <t>Vendredi</t>
        </is>
      </c>
      <c r="K123" s="29" t="inlineStr">
        <is>
          <t>8h00</t>
        </is>
      </c>
      <c r="L123" s="29" t="inlineStr">
        <is>
          <t>10h00</t>
        </is>
      </c>
      <c r="M123" s="29" t="n"/>
      <c r="N123" s="29" t="n">
        <v>10</v>
      </c>
    </row>
    <row r="124" ht="15" customHeight="1" s="22">
      <c r="A124" s="29" t="inlineStr">
        <is>
          <t>S122</t>
        </is>
      </c>
      <c r="B124" s="29" t="inlineStr">
        <is>
          <t>2025-2026</t>
        </is>
      </c>
      <c r="C124" s="29" t="inlineStr">
        <is>
          <t>1</t>
        </is>
      </c>
      <c r="D124" s="29" t="inlineStr">
        <is>
          <t>Soins infirmiers</t>
        </is>
      </c>
      <c r="E124" s="29" t="inlineStr">
        <is>
          <t>L1</t>
        </is>
      </c>
      <c r="F124" s="29" t="inlineStr">
        <is>
          <t>S.I</t>
        </is>
      </c>
      <c r="G124" s="29" t="inlineStr">
        <is>
          <t>Sémiologie médicochirurgicale</t>
        </is>
      </c>
      <c r="H124" s="29" t="inlineStr"/>
      <c r="I124" s="29" t="inlineStr"/>
      <c r="J124" s="29" t="inlineStr">
        <is>
          <t>Vendredi</t>
        </is>
      </c>
      <c r="K124" s="29" t="inlineStr">
        <is>
          <t>8h00</t>
        </is>
      </c>
      <c r="L124" s="29" t="inlineStr">
        <is>
          <t>10h00</t>
        </is>
      </c>
      <c r="M124" s="29" t="n"/>
      <c r="N124" s="29" t="n">
        <v>2</v>
      </c>
    </row>
    <row r="125" ht="15" customHeight="1" s="22">
      <c r="A125" s="29" t="inlineStr">
        <is>
          <t>S123</t>
        </is>
      </c>
      <c r="B125" s="29" t="inlineStr">
        <is>
          <t>2025-2026</t>
        </is>
      </c>
      <c r="C125" s="29" t="inlineStr">
        <is>
          <t>3</t>
        </is>
      </c>
      <c r="D125" s="29" t="inlineStr">
        <is>
          <t>Soins infirmiers</t>
        </is>
      </c>
      <c r="E125" s="29" t="inlineStr">
        <is>
          <t>L2</t>
        </is>
      </c>
      <c r="F125" s="29" t="inlineStr">
        <is>
          <t>S.I</t>
        </is>
      </c>
      <c r="G125" s="29" t="inlineStr">
        <is>
          <t>Consultation prénatale</t>
        </is>
      </c>
      <c r="H125" s="29" t="inlineStr">
        <is>
          <t>Mme MYRIAM ABDALLAH</t>
        </is>
      </c>
      <c r="I125" s="29" t="inlineStr"/>
      <c r="J125" s="29" t="inlineStr">
        <is>
          <t>Jeudi</t>
        </is>
      </c>
      <c r="K125" s="29" t="inlineStr">
        <is>
          <t>10h05</t>
        </is>
      </c>
      <c r="L125" s="29" t="inlineStr">
        <is>
          <t>12h05</t>
        </is>
      </c>
      <c r="M125" s="29" t="n"/>
      <c r="N125" s="29" t="n">
        <v>2</v>
      </c>
    </row>
    <row r="126" ht="15" customHeight="1" s="22">
      <c r="A126" s="29" t="inlineStr">
        <is>
          <t>S124</t>
        </is>
      </c>
      <c r="B126" s="29" t="inlineStr">
        <is>
          <t>2025-2026</t>
        </is>
      </c>
      <c r="C126" s="29" t="inlineStr">
        <is>
          <t>3</t>
        </is>
      </c>
      <c r="D126" s="29" t="inlineStr">
        <is>
          <t>Soins infirmiers</t>
        </is>
      </c>
      <c r="E126" s="29" t="inlineStr">
        <is>
          <t>L2</t>
        </is>
      </c>
      <c r="F126" s="29" t="inlineStr">
        <is>
          <t>S.I</t>
        </is>
      </c>
      <c r="G126" s="29" t="inlineStr">
        <is>
          <t>Patologies orthopédiques et traumatologiqes</t>
        </is>
      </c>
      <c r="H126" s="29" t="inlineStr"/>
      <c r="I126" s="29" t="inlineStr"/>
      <c r="J126" s="29" t="inlineStr">
        <is>
          <t>Jeudi</t>
        </is>
      </c>
      <c r="K126" s="29" t="inlineStr">
        <is>
          <t>10h05</t>
        </is>
      </c>
      <c r="L126" s="29" t="inlineStr">
        <is>
          <t>12h05</t>
        </is>
      </c>
      <c r="M126" s="29" t="n"/>
      <c r="N126" s="29" t="n">
        <v>2</v>
      </c>
    </row>
    <row r="127" ht="15" customHeight="1" s="22">
      <c r="A127" s="29" t="inlineStr">
        <is>
          <t>S125</t>
        </is>
      </c>
      <c r="B127" s="29" t="inlineStr">
        <is>
          <t>2025-2026</t>
        </is>
      </c>
      <c r="C127" s="29" t="inlineStr">
        <is>
          <t>3</t>
        </is>
      </c>
      <c r="D127" s="29" t="inlineStr">
        <is>
          <t>Soins infirmiers</t>
        </is>
      </c>
      <c r="E127" s="29" t="inlineStr">
        <is>
          <t>L2</t>
        </is>
      </c>
      <c r="F127" s="29" t="inlineStr">
        <is>
          <t>S.I</t>
        </is>
      </c>
      <c r="G127" s="29" t="inlineStr">
        <is>
          <t>Protocoles de prise en charge de la grossesse normale</t>
        </is>
      </c>
      <c r="H127" s="29" t="inlineStr"/>
      <c r="I127" s="29" t="inlineStr"/>
      <c r="J127" s="29" t="inlineStr">
        <is>
          <t>Jeudi</t>
        </is>
      </c>
      <c r="K127" s="29" t="inlineStr">
        <is>
          <t>10h05</t>
        </is>
      </c>
      <c r="L127" s="29" t="inlineStr">
        <is>
          <t>12h05</t>
        </is>
      </c>
      <c r="M127" s="29" t="n"/>
      <c r="N127" s="29" t="n">
        <v>2</v>
      </c>
    </row>
    <row r="128" ht="15" customHeight="1" s="22">
      <c r="A128" s="29" t="inlineStr">
        <is>
          <t>S126</t>
        </is>
      </c>
      <c r="B128" s="29" t="inlineStr">
        <is>
          <t>2025-2026</t>
        </is>
      </c>
      <c r="C128" s="29" t="inlineStr">
        <is>
          <t>3</t>
        </is>
      </c>
      <c r="D128" s="29" t="inlineStr">
        <is>
          <t>Soins infirmiers</t>
        </is>
      </c>
      <c r="E128" s="29" t="inlineStr">
        <is>
          <t>L2</t>
        </is>
      </c>
      <c r="F128" s="29" t="inlineStr">
        <is>
          <t>S.I</t>
        </is>
      </c>
      <c r="G128" s="29" t="inlineStr">
        <is>
          <t>Préparation à l’accouchement normal</t>
        </is>
      </c>
      <c r="H128" s="29" t="inlineStr">
        <is>
          <t>Soudjay Asnounat</t>
        </is>
      </c>
      <c r="I128" s="29" t="inlineStr"/>
      <c r="J128" s="29" t="inlineStr">
        <is>
          <t>Jeudi</t>
        </is>
      </c>
      <c r="K128" s="29" t="inlineStr">
        <is>
          <t>10h05</t>
        </is>
      </c>
      <c r="L128" s="29" t="inlineStr">
        <is>
          <t>12h05</t>
        </is>
      </c>
      <c r="M128" s="29" t="n"/>
      <c r="N128" s="29" t="n">
        <v>4</v>
      </c>
    </row>
    <row r="129" ht="15" customHeight="1" s="22">
      <c r="A129" s="29" t="inlineStr">
        <is>
          <t>S127</t>
        </is>
      </c>
      <c r="B129" s="29" t="inlineStr">
        <is>
          <t>2025-2026</t>
        </is>
      </c>
      <c r="C129" s="29" t="inlineStr">
        <is>
          <t>3</t>
        </is>
      </c>
      <c r="D129" s="29" t="inlineStr">
        <is>
          <t>Soins infirmiers</t>
        </is>
      </c>
      <c r="E129" s="29" t="inlineStr">
        <is>
          <t>L2</t>
        </is>
      </c>
      <c r="F129" s="29" t="inlineStr">
        <is>
          <t>S.I</t>
        </is>
      </c>
      <c r="G129" s="29" t="inlineStr">
        <is>
          <t>Puériculture</t>
        </is>
      </c>
      <c r="H129" s="29" t="inlineStr">
        <is>
          <t>Dr Chamsouddine</t>
        </is>
      </c>
      <c r="I129" s="29" t="inlineStr"/>
      <c r="J129" s="29" t="inlineStr">
        <is>
          <t>Jeudi</t>
        </is>
      </c>
      <c r="K129" s="29" t="inlineStr">
        <is>
          <t>10h05</t>
        </is>
      </c>
      <c r="L129" s="29" t="inlineStr">
        <is>
          <t>12h05</t>
        </is>
      </c>
      <c r="M129" s="29" t="n"/>
      <c r="N129" s="29" t="n">
        <v>6</v>
      </c>
    </row>
    <row r="130" ht="15" customHeight="1" s="22">
      <c r="A130" s="29" t="inlineStr">
        <is>
          <t>S128</t>
        </is>
      </c>
      <c r="B130" s="29" t="inlineStr">
        <is>
          <t>2025-2026</t>
        </is>
      </c>
      <c r="C130" s="29" t="inlineStr">
        <is>
          <t>3</t>
        </is>
      </c>
      <c r="D130" s="29" t="inlineStr">
        <is>
          <t>Soins infirmiers</t>
        </is>
      </c>
      <c r="E130" s="29" t="inlineStr">
        <is>
          <t>L2</t>
        </is>
      </c>
      <c r="F130" s="29" t="inlineStr">
        <is>
          <t>S.I</t>
        </is>
      </c>
      <c r="G130" s="29" t="inlineStr">
        <is>
          <t>SI Affections Digestifs</t>
        </is>
      </c>
      <c r="H130" s="29" t="inlineStr"/>
      <c r="I130" s="29" t="inlineStr"/>
      <c r="J130" s="29" t="inlineStr">
        <is>
          <t>Jeudi</t>
        </is>
      </c>
      <c r="K130" s="29" t="inlineStr">
        <is>
          <t>10h05</t>
        </is>
      </c>
      <c r="L130" s="29" t="inlineStr">
        <is>
          <t>12h05</t>
        </is>
      </c>
      <c r="M130" s="29" t="n"/>
      <c r="N130" s="29" t="n">
        <v>6</v>
      </c>
    </row>
    <row r="131" ht="15" customHeight="1" s="22">
      <c r="A131" s="29" t="inlineStr">
        <is>
          <t>S129</t>
        </is>
      </c>
      <c r="B131" s="29" t="inlineStr">
        <is>
          <t>2025-2026</t>
        </is>
      </c>
      <c r="C131" s="29" t="inlineStr">
        <is>
          <t>3</t>
        </is>
      </c>
      <c r="D131" s="29" t="inlineStr">
        <is>
          <t>Soins infirmiers</t>
        </is>
      </c>
      <c r="E131" s="29" t="inlineStr">
        <is>
          <t>L2</t>
        </is>
      </c>
      <c r="F131" s="29" t="inlineStr">
        <is>
          <t>S.I</t>
        </is>
      </c>
      <c r="G131" s="29" t="inlineStr">
        <is>
          <t>Stratégies conventionnelles et novatrices de communication</t>
        </is>
      </c>
      <c r="H131" s="29" t="inlineStr">
        <is>
          <t>HALIMA ABDALLAH</t>
        </is>
      </c>
      <c r="I131" s="29" t="inlineStr"/>
      <c r="J131" s="29" t="inlineStr">
        <is>
          <t>Jeudi</t>
        </is>
      </c>
      <c r="K131" s="29" t="inlineStr">
        <is>
          <t>10h05</t>
        </is>
      </c>
      <c r="L131" s="29" t="inlineStr">
        <is>
          <t>12h05</t>
        </is>
      </c>
      <c r="M131" s="29" t="n"/>
      <c r="N131" s="29" t="n">
        <v>2</v>
      </c>
    </row>
    <row r="132" ht="15" customHeight="1" s="22">
      <c r="A132" s="29" t="inlineStr">
        <is>
          <t>S130</t>
        </is>
      </c>
      <c r="B132" s="29" t="inlineStr">
        <is>
          <t>2025-2026</t>
        </is>
      </c>
      <c r="C132" s="29" t="inlineStr">
        <is>
          <t>3</t>
        </is>
      </c>
      <c r="D132" s="29" t="inlineStr">
        <is>
          <t>Soins infirmiers</t>
        </is>
      </c>
      <c r="E132" s="29" t="inlineStr">
        <is>
          <t>L2</t>
        </is>
      </c>
      <c r="F132" s="29" t="inlineStr">
        <is>
          <t>S.I</t>
        </is>
      </c>
      <c r="G132" s="29" t="inlineStr">
        <is>
          <t>TD Patologies orthopédiques et traumatologiqes</t>
        </is>
      </c>
      <c r="H132" s="29" t="inlineStr"/>
      <c r="I132" s="29" t="inlineStr"/>
      <c r="J132" s="29" t="inlineStr">
        <is>
          <t>Jeudi</t>
        </is>
      </c>
      <c r="K132" s="29" t="inlineStr">
        <is>
          <t>10h05</t>
        </is>
      </c>
      <c r="L132" s="29" t="inlineStr">
        <is>
          <t>12h05</t>
        </is>
      </c>
      <c r="M132" s="29" t="n"/>
      <c r="N132" s="29" t="n">
        <v>2</v>
      </c>
    </row>
    <row r="133" ht="15" customHeight="1" s="22">
      <c r="A133" s="29" t="inlineStr">
        <is>
          <t>S131</t>
        </is>
      </c>
      <c r="B133" s="29" t="inlineStr">
        <is>
          <t>2025-2026</t>
        </is>
      </c>
      <c r="C133" s="29" t="inlineStr">
        <is>
          <t>3</t>
        </is>
      </c>
      <c r="D133" s="29" t="inlineStr">
        <is>
          <t>Soins infirmiers</t>
        </is>
      </c>
      <c r="E133" s="29" t="inlineStr">
        <is>
          <t>L2</t>
        </is>
      </c>
      <c r="F133" s="29" t="inlineStr">
        <is>
          <t>S.I</t>
        </is>
      </c>
      <c r="G133" s="29" t="inlineStr">
        <is>
          <t>TD Puériculture</t>
        </is>
      </c>
      <c r="H133" s="29" t="inlineStr"/>
      <c r="I133" s="29" t="inlineStr"/>
      <c r="J133" s="29" t="inlineStr">
        <is>
          <t>Jeudi</t>
        </is>
      </c>
      <c r="K133" s="29" t="inlineStr">
        <is>
          <t>10h05</t>
        </is>
      </c>
      <c r="L133" s="29" t="inlineStr">
        <is>
          <t>12h05</t>
        </is>
      </c>
      <c r="M133" s="29" t="n"/>
      <c r="N133" s="29" t="n">
        <v>2</v>
      </c>
    </row>
    <row r="134" ht="15" customHeight="1" s="22">
      <c r="A134" s="29" t="inlineStr">
        <is>
          <t>S132</t>
        </is>
      </c>
      <c r="B134" s="29" t="inlineStr">
        <is>
          <t>2025-2026</t>
        </is>
      </c>
      <c r="C134" s="29" t="inlineStr">
        <is>
          <t>3</t>
        </is>
      </c>
      <c r="D134" s="29" t="inlineStr">
        <is>
          <t>Soins infirmiers</t>
        </is>
      </c>
      <c r="E134" s="29" t="inlineStr">
        <is>
          <t>L2</t>
        </is>
      </c>
      <c r="F134" s="29" t="inlineStr">
        <is>
          <t>S.I</t>
        </is>
      </c>
      <c r="G134" s="29" t="inlineStr">
        <is>
          <t>TD SI Affections Digestifs</t>
        </is>
      </c>
      <c r="H134" s="29" t="inlineStr"/>
      <c r="I134" s="29" t="inlineStr"/>
      <c r="J134" s="29" t="inlineStr">
        <is>
          <t>Jeudi</t>
        </is>
      </c>
      <c r="K134" s="29" t="inlineStr">
        <is>
          <t>10h05</t>
        </is>
      </c>
      <c r="L134" s="29" t="inlineStr">
        <is>
          <t>12h05</t>
        </is>
      </c>
      <c r="M134" s="29" t="n"/>
      <c r="N134" s="29" t="n">
        <v>2</v>
      </c>
    </row>
    <row r="135" ht="15" customHeight="1" s="22">
      <c r="A135" s="29" t="inlineStr">
        <is>
          <t>S133</t>
        </is>
      </c>
      <c r="B135" s="29" t="inlineStr">
        <is>
          <t>2025-2026</t>
        </is>
      </c>
      <c r="C135" s="29" t="inlineStr">
        <is>
          <t>3</t>
        </is>
      </c>
      <c r="D135" s="29" t="inlineStr">
        <is>
          <t>Soins infirmiers</t>
        </is>
      </c>
      <c r="E135" s="29" t="inlineStr">
        <is>
          <t>L2</t>
        </is>
      </c>
      <c r="F135" s="29" t="inlineStr">
        <is>
          <t>S.I</t>
        </is>
      </c>
      <c r="G135" s="29" t="inlineStr">
        <is>
          <t>PCIME</t>
        </is>
      </c>
      <c r="H135" s="29" t="inlineStr">
        <is>
          <t>Daniel Ali Soumaïla (Chef de département S.I)</t>
        </is>
      </c>
      <c r="I135" s="29" t="inlineStr"/>
      <c r="J135" s="29" t="inlineStr">
        <is>
          <t>Jeudi</t>
        </is>
      </c>
      <c r="K135" s="29" t="inlineStr">
        <is>
          <t>13h00</t>
        </is>
      </c>
      <c r="L135" s="29" t="inlineStr">
        <is>
          <t>15h00</t>
        </is>
      </c>
      <c r="M135" s="29" t="n"/>
      <c r="N135" s="29" t="n">
        <v>6</v>
      </c>
    </row>
    <row r="136" ht="15" customHeight="1" s="22">
      <c r="A136" s="29" t="inlineStr">
        <is>
          <t>S134</t>
        </is>
      </c>
      <c r="B136" s="29" t="inlineStr">
        <is>
          <t>2025-2026</t>
        </is>
      </c>
      <c r="C136" s="29" t="inlineStr">
        <is>
          <t>3</t>
        </is>
      </c>
      <c r="D136" s="29" t="inlineStr">
        <is>
          <t>Soins infirmiers</t>
        </is>
      </c>
      <c r="E136" s="29" t="inlineStr">
        <is>
          <t>L2</t>
        </is>
      </c>
      <c r="F136" s="29" t="inlineStr">
        <is>
          <t>S.I</t>
        </is>
      </c>
      <c r="G136" s="29" t="inlineStr">
        <is>
          <t>Patologies orthopédiques et traumatologiqes</t>
        </is>
      </c>
      <c r="H136" s="29" t="inlineStr"/>
      <c r="I136" s="29" t="inlineStr"/>
      <c r="J136" s="29" t="inlineStr">
        <is>
          <t>Jeudi</t>
        </is>
      </c>
      <c r="K136" s="29" t="inlineStr">
        <is>
          <t>13h00</t>
        </is>
      </c>
      <c r="L136" s="29" t="inlineStr">
        <is>
          <t>15h00</t>
        </is>
      </c>
      <c r="M136" s="29" t="n"/>
      <c r="N136" s="29" t="n">
        <v>2</v>
      </c>
    </row>
    <row r="137" ht="15" customHeight="1" s="22">
      <c r="A137" s="29" t="inlineStr">
        <is>
          <t>S135</t>
        </is>
      </c>
      <c r="B137" s="29" t="inlineStr">
        <is>
          <t>2025-2026</t>
        </is>
      </c>
      <c r="C137" s="29" t="inlineStr">
        <is>
          <t>3</t>
        </is>
      </c>
      <c r="D137" s="29" t="inlineStr">
        <is>
          <t>Soins infirmiers</t>
        </is>
      </c>
      <c r="E137" s="29" t="inlineStr">
        <is>
          <t>L2</t>
        </is>
      </c>
      <c r="F137" s="29" t="inlineStr">
        <is>
          <t>S.I</t>
        </is>
      </c>
      <c r="G137" s="29" t="inlineStr">
        <is>
          <t>Psychologie de l'enfant</t>
        </is>
      </c>
      <c r="H137" s="29" t="inlineStr"/>
      <c r="I137" s="29" t="inlineStr"/>
      <c r="J137" s="29" t="inlineStr">
        <is>
          <t>Jeudi</t>
        </is>
      </c>
      <c r="K137" s="29" t="inlineStr">
        <is>
          <t>13h00</t>
        </is>
      </c>
      <c r="L137" s="29" t="inlineStr">
        <is>
          <t>15h00</t>
        </is>
      </c>
      <c r="M137" s="29" t="n"/>
      <c r="N137" s="29" t="n">
        <v>2</v>
      </c>
    </row>
    <row r="138" ht="15" customHeight="1" s="22">
      <c r="A138" s="29" t="inlineStr">
        <is>
          <t>S136</t>
        </is>
      </c>
      <c r="B138" s="29" t="inlineStr">
        <is>
          <t>2025-2026</t>
        </is>
      </c>
      <c r="C138" s="29" t="inlineStr">
        <is>
          <t>3</t>
        </is>
      </c>
      <c r="D138" s="29" t="inlineStr">
        <is>
          <t>Soins infirmiers</t>
        </is>
      </c>
      <c r="E138" s="29" t="inlineStr">
        <is>
          <t>L2</t>
        </is>
      </c>
      <c r="F138" s="29" t="inlineStr">
        <is>
          <t>S.I</t>
        </is>
      </c>
      <c r="G138" s="29" t="inlineStr">
        <is>
          <t>Pédiatrie &amp; pédopsychiatrie</t>
        </is>
      </c>
      <c r="H138" s="29" t="inlineStr"/>
      <c r="I138" s="29" t="inlineStr"/>
      <c r="J138" s="29" t="inlineStr">
        <is>
          <t>Jeudi</t>
        </is>
      </c>
      <c r="K138" s="29" t="inlineStr">
        <is>
          <t>13h00</t>
        </is>
      </c>
      <c r="L138" s="29" t="inlineStr">
        <is>
          <t>15h00</t>
        </is>
      </c>
      <c r="M138" s="29" t="n"/>
      <c r="N138" s="29" t="n">
        <v>16</v>
      </c>
    </row>
    <row r="139" ht="15" customHeight="1" s="22">
      <c r="A139" s="29" t="inlineStr">
        <is>
          <t>S137</t>
        </is>
      </c>
      <c r="B139" s="29" t="inlineStr">
        <is>
          <t>2025-2026</t>
        </is>
      </c>
      <c r="C139" s="29" t="inlineStr">
        <is>
          <t>3</t>
        </is>
      </c>
      <c r="D139" s="29" t="inlineStr">
        <is>
          <t>Soins infirmiers</t>
        </is>
      </c>
      <c r="E139" s="29" t="inlineStr">
        <is>
          <t>L2</t>
        </is>
      </c>
      <c r="F139" s="29" t="inlineStr">
        <is>
          <t>S.I</t>
        </is>
      </c>
      <c r="G139" s="29" t="inlineStr">
        <is>
          <t>TD Pédiatrie &amp; pédopsychiatrie</t>
        </is>
      </c>
      <c r="H139" s="29" t="inlineStr"/>
      <c r="I139" s="29" t="inlineStr"/>
      <c r="J139" s="29" t="inlineStr">
        <is>
          <t>Jeudi</t>
        </is>
      </c>
      <c r="K139" s="29" t="inlineStr">
        <is>
          <t>13h00</t>
        </is>
      </c>
      <c r="L139" s="29" t="inlineStr">
        <is>
          <t>15h00</t>
        </is>
      </c>
      <c r="M139" s="29" t="n"/>
      <c r="N139" s="29" t="n">
        <v>2</v>
      </c>
    </row>
    <row r="140" ht="15" customHeight="1" s="22">
      <c r="A140" s="29" t="inlineStr">
        <is>
          <t>S138</t>
        </is>
      </c>
      <c r="B140" s="29" t="inlineStr">
        <is>
          <t>2025-2026</t>
        </is>
      </c>
      <c r="C140" s="29" t="inlineStr">
        <is>
          <t>3</t>
        </is>
      </c>
      <c r="D140" s="29" t="inlineStr">
        <is>
          <t>Soins infirmiers</t>
        </is>
      </c>
      <c r="E140" s="29" t="inlineStr">
        <is>
          <t>L2</t>
        </is>
      </c>
      <c r="F140" s="29" t="inlineStr">
        <is>
          <t>S.I</t>
        </is>
      </c>
      <c r="G140" s="29" t="inlineStr">
        <is>
          <t>TD soins infirmiers en orthopédie et truamatologie</t>
        </is>
      </c>
      <c r="H140" s="29" t="inlineStr"/>
      <c r="I140" s="29" t="inlineStr"/>
      <c r="J140" s="29" t="inlineStr">
        <is>
          <t>Jeudi</t>
        </is>
      </c>
      <c r="K140" s="29" t="inlineStr">
        <is>
          <t>13h00</t>
        </is>
      </c>
      <c r="L140" s="29" t="inlineStr">
        <is>
          <t>15h00</t>
        </is>
      </c>
      <c r="M140" s="29" t="n"/>
      <c r="N140" s="29" t="n">
        <v>2</v>
      </c>
    </row>
    <row r="141" ht="15" customHeight="1" s="22">
      <c r="A141" s="29" t="inlineStr">
        <is>
          <t>S139</t>
        </is>
      </c>
      <c r="B141" s="29" t="inlineStr">
        <is>
          <t>2025-2026</t>
        </is>
      </c>
      <c r="C141" s="29" t="inlineStr">
        <is>
          <t>3</t>
        </is>
      </c>
      <c r="D141" s="29" t="inlineStr">
        <is>
          <t>Soins infirmiers</t>
        </is>
      </c>
      <c r="E141" s="29" t="inlineStr">
        <is>
          <t>L2</t>
        </is>
      </c>
      <c r="F141" s="29" t="inlineStr">
        <is>
          <t>S.I</t>
        </is>
      </c>
      <c r="G141" s="29" t="inlineStr">
        <is>
          <t>Consultation prénatale</t>
        </is>
      </c>
      <c r="H141" s="29" t="inlineStr">
        <is>
          <t>Mme MYRIAM ABDALLAH</t>
        </is>
      </c>
      <c r="I141" s="29" t="inlineStr"/>
      <c r="J141" s="29" t="inlineStr">
        <is>
          <t>Jeudi</t>
        </is>
      </c>
      <c r="K141" s="29" t="inlineStr">
        <is>
          <t>15h05</t>
        </is>
      </c>
      <c r="L141" s="29" t="inlineStr">
        <is>
          <t>17h05</t>
        </is>
      </c>
      <c r="M141" s="29" t="n"/>
      <c r="N141" s="29" t="n">
        <v>4</v>
      </c>
    </row>
    <row r="142" ht="15" customHeight="1" s="22">
      <c r="A142" s="29" t="inlineStr">
        <is>
          <t>S140</t>
        </is>
      </c>
      <c r="B142" s="29" t="inlineStr">
        <is>
          <t>2025-2026</t>
        </is>
      </c>
      <c r="C142" s="29" t="inlineStr">
        <is>
          <t>3</t>
        </is>
      </c>
      <c r="D142" s="29" t="inlineStr">
        <is>
          <t>Soins infirmiers</t>
        </is>
      </c>
      <c r="E142" s="29" t="inlineStr">
        <is>
          <t>L2</t>
        </is>
      </c>
      <c r="F142" s="29" t="inlineStr">
        <is>
          <t>S.I</t>
        </is>
      </c>
      <c r="G142" s="29" t="inlineStr">
        <is>
          <t>Examen physique</t>
        </is>
      </c>
      <c r="H142" s="29" t="inlineStr"/>
      <c r="I142" s="29" t="inlineStr"/>
      <c r="J142" s="29" t="inlineStr">
        <is>
          <t>Jeudi</t>
        </is>
      </c>
      <c r="K142" s="29" t="inlineStr">
        <is>
          <t>15h05</t>
        </is>
      </c>
      <c r="L142" s="29" t="inlineStr">
        <is>
          <t>17h05</t>
        </is>
      </c>
      <c r="M142" s="29" t="n"/>
      <c r="N142" s="29" t="n">
        <v>2</v>
      </c>
    </row>
    <row r="143" ht="15" customHeight="1" s="22">
      <c r="A143" s="29" t="inlineStr">
        <is>
          <t>S141</t>
        </is>
      </c>
      <c r="B143" s="29" t="inlineStr">
        <is>
          <t>2025-2026</t>
        </is>
      </c>
      <c r="C143" s="29" t="inlineStr">
        <is>
          <t>3</t>
        </is>
      </c>
      <c r="D143" s="29" t="inlineStr">
        <is>
          <t>Soins infirmiers</t>
        </is>
      </c>
      <c r="E143" s="29" t="inlineStr">
        <is>
          <t>L2</t>
        </is>
      </c>
      <c r="F143" s="29" t="inlineStr">
        <is>
          <t>S.I</t>
        </is>
      </c>
      <c r="G143" s="29" t="inlineStr">
        <is>
          <t>Pathologies Digestifs</t>
        </is>
      </c>
      <c r="H143" s="29" t="inlineStr">
        <is>
          <t>Irina Ismaïla Abdou</t>
        </is>
      </c>
      <c r="I143" s="29" t="inlineStr"/>
      <c r="J143" s="29" t="inlineStr">
        <is>
          <t>Jeudi</t>
        </is>
      </c>
      <c r="K143" s="29" t="inlineStr">
        <is>
          <t>15h05</t>
        </is>
      </c>
      <c r="L143" s="29" t="inlineStr">
        <is>
          <t>17h05</t>
        </is>
      </c>
      <c r="M143" s="29" t="n"/>
      <c r="N143" s="29" t="n">
        <v>8</v>
      </c>
    </row>
    <row r="144" ht="15" customHeight="1" s="22">
      <c r="A144" s="29" t="inlineStr">
        <is>
          <t>S142</t>
        </is>
      </c>
      <c r="B144" s="29" t="inlineStr">
        <is>
          <t>2025-2026</t>
        </is>
      </c>
      <c r="C144" s="29" t="inlineStr">
        <is>
          <t>3</t>
        </is>
      </c>
      <c r="D144" s="29" t="inlineStr">
        <is>
          <t>Soins infirmiers</t>
        </is>
      </c>
      <c r="E144" s="29" t="inlineStr">
        <is>
          <t>L2</t>
        </is>
      </c>
      <c r="F144" s="29" t="inlineStr">
        <is>
          <t>S.I</t>
        </is>
      </c>
      <c r="G144" s="29" t="inlineStr">
        <is>
          <t>Protocoles de prise en charge de la grossesse normale</t>
        </is>
      </c>
      <c r="H144" s="29" t="inlineStr"/>
      <c r="I144" s="29" t="inlineStr"/>
      <c r="J144" s="29" t="inlineStr">
        <is>
          <t>Jeudi</t>
        </is>
      </c>
      <c r="K144" s="29" t="inlineStr">
        <is>
          <t>15h05</t>
        </is>
      </c>
      <c r="L144" s="29" t="inlineStr">
        <is>
          <t>17h05</t>
        </is>
      </c>
      <c r="M144" s="29" t="n"/>
      <c r="N144" s="29" t="n">
        <v>2</v>
      </c>
    </row>
    <row r="145" ht="15" customHeight="1" s="22">
      <c r="A145" s="29" t="inlineStr">
        <is>
          <t>S143</t>
        </is>
      </c>
      <c r="B145" s="29" t="inlineStr">
        <is>
          <t>2025-2026</t>
        </is>
      </c>
      <c r="C145" s="29" t="inlineStr">
        <is>
          <t>3</t>
        </is>
      </c>
      <c r="D145" s="29" t="inlineStr">
        <is>
          <t>Soins infirmiers</t>
        </is>
      </c>
      <c r="E145" s="29" t="inlineStr">
        <is>
          <t>L2</t>
        </is>
      </c>
      <c r="F145" s="29" t="inlineStr">
        <is>
          <t>S.I</t>
        </is>
      </c>
      <c r="G145" s="29" t="inlineStr">
        <is>
          <t>Protocoles de prise en charge en post partum immédiat et précoce</t>
        </is>
      </c>
      <c r="H145" s="29" t="inlineStr">
        <is>
          <t>Soudjay Asnounat</t>
        </is>
      </c>
      <c r="I145" s="29" t="inlineStr"/>
      <c r="J145" s="29" t="inlineStr">
        <is>
          <t>Jeudi</t>
        </is>
      </c>
      <c r="K145" s="29" t="inlineStr">
        <is>
          <t>15h05</t>
        </is>
      </c>
      <c r="L145" s="29" t="inlineStr">
        <is>
          <t>17h05</t>
        </is>
      </c>
      <c r="M145" s="29" t="n"/>
      <c r="N145" s="29" t="n">
        <v>2</v>
      </c>
    </row>
    <row r="146" ht="15" customHeight="1" s="22">
      <c r="A146" s="29" t="inlineStr">
        <is>
          <t>S144</t>
        </is>
      </c>
      <c r="B146" s="29" t="inlineStr">
        <is>
          <t>2025-2026</t>
        </is>
      </c>
      <c r="C146" s="29" t="inlineStr">
        <is>
          <t>3</t>
        </is>
      </c>
      <c r="D146" s="29" t="inlineStr">
        <is>
          <t>Soins infirmiers</t>
        </is>
      </c>
      <c r="E146" s="29" t="inlineStr">
        <is>
          <t>L2</t>
        </is>
      </c>
      <c r="F146" s="29" t="inlineStr">
        <is>
          <t>S.I</t>
        </is>
      </c>
      <c r="G146" s="29" t="inlineStr">
        <is>
          <t>Préparation à l’accouchement normal</t>
        </is>
      </c>
      <c r="H146" s="29" t="inlineStr">
        <is>
          <t>Soudjay Asnounat</t>
        </is>
      </c>
      <c r="I146" s="29" t="inlineStr"/>
      <c r="J146" s="29" t="inlineStr">
        <is>
          <t>Jeudi</t>
        </is>
      </c>
      <c r="K146" s="29" t="inlineStr">
        <is>
          <t>15h05</t>
        </is>
      </c>
      <c r="L146" s="29" t="inlineStr">
        <is>
          <t>17h05</t>
        </is>
      </c>
      <c r="M146" s="29" t="n"/>
      <c r="N146" s="29" t="n">
        <v>2</v>
      </c>
    </row>
    <row r="147" ht="15" customHeight="1" s="22">
      <c r="A147" s="29" t="inlineStr">
        <is>
          <t>S145</t>
        </is>
      </c>
      <c r="B147" s="29" t="inlineStr">
        <is>
          <t>2025-2026</t>
        </is>
      </c>
      <c r="C147" s="29" t="inlineStr">
        <is>
          <t>3</t>
        </is>
      </c>
      <c r="D147" s="29" t="inlineStr">
        <is>
          <t>Soins infirmiers</t>
        </is>
      </c>
      <c r="E147" s="29" t="inlineStr">
        <is>
          <t>L2</t>
        </is>
      </c>
      <c r="F147" s="29" t="inlineStr">
        <is>
          <t>S.I</t>
        </is>
      </c>
      <c r="G147" s="29" t="inlineStr">
        <is>
          <t>Psychologie de l'enfant</t>
        </is>
      </c>
      <c r="H147" s="29" t="inlineStr"/>
      <c r="I147" s="29" t="inlineStr"/>
      <c r="J147" s="29" t="inlineStr">
        <is>
          <t>Jeudi</t>
        </is>
      </c>
      <c r="K147" s="29" t="inlineStr">
        <is>
          <t>15h05</t>
        </is>
      </c>
      <c r="L147" s="29" t="inlineStr">
        <is>
          <t>17h05</t>
        </is>
      </c>
      <c r="M147" s="29" t="n"/>
      <c r="N147" s="29" t="n">
        <v>2</v>
      </c>
    </row>
    <row r="148" ht="15" customHeight="1" s="22">
      <c r="A148" s="29" t="inlineStr">
        <is>
          <t>S146</t>
        </is>
      </c>
      <c r="B148" s="29" t="inlineStr">
        <is>
          <t>2025-2026</t>
        </is>
      </c>
      <c r="C148" s="29" t="inlineStr">
        <is>
          <t>3</t>
        </is>
      </c>
      <c r="D148" s="29" t="inlineStr">
        <is>
          <t>Soins infirmiers</t>
        </is>
      </c>
      <c r="E148" s="29" t="inlineStr">
        <is>
          <t>L2</t>
        </is>
      </c>
      <c r="F148" s="29" t="inlineStr">
        <is>
          <t>S.I</t>
        </is>
      </c>
      <c r="G148" s="29" t="inlineStr">
        <is>
          <t>TD Consultation prénatale</t>
        </is>
      </c>
      <c r="H148" s="29" t="inlineStr"/>
      <c r="I148" s="29" t="inlineStr"/>
      <c r="J148" s="29" t="inlineStr">
        <is>
          <t>Jeudi</t>
        </is>
      </c>
      <c r="K148" s="29" t="inlineStr">
        <is>
          <t>15h05</t>
        </is>
      </c>
      <c r="L148" s="29" t="inlineStr">
        <is>
          <t>17h05</t>
        </is>
      </c>
      <c r="M148" s="29" t="n"/>
      <c r="N148" s="29" t="n">
        <v>2</v>
      </c>
    </row>
    <row r="149" ht="15" customHeight="1" s="22">
      <c r="A149" s="29" t="inlineStr">
        <is>
          <t>S147</t>
        </is>
      </c>
      <c r="B149" s="29" t="inlineStr">
        <is>
          <t>2025-2026</t>
        </is>
      </c>
      <c r="C149" s="29" t="inlineStr">
        <is>
          <t>3</t>
        </is>
      </c>
      <c r="D149" s="29" t="inlineStr">
        <is>
          <t>Soins infirmiers</t>
        </is>
      </c>
      <c r="E149" s="29" t="inlineStr">
        <is>
          <t>L2</t>
        </is>
      </c>
      <c r="F149" s="29" t="inlineStr">
        <is>
          <t>S.I</t>
        </is>
      </c>
      <c r="G149" s="29" t="inlineStr">
        <is>
          <t>TD Examen physique</t>
        </is>
      </c>
      <c r="H149" s="29" t="inlineStr"/>
      <c r="I149" s="29" t="inlineStr"/>
      <c r="J149" s="29" t="inlineStr">
        <is>
          <t>Jeudi</t>
        </is>
      </c>
      <c r="K149" s="29" t="inlineStr">
        <is>
          <t>15h05</t>
        </is>
      </c>
      <c r="L149" s="29" t="inlineStr">
        <is>
          <t>17h05</t>
        </is>
      </c>
      <c r="M149" s="29" t="n"/>
      <c r="N149" s="29" t="n">
        <v>2</v>
      </c>
    </row>
    <row r="150" ht="15" customHeight="1" s="22">
      <c r="A150" s="29" t="inlineStr">
        <is>
          <t>S148</t>
        </is>
      </c>
      <c r="B150" s="29" t="inlineStr">
        <is>
          <t>2025-2026</t>
        </is>
      </c>
      <c r="C150" s="29" t="inlineStr">
        <is>
          <t>3</t>
        </is>
      </c>
      <c r="D150" s="29" t="inlineStr">
        <is>
          <t>Soins infirmiers</t>
        </is>
      </c>
      <c r="E150" s="29" t="inlineStr">
        <is>
          <t>L2</t>
        </is>
      </c>
      <c r="F150" s="29" t="inlineStr">
        <is>
          <t>S.I</t>
        </is>
      </c>
      <c r="G150" s="29" t="inlineStr">
        <is>
          <t>TD Pathologies Digestifs</t>
        </is>
      </c>
      <c r="H150" s="29" t="inlineStr"/>
      <c r="I150" s="29" t="inlineStr"/>
      <c r="J150" s="29" t="inlineStr">
        <is>
          <t>Jeudi</t>
        </is>
      </c>
      <c r="K150" s="29" t="inlineStr">
        <is>
          <t>15h05</t>
        </is>
      </c>
      <c r="L150" s="29" t="inlineStr">
        <is>
          <t>17h05</t>
        </is>
      </c>
      <c r="M150" s="29" t="n"/>
      <c r="N150" s="29" t="n">
        <v>2</v>
      </c>
    </row>
    <row r="151" ht="15" customHeight="1" s="22">
      <c r="A151" s="29" t="inlineStr">
        <is>
          <t>S149</t>
        </is>
      </c>
      <c r="B151" s="29" t="inlineStr">
        <is>
          <t>2025-2026</t>
        </is>
      </c>
      <c r="C151" s="29" t="inlineStr">
        <is>
          <t>3</t>
        </is>
      </c>
      <c r="D151" s="29" t="inlineStr">
        <is>
          <t>Soins infirmiers</t>
        </is>
      </c>
      <c r="E151" s="29" t="inlineStr">
        <is>
          <t>L2</t>
        </is>
      </c>
      <c r="F151" s="29" t="inlineStr">
        <is>
          <t>S.I</t>
        </is>
      </c>
      <c r="G151" s="29" t="inlineStr">
        <is>
          <t>TD Protocoles de prise en charge en post partum immédiat et précoce</t>
        </is>
      </c>
      <c r="H151" s="29" t="inlineStr"/>
      <c r="I151" s="29" t="inlineStr"/>
      <c r="J151" s="29" t="inlineStr">
        <is>
          <t>Jeudi</t>
        </is>
      </c>
      <c r="K151" s="29" t="inlineStr">
        <is>
          <t>15h05</t>
        </is>
      </c>
      <c r="L151" s="29" t="inlineStr">
        <is>
          <t>17h05</t>
        </is>
      </c>
      <c r="M151" s="29" t="n"/>
      <c r="N151" s="29" t="n">
        <v>2</v>
      </c>
    </row>
    <row r="152" ht="15" customHeight="1" s="22">
      <c r="A152" s="29" t="inlineStr">
        <is>
          <t>S150</t>
        </is>
      </c>
      <c r="B152" s="29" t="inlineStr">
        <is>
          <t>2025-2026</t>
        </is>
      </c>
      <c r="C152" s="29" t="inlineStr">
        <is>
          <t>3</t>
        </is>
      </c>
      <c r="D152" s="29" t="inlineStr">
        <is>
          <t>Soins infirmiers</t>
        </is>
      </c>
      <c r="E152" s="29" t="inlineStr">
        <is>
          <t>L2</t>
        </is>
      </c>
      <c r="F152" s="29" t="inlineStr">
        <is>
          <t>S.I</t>
        </is>
      </c>
      <c r="G152" s="29" t="inlineStr">
        <is>
          <t>PCIME</t>
        </is>
      </c>
      <c r="H152" s="29" t="inlineStr">
        <is>
          <t>Daniel Ali Soumaïla (Chef de département S.I)</t>
        </is>
      </c>
      <c r="I152" s="29" t="inlineStr"/>
      <c r="J152" s="29" t="inlineStr">
        <is>
          <t>Jeudi</t>
        </is>
      </c>
      <c r="K152" s="29" t="inlineStr">
        <is>
          <t>8h00</t>
        </is>
      </c>
      <c r="L152" s="29" t="inlineStr">
        <is>
          <t>10h00</t>
        </is>
      </c>
      <c r="M152" s="29" t="n"/>
      <c r="N152" s="29" t="n">
        <v>2</v>
      </c>
    </row>
    <row r="153" ht="15" customHeight="1" s="22">
      <c r="A153" s="29" t="inlineStr">
        <is>
          <t>S151</t>
        </is>
      </c>
      <c r="B153" s="29" t="inlineStr">
        <is>
          <t>2025-2026</t>
        </is>
      </c>
      <c r="C153" s="29" t="inlineStr">
        <is>
          <t>3</t>
        </is>
      </c>
      <c r="D153" s="29" t="inlineStr">
        <is>
          <t>Soins infirmiers</t>
        </is>
      </c>
      <c r="E153" s="29" t="inlineStr">
        <is>
          <t>L2</t>
        </is>
      </c>
      <c r="F153" s="29" t="inlineStr">
        <is>
          <t>S.I</t>
        </is>
      </c>
      <c r="G153" s="29" t="inlineStr">
        <is>
          <t>PEC psychologique des enfants ou couple  victimes ou de tentatifes d'agression</t>
        </is>
      </c>
      <c r="H153" s="29" t="inlineStr"/>
      <c r="I153" s="29" t="inlineStr"/>
      <c r="J153" s="29" t="inlineStr">
        <is>
          <t>Jeudi</t>
        </is>
      </c>
      <c r="K153" s="29" t="inlineStr">
        <is>
          <t>8h00</t>
        </is>
      </c>
      <c r="L153" s="29" t="inlineStr">
        <is>
          <t>10h00</t>
        </is>
      </c>
      <c r="M153" s="29" t="n"/>
      <c r="N153" s="29" t="n">
        <v>2</v>
      </c>
    </row>
    <row r="154" ht="15" customHeight="1" s="22">
      <c r="A154" s="29" t="inlineStr">
        <is>
          <t>S152</t>
        </is>
      </c>
      <c r="B154" s="29" t="inlineStr">
        <is>
          <t>2025-2026</t>
        </is>
      </c>
      <c r="C154" s="29" t="inlineStr">
        <is>
          <t>3</t>
        </is>
      </c>
      <c r="D154" s="29" t="inlineStr">
        <is>
          <t>Soins infirmiers</t>
        </is>
      </c>
      <c r="E154" s="29" t="inlineStr">
        <is>
          <t>L2</t>
        </is>
      </c>
      <c r="F154" s="29" t="inlineStr">
        <is>
          <t>S.I</t>
        </is>
      </c>
      <c r="G154" s="29" t="inlineStr">
        <is>
          <t>Pathologie chirurgicale pédiatrique</t>
        </is>
      </c>
      <c r="H154" s="29" t="inlineStr"/>
      <c r="I154" s="29" t="inlineStr"/>
      <c r="J154" s="29" t="inlineStr">
        <is>
          <t>Jeudi</t>
        </is>
      </c>
      <c r="K154" s="29" t="inlineStr">
        <is>
          <t>8h00</t>
        </is>
      </c>
      <c r="L154" s="29" t="inlineStr">
        <is>
          <t>10h00</t>
        </is>
      </c>
      <c r="M154" s="29" t="n"/>
      <c r="N154" s="29" t="n">
        <v>6</v>
      </c>
    </row>
    <row r="155" ht="15" customHeight="1" s="22">
      <c r="A155" s="29" t="inlineStr">
        <is>
          <t>S153</t>
        </is>
      </c>
      <c r="B155" s="29" t="inlineStr">
        <is>
          <t>2025-2026</t>
        </is>
      </c>
      <c r="C155" s="29" t="inlineStr">
        <is>
          <t>3</t>
        </is>
      </c>
      <c r="D155" s="29" t="inlineStr">
        <is>
          <t>Soins infirmiers</t>
        </is>
      </c>
      <c r="E155" s="29" t="inlineStr">
        <is>
          <t>L2</t>
        </is>
      </c>
      <c r="F155" s="29" t="inlineStr">
        <is>
          <t>S.I</t>
        </is>
      </c>
      <c r="G155" s="29" t="inlineStr">
        <is>
          <t>Pharmacologie et thérapeutiques spécifiques à la pathologie</t>
        </is>
      </c>
      <c r="H155" s="29" t="inlineStr"/>
      <c r="I155" s="29" t="inlineStr"/>
      <c r="J155" s="29" t="inlineStr">
        <is>
          <t>Jeudi</t>
        </is>
      </c>
      <c r="K155" s="29" t="inlineStr">
        <is>
          <t>8h00</t>
        </is>
      </c>
      <c r="L155" s="29" t="inlineStr">
        <is>
          <t>10h00</t>
        </is>
      </c>
      <c r="M155" s="29" t="n"/>
      <c r="N155" s="29" t="n">
        <v>2</v>
      </c>
    </row>
    <row r="156" ht="15" customHeight="1" s="22">
      <c r="A156" s="29" t="inlineStr">
        <is>
          <t>S154</t>
        </is>
      </c>
      <c r="B156" s="29" t="inlineStr">
        <is>
          <t>2025-2026</t>
        </is>
      </c>
      <c r="C156" s="29" t="inlineStr">
        <is>
          <t>3</t>
        </is>
      </c>
      <c r="D156" s="29" t="inlineStr">
        <is>
          <t>Soins infirmiers</t>
        </is>
      </c>
      <c r="E156" s="29" t="inlineStr">
        <is>
          <t>L2</t>
        </is>
      </c>
      <c r="F156" s="29" t="inlineStr">
        <is>
          <t>S.I</t>
        </is>
      </c>
      <c r="G156" s="29" t="inlineStr">
        <is>
          <t>Santé sexuelle et reproductive et droits connexes</t>
        </is>
      </c>
      <c r="H156" s="29" t="inlineStr">
        <is>
          <t>HALIMA ABDALLAH</t>
        </is>
      </c>
      <c r="I156" s="29" t="inlineStr"/>
      <c r="J156" s="29" t="inlineStr">
        <is>
          <t>Jeudi</t>
        </is>
      </c>
      <c r="K156" s="29" t="inlineStr">
        <is>
          <t>8h00</t>
        </is>
      </c>
      <c r="L156" s="29" t="inlineStr">
        <is>
          <t>10h00</t>
        </is>
      </c>
      <c r="M156" s="29" t="n"/>
      <c r="N156" s="29" t="n">
        <v>4</v>
      </c>
    </row>
    <row r="157" ht="15" customHeight="1" s="22">
      <c r="A157" s="29" t="inlineStr">
        <is>
          <t>S155</t>
        </is>
      </c>
      <c r="B157" s="29" t="inlineStr">
        <is>
          <t>2025-2026</t>
        </is>
      </c>
      <c r="C157" s="29" t="inlineStr">
        <is>
          <t>3</t>
        </is>
      </c>
      <c r="D157" s="29" t="inlineStr">
        <is>
          <t>Soins infirmiers</t>
        </is>
      </c>
      <c r="E157" s="29" t="inlineStr">
        <is>
          <t>L2</t>
        </is>
      </c>
      <c r="F157" s="29" t="inlineStr">
        <is>
          <t>S.I</t>
        </is>
      </c>
      <c r="G157" s="29" t="inlineStr">
        <is>
          <t>Soins en pediatrie</t>
        </is>
      </c>
      <c r="H157" s="29" t="inlineStr">
        <is>
          <t>Dr Chamsouddine</t>
        </is>
      </c>
      <c r="I157" s="29" t="inlineStr"/>
      <c r="J157" s="29" t="inlineStr">
        <is>
          <t>Jeudi</t>
        </is>
      </c>
      <c r="K157" s="29" t="inlineStr">
        <is>
          <t>8h00</t>
        </is>
      </c>
      <c r="L157" s="29" t="inlineStr">
        <is>
          <t>10h00</t>
        </is>
      </c>
      <c r="M157" s="29" t="n"/>
      <c r="N157" s="29" t="n">
        <v>4</v>
      </c>
    </row>
    <row r="158" ht="15" customHeight="1" s="22">
      <c r="A158" s="29" t="inlineStr">
        <is>
          <t>S156</t>
        </is>
      </c>
      <c r="B158" s="29" t="inlineStr">
        <is>
          <t>2025-2026</t>
        </is>
      </c>
      <c r="C158" s="29" t="inlineStr">
        <is>
          <t>3</t>
        </is>
      </c>
      <c r="D158" s="29" t="inlineStr">
        <is>
          <t>Soins infirmiers</t>
        </is>
      </c>
      <c r="E158" s="29" t="inlineStr">
        <is>
          <t>L2</t>
        </is>
      </c>
      <c r="F158" s="29" t="inlineStr">
        <is>
          <t>S.I</t>
        </is>
      </c>
      <c r="G158" s="29" t="inlineStr">
        <is>
          <t>Stratégies conventionnelles et novatrices de communication</t>
        </is>
      </c>
      <c r="H158" s="29" t="inlineStr">
        <is>
          <t>HALIMA ABDALLAH</t>
        </is>
      </c>
      <c r="I158" s="29" t="inlineStr"/>
      <c r="J158" s="29" t="inlineStr">
        <is>
          <t>Jeudi</t>
        </is>
      </c>
      <c r="K158" s="29" t="inlineStr">
        <is>
          <t>8h00</t>
        </is>
      </c>
      <c r="L158" s="29" t="inlineStr">
        <is>
          <t>10h00</t>
        </is>
      </c>
      <c r="M158" s="29" t="n"/>
      <c r="N158" s="29" t="n">
        <v>6</v>
      </c>
    </row>
    <row r="159" ht="15" customHeight="1" s="22">
      <c r="A159" s="29" t="inlineStr">
        <is>
          <t>S157</t>
        </is>
      </c>
      <c r="B159" s="29" t="inlineStr">
        <is>
          <t>2025-2026</t>
        </is>
      </c>
      <c r="C159" s="29" t="inlineStr">
        <is>
          <t>3</t>
        </is>
      </c>
      <c r="D159" s="29" t="inlineStr">
        <is>
          <t>Soins infirmiers</t>
        </is>
      </c>
      <c r="E159" s="29" t="inlineStr">
        <is>
          <t>L2</t>
        </is>
      </c>
      <c r="F159" s="29" t="inlineStr">
        <is>
          <t>S.I</t>
        </is>
      </c>
      <c r="G159" s="29" t="inlineStr">
        <is>
          <t>TD PCIME</t>
        </is>
      </c>
      <c r="H159" s="29" t="inlineStr"/>
      <c r="I159" s="29" t="inlineStr"/>
      <c r="J159" s="29" t="inlineStr">
        <is>
          <t>Jeudi</t>
        </is>
      </c>
      <c r="K159" s="29" t="inlineStr">
        <is>
          <t>8h00</t>
        </is>
      </c>
      <c r="L159" s="29" t="inlineStr">
        <is>
          <t>10h00</t>
        </is>
      </c>
      <c r="M159" s="29" t="n"/>
      <c r="N159" s="29" t="n">
        <v>2</v>
      </c>
    </row>
    <row r="160" ht="15" customHeight="1" s="22">
      <c r="A160" s="29" t="inlineStr">
        <is>
          <t>S158</t>
        </is>
      </c>
      <c r="B160" s="29" t="inlineStr">
        <is>
          <t>2025-2026</t>
        </is>
      </c>
      <c r="C160" s="29" t="inlineStr">
        <is>
          <t>3</t>
        </is>
      </c>
      <c r="D160" s="29" t="inlineStr">
        <is>
          <t>Soins infirmiers</t>
        </is>
      </c>
      <c r="E160" s="29" t="inlineStr">
        <is>
          <t>L2</t>
        </is>
      </c>
      <c r="F160" s="29" t="inlineStr">
        <is>
          <t>S.I</t>
        </is>
      </c>
      <c r="G160" s="29" t="inlineStr">
        <is>
          <t>TD Pathologie chirurgicale pédiatrique</t>
        </is>
      </c>
      <c r="H160" s="29" t="inlineStr"/>
      <c r="I160" s="29" t="inlineStr"/>
      <c r="J160" s="29" t="inlineStr">
        <is>
          <t>Jeudi</t>
        </is>
      </c>
      <c r="K160" s="29" t="inlineStr">
        <is>
          <t>8h00</t>
        </is>
      </c>
      <c r="L160" s="29" t="inlineStr">
        <is>
          <t>10h00</t>
        </is>
      </c>
      <c r="M160" s="29" t="n"/>
      <c r="N160" s="29" t="n">
        <v>2</v>
      </c>
    </row>
    <row r="161" ht="15" customHeight="1" s="22">
      <c r="A161" s="29" t="inlineStr">
        <is>
          <t>S159</t>
        </is>
      </c>
      <c r="B161" s="29" t="inlineStr">
        <is>
          <t>2025-2026</t>
        </is>
      </c>
      <c r="C161" s="29" t="inlineStr">
        <is>
          <t>3</t>
        </is>
      </c>
      <c r="D161" s="29" t="inlineStr">
        <is>
          <t>Soins infirmiers</t>
        </is>
      </c>
      <c r="E161" s="29" t="inlineStr">
        <is>
          <t>L2</t>
        </is>
      </c>
      <c r="F161" s="29" t="inlineStr">
        <is>
          <t>S.I</t>
        </is>
      </c>
      <c r="G161" s="29" t="inlineStr">
        <is>
          <t>PEC psychologique des enfants ou couple  victimes ou de tentatifes d'agression</t>
        </is>
      </c>
      <c r="H161" s="29" t="inlineStr"/>
      <c r="I161" s="29" t="inlineStr"/>
      <c r="J161" s="29" t="inlineStr">
        <is>
          <t>Lundi</t>
        </is>
      </c>
      <c r="K161" s="29" t="inlineStr">
        <is>
          <t>10h05</t>
        </is>
      </c>
      <c r="L161" s="29" t="inlineStr">
        <is>
          <t>12h05</t>
        </is>
      </c>
      <c r="M161" s="29" t="n"/>
      <c r="N161" s="29" t="n">
        <v>2</v>
      </c>
    </row>
    <row r="162" ht="15" customHeight="1" s="22">
      <c r="A162" s="29" t="inlineStr">
        <is>
          <t>S160</t>
        </is>
      </c>
      <c r="B162" s="29" t="inlineStr">
        <is>
          <t>2025-2026</t>
        </is>
      </c>
      <c r="C162" s="29" t="inlineStr">
        <is>
          <t>3</t>
        </is>
      </c>
      <c r="D162" s="29" t="inlineStr">
        <is>
          <t>Soins infirmiers</t>
        </is>
      </c>
      <c r="E162" s="29" t="inlineStr">
        <is>
          <t>L2</t>
        </is>
      </c>
      <c r="F162" s="29" t="inlineStr">
        <is>
          <t>S.I</t>
        </is>
      </c>
      <c r="G162" s="29" t="inlineStr">
        <is>
          <t>Pathologies Digestifs</t>
        </is>
      </c>
      <c r="H162" s="29" t="inlineStr">
        <is>
          <t>Irina Ismaïla Abdou</t>
        </is>
      </c>
      <c r="I162" s="29" t="inlineStr"/>
      <c r="J162" s="29" t="inlineStr">
        <is>
          <t>Lundi</t>
        </is>
      </c>
      <c r="K162" s="29" t="inlineStr">
        <is>
          <t>10h05</t>
        </is>
      </c>
      <c r="L162" s="29" t="inlineStr">
        <is>
          <t>12h05</t>
        </is>
      </c>
      <c r="M162" s="29" t="n"/>
      <c r="N162" s="29" t="n">
        <v>6</v>
      </c>
    </row>
    <row r="163" ht="15" customHeight="1" s="22">
      <c r="A163" s="29" t="inlineStr">
        <is>
          <t>S161</t>
        </is>
      </c>
      <c r="B163" s="29" t="inlineStr">
        <is>
          <t>2025-2026</t>
        </is>
      </c>
      <c r="C163" s="29" t="inlineStr">
        <is>
          <t>3</t>
        </is>
      </c>
      <c r="D163" s="29" t="inlineStr">
        <is>
          <t>Soins infirmiers</t>
        </is>
      </c>
      <c r="E163" s="29" t="inlineStr">
        <is>
          <t>L2</t>
        </is>
      </c>
      <c r="F163" s="29" t="inlineStr">
        <is>
          <t>S.I</t>
        </is>
      </c>
      <c r="G163" s="29" t="inlineStr">
        <is>
          <t>Pédiatrie &amp; pédopsychiatrie</t>
        </is>
      </c>
      <c r="H163" s="29" t="inlineStr"/>
      <c r="I163" s="29" t="inlineStr"/>
      <c r="J163" s="29" t="inlineStr">
        <is>
          <t>Lundi</t>
        </is>
      </c>
      <c r="K163" s="29" t="inlineStr">
        <is>
          <t>10h05</t>
        </is>
      </c>
      <c r="L163" s="29" t="inlineStr">
        <is>
          <t>12h05</t>
        </is>
      </c>
      <c r="M163" s="29" t="n"/>
      <c r="N163" s="29" t="n">
        <v>18</v>
      </c>
    </row>
    <row r="164" ht="15" customHeight="1" s="22">
      <c r="A164" s="29" t="inlineStr">
        <is>
          <t>S162</t>
        </is>
      </c>
      <c r="B164" s="29" t="inlineStr">
        <is>
          <t>2025-2026</t>
        </is>
      </c>
      <c r="C164" s="29" t="inlineStr">
        <is>
          <t>3</t>
        </is>
      </c>
      <c r="D164" s="29" t="inlineStr">
        <is>
          <t>Soins infirmiers</t>
        </is>
      </c>
      <c r="E164" s="29" t="inlineStr">
        <is>
          <t>L2</t>
        </is>
      </c>
      <c r="F164" s="29" t="inlineStr">
        <is>
          <t>S.I</t>
        </is>
      </c>
      <c r="G164" s="29" t="inlineStr">
        <is>
          <t>soins infirmiers en orthopédie et truamatologie</t>
        </is>
      </c>
      <c r="H164" s="29" t="inlineStr">
        <is>
          <t>Mr AMELDINE DACHIROUDINE</t>
        </is>
      </c>
      <c r="I164" s="29" t="inlineStr"/>
      <c r="J164" s="29" t="inlineStr">
        <is>
          <t>Lundi</t>
        </is>
      </c>
      <c r="K164" s="29" t="inlineStr">
        <is>
          <t>10h05</t>
        </is>
      </c>
      <c r="L164" s="29" t="inlineStr">
        <is>
          <t>12h05</t>
        </is>
      </c>
      <c r="M164" s="29" t="n"/>
      <c r="N164" s="29" t="n">
        <v>6</v>
      </c>
    </row>
    <row r="165" ht="15" customHeight="1" s="22">
      <c r="A165" s="29" t="inlineStr">
        <is>
          <t>S163</t>
        </is>
      </c>
      <c r="B165" s="29" t="inlineStr">
        <is>
          <t>2025-2026</t>
        </is>
      </c>
      <c r="C165" s="29" t="inlineStr">
        <is>
          <t>3</t>
        </is>
      </c>
      <c r="D165" s="29" t="inlineStr">
        <is>
          <t>Soins infirmiers</t>
        </is>
      </c>
      <c r="E165" s="29" t="inlineStr">
        <is>
          <t>L2</t>
        </is>
      </c>
      <c r="F165" s="29" t="inlineStr">
        <is>
          <t>S.I</t>
        </is>
      </c>
      <c r="G165" s="29" t="inlineStr">
        <is>
          <t>Examen physique</t>
        </is>
      </c>
      <c r="H165" s="29" t="inlineStr"/>
      <c r="I165" s="29" t="inlineStr"/>
      <c r="J165" s="29" t="inlineStr">
        <is>
          <t>Lundi</t>
        </is>
      </c>
      <c r="K165" s="29" t="inlineStr">
        <is>
          <t>13h00</t>
        </is>
      </c>
      <c r="L165" s="29" t="inlineStr">
        <is>
          <t>15h00</t>
        </is>
      </c>
      <c r="M165" s="29" t="n"/>
      <c r="N165" s="29" t="n">
        <v>4</v>
      </c>
    </row>
    <row r="166" ht="15" customHeight="1" s="22">
      <c r="A166" s="29" t="inlineStr">
        <is>
          <t>S164</t>
        </is>
      </c>
      <c r="B166" s="29" t="inlineStr">
        <is>
          <t>2025-2026</t>
        </is>
      </c>
      <c r="C166" s="29" t="inlineStr">
        <is>
          <t>3</t>
        </is>
      </c>
      <c r="D166" s="29" t="inlineStr">
        <is>
          <t>Soins infirmiers</t>
        </is>
      </c>
      <c r="E166" s="29" t="inlineStr">
        <is>
          <t>L2</t>
        </is>
      </c>
      <c r="F166" s="29" t="inlineStr">
        <is>
          <t>S.I</t>
        </is>
      </c>
      <c r="G166" s="29" t="inlineStr">
        <is>
          <t>Obstétrique Normale</t>
        </is>
      </c>
      <c r="H166" s="29" t="inlineStr">
        <is>
          <t>Adamou Hamada Jean Alain</t>
        </is>
      </c>
      <c r="I166" s="29" t="inlineStr"/>
      <c r="J166" s="29" t="inlineStr">
        <is>
          <t>Lundi</t>
        </is>
      </c>
      <c r="K166" s="29" t="inlineStr">
        <is>
          <t>13h00</t>
        </is>
      </c>
      <c r="L166" s="29" t="inlineStr">
        <is>
          <t>15h00</t>
        </is>
      </c>
      <c r="M166" s="29" t="n"/>
      <c r="N166" s="29" t="n">
        <v>22</v>
      </c>
    </row>
    <row r="167" ht="15" customHeight="1" s="22">
      <c r="A167" s="29" t="inlineStr">
        <is>
          <t>S165</t>
        </is>
      </c>
      <c r="B167" s="29" t="inlineStr">
        <is>
          <t>2025-2026</t>
        </is>
      </c>
      <c r="C167" s="29" t="inlineStr">
        <is>
          <t>3</t>
        </is>
      </c>
      <c r="D167" s="29" t="inlineStr">
        <is>
          <t>Soins infirmiers</t>
        </is>
      </c>
      <c r="E167" s="29" t="inlineStr">
        <is>
          <t>L2</t>
        </is>
      </c>
      <c r="F167" s="29" t="inlineStr">
        <is>
          <t>S.I</t>
        </is>
      </c>
      <c r="G167" s="29" t="inlineStr">
        <is>
          <t>Pathologie chirurgicale pédiatrique</t>
        </is>
      </c>
      <c r="H167" s="29" t="inlineStr"/>
      <c r="I167" s="29" t="inlineStr"/>
      <c r="J167" s="29" t="inlineStr">
        <is>
          <t>Lundi</t>
        </is>
      </c>
      <c r="K167" s="29" t="inlineStr">
        <is>
          <t>13h00</t>
        </is>
      </c>
      <c r="L167" s="29" t="inlineStr">
        <is>
          <t>15h00</t>
        </is>
      </c>
      <c r="M167" s="29" t="n"/>
      <c r="N167" s="29" t="n">
        <v>4</v>
      </c>
    </row>
    <row r="168" ht="15" customHeight="1" s="22">
      <c r="A168" s="29" t="inlineStr">
        <is>
          <t>S166</t>
        </is>
      </c>
      <c r="B168" s="29" t="inlineStr">
        <is>
          <t>2025-2026</t>
        </is>
      </c>
      <c r="C168" s="29" t="inlineStr">
        <is>
          <t>3</t>
        </is>
      </c>
      <c r="D168" s="29" t="inlineStr">
        <is>
          <t>Soins infirmiers</t>
        </is>
      </c>
      <c r="E168" s="29" t="inlineStr">
        <is>
          <t>L2</t>
        </is>
      </c>
      <c r="F168" s="29" t="inlineStr">
        <is>
          <t>S.I</t>
        </is>
      </c>
      <c r="G168" s="29" t="inlineStr">
        <is>
          <t>TD Obstétrique Normale</t>
        </is>
      </c>
      <c r="H168" s="29" t="inlineStr"/>
      <c r="I168" s="29" t="inlineStr"/>
      <c r="J168" s="29" t="inlineStr">
        <is>
          <t>Lundi</t>
        </is>
      </c>
      <c r="K168" s="29" t="inlineStr">
        <is>
          <t>13h00</t>
        </is>
      </c>
      <c r="L168" s="29" t="inlineStr">
        <is>
          <t>15h00</t>
        </is>
      </c>
      <c r="M168" s="29" t="n"/>
      <c r="N168" s="29" t="n">
        <v>2</v>
      </c>
    </row>
    <row r="169" ht="15" customHeight="1" s="22">
      <c r="A169" s="29" t="inlineStr">
        <is>
          <t>S167</t>
        </is>
      </c>
      <c r="B169" s="29" t="inlineStr">
        <is>
          <t>2025-2026</t>
        </is>
      </c>
      <c r="C169" s="29" t="inlineStr">
        <is>
          <t>3</t>
        </is>
      </c>
      <c r="D169" s="29" t="inlineStr">
        <is>
          <t>Soins infirmiers</t>
        </is>
      </c>
      <c r="E169" s="29" t="inlineStr">
        <is>
          <t>L2</t>
        </is>
      </c>
      <c r="F169" s="29" t="inlineStr">
        <is>
          <t>S.I</t>
        </is>
      </c>
      <c r="G169" s="29" t="inlineStr">
        <is>
          <t>Kinésithérapie respiratoire chez l'enfant</t>
        </is>
      </c>
      <c r="H169" s="29" t="inlineStr"/>
      <c r="I169" s="29" t="inlineStr"/>
      <c r="J169" s="29" t="inlineStr">
        <is>
          <t>Lundi</t>
        </is>
      </c>
      <c r="K169" s="29" t="inlineStr">
        <is>
          <t>15h05</t>
        </is>
      </c>
      <c r="L169" s="29" t="inlineStr">
        <is>
          <t>17h05</t>
        </is>
      </c>
      <c r="M169" s="29" t="n"/>
      <c r="N169" s="29" t="n">
        <v>4</v>
      </c>
    </row>
    <row r="170" ht="15" customHeight="1" s="22">
      <c r="A170" s="29" t="inlineStr">
        <is>
          <t>S168</t>
        </is>
      </c>
      <c r="B170" s="29" t="inlineStr">
        <is>
          <t>2025-2026</t>
        </is>
      </c>
      <c r="C170" s="29" t="inlineStr">
        <is>
          <t>3</t>
        </is>
      </c>
      <c r="D170" s="29" t="inlineStr">
        <is>
          <t>Soins infirmiers</t>
        </is>
      </c>
      <c r="E170" s="29" t="inlineStr">
        <is>
          <t>L2</t>
        </is>
      </c>
      <c r="F170" s="29" t="inlineStr">
        <is>
          <t>S.I</t>
        </is>
      </c>
      <c r="G170" s="29" t="inlineStr">
        <is>
          <t>Pharmacologie et thérapeutiques spécifiques à la pathologie</t>
        </is>
      </c>
      <c r="H170" s="29" t="inlineStr"/>
      <c r="I170" s="29" t="inlineStr"/>
      <c r="J170" s="29" t="inlineStr">
        <is>
          <t>Lundi</t>
        </is>
      </c>
      <c r="K170" s="29" t="inlineStr">
        <is>
          <t>15h05</t>
        </is>
      </c>
      <c r="L170" s="29" t="inlineStr">
        <is>
          <t>17h05</t>
        </is>
      </c>
      <c r="M170" s="29" t="n"/>
      <c r="N170" s="29" t="n">
        <v>12</v>
      </c>
    </row>
    <row r="171" ht="15" customHeight="1" s="22">
      <c r="A171" s="29" t="inlineStr">
        <is>
          <t>S169</t>
        </is>
      </c>
      <c r="B171" s="29" t="inlineStr">
        <is>
          <t>2025-2026</t>
        </is>
      </c>
      <c r="C171" s="29" t="inlineStr">
        <is>
          <t>3</t>
        </is>
      </c>
      <c r="D171" s="29" t="inlineStr">
        <is>
          <t>Soins infirmiers</t>
        </is>
      </c>
      <c r="E171" s="29" t="inlineStr">
        <is>
          <t>L2</t>
        </is>
      </c>
      <c r="F171" s="29" t="inlineStr">
        <is>
          <t>S.I</t>
        </is>
      </c>
      <c r="G171" s="29" t="inlineStr">
        <is>
          <t>Stratégies conventionnelles et novatrices de communication</t>
        </is>
      </c>
      <c r="H171" s="29" t="inlineStr">
        <is>
          <t>HALIMA ABDALLAH</t>
        </is>
      </c>
      <c r="I171" s="29" t="inlineStr"/>
      <c r="J171" s="29" t="inlineStr">
        <is>
          <t>Lundi</t>
        </is>
      </c>
      <c r="K171" s="29" t="inlineStr">
        <is>
          <t>15h05</t>
        </is>
      </c>
      <c r="L171" s="29" t="inlineStr">
        <is>
          <t>17h05</t>
        </is>
      </c>
      <c r="M171" s="29" t="n"/>
      <c r="N171" s="29" t="n">
        <v>14</v>
      </c>
    </row>
    <row r="172" ht="15" customHeight="1" s="22">
      <c r="A172" s="29" t="inlineStr">
        <is>
          <t>S170</t>
        </is>
      </c>
      <c r="B172" s="29" t="inlineStr">
        <is>
          <t>2025-2026</t>
        </is>
      </c>
      <c r="C172" s="29" t="inlineStr">
        <is>
          <t>3</t>
        </is>
      </c>
      <c r="D172" s="29" t="inlineStr">
        <is>
          <t>Soins infirmiers</t>
        </is>
      </c>
      <c r="E172" s="29" t="inlineStr">
        <is>
          <t>L2</t>
        </is>
      </c>
      <c r="F172" s="29" t="inlineStr">
        <is>
          <t>S.I</t>
        </is>
      </c>
      <c r="G172" s="29" t="inlineStr">
        <is>
          <t>TD Stratégies conventionnelles et novatrices de communication</t>
        </is>
      </c>
      <c r="H172" s="29" t="inlineStr"/>
      <c r="I172" s="29" t="inlineStr"/>
      <c r="J172" s="29" t="inlineStr">
        <is>
          <t>Lundi</t>
        </is>
      </c>
      <c r="K172" s="29" t="inlineStr">
        <is>
          <t>15h05</t>
        </is>
      </c>
      <c r="L172" s="29" t="inlineStr">
        <is>
          <t>17h05</t>
        </is>
      </c>
      <c r="M172" s="29" t="n"/>
      <c r="N172" s="29" t="n">
        <v>2</v>
      </c>
    </row>
    <row r="173" ht="15" customHeight="1" s="22">
      <c r="A173" s="29" t="inlineStr">
        <is>
          <t>S171</t>
        </is>
      </c>
      <c r="B173" s="29" t="inlineStr">
        <is>
          <t>2025-2026</t>
        </is>
      </c>
      <c r="C173" s="29" t="inlineStr">
        <is>
          <t>3</t>
        </is>
      </c>
      <c r="D173" s="29" t="inlineStr">
        <is>
          <t>Soins infirmiers</t>
        </is>
      </c>
      <c r="E173" s="29" t="inlineStr">
        <is>
          <t>L2</t>
        </is>
      </c>
      <c r="F173" s="29" t="inlineStr">
        <is>
          <t>S.I</t>
        </is>
      </c>
      <c r="G173" s="29" t="inlineStr">
        <is>
          <t>Consultation prénatale</t>
        </is>
      </c>
      <c r="H173" s="29" t="inlineStr">
        <is>
          <t>Mme MYRIAM ABDALLAH</t>
        </is>
      </c>
      <c r="I173" s="29" t="inlineStr"/>
      <c r="J173" s="29" t="inlineStr">
        <is>
          <t>Lundi</t>
        </is>
      </c>
      <c r="K173" s="29" t="inlineStr">
        <is>
          <t>8h00</t>
        </is>
      </c>
      <c r="L173" s="29" t="inlineStr">
        <is>
          <t>10h00</t>
        </is>
      </c>
      <c r="M173" s="29" t="n"/>
      <c r="N173" s="29" t="n">
        <v>6</v>
      </c>
    </row>
    <row r="174" ht="15" customHeight="1" s="22">
      <c r="A174" s="29" t="inlineStr">
        <is>
          <t>S172</t>
        </is>
      </c>
      <c r="B174" s="29" t="inlineStr">
        <is>
          <t>2025-2026</t>
        </is>
      </c>
      <c r="C174" s="29" t="inlineStr">
        <is>
          <t>3</t>
        </is>
      </c>
      <c r="D174" s="29" t="inlineStr">
        <is>
          <t>Soins infirmiers</t>
        </is>
      </c>
      <c r="E174" s="29" t="inlineStr">
        <is>
          <t>L2</t>
        </is>
      </c>
      <c r="F174" s="29" t="inlineStr">
        <is>
          <t>S.I</t>
        </is>
      </c>
      <c r="G174" s="29" t="inlineStr">
        <is>
          <t>Examen physique</t>
        </is>
      </c>
      <c r="H174" s="29" t="inlineStr"/>
      <c r="I174" s="29" t="inlineStr"/>
      <c r="J174" s="29" t="inlineStr">
        <is>
          <t>Lundi</t>
        </is>
      </c>
      <c r="K174" s="29" t="inlineStr">
        <is>
          <t>8h00</t>
        </is>
      </c>
      <c r="L174" s="29" t="inlineStr">
        <is>
          <t>10h00</t>
        </is>
      </c>
      <c r="M174" s="29" t="n"/>
      <c r="N174" s="29" t="n">
        <v>2</v>
      </c>
    </row>
    <row r="175" ht="15" customHeight="1" s="22">
      <c r="A175" s="29" t="inlineStr">
        <is>
          <t>S173</t>
        </is>
      </c>
      <c r="B175" s="29" t="inlineStr">
        <is>
          <t>2025-2026</t>
        </is>
      </c>
      <c r="C175" s="29" t="inlineStr">
        <is>
          <t>3</t>
        </is>
      </c>
      <c r="D175" s="29" t="inlineStr">
        <is>
          <t>Soins infirmiers</t>
        </is>
      </c>
      <c r="E175" s="29" t="inlineStr">
        <is>
          <t>L2</t>
        </is>
      </c>
      <c r="F175" s="29" t="inlineStr">
        <is>
          <t>S.I</t>
        </is>
      </c>
      <c r="G175" s="29" t="inlineStr">
        <is>
          <t>Pathologies Digestifs</t>
        </is>
      </c>
      <c r="H175" s="29" t="inlineStr">
        <is>
          <t>Irina Ismaïla Abdou</t>
        </is>
      </c>
      <c r="I175" s="29" t="inlineStr"/>
      <c r="J175" s="29" t="inlineStr">
        <is>
          <t>Lundi</t>
        </is>
      </c>
      <c r="K175" s="29" t="inlineStr">
        <is>
          <t>8h00</t>
        </is>
      </c>
      <c r="L175" s="29" t="inlineStr">
        <is>
          <t>10h00</t>
        </is>
      </c>
      <c r="M175" s="29" t="n"/>
      <c r="N175" s="29" t="n">
        <v>2</v>
      </c>
    </row>
    <row r="176" ht="15" customHeight="1" s="22">
      <c r="A176" s="29" t="inlineStr">
        <is>
          <t>S174</t>
        </is>
      </c>
      <c r="B176" s="29" t="inlineStr">
        <is>
          <t>2025-2026</t>
        </is>
      </c>
      <c r="C176" s="29" t="inlineStr">
        <is>
          <t>3</t>
        </is>
      </c>
      <c r="D176" s="29" t="inlineStr">
        <is>
          <t>Soins infirmiers</t>
        </is>
      </c>
      <c r="E176" s="29" t="inlineStr">
        <is>
          <t>L2</t>
        </is>
      </c>
      <c r="F176" s="29" t="inlineStr">
        <is>
          <t>S.I</t>
        </is>
      </c>
      <c r="G176" s="29" t="inlineStr">
        <is>
          <t>Patologies orthopédiques et traumatologiqes</t>
        </is>
      </c>
      <c r="H176" s="29" t="inlineStr"/>
      <c r="I176" s="29" t="inlineStr"/>
      <c r="J176" s="29" t="inlineStr">
        <is>
          <t>Lundi</t>
        </is>
      </c>
      <c r="K176" s="29" t="inlineStr">
        <is>
          <t>8h00</t>
        </is>
      </c>
      <c r="L176" s="29" t="inlineStr">
        <is>
          <t>10h00</t>
        </is>
      </c>
      <c r="M176" s="29" t="n"/>
      <c r="N176" s="29" t="n">
        <v>6</v>
      </c>
    </row>
    <row r="177" ht="15" customHeight="1" s="22">
      <c r="A177" s="29" t="inlineStr">
        <is>
          <t>S175</t>
        </is>
      </c>
      <c r="B177" s="29" t="inlineStr">
        <is>
          <t>2025-2026</t>
        </is>
      </c>
      <c r="C177" s="29" t="inlineStr">
        <is>
          <t>3</t>
        </is>
      </c>
      <c r="D177" s="29" t="inlineStr">
        <is>
          <t>Soins infirmiers</t>
        </is>
      </c>
      <c r="E177" s="29" t="inlineStr">
        <is>
          <t>L2</t>
        </is>
      </c>
      <c r="F177" s="29" t="inlineStr">
        <is>
          <t>S.I</t>
        </is>
      </c>
      <c r="G177" s="29" t="inlineStr">
        <is>
          <t>Principes d’accueil, d’orientation et de prise en charge respectueuse et bienveillante de la femme</t>
        </is>
      </c>
      <c r="H177" s="29" t="inlineStr"/>
      <c r="I177" s="29" t="inlineStr"/>
      <c r="J177" s="29" t="inlineStr">
        <is>
          <t>Lundi</t>
        </is>
      </c>
      <c r="K177" s="29" t="inlineStr">
        <is>
          <t>8h00</t>
        </is>
      </c>
      <c r="L177" s="29" t="inlineStr">
        <is>
          <t>10h00</t>
        </is>
      </c>
      <c r="M177" s="29" t="n"/>
      <c r="N177" s="29" t="n">
        <v>2</v>
      </c>
    </row>
    <row r="178" ht="15" customHeight="1" s="22">
      <c r="A178" s="29" t="inlineStr">
        <is>
          <t>S176</t>
        </is>
      </c>
      <c r="B178" s="29" t="inlineStr">
        <is>
          <t>2025-2026</t>
        </is>
      </c>
      <c r="C178" s="29" t="inlineStr">
        <is>
          <t>3</t>
        </is>
      </c>
      <c r="D178" s="29" t="inlineStr">
        <is>
          <t>Soins infirmiers</t>
        </is>
      </c>
      <c r="E178" s="29" t="inlineStr">
        <is>
          <t>L2</t>
        </is>
      </c>
      <c r="F178" s="29" t="inlineStr">
        <is>
          <t>S.I</t>
        </is>
      </c>
      <c r="G178" s="29" t="inlineStr">
        <is>
          <t>SI Affections Digestifs</t>
        </is>
      </c>
      <c r="H178" s="29" t="inlineStr"/>
      <c r="I178" s="29" t="inlineStr"/>
      <c r="J178" s="29" t="inlineStr">
        <is>
          <t>Lundi</t>
        </is>
      </c>
      <c r="K178" s="29" t="inlineStr">
        <is>
          <t>8h00</t>
        </is>
      </c>
      <c r="L178" s="29" t="inlineStr">
        <is>
          <t>10h00</t>
        </is>
      </c>
      <c r="M178" s="29" t="n"/>
      <c r="N178" s="29" t="n">
        <v>2</v>
      </c>
    </row>
    <row r="179" ht="15" customHeight="1" s="22">
      <c r="A179" s="29" t="inlineStr">
        <is>
          <t>S177</t>
        </is>
      </c>
      <c r="B179" s="29" t="inlineStr">
        <is>
          <t>2025-2026</t>
        </is>
      </c>
      <c r="C179" s="29" t="inlineStr">
        <is>
          <t>3</t>
        </is>
      </c>
      <c r="D179" s="29" t="inlineStr">
        <is>
          <t>Soins infirmiers</t>
        </is>
      </c>
      <c r="E179" s="29" t="inlineStr">
        <is>
          <t>L2</t>
        </is>
      </c>
      <c r="F179" s="29" t="inlineStr">
        <is>
          <t>S.I</t>
        </is>
      </c>
      <c r="G179" s="29" t="inlineStr">
        <is>
          <t>Santé sexuelle et reproductive et droits connexes</t>
        </is>
      </c>
      <c r="H179" s="29" t="inlineStr">
        <is>
          <t>HALIMA ABDALLAH</t>
        </is>
      </c>
      <c r="I179" s="29" t="inlineStr"/>
      <c r="J179" s="29" t="inlineStr">
        <is>
          <t>Lundi</t>
        </is>
      </c>
      <c r="K179" s="29" t="inlineStr">
        <is>
          <t>8h00</t>
        </is>
      </c>
      <c r="L179" s="29" t="inlineStr">
        <is>
          <t>10h00</t>
        </is>
      </c>
      <c r="M179" s="29" t="n"/>
      <c r="N179" s="29" t="n">
        <v>6</v>
      </c>
    </row>
    <row r="180" ht="15" customHeight="1" s="22">
      <c r="A180" s="29" t="inlineStr">
        <is>
          <t>S178</t>
        </is>
      </c>
      <c r="B180" s="29" t="inlineStr">
        <is>
          <t>2025-2026</t>
        </is>
      </c>
      <c r="C180" s="29" t="inlineStr">
        <is>
          <t>3</t>
        </is>
      </c>
      <c r="D180" s="29" t="inlineStr">
        <is>
          <t>Soins infirmiers</t>
        </is>
      </c>
      <c r="E180" s="29" t="inlineStr">
        <is>
          <t>L2</t>
        </is>
      </c>
      <c r="F180" s="29" t="inlineStr">
        <is>
          <t>S.I</t>
        </is>
      </c>
      <c r="G180" s="29" t="inlineStr">
        <is>
          <t>Soins en pediatrie</t>
        </is>
      </c>
      <c r="H180" s="29" t="inlineStr">
        <is>
          <t>Dr Chamsouddine</t>
        </is>
      </c>
      <c r="I180" s="29" t="inlineStr"/>
      <c r="J180" s="29" t="inlineStr">
        <is>
          <t>Lundi</t>
        </is>
      </c>
      <c r="K180" s="29" t="inlineStr">
        <is>
          <t>8h00</t>
        </is>
      </c>
      <c r="L180" s="29" t="inlineStr">
        <is>
          <t>10h00</t>
        </is>
      </c>
      <c r="M180" s="29" t="n"/>
      <c r="N180" s="29" t="n">
        <v>4</v>
      </c>
    </row>
    <row r="181" ht="15" customHeight="1" s="22">
      <c r="A181" s="29" t="inlineStr">
        <is>
          <t>S179</t>
        </is>
      </c>
      <c r="B181" s="29" t="inlineStr">
        <is>
          <t>2025-2026</t>
        </is>
      </c>
      <c r="C181" s="29" t="inlineStr">
        <is>
          <t>3</t>
        </is>
      </c>
      <c r="D181" s="29" t="inlineStr">
        <is>
          <t>Soins infirmiers</t>
        </is>
      </c>
      <c r="E181" s="29" t="inlineStr">
        <is>
          <t>L2</t>
        </is>
      </c>
      <c r="F181" s="29" t="inlineStr">
        <is>
          <t>S.I</t>
        </is>
      </c>
      <c r="G181" s="29" t="inlineStr">
        <is>
          <t>TD Principes d’accueil, d’orientation et de prise en charge respectueuse et bienveillante de la femme</t>
        </is>
      </c>
      <c r="H181" s="29" t="inlineStr"/>
      <c r="I181" s="29" t="inlineStr"/>
      <c r="J181" s="29" t="inlineStr">
        <is>
          <t>Lundi</t>
        </is>
      </c>
      <c r="K181" s="29" t="inlineStr">
        <is>
          <t>8h00</t>
        </is>
      </c>
      <c r="L181" s="29" t="inlineStr">
        <is>
          <t>10h00</t>
        </is>
      </c>
      <c r="M181" s="29" t="n"/>
      <c r="N181" s="29" t="n">
        <v>2</v>
      </c>
    </row>
    <row r="182" ht="15" customHeight="1" s="22">
      <c r="A182" s="29" t="inlineStr">
        <is>
          <t>S180</t>
        </is>
      </c>
      <c r="B182" s="29" t="inlineStr">
        <is>
          <t>2025-2026</t>
        </is>
      </c>
      <c r="C182" s="29" t="inlineStr">
        <is>
          <t>3</t>
        </is>
      </c>
      <c r="D182" s="29" t="inlineStr">
        <is>
          <t>Soins infirmiers</t>
        </is>
      </c>
      <c r="E182" s="29" t="inlineStr">
        <is>
          <t>L2</t>
        </is>
      </c>
      <c r="F182" s="29" t="inlineStr">
        <is>
          <t>S.I</t>
        </is>
      </c>
      <c r="G182" s="29" t="inlineStr">
        <is>
          <t>Examen physique</t>
        </is>
      </c>
      <c r="H182" s="29" t="inlineStr"/>
      <c r="I182" s="29" t="inlineStr"/>
      <c r="J182" s="29" t="inlineStr">
        <is>
          <t>Mardi</t>
        </is>
      </c>
      <c r="K182" s="29" t="inlineStr">
        <is>
          <t>10h05</t>
        </is>
      </c>
      <c r="L182" s="29" t="inlineStr">
        <is>
          <t>12h05</t>
        </is>
      </c>
      <c r="M182" s="29" t="n"/>
      <c r="N182" s="29" t="n">
        <v>2</v>
      </c>
    </row>
    <row r="183" ht="15" customHeight="1" s="22">
      <c r="A183" s="29" t="inlineStr">
        <is>
          <t>S181</t>
        </is>
      </c>
      <c r="B183" s="29" t="inlineStr">
        <is>
          <t>2025-2026</t>
        </is>
      </c>
      <c r="C183" s="29" t="inlineStr">
        <is>
          <t>3</t>
        </is>
      </c>
      <c r="D183" s="29" t="inlineStr">
        <is>
          <t>Soins infirmiers</t>
        </is>
      </c>
      <c r="E183" s="29" t="inlineStr">
        <is>
          <t>L2</t>
        </is>
      </c>
      <c r="F183" s="29" t="inlineStr">
        <is>
          <t>S.I</t>
        </is>
      </c>
      <c r="G183" s="29" t="inlineStr">
        <is>
          <t>Patologies orthopédiques et traumatologiqes</t>
        </is>
      </c>
      <c r="H183" s="29" t="inlineStr"/>
      <c r="I183" s="29" t="inlineStr"/>
      <c r="J183" s="29" t="inlineStr">
        <is>
          <t>Mardi</t>
        </is>
      </c>
      <c r="K183" s="29" t="inlineStr">
        <is>
          <t>10h05</t>
        </is>
      </c>
      <c r="L183" s="29" t="inlineStr">
        <is>
          <t>12h05</t>
        </is>
      </c>
      <c r="M183" s="29" t="n"/>
      <c r="N183" s="29" t="n">
        <v>4</v>
      </c>
    </row>
    <row r="184" ht="15" customHeight="1" s="22">
      <c r="A184" s="29" t="inlineStr">
        <is>
          <t>S182</t>
        </is>
      </c>
      <c r="B184" s="29" t="inlineStr">
        <is>
          <t>2025-2026</t>
        </is>
      </c>
      <c r="C184" s="29" t="inlineStr">
        <is>
          <t>3</t>
        </is>
      </c>
      <c r="D184" s="29" t="inlineStr">
        <is>
          <t>Soins infirmiers</t>
        </is>
      </c>
      <c r="E184" s="29" t="inlineStr">
        <is>
          <t>L2</t>
        </is>
      </c>
      <c r="F184" s="29" t="inlineStr">
        <is>
          <t>S.I</t>
        </is>
      </c>
      <c r="G184" s="29" t="inlineStr">
        <is>
          <t>SI Affections Digestifs</t>
        </is>
      </c>
      <c r="H184" s="29" t="inlineStr"/>
      <c r="I184" s="29" t="inlineStr"/>
      <c r="J184" s="29" t="inlineStr">
        <is>
          <t>Mardi</t>
        </is>
      </c>
      <c r="K184" s="29" t="inlineStr">
        <is>
          <t>10h05</t>
        </is>
      </c>
      <c r="L184" s="29" t="inlineStr">
        <is>
          <t>12h05</t>
        </is>
      </c>
      <c r="M184" s="29" t="n"/>
      <c r="N184" s="29" t="n">
        <v>6</v>
      </c>
    </row>
    <row r="185" ht="15" customHeight="1" s="22">
      <c r="A185" s="29" t="inlineStr">
        <is>
          <t>S183</t>
        </is>
      </c>
      <c r="B185" s="29" t="inlineStr">
        <is>
          <t>2025-2026</t>
        </is>
      </c>
      <c r="C185" s="29" t="inlineStr">
        <is>
          <t>3</t>
        </is>
      </c>
      <c r="D185" s="29" t="inlineStr">
        <is>
          <t>Soins infirmiers</t>
        </is>
      </c>
      <c r="E185" s="29" t="inlineStr">
        <is>
          <t>L2</t>
        </is>
      </c>
      <c r="F185" s="29" t="inlineStr">
        <is>
          <t>S.I</t>
        </is>
      </c>
      <c r="G185" s="29" t="inlineStr">
        <is>
          <t>Santé sexuelle et reproductive et droits connexes</t>
        </is>
      </c>
      <c r="H185" s="29" t="inlineStr">
        <is>
          <t>HALIMA ABDALLAH</t>
        </is>
      </c>
      <c r="I185" s="29" t="inlineStr"/>
      <c r="J185" s="29" t="inlineStr">
        <is>
          <t>Mardi</t>
        </is>
      </c>
      <c r="K185" s="29" t="inlineStr">
        <is>
          <t>10h05</t>
        </is>
      </c>
      <c r="L185" s="29" t="inlineStr">
        <is>
          <t>12h05</t>
        </is>
      </c>
      <c r="M185" s="29" t="n"/>
      <c r="N185" s="29" t="n">
        <v>8</v>
      </c>
    </row>
    <row r="186" ht="15" customHeight="1" s="22">
      <c r="A186" s="29" t="inlineStr">
        <is>
          <t>S184</t>
        </is>
      </c>
      <c r="B186" s="29" t="inlineStr">
        <is>
          <t>2025-2026</t>
        </is>
      </c>
      <c r="C186" s="29" t="inlineStr">
        <is>
          <t>3</t>
        </is>
      </c>
      <c r="D186" s="29" t="inlineStr">
        <is>
          <t>Soins infirmiers</t>
        </is>
      </c>
      <c r="E186" s="29" t="inlineStr">
        <is>
          <t>L2</t>
        </is>
      </c>
      <c r="F186" s="29" t="inlineStr">
        <is>
          <t>S.I</t>
        </is>
      </c>
      <c r="G186" s="29" t="inlineStr">
        <is>
          <t>Soins en pediatrie</t>
        </is>
      </c>
      <c r="H186" s="29" t="inlineStr">
        <is>
          <t>Dr Chamsouddine</t>
        </is>
      </c>
      <c r="I186" s="29" t="inlineStr"/>
      <c r="J186" s="29" t="inlineStr">
        <is>
          <t>Mardi</t>
        </is>
      </c>
      <c r="K186" s="29" t="inlineStr">
        <is>
          <t>10h05</t>
        </is>
      </c>
      <c r="L186" s="29" t="inlineStr">
        <is>
          <t>12h05</t>
        </is>
      </c>
      <c r="M186" s="29" t="n"/>
      <c r="N186" s="29" t="n">
        <v>6</v>
      </c>
    </row>
    <row r="187" ht="15" customHeight="1" s="22">
      <c r="A187" s="29" t="inlineStr">
        <is>
          <t>S185</t>
        </is>
      </c>
      <c r="B187" s="29" t="inlineStr">
        <is>
          <t>2025-2026</t>
        </is>
      </c>
      <c r="C187" s="29" t="inlineStr">
        <is>
          <t>3</t>
        </is>
      </c>
      <c r="D187" s="29" t="inlineStr">
        <is>
          <t>Soins infirmiers</t>
        </is>
      </c>
      <c r="E187" s="29" t="inlineStr">
        <is>
          <t>L2</t>
        </is>
      </c>
      <c r="F187" s="29" t="inlineStr">
        <is>
          <t>S.I</t>
        </is>
      </c>
      <c r="G187" s="29" t="inlineStr">
        <is>
          <t>Stratégies conventionnelles et novatrices de communication</t>
        </is>
      </c>
      <c r="H187" s="29" t="inlineStr">
        <is>
          <t>HALIMA ABDALLAH</t>
        </is>
      </c>
      <c r="I187" s="29" t="inlineStr"/>
      <c r="J187" s="29" t="inlineStr">
        <is>
          <t>Mardi</t>
        </is>
      </c>
      <c r="K187" s="29" t="inlineStr">
        <is>
          <t>10h05</t>
        </is>
      </c>
      <c r="L187" s="29" t="inlineStr">
        <is>
          <t>12h05</t>
        </is>
      </c>
      <c r="M187" s="29" t="n"/>
      <c r="N187" s="29" t="n">
        <v>6</v>
      </c>
    </row>
    <row r="188" ht="15" customHeight="1" s="22">
      <c r="A188" s="29" t="inlineStr">
        <is>
          <t>S186</t>
        </is>
      </c>
      <c r="B188" s="29" t="inlineStr">
        <is>
          <t>2025-2026</t>
        </is>
      </c>
      <c r="C188" s="29" t="inlineStr">
        <is>
          <t>3</t>
        </is>
      </c>
      <c r="D188" s="29" t="inlineStr">
        <is>
          <t>Soins infirmiers</t>
        </is>
      </c>
      <c r="E188" s="29" t="inlineStr">
        <is>
          <t>L2</t>
        </is>
      </c>
      <c r="F188" s="29" t="inlineStr">
        <is>
          <t>S.I</t>
        </is>
      </c>
      <c r="G188" s="29" t="inlineStr">
        <is>
          <t>Examen physique</t>
        </is>
      </c>
      <c r="H188" s="29" t="inlineStr"/>
      <c r="I188" s="29" t="inlineStr"/>
      <c r="J188" s="29" t="inlineStr">
        <is>
          <t>Mardi</t>
        </is>
      </c>
      <c r="K188" s="29" t="inlineStr">
        <is>
          <t>13h00</t>
        </is>
      </c>
      <c r="L188" s="29" t="inlineStr">
        <is>
          <t>15h00</t>
        </is>
      </c>
      <c r="M188" s="29" t="n"/>
      <c r="N188" s="29" t="n">
        <v>4</v>
      </c>
    </row>
    <row r="189" ht="15" customHeight="1" s="22">
      <c r="A189" s="29" t="inlineStr">
        <is>
          <t>S187</t>
        </is>
      </c>
      <c r="B189" s="29" t="inlineStr">
        <is>
          <t>2025-2026</t>
        </is>
      </c>
      <c r="C189" s="29" t="inlineStr">
        <is>
          <t>3</t>
        </is>
      </c>
      <c r="D189" s="29" t="inlineStr">
        <is>
          <t>Soins infirmiers</t>
        </is>
      </c>
      <c r="E189" s="29" t="inlineStr">
        <is>
          <t>L2</t>
        </is>
      </c>
      <c r="F189" s="29" t="inlineStr">
        <is>
          <t>S.I</t>
        </is>
      </c>
      <c r="G189" s="29" t="inlineStr">
        <is>
          <t>Gynécologie</t>
        </is>
      </c>
      <c r="H189" s="29" t="inlineStr">
        <is>
          <t>Irina Ismaïla Abdou</t>
        </is>
      </c>
      <c r="I189" s="29" t="inlineStr"/>
      <c r="J189" s="29" t="inlineStr">
        <is>
          <t>Mardi</t>
        </is>
      </c>
      <c r="K189" s="29" t="inlineStr">
        <is>
          <t>13h00</t>
        </is>
      </c>
      <c r="L189" s="29" t="inlineStr">
        <is>
          <t>15h00</t>
        </is>
      </c>
      <c r="M189" s="29" t="n"/>
      <c r="N189" s="29" t="n">
        <v>12</v>
      </c>
    </row>
    <row r="190" ht="15" customHeight="1" s="22">
      <c r="A190" s="29" t="inlineStr">
        <is>
          <t>S188</t>
        </is>
      </c>
      <c r="B190" s="29" t="inlineStr">
        <is>
          <t>2025-2026</t>
        </is>
      </c>
      <c r="C190" s="29" t="inlineStr">
        <is>
          <t>3</t>
        </is>
      </c>
      <c r="D190" s="29" t="inlineStr">
        <is>
          <t>Soins infirmiers</t>
        </is>
      </c>
      <c r="E190" s="29" t="inlineStr">
        <is>
          <t>L2</t>
        </is>
      </c>
      <c r="F190" s="29" t="inlineStr">
        <is>
          <t>S.I</t>
        </is>
      </c>
      <c r="G190" s="29" t="inlineStr">
        <is>
          <t>Pharmacologie et thérapeutiques spécifiques à la pathologie</t>
        </is>
      </c>
      <c r="H190" s="29" t="inlineStr"/>
      <c r="I190" s="29" t="inlineStr"/>
      <c r="J190" s="29" t="inlineStr">
        <is>
          <t>Mardi</t>
        </is>
      </c>
      <c r="K190" s="29" t="inlineStr">
        <is>
          <t>13h00</t>
        </is>
      </c>
      <c r="L190" s="29" t="inlineStr">
        <is>
          <t>15h00</t>
        </is>
      </c>
      <c r="M190" s="29" t="n"/>
      <c r="N190" s="29" t="n">
        <v>16</v>
      </c>
    </row>
    <row r="191" ht="15" customHeight="1" s="22">
      <c r="A191" s="29" t="inlineStr">
        <is>
          <t>S189</t>
        </is>
      </c>
      <c r="B191" s="29" t="inlineStr">
        <is>
          <t>2025-2026</t>
        </is>
      </c>
      <c r="C191" s="29" t="inlineStr">
        <is>
          <t>3</t>
        </is>
      </c>
      <c r="D191" s="29" t="inlineStr">
        <is>
          <t>Soins infirmiers</t>
        </is>
      </c>
      <c r="E191" s="29" t="inlineStr">
        <is>
          <t>L2</t>
        </is>
      </c>
      <c r="F191" s="29" t="inlineStr">
        <is>
          <t>S.I</t>
        </is>
      </c>
      <c r="G191" s="29" t="inlineStr">
        <is>
          <t>Kinésithérapie respiratoire chez l'enfant</t>
        </is>
      </c>
      <c r="H191" s="29" t="inlineStr"/>
      <c r="I191" s="29" t="inlineStr"/>
      <c r="J191" s="29" t="inlineStr">
        <is>
          <t>Mardi</t>
        </is>
      </c>
      <c r="K191" s="29" t="inlineStr">
        <is>
          <t>15h05</t>
        </is>
      </c>
      <c r="L191" s="29" t="inlineStr">
        <is>
          <t>17h05</t>
        </is>
      </c>
      <c r="M191" s="29" t="n"/>
      <c r="N191" s="29" t="n">
        <v>2</v>
      </c>
    </row>
    <row r="192" ht="15" customHeight="1" s="22">
      <c r="A192" s="29" t="inlineStr">
        <is>
          <t>S190</t>
        </is>
      </c>
      <c r="B192" s="29" t="inlineStr">
        <is>
          <t>2025-2026</t>
        </is>
      </c>
      <c r="C192" s="29" t="inlineStr">
        <is>
          <t>3</t>
        </is>
      </c>
      <c r="D192" s="29" t="inlineStr">
        <is>
          <t>Soins infirmiers</t>
        </is>
      </c>
      <c r="E192" s="29" t="inlineStr">
        <is>
          <t>L2</t>
        </is>
      </c>
      <c r="F192" s="29" t="inlineStr">
        <is>
          <t>S.I</t>
        </is>
      </c>
      <c r="G192" s="29" t="inlineStr">
        <is>
          <t>PCIME</t>
        </is>
      </c>
      <c r="H192" s="29" t="inlineStr">
        <is>
          <t>Daniel Ali Soumaïla (Chef de département S.I)</t>
        </is>
      </c>
      <c r="I192" s="29" t="inlineStr"/>
      <c r="J192" s="29" t="inlineStr">
        <is>
          <t>Mardi</t>
        </is>
      </c>
      <c r="K192" s="29" t="inlineStr">
        <is>
          <t>15h05</t>
        </is>
      </c>
      <c r="L192" s="29" t="inlineStr">
        <is>
          <t>17h05</t>
        </is>
      </c>
      <c r="M192" s="29" t="n"/>
      <c r="N192" s="29" t="n">
        <v>2</v>
      </c>
    </row>
    <row r="193" ht="15" customHeight="1" s="22">
      <c r="A193" s="29" t="inlineStr">
        <is>
          <t>S191</t>
        </is>
      </c>
      <c r="B193" s="29" t="inlineStr">
        <is>
          <t>2025-2026</t>
        </is>
      </c>
      <c r="C193" s="29" t="inlineStr">
        <is>
          <t>3</t>
        </is>
      </c>
      <c r="D193" s="29" t="inlineStr">
        <is>
          <t>Soins infirmiers</t>
        </is>
      </c>
      <c r="E193" s="29" t="inlineStr">
        <is>
          <t>L2</t>
        </is>
      </c>
      <c r="F193" s="29" t="inlineStr">
        <is>
          <t>S.I</t>
        </is>
      </c>
      <c r="G193" s="29" t="inlineStr">
        <is>
          <t>Protocoles de prise en charge de la grossesse normale</t>
        </is>
      </c>
      <c r="H193" s="29" t="inlineStr"/>
      <c r="I193" s="29" t="inlineStr"/>
      <c r="J193" s="29" t="inlineStr">
        <is>
          <t>Mardi</t>
        </is>
      </c>
      <c r="K193" s="29" t="inlineStr">
        <is>
          <t>15h05</t>
        </is>
      </c>
      <c r="L193" s="29" t="inlineStr">
        <is>
          <t>17h05</t>
        </is>
      </c>
      <c r="M193" s="29" t="n"/>
      <c r="N193" s="29" t="n">
        <v>4</v>
      </c>
    </row>
    <row r="194" ht="15" customHeight="1" s="22">
      <c r="A194" s="29" t="inlineStr">
        <is>
          <t>S192</t>
        </is>
      </c>
      <c r="B194" s="29" t="inlineStr">
        <is>
          <t>2025-2026</t>
        </is>
      </c>
      <c r="C194" s="29" t="inlineStr">
        <is>
          <t>3</t>
        </is>
      </c>
      <c r="D194" s="29" t="inlineStr">
        <is>
          <t>Soins infirmiers</t>
        </is>
      </c>
      <c r="E194" s="29" t="inlineStr">
        <is>
          <t>L2</t>
        </is>
      </c>
      <c r="F194" s="29" t="inlineStr">
        <is>
          <t>S.I</t>
        </is>
      </c>
      <c r="G194" s="29" t="inlineStr">
        <is>
          <t>Protocoles de prise en charge en post partum immédiat et précoce</t>
        </is>
      </c>
      <c r="H194" s="29" t="inlineStr">
        <is>
          <t>Soudjay Asnounat</t>
        </is>
      </c>
      <c r="I194" s="29" t="inlineStr"/>
      <c r="J194" s="29" t="inlineStr">
        <is>
          <t>Mardi</t>
        </is>
      </c>
      <c r="K194" s="29" t="inlineStr">
        <is>
          <t>15h05</t>
        </is>
      </c>
      <c r="L194" s="29" t="inlineStr">
        <is>
          <t>17h05</t>
        </is>
      </c>
      <c r="M194" s="29" t="n"/>
      <c r="N194" s="29" t="n">
        <v>2</v>
      </c>
    </row>
    <row r="195" ht="15" customHeight="1" s="22">
      <c r="A195" s="29" t="inlineStr">
        <is>
          <t>S193</t>
        </is>
      </c>
      <c r="B195" s="29" t="inlineStr">
        <is>
          <t>2025-2026</t>
        </is>
      </c>
      <c r="C195" s="29" t="inlineStr">
        <is>
          <t>3</t>
        </is>
      </c>
      <c r="D195" s="29" t="inlineStr">
        <is>
          <t>Soins infirmiers</t>
        </is>
      </c>
      <c r="E195" s="29" t="inlineStr">
        <is>
          <t>L2</t>
        </is>
      </c>
      <c r="F195" s="29" t="inlineStr">
        <is>
          <t>S.I</t>
        </is>
      </c>
      <c r="G195" s="29" t="inlineStr">
        <is>
          <t>Préparation à l’accouchement normal</t>
        </is>
      </c>
      <c r="H195" s="29" t="inlineStr">
        <is>
          <t>Soudjay Asnounat</t>
        </is>
      </c>
      <c r="I195" s="29" t="inlineStr"/>
      <c r="J195" s="29" t="inlineStr">
        <is>
          <t>Mardi</t>
        </is>
      </c>
      <c r="K195" s="29" t="inlineStr">
        <is>
          <t>15h05</t>
        </is>
      </c>
      <c r="L195" s="29" t="inlineStr">
        <is>
          <t>17h05</t>
        </is>
      </c>
      <c r="M195" s="29" t="n"/>
      <c r="N195" s="29" t="n">
        <v>4</v>
      </c>
    </row>
    <row r="196" ht="15" customHeight="1" s="22">
      <c r="A196" s="29" t="inlineStr">
        <is>
          <t>S194</t>
        </is>
      </c>
      <c r="B196" s="29" t="inlineStr">
        <is>
          <t>2025-2026</t>
        </is>
      </c>
      <c r="C196" s="29" t="inlineStr">
        <is>
          <t>3</t>
        </is>
      </c>
      <c r="D196" s="29" t="inlineStr">
        <is>
          <t>Soins infirmiers</t>
        </is>
      </c>
      <c r="E196" s="29" t="inlineStr">
        <is>
          <t>L2</t>
        </is>
      </c>
      <c r="F196" s="29" t="inlineStr">
        <is>
          <t>S.I</t>
        </is>
      </c>
      <c r="G196" s="29" t="inlineStr">
        <is>
          <t>Puériculture</t>
        </is>
      </c>
      <c r="H196" s="29" t="inlineStr">
        <is>
          <t>Dr Chamsouddine</t>
        </is>
      </c>
      <c r="I196" s="29" t="inlineStr"/>
      <c r="J196" s="29" t="inlineStr">
        <is>
          <t>Mardi</t>
        </is>
      </c>
      <c r="K196" s="29" t="inlineStr">
        <is>
          <t>15h05</t>
        </is>
      </c>
      <c r="L196" s="29" t="inlineStr">
        <is>
          <t>17h05</t>
        </is>
      </c>
      <c r="M196" s="29" t="n"/>
      <c r="N196" s="29" t="n">
        <v>8</v>
      </c>
    </row>
    <row r="197" ht="15" customHeight="1" s="22">
      <c r="A197" s="29" t="inlineStr">
        <is>
          <t>S195</t>
        </is>
      </c>
      <c r="B197" s="29" t="inlineStr">
        <is>
          <t>2025-2026</t>
        </is>
      </c>
      <c r="C197" s="29" t="inlineStr">
        <is>
          <t>3</t>
        </is>
      </c>
      <c r="D197" s="29" t="inlineStr">
        <is>
          <t>Soins infirmiers</t>
        </is>
      </c>
      <c r="E197" s="29" t="inlineStr">
        <is>
          <t>L2</t>
        </is>
      </c>
      <c r="F197" s="29" t="inlineStr">
        <is>
          <t>S.I</t>
        </is>
      </c>
      <c r="G197" s="29" t="inlineStr">
        <is>
          <t>TD Protocoles de prise en charge de la grossesse normale</t>
        </is>
      </c>
      <c r="H197" s="29" t="inlineStr"/>
      <c r="I197" s="29" t="inlineStr"/>
      <c r="J197" s="29" t="inlineStr">
        <is>
          <t>Mardi</t>
        </is>
      </c>
      <c r="K197" s="29" t="inlineStr">
        <is>
          <t>15h05</t>
        </is>
      </c>
      <c r="L197" s="29" t="inlineStr">
        <is>
          <t>17h05</t>
        </is>
      </c>
      <c r="M197" s="29" t="n"/>
      <c r="N197" s="29" t="n">
        <v>2</v>
      </c>
    </row>
    <row r="198" ht="15" customHeight="1" s="22">
      <c r="A198" s="29" t="inlineStr">
        <is>
          <t>S196</t>
        </is>
      </c>
      <c r="B198" s="29" t="inlineStr">
        <is>
          <t>2025-2026</t>
        </is>
      </c>
      <c r="C198" s="29" t="inlineStr">
        <is>
          <t>3</t>
        </is>
      </c>
      <c r="D198" s="29" t="inlineStr">
        <is>
          <t>Soins infirmiers</t>
        </is>
      </c>
      <c r="E198" s="29" t="inlineStr">
        <is>
          <t>L2</t>
        </is>
      </c>
      <c r="F198" s="29" t="inlineStr">
        <is>
          <t>S.I</t>
        </is>
      </c>
      <c r="G198" s="29" t="inlineStr">
        <is>
          <t>TD Préparation à l’accouchement normal</t>
        </is>
      </c>
      <c r="H198" s="29" t="inlineStr"/>
      <c r="I198" s="29" t="inlineStr"/>
      <c r="J198" s="29" t="inlineStr">
        <is>
          <t>Mardi</t>
        </is>
      </c>
      <c r="K198" s="29" t="inlineStr">
        <is>
          <t>15h05</t>
        </is>
      </c>
      <c r="L198" s="29" t="inlineStr">
        <is>
          <t>17h05</t>
        </is>
      </c>
      <c r="M198" s="29" t="n"/>
      <c r="N198" s="29" t="n">
        <v>2</v>
      </c>
    </row>
    <row r="199" ht="15" customHeight="1" s="22">
      <c r="A199" s="29" t="inlineStr">
        <is>
          <t>S197</t>
        </is>
      </c>
      <c r="B199" s="29" t="inlineStr">
        <is>
          <t>2025-2026</t>
        </is>
      </c>
      <c r="C199" s="29" t="inlineStr">
        <is>
          <t>3</t>
        </is>
      </c>
      <c r="D199" s="29" t="inlineStr">
        <is>
          <t>Soins infirmiers</t>
        </is>
      </c>
      <c r="E199" s="29" t="inlineStr">
        <is>
          <t>L2</t>
        </is>
      </c>
      <c r="F199" s="29" t="inlineStr">
        <is>
          <t>S.I</t>
        </is>
      </c>
      <c r="G199" s="29" t="inlineStr">
        <is>
          <t>soins infirmiers en orthopédie et truamatologie</t>
        </is>
      </c>
      <c r="H199" s="29" t="inlineStr">
        <is>
          <t>Mr AMELDINE DACHIROUDINE</t>
        </is>
      </c>
      <c r="I199" s="29" t="inlineStr"/>
      <c r="J199" s="29" t="inlineStr">
        <is>
          <t>Mardi</t>
        </is>
      </c>
      <c r="K199" s="29" t="inlineStr">
        <is>
          <t>15h05</t>
        </is>
      </c>
      <c r="L199" s="29" t="inlineStr">
        <is>
          <t>17h05</t>
        </is>
      </c>
      <c r="M199" s="29" t="n"/>
      <c r="N199" s="29" t="n">
        <v>6</v>
      </c>
    </row>
    <row r="200" ht="15" customHeight="1" s="22">
      <c r="A200" s="29" t="inlineStr">
        <is>
          <t>S198</t>
        </is>
      </c>
      <c r="B200" s="29" t="inlineStr">
        <is>
          <t>2025-2026</t>
        </is>
      </c>
      <c r="C200" s="29" t="inlineStr">
        <is>
          <t>3</t>
        </is>
      </c>
      <c r="D200" s="29" t="inlineStr">
        <is>
          <t>Soins infirmiers</t>
        </is>
      </c>
      <c r="E200" s="29" t="inlineStr">
        <is>
          <t>L2</t>
        </is>
      </c>
      <c r="F200" s="29" t="inlineStr">
        <is>
          <t>S.I</t>
        </is>
      </c>
      <c r="G200" s="29" t="inlineStr">
        <is>
          <t>Examen de santé</t>
        </is>
      </c>
      <c r="H200" s="29" t="inlineStr"/>
      <c r="I200" s="29" t="inlineStr"/>
      <c r="J200" s="29" t="inlineStr">
        <is>
          <t>Mardi</t>
        </is>
      </c>
      <c r="K200" s="29" t="inlineStr">
        <is>
          <t>8h00</t>
        </is>
      </c>
      <c r="L200" s="29" t="inlineStr">
        <is>
          <t>10h00</t>
        </is>
      </c>
      <c r="M200" s="29" t="n"/>
      <c r="N200" s="29" t="n">
        <v>16</v>
      </c>
    </row>
    <row r="201" ht="15" customHeight="1" s="22">
      <c r="A201" s="29" t="inlineStr">
        <is>
          <t>S199</t>
        </is>
      </c>
      <c r="B201" s="29" t="inlineStr">
        <is>
          <t>2025-2026</t>
        </is>
      </c>
      <c r="C201" s="29" t="inlineStr">
        <is>
          <t>3</t>
        </is>
      </c>
      <c r="D201" s="29" t="inlineStr">
        <is>
          <t>Soins infirmiers</t>
        </is>
      </c>
      <c r="E201" s="29" t="inlineStr">
        <is>
          <t>L2</t>
        </is>
      </c>
      <c r="F201" s="29" t="inlineStr">
        <is>
          <t>S.I</t>
        </is>
      </c>
      <c r="G201" s="29" t="inlineStr">
        <is>
          <t>PEC psychologique des enfants ou couple  victimes ou de tentatifes d'agression</t>
        </is>
      </c>
      <c r="H201" s="29" t="inlineStr"/>
      <c r="I201" s="29" t="inlineStr"/>
      <c r="J201" s="29" t="inlineStr">
        <is>
          <t>Mardi</t>
        </is>
      </c>
      <c r="K201" s="29" t="inlineStr">
        <is>
          <t>8h00</t>
        </is>
      </c>
      <c r="L201" s="29" t="inlineStr">
        <is>
          <t>10h00</t>
        </is>
      </c>
      <c r="M201" s="29" t="n"/>
      <c r="N201" s="29" t="n">
        <v>2</v>
      </c>
    </row>
    <row r="202" ht="15" customHeight="1" s="22">
      <c r="A202" s="29" t="inlineStr">
        <is>
          <t>S200</t>
        </is>
      </c>
      <c r="B202" s="29" t="inlineStr">
        <is>
          <t>2025-2026</t>
        </is>
      </c>
      <c r="C202" s="29" t="inlineStr">
        <is>
          <t>3</t>
        </is>
      </c>
      <c r="D202" s="29" t="inlineStr">
        <is>
          <t>Soins infirmiers</t>
        </is>
      </c>
      <c r="E202" s="29" t="inlineStr">
        <is>
          <t>L2</t>
        </is>
      </c>
      <c r="F202" s="29" t="inlineStr">
        <is>
          <t>S.I</t>
        </is>
      </c>
      <c r="G202" s="29" t="inlineStr">
        <is>
          <t>Pathologie chirurgicale pédiatrique</t>
        </is>
      </c>
      <c r="H202" s="29" t="inlineStr"/>
      <c r="I202" s="29" t="inlineStr"/>
      <c r="J202" s="29" t="inlineStr">
        <is>
          <t>Mardi</t>
        </is>
      </c>
      <c r="K202" s="29" t="inlineStr">
        <is>
          <t>8h00</t>
        </is>
      </c>
      <c r="L202" s="29" t="inlineStr">
        <is>
          <t>10h00</t>
        </is>
      </c>
      <c r="M202" s="29" t="n"/>
      <c r="N202" s="29" t="n">
        <v>8</v>
      </c>
    </row>
    <row r="203" ht="15" customHeight="1" s="22">
      <c r="A203" s="29" t="inlineStr">
        <is>
          <t>S201</t>
        </is>
      </c>
      <c r="B203" s="29" t="inlineStr">
        <is>
          <t>2025-2026</t>
        </is>
      </c>
      <c r="C203" s="29" t="inlineStr">
        <is>
          <t>3</t>
        </is>
      </c>
      <c r="D203" s="29" t="inlineStr">
        <is>
          <t>Soins infirmiers</t>
        </is>
      </c>
      <c r="E203" s="29" t="inlineStr">
        <is>
          <t>L2</t>
        </is>
      </c>
      <c r="F203" s="29" t="inlineStr">
        <is>
          <t>S.I</t>
        </is>
      </c>
      <c r="G203" s="29" t="inlineStr">
        <is>
          <t>SI Affections Digestifs</t>
        </is>
      </c>
      <c r="H203" s="29" t="inlineStr"/>
      <c r="I203" s="29" t="inlineStr"/>
      <c r="J203" s="29" t="inlineStr">
        <is>
          <t>Mardi</t>
        </is>
      </c>
      <c r="K203" s="29" t="inlineStr">
        <is>
          <t>8h00</t>
        </is>
      </c>
      <c r="L203" s="29" t="inlineStr">
        <is>
          <t>10h00</t>
        </is>
      </c>
      <c r="M203" s="29" t="n"/>
      <c r="N203" s="29" t="n">
        <v>2</v>
      </c>
    </row>
    <row r="204" ht="15" customHeight="1" s="22">
      <c r="A204" s="29" t="inlineStr">
        <is>
          <t>S202</t>
        </is>
      </c>
      <c r="B204" s="29" t="inlineStr">
        <is>
          <t>2025-2026</t>
        </is>
      </c>
      <c r="C204" s="29" t="inlineStr">
        <is>
          <t>3</t>
        </is>
      </c>
      <c r="D204" s="29" t="inlineStr">
        <is>
          <t>Soins infirmiers</t>
        </is>
      </c>
      <c r="E204" s="29" t="inlineStr">
        <is>
          <t>L2</t>
        </is>
      </c>
      <c r="F204" s="29" t="inlineStr">
        <is>
          <t>S.I</t>
        </is>
      </c>
      <c r="G204" s="29" t="inlineStr">
        <is>
          <t>TD Examen de santé</t>
        </is>
      </c>
      <c r="H204" s="29" t="inlineStr"/>
      <c r="I204" s="29" t="inlineStr"/>
      <c r="J204" s="29" t="inlineStr">
        <is>
          <t>Mardi</t>
        </is>
      </c>
      <c r="K204" s="29" t="inlineStr">
        <is>
          <t>8h00</t>
        </is>
      </c>
      <c r="L204" s="29" t="inlineStr">
        <is>
          <t>10h00</t>
        </is>
      </c>
      <c r="M204" s="29" t="n"/>
      <c r="N204" s="29" t="n">
        <v>2</v>
      </c>
    </row>
    <row r="205" ht="15" customHeight="1" s="22">
      <c r="A205" s="29" t="inlineStr">
        <is>
          <t>S203</t>
        </is>
      </c>
      <c r="B205" s="29" t="inlineStr">
        <is>
          <t>2025-2026</t>
        </is>
      </c>
      <c r="C205" s="29" t="inlineStr">
        <is>
          <t>3</t>
        </is>
      </c>
      <c r="D205" s="29" t="inlineStr">
        <is>
          <t>Soins infirmiers</t>
        </is>
      </c>
      <c r="E205" s="29" t="inlineStr">
        <is>
          <t>L2</t>
        </is>
      </c>
      <c r="F205" s="29" t="inlineStr">
        <is>
          <t>S.I</t>
        </is>
      </c>
      <c r="G205" s="29" t="inlineStr">
        <is>
          <t>TD Psychologie de l'enfant</t>
        </is>
      </c>
      <c r="H205" s="29" t="inlineStr"/>
      <c r="I205" s="29" t="inlineStr"/>
      <c r="J205" s="29" t="inlineStr">
        <is>
          <t>Mardi</t>
        </is>
      </c>
      <c r="K205" s="29" t="inlineStr">
        <is>
          <t>8h00</t>
        </is>
      </c>
      <c r="L205" s="29" t="inlineStr">
        <is>
          <t>10h00</t>
        </is>
      </c>
      <c r="M205" s="29" t="n"/>
      <c r="N205" s="29" t="n">
        <v>2</v>
      </c>
    </row>
    <row r="206" ht="15" customHeight="1" s="22">
      <c r="A206" s="29" t="inlineStr">
        <is>
          <t>S204</t>
        </is>
      </c>
      <c r="B206" s="29" t="inlineStr">
        <is>
          <t>2025-2026</t>
        </is>
      </c>
      <c r="C206" s="29" t="inlineStr">
        <is>
          <t>3</t>
        </is>
      </c>
      <c r="D206" s="29" t="inlineStr">
        <is>
          <t>Soins infirmiers</t>
        </is>
      </c>
      <c r="E206" s="29" t="inlineStr">
        <is>
          <t>L2</t>
        </is>
      </c>
      <c r="F206" s="29" t="inlineStr">
        <is>
          <t>S.I</t>
        </is>
      </c>
      <c r="G206" s="29" t="inlineStr">
        <is>
          <t>Kinésithérapie respiratoire chez l'enfant</t>
        </is>
      </c>
      <c r="H206" s="29" t="inlineStr"/>
      <c r="I206" s="29" t="inlineStr"/>
      <c r="J206" s="29" t="inlineStr">
        <is>
          <t>Mercredi</t>
        </is>
      </c>
      <c r="K206" s="29" t="inlineStr">
        <is>
          <t>10h05</t>
        </is>
      </c>
      <c r="L206" s="29" t="inlineStr">
        <is>
          <t>12h05</t>
        </is>
      </c>
      <c r="M206" s="29" t="n"/>
      <c r="N206" s="29" t="n">
        <v>2</v>
      </c>
    </row>
    <row r="207" ht="15" customHeight="1" s="22">
      <c r="A207" s="29" t="inlineStr">
        <is>
          <t>S205</t>
        </is>
      </c>
      <c r="B207" s="29" t="inlineStr">
        <is>
          <t>2025-2026</t>
        </is>
      </c>
      <c r="C207" s="29" t="inlineStr">
        <is>
          <t>3</t>
        </is>
      </c>
      <c r="D207" s="29" t="inlineStr">
        <is>
          <t>Soins infirmiers</t>
        </is>
      </c>
      <c r="E207" s="29" t="inlineStr">
        <is>
          <t>L2</t>
        </is>
      </c>
      <c r="F207" s="29" t="inlineStr">
        <is>
          <t>S.I</t>
        </is>
      </c>
      <c r="G207" s="29" t="inlineStr">
        <is>
          <t>Obstétrique Normale</t>
        </is>
      </c>
      <c r="H207" s="29" t="inlineStr">
        <is>
          <t>Adamou Hamada Jean Alain</t>
        </is>
      </c>
      <c r="I207" s="29" t="inlineStr"/>
      <c r="J207" s="29" t="inlineStr">
        <is>
          <t>Mercredi</t>
        </is>
      </c>
      <c r="K207" s="29" t="inlineStr">
        <is>
          <t>10h05</t>
        </is>
      </c>
      <c r="L207" s="29" t="inlineStr">
        <is>
          <t>12h05</t>
        </is>
      </c>
      <c r="M207" s="29" t="n"/>
      <c r="N207" s="29" t="n">
        <v>22</v>
      </c>
    </row>
    <row r="208" ht="15" customHeight="1" s="22">
      <c r="A208" s="29" t="inlineStr">
        <is>
          <t>S206</t>
        </is>
      </c>
      <c r="B208" s="29" t="inlineStr">
        <is>
          <t>2025-2026</t>
        </is>
      </c>
      <c r="C208" s="29" t="inlineStr">
        <is>
          <t>3</t>
        </is>
      </c>
      <c r="D208" s="29" t="inlineStr">
        <is>
          <t>Soins infirmiers</t>
        </is>
      </c>
      <c r="E208" s="29" t="inlineStr">
        <is>
          <t>L2</t>
        </is>
      </c>
      <c r="F208" s="29" t="inlineStr">
        <is>
          <t>S.I</t>
        </is>
      </c>
      <c r="G208" s="29" t="inlineStr">
        <is>
          <t>Patologies orthopédiques et traumatologiqes</t>
        </is>
      </c>
      <c r="H208" s="29" t="inlineStr"/>
      <c r="I208" s="29" t="inlineStr"/>
      <c r="J208" s="29" t="inlineStr">
        <is>
          <t>Mercredi</t>
        </is>
      </c>
      <c r="K208" s="29" t="inlineStr">
        <is>
          <t>10h05</t>
        </is>
      </c>
      <c r="L208" s="29" t="inlineStr">
        <is>
          <t>12h05</t>
        </is>
      </c>
      <c r="M208" s="29" t="n"/>
      <c r="N208" s="29" t="n">
        <v>2</v>
      </c>
    </row>
    <row r="209" ht="15" customHeight="1" s="22">
      <c r="A209" s="29" t="inlineStr">
        <is>
          <t>S207</t>
        </is>
      </c>
      <c r="B209" s="29" t="inlineStr">
        <is>
          <t>2025-2026</t>
        </is>
      </c>
      <c r="C209" s="29" t="inlineStr">
        <is>
          <t>3</t>
        </is>
      </c>
      <c r="D209" s="29" t="inlineStr">
        <is>
          <t>Soins infirmiers</t>
        </is>
      </c>
      <c r="E209" s="29" t="inlineStr">
        <is>
          <t>L2</t>
        </is>
      </c>
      <c r="F209" s="29" t="inlineStr">
        <is>
          <t>S.I</t>
        </is>
      </c>
      <c r="G209" s="29" t="inlineStr">
        <is>
          <t>SI Affections Digestifs</t>
        </is>
      </c>
      <c r="H209" s="29" t="inlineStr"/>
      <c r="I209" s="29" t="inlineStr"/>
      <c r="J209" s="29" t="inlineStr">
        <is>
          <t>Mercredi</t>
        </is>
      </c>
      <c r="K209" s="29" t="inlineStr">
        <is>
          <t>10h05</t>
        </is>
      </c>
      <c r="L209" s="29" t="inlineStr">
        <is>
          <t>12h05</t>
        </is>
      </c>
      <c r="M209" s="29" t="n"/>
      <c r="N209" s="29" t="n">
        <v>2</v>
      </c>
    </row>
    <row r="210" ht="15" customHeight="1" s="22">
      <c r="A210" s="29" t="inlineStr">
        <is>
          <t>S208</t>
        </is>
      </c>
      <c r="B210" s="29" t="inlineStr">
        <is>
          <t>2025-2026</t>
        </is>
      </c>
      <c r="C210" s="29" t="inlineStr">
        <is>
          <t>3</t>
        </is>
      </c>
      <c r="D210" s="29" t="inlineStr">
        <is>
          <t>Soins infirmiers</t>
        </is>
      </c>
      <c r="E210" s="29" t="inlineStr">
        <is>
          <t>L2</t>
        </is>
      </c>
      <c r="F210" s="29" t="inlineStr">
        <is>
          <t>S.I</t>
        </is>
      </c>
      <c r="G210" s="29" t="inlineStr">
        <is>
          <t>soins infirmiers en orthopédie et truamatologie</t>
        </is>
      </c>
      <c r="H210" s="29" t="inlineStr">
        <is>
          <t>Mr AMELDINE DACHIROUDINE</t>
        </is>
      </c>
      <c r="I210" s="29" t="inlineStr"/>
      <c r="J210" s="29" t="inlineStr">
        <is>
          <t>Mercredi</t>
        </is>
      </c>
      <c r="K210" s="29" t="inlineStr">
        <is>
          <t>10h05</t>
        </is>
      </c>
      <c r="L210" s="29" t="inlineStr">
        <is>
          <t>12h05</t>
        </is>
      </c>
      <c r="M210" s="29" t="n"/>
      <c r="N210" s="29" t="n">
        <v>4</v>
      </c>
    </row>
    <row r="211" ht="15" customHeight="1" s="22">
      <c r="A211" s="29" t="inlineStr">
        <is>
          <t>S209</t>
        </is>
      </c>
      <c r="B211" s="29" t="inlineStr">
        <is>
          <t>2025-2026</t>
        </is>
      </c>
      <c r="C211" s="29" t="inlineStr">
        <is>
          <t>3</t>
        </is>
      </c>
      <c r="D211" s="29" t="inlineStr">
        <is>
          <t>Soins infirmiers</t>
        </is>
      </c>
      <c r="E211" s="29" t="inlineStr">
        <is>
          <t>L2</t>
        </is>
      </c>
      <c r="F211" s="29" t="inlineStr">
        <is>
          <t>S.I</t>
        </is>
      </c>
      <c r="G211" s="29" t="inlineStr">
        <is>
          <t>Examen physique</t>
        </is>
      </c>
      <c r="H211" s="29" t="inlineStr"/>
      <c r="I211" s="29" t="inlineStr"/>
      <c r="J211" s="29" t="inlineStr">
        <is>
          <t>Mercredi</t>
        </is>
      </c>
      <c r="K211" s="29" t="inlineStr">
        <is>
          <t>13h00</t>
        </is>
      </c>
      <c r="L211" s="29" t="inlineStr">
        <is>
          <t>15h00</t>
        </is>
      </c>
      <c r="M211" s="29" t="n"/>
      <c r="N211" s="29" t="n">
        <v>2</v>
      </c>
    </row>
    <row r="212" ht="15" customHeight="1" s="22">
      <c r="A212" s="29" t="inlineStr">
        <is>
          <t>S210</t>
        </is>
      </c>
      <c r="B212" s="29" t="inlineStr">
        <is>
          <t>2025-2026</t>
        </is>
      </c>
      <c r="C212" s="29" t="inlineStr">
        <is>
          <t>3</t>
        </is>
      </c>
      <c r="D212" s="29" t="inlineStr">
        <is>
          <t>Soins infirmiers</t>
        </is>
      </c>
      <c r="E212" s="29" t="inlineStr">
        <is>
          <t>L2</t>
        </is>
      </c>
      <c r="F212" s="29" t="inlineStr">
        <is>
          <t>S.I</t>
        </is>
      </c>
      <c r="G212" s="29" t="inlineStr">
        <is>
          <t>Psychologie de l'enfant</t>
        </is>
      </c>
      <c r="H212" s="29" t="inlineStr"/>
      <c r="I212" s="29" t="inlineStr"/>
      <c r="J212" s="29" t="inlineStr">
        <is>
          <t>Mercredi</t>
        </is>
      </c>
      <c r="K212" s="29" t="inlineStr">
        <is>
          <t>13h00</t>
        </is>
      </c>
      <c r="L212" s="29" t="inlineStr">
        <is>
          <t>15h00</t>
        </is>
      </c>
      <c r="M212" s="29" t="n"/>
      <c r="N212" s="29" t="n">
        <v>4</v>
      </c>
    </row>
    <row r="213" ht="15" customHeight="1" s="22">
      <c r="A213" s="29" t="inlineStr">
        <is>
          <t>S211</t>
        </is>
      </c>
      <c r="B213" s="29" t="inlineStr">
        <is>
          <t>2025-2026</t>
        </is>
      </c>
      <c r="C213" s="29" t="inlineStr">
        <is>
          <t>3</t>
        </is>
      </c>
      <c r="D213" s="29" t="inlineStr">
        <is>
          <t>Soins infirmiers</t>
        </is>
      </c>
      <c r="E213" s="29" t="inlineStr">
        <is>
          <t>L2</t>
        </is>
      </c>
      <c r="F213" s="29" t="inlineStr">
        <is>
          <t>S.I</t>
        </is>
      </c>
      <c r="G213" s="29" t="inlineStr">
        <is>
          <t>Pédiatrie &amp; pédopsychiatrie</t>
        </is>
      </c>
      <c r="H213" s="29" t="inlineStr"/>
      <c r="I213" s="29" t="inlineStr"/>
      <c r="J213" s="29" t="inlineStr">
        <is>
          <t>Mercredi</t>
        </is>
      </c>
      <c r="K213" s="29" t="inlineStr">
        <is>
          <t>13h00</t>
        </is>
      </c>
      <c r="L213" s="29" t="inlineStr">
        <is>
          <t>15h00</t>
        </is>
      </c>
      <c r="M213" s="29" t="n"/>
      <c r="N213" s="29" t="n">
        <v>18</v>
      </c>
    </row>
    <row r="214" ht="15" customHeight="1" s="22">
      <c r="A214" s="29" t="inlineStr">
        <is>
          <t>S212</t>
        </is>
      </c>
      <c r="B214" s="29" t="inlineStr">
        <is>
          <t>2025-2026</t>
        </is>
      </c>
      <c r="C214" s="29" t="inlineStr">
        <is>
          <t>3</t>
        </is>
      </c>
      <c r="D214" s="29" t="inlineStr">
        <is>
          <t>Soins infirmiers</t>
        </is>
      </c>
      <c r="E214" s="29" t="inlineStr">
        <is>
          <t>L2</t>
        </is>
      </c>
      <c r="F214" s="29" t="inlineStr">
        <is>
          <t>S.I</t>
        </is>
      </c>
      <c r="G214" s="29" t="inlineStr">
        <is>
          <t>Santé sexuelle et reproductive et droits connexes</t>
        </is>
      </c>
      <c r="H214" s="29" t="inlineStr">
        <is>
          <t>HALIMA ABDALLAH</t>
        </is>
      </c>
      <c r="I214" s="29" t="inlineStr"/>
      <c r="J214" s="29" t="inlineStr">
        <is>
          <t>Mercredi</t>
        </is>
      </c>
      <c r="K214" s="29" t="inlineStr">
        <is>
          <t>13h00</t>
        </is>
      </c>
      <c r="L214" s="29" t="inlineStr">
        <is>
          <t>15h00</t>
        </is>
      </c>
      <c r="M214" s="29" t="n"/>
      <c r="N214" s="29" t="n">
        <v>4</v>
      </c>
    </row>
    <row r="215" ht="15" customHeight="1" s="22">
      <c r="A215" s="29" t="inlineStr">
        <is>
          <t>S213</t>
        </is>
      </c>
      <c r="B215" s="29" t="inlineStr">
        <is>
          <t>2025-2026</t>
        </is>
      </c>
      <c r="C215" s="29" t="inlineStr">
        <is>
          <t>3</t>
        </is>
      </c>
      <c r="D215" s="29" t="inlineStr">
        <is>
          <t>Soins infirmiers</t>
        </is>
      </c>
      <c r="E215" s="29" t="inlineStr">
        <is>
          <t>L2</t>
        </is>
      </c>
      <c r="F215" s="29" t="inlineStr">
        <is>
          <t>S.I</t>
        </is>
      </c>
      <c r="G215" s="29" t="inlineStr">
        <is>
          <t>TD Examen physique</t>
        </is>
      </c>
      <c r="H215" s="29" t="inlineStr"/>
      <c r="I215" s="29" t="inlineStr"/>
      <c r="J215" s="29" t="inlineStr">
        <is>
          <t>Mercredi</t>
        </is>
      </c>
      <c r="K215" s="29" t="inlineStr">
        <is>
          <t>13h00</t>
        </is>
      </c>
      <c r="L215" s="29" t="inlineStr">
        <is>
          <t>15h00</t>
        </is>
      </c>
      <c r="M215" s="29" t="n"/>
      <c r="N215" s="29" t="n">
        <v>2</v>
      </c>
    </row>
    <row r="216" ht="15" customHeight="1" s="22">
      <c r="A216" s="29" t="inlineStr">
        <is>
          <t>S214</t>
        </is>
      </c>
      <c r="B216" s="29" t="inlineStr">
        <is>
          <t>2025-2026</t>
        </is>
      </c>
      <c r="C216" s="29" t="inlineStr">
        <is>
          <t>3</t>
        </is>
      </c>
      <c r="D216" s="29" t="inlineStr">
        <is>
          <t>Soins infirmiers</t>
        </is>
      </c>
      <c r="E216" s="29" t="inlineStr">
        <is>
          <t>L2</t>
        </is>
      </c>
      <c r="F216" s="29" t="inlineStr">
        <is>
          <t>S.I</t>
        </is>
      </c>
      <c r="G216" s="29" t="inlineStr">
        <is>
          <t>TD Santé sexuelle et reproductive et droits connexes</t>
        </is>
      </c>
      <c r="H216" s="29" t="inlineStr"/>
      <c r="I216" s="29" t="inlineStr"/>
      <c r="J216" s="29" t="inlineStr">
        <is>
          <t>Mercredi</t>
        </is>
      </c>
      <c r="K216" s="29" t="inlineStr">
        <is>
          <t>13h00</t>
        </is>
      </c>
      <c r="L216" s="29" t="inlineStr">
        <is>
          <t>15h00</t>
        </is>
      </c>
      <c r="M216" s="29" t="n"/>
      <c r="N216" s="29" t="n">
        <v>2</v>
      </c>
    </row>
    <row r="217" ht="15" customHeight="1" s="22">
      <c r="A217" s="29" t="inlineStr">
        <is>
          <t>S215</t>
        </is>
      </c>
      <c r="B217" s="29" t="inlineStr">
        <is>
          <t>2025-2026</t>
        </is>
      </c>
      <c r="C217" s="29" t="inlineStr">
        <is>
          <t>3</t>
        </is>
      </c>
      <c r="D217" s="29" t="inlineStr">
        <is>
          <t>Soins infirmiers</t>
        </is>
      </c>
      <c r="E217" s="29" t="inlineStr">
        <is>
          <t>L2</t>
        </is>
      </c>
      <c r="F217" s="29" t="inlineStr">
        <is>
          <t>S.I</t>
        </is>
      </c>
      <c r="G217" s="29" t="inlineStr">
        <is>
          <t>Examen de santé</t>
        </is>
      </c>
      <c r="H217" s="29" t="inlineStr"/>
      <c r="I217" s="29" t="inlineStr"/>
      <c r="J217" s="29" t="inlineStr">
        <is>
          <t>Mercredi</t>
        </is>
      </c>
      <c r="K217" s="29" t="inlineStr">
        <is>
          <t>15h05</t>
        </is>
      </c>
      <c r="L217" s="29" t="inlineStr">
        <is>
          <t>17h05</t>
        </is>
      </c>
      <c r="M217" s="29" t="n"/>
      <c r="N217" s="29" t="n">
        <v>16</v>
      </c>
    </row>
    <row r="218" ht="15" customHeight="1" s="22">
      <c r="A218" s="29" t="inlineStr">
        <is>
          <t>S216</t>
        </is>
      </c>
      <c r="B218" s="29" t="inlineStr">
        <is>
          <t>2025-2026</t>
        </is>
      </c>
      <c r="C218" s="29" t="inlineStr">
        <is>
          <t>3</t>
        </is>
      </c>
      <c r="D218" s="29" t="inlineStr">
        <is>
          <t>Soins infirmiers</t>
        </is>
      </c>
      <c r="E218" s="29" t="inlineStr">
        <is>
          <t>L2</t>
        </is>
      </c>
      <c r="F218" s="29" t="inlineStr">
        <is>
          <t>S.I</t>
        </is>
      </c>
      <c r="G218" s="29" t="inlineStr">
        <is>
          <t>Kinésithérapie respiratoire chez l'enfant</t>
        </is>
      </c>
      <c r="H218" s="29" t="inlineStr"/>
      <c r="I218" s="29" t="inlineStr"/>
      <c r="J218" s="29" t="inlineStr">
        <is>
          <t>Mercredi</t>
        </is>
      </c>
      <c r="K218" s="29" t="inlineStr">
        <is>
          <t>15h05</t>
        </is>
      </c>
      <c r="L218" s="29" t="inlineStr">
        <is>
          <t>17h05</t>
        </is>
      </c>
      <c r="M218" s="29" t="n"/>
      <c r="N218" s="29" t="n">
        <v>2</v>
      </c>
    </row>
    <row r="219" ht="15" customHeight="1" s="22">
      <c r="A219" s="29" t="inlineStr">
        <is>
          <t>S217</t>
        </is>
      </c>
      <c r="B219" s="29" t="inlineStr">
        <is>
          <t>2025-2026</t>
        </is>
      </c>
      <c r="C219" s="29" t="inlineStr">
        <is>
          <t>3</t>
        </is>
      </c>
      <c r="D219" s="29" t="inlineStr">
        <is>
          <t>Soins infirmiers</t>
        </is>
      </c>
      <c r="E219" s="29" t="inlineStr">
        <is>
          <t>L2</t>
        </is>
      </c>
      <c r="F219" s="29" t="inlineStr">
        <is>
          <t>S.I</t>
        </is>
      </c>
      <c r="G219" s="29" t="inlineStr">
        <is>
          <t>Pharmacologie et thérapeutiques spécifiques à la pathologie</t>
        </is>
      </c>
      <c r="H219" s="29" t="inlineStr"/>
      <c r="I219" s="29" t="inlineStr"/>
      <c r="J219" s="29" t="inlineStr">
        <is>
          <t>Mercredi</t>
        </is>
      </c>
      <c r="K219" s="29" t="inlineStr">
        <is>
          <t>15h05</t>
        </is>
      </c>
      <c r="L219" s="29" t="inlineStr">
        <is>
          <t>17h05</t>
        </is>
      </c>
      <c r="M219" s="29" t="n"/>
      <c r="N219" s="29" t="n">
        <v>12</v>
      </c>
    </row>
    <row r="220" ht="15" customHeight="1" s="22">
      <c r="A220" s="29" t="inlineStr">
        <is>
          <t>S218</t>
        </is>
      </c>
      <c r="B220" s="29" t="inlineStr">
        <is>
          <t>2025-2026</t>
        </is>
      </c>
      <c r="C220" s="29" t="inlineStr">
        <is>
          <t>3</t>
        </is>
      </c>
      <c r="D220" s="29" t="inlineStr">
        <is>
          <t>Soins infirmiers</t>
        </is>
      </c>
      <c r="E220" s="29" t="inlineStr">
        <is>
          <t>L2</t>
        </is>
      </c>
      <c r="F220" s="29" t="inlineStr">
        <is>
          <t>S.I</t>
        </is>
      </c>
      <c r="G220" s="29" t="inlineStr">
        <is>
          <t>TD PEC psychologique des enfants ou couple  victimes ou de tentatifes d'agression</t>
        </is>
      </c>
      <c r="H220" s="29" t="inlineStr"/>
      <c r="I220" s="29" t="inlineStr"/>
      <c r="J220" s="29" t="inlineStr">
        <is>
          <t>Mercredi</t>
        </is>
      </c>
      <c r="K220" s="29" t="inlineStr">
        <is>
          <t>15h05</t>
        </is>
      </c>
      <c r="L220" s="29" t="inlineStr">
        <is>
          <t>17h05</t>
        </is>
      </c>
      <c r="M220" s="29" t="n"/>
      <c r="N220" s="29" t="n">
        <v>2</v>
      </c>
    </row>
    <row r="221" ht="15" customHeight="1" s="22">
      <c r="A221" s="29" t="inlineStr">
        <is>
          <t>S219</t>
        </is>
      </c>
      <c r="B221" s="29" t="inlineStr">
        <is>
          <t>2025-2026</t>
        </is>
      </c>
      <c r="C221" s="29" t="inlineStr">
        <is>
          <t>3</t>
        </is>
      </c>
      <c r="D221" s="29" t="inlineStr">
        <is>
          <t>Soins infirmiers</t>
        </is>
      </c>
      <c r="E221" s="29" t="inlineStr">
        <is>
          <t>L2</t>
        </is>
      </c>
      <c r="F221" s="29" t="inlineStr">
        <is>
          <t>S.I</t>
        </is>
      </c>
      <c r="G221" s="29" t="inlineStr">
        <is>
          <t>Examen physique</t>
        </is>
      </c>
      <c r="H221" s="29" t="inlineStr"/>
      <c r="I221" s="29" t="inlineStr"/>
      <c r="J221" s="29" t="inlineStr">
        <is>
          <t>Mercredi</t>
        </is>
      </c>
      <c r="K221" s="29" t="inlineStr">
        <is>
          <t>8h00</t>
        </is>
      </c>
      <c r="L221" s="29" t="inlineStr">
        <is>
          <t>10h00</t>
        </is>
      </c>
      <c r="M221" s="29" t="n"/>
      <c r="N221" s="29" t="n">
        <v>2</v>
      </c>
    </row>
    <row r="222" ht="15" customHeight="1" s="22">
      <c r="A222" s="29" t="inlineStr">
        <is>
          <t>S220</t>
        </is>
      </c>
      <c r="B222" s="29" t="inlineStr">
        <is>
          <t>2025-2026</t>
        </is>
      </c>
      <c r="C222" s="29" t="inlineStr">
        <is>
          <t>3</t>
        </is>
      </c>
      <c r="D222" s="29" t="inlineStr">
        <is>
          <t>Soins infirmiers</t>
        </is>
      </c>
      <c r="E222" s="29" t="inlineStr">
        <is>
          <t>L2</t>
        </is>
      </c>
      <c r="F222" s="29" t="inlineStr">
        <is>
          <t>S.I</t>
        </is>
      </c>
      <c r="G222" s="29" t="inlineStr">
        <is>
          <t>Gynécologie</t>
        </is>
      </c>
      <c r="H222" s="29" t="inlineStr">
        <is>
          <t>Irina Ismaïla Abdou</t>
        </is>
      </c>
      <c r="I222" s="29" t="inlineStr"/>
      <c r="J222" s="29" t="inlineStr">
        <is>
          <t>Mercredi</t>
        </is>
      </c>
      <c r="K222" s="29" t="inlineStr">
        <is>
          <t>8h00</t>
        </is>
      </c>
      <c r="L222" s="29" t="inlineStr">
        <is>
          <t>10h00</t>
        </is>
      </c>
      <c r="M222" s="29" t="n"/>
      <c r="N222" s="29" t="n">
        <v>10</v>
      </c>
    </row>
    <row r="223" ht="15" customHeight="1" s="22">
      <c r="A223" s="29" t="inlineStr">
        <is>
          <t>S221</t>
        </is>
      </c>
      <c r="B223" s="29" t="inlineStr">
        <is>
          <t>2025-2026</t>
        </is>
      </c>
      <c r="C223" s="29" t="inlineStr">
        <is>
          <t>3</t>
        </is>
      </c>
      <c r="D223" s="29" t="inlineStr">
        <is>
          <t>Soins infirmiers</t>
        </is>
      </c>
      <c r="E223" s="29" t="inlineStr">
        <is>
          <t>L2</t>
        </is>
      </c>
      <c r="F223" s="29" t="inlineStr">
        <is>
          <t>S.I</t>
        </is>
      </c>
      <c r="G223" s="29" t="inlineStr">
        <is>
          <t>Patologies orthopédiques et traumatologiqes</t>
        </is>
      </c>
      <c r="H223" s="29" t="inlineStr"/>
      <c r="I223" s="29" t="inlineStr"/>
      <c r="J223" s="29" t="inlineStr">
        <is>
          <t>Mercredi</t>
        </is>
      </c>
      <c r="K223" s="29" t="inlineStr">
        <is>
          <t>8h00</t>
        </is>
      </c>
      <c r="L223" s="29" t="inlineStr">
        <is>
          <t>10h00</t>
        </is>
      </c>
      <c r="M223" s="29" t="n"/>
      <c r="N223" s="29" t="n">
        <v>6</v>
      </c>
    </row>
    <row r="224" ht="15" customHeight="1" s="22">
      <c r="A224" s="29" t="inlineStr">
        <is>
          <t>S222</t>
        </is>
      </c>
      <c r="B224" s="29" t="inlineStr">
        <is>
          <t>2025-2026</t>
        </is>
      </c>
      <c r="C224" s="29" t="inlineStr">
        <is>
          <t>3</t>
        </is>
      </c>
      <c r="D224" s="29" t="inlineStr">
        <is>
          <t>Soins infirmiers</t>
        </is>
      </c>
      <c r="E224" s="29" t="inlineStr">
        <is>
          <t>L2</t>
        </is>
      </c>
      <c r="F224" s="29" t="inlineStr">
        <is>
          <t>S.I</t>
        </is>
      </c>
      <c r="G224" s="29" t="inlineStr">
        <is>
          <t>Pharmacologie et thérapeutiques spécifiques à la pathologie</t>
        </is>
      </c>
      <c r="H224" s="29" t="inlineStr"/>
      <c r="I224" s="29" t="inlineStr"/>
      <c r="J224" s="29" t="inlineStr">
        <is>
          <t>Mercredi</t>
        </is>
      </c>
      <c r="K224" s="29" t="inlineStr">
        <is>
          <t>8h00</t>
        </is>
      </c>
      <c r="L224" s="29" t="inlineStr">
        <is>
          <t>10h00</t>
        </is>
      </c>
      <c r="M224" s="29" t="n"/>
      <c r="N224" s="29" t="n">
        <v>4</v>
      </c>
    </row>
    <row r="225" ht="15" customHeight="1" s="22">
      <c r="A225" s="29" t="inlineStr">
        <is>
          <t>S223</t>
        </is>
      </c>
      <c r="B225" s="29" t="inlineStr">
        <is>
          <t>2025-2026</t>
        </is>
      </c>
      <c r="C225" s="29" t="inlineStr">
        <is>
          <t>3</t>
        </is>
      </c>
      <c r="D225" s="29" t="inlineStr">
        <is>
          <t>Soins infirmiers</t>
        </is>
      </c>
      <c r="E225" s="29" t="inlineStr">
        <is>
          <t>L2</t>
        </is>
      </c>
      <c r="F225" s="29" t="inlineStr">
        <is>
          <t>S.I</t>
        </is>
      </c>
      <c r="G225" s="29" t="inlineStr">
        <is>
          <t>Soins en pediatrie</t>
        </is>
      </c>
      <c r="H225" s="29" t="inlineStr">
        <is>
          <t>Dr Chamsouddine</t>
        </is>
      </c>
      <c r="I225" s="29" t="inlineStr"/>
      <c r="J225" s="29" t="inlineStr">
        <is>
          <t>Mercredi</t>
        </is>
      </c>
      <c r="K225" s="29" t="inlineStr">
        <is>
          <t>8h00</t>
        </is>
      </c>
      <c r="L225" s="29" t="inlineStr">
        <is>
          <t>10h00</t>
        </is>
      </c>
      <c r="M225" s="29" t="n"/>
      <c r="N225" s="29" t="n">
        <v>4</v>
      </c>
    </row>
    <row r="226" ht="15" customHeight="1" s="22">
      <c r="A226" s="29" t="inlineStr">
        <is>
          <t>S224</t>
        </is>
      </c>
      <c r="B226" s="29" t="inlineStr">
        <is>
          <t>2025-2026</t>
        </is>
      </c>
      <c r="C226" s="29" t="inlineStr">
        <is>
          <t>3</t>
        </is>
      </c>
      <c r="D226" s="29" t="inlineStr">
        <is>
          <t>Soins infirmiers</t>
        </is>
      </c>
      <c r="E226" s="29" t="inlineStr">
        <is>
          <t>L2</t>
        </is>
      </c>
      <c r="F226" s="29" t="inlineStr">
        <is>
          <t>S.I</t>
        </is>
      </c>
      <c r="G226" s="29" t="inlineStr">
        <is>
          <t>TD Gynécologie</t>
        </is>
      </c>
      <c r="H226" s="29" t="inlineStr"/>
      <c r="I226" s="29" t="inlineStr"/>
      <c r="J226" s="29" t="inlineStr">
        <is>
          <t>Mercredi</t>
        </is>
      </c>
      <c r="K226" s="29" t="inlineStr">
        <is>
          <t>8h00</t>
        </is>
      </c>
      <c r="L226" s="29" t="inlineStr">
        <is>
          <t>10h00</t>
        </is>
      </c>
      <c r="M226" s="29" t="n"/>
      <c r="N226" s="29" t="n">
        <v>2</v>
      </c>
    </row>
    <row r="227" ht="15" customHeight="1" s="22">
      <c r="A227" s="29" t="inlineStr">
        <is>
          <t>S225</t>
        </is>
      </c>
      <c r="B227" s="29" t="inlineStr">
        <is>
          <t>2025-2026</t>
        </is>
      </c>
      <c r="C227" s="29" t="inlineStr">
        <is>
          <t>3</t>
        </is>
      </c>
      <c r="D227" s="29" t="inlineStr">
        <is>
          <t>Soins infirmiers</t>
        </is>
      </c>
      <c r="E227" s="29" t="inlineStr">
        <is>
          <t>L2</t>
        </is>
      </c>
      <c r="F227" s="29" t="inlineStr">
        <is>
          <t>S.I</t>
        </is>
      </c>
      <c r="G227" s="29" t="inlineStr">
        <is>
          <t>TD Soins en pediatrie</t>
        </is>
      </c>
      <c r="H227" s="29" t="inlineStr"/>
      <c r="I227" s="29" t="inlineStr"/>
      <c r="J227" s="29" t="inlineStr">
        <is>
          <t>Mercredi</t>
        </is>
      </c>
      <c r="K227" s="29" t="inlineStr">
        <is>
          <t>8h00</t>
        </is>
      </c>
      <c r="L227" s="29" t="inlineStr">
        <is>
          <t>10h00</t>
        </is>
      </c>
      <c r="M227" s="29" t="n"/>
      <c r="N227" s="29" t="n">
        <v>2</v>
      </c>
    </row>
    <row r="228" ht="15" customHeight="1" s="22">
      <c r="A228" s="29" t="inlineStr">
        <is>
          <t>S226</t>
        </is>
      </c>
      <c r="B228" s="29" t="inlineStr">
        <is>
          <t>2025-2026</t>
        </is>
      </c>
      <c r="C228" s="29" t="inlineStr">
        <is>
          <t>3</t>
        </is>
      </c>
      <c r="D228" s="29" t="inlineStr">
        <is>
          <t>Soins infirmiers</t>
        </is>
      </c>
      <c r="E228" s="29" t="inlineStr">
        <is>
          <t>L2</t>
        </is>
      </c>
      <c r="F228" s="29" t="inlineStr">
        <is>
          <t>S.I</t>
        </is>
      </c>
      <c r="G228" s="29" t="inlineStr">
        <is>
          <t>soins infirmiers en orthopédie et truamatologie</t>
        </is>
      </c>
      <c r="H228" s="29" t="inlineStr">
        <is>
          <t>Mr AMELDINE DACHIROUDINE</t>
        </is>
      </c>
      <c r="I228" s="29" t="inlineStr"/>
      <c r="J228" s="29" t="inlineStr">
        <is>
          <t>Mercredi</t>
        </is>
      </c>
      <c r="K228" s="29" t="inlineStr">
        <is>
          <t>8h00</t>
        </is>
      </c>
      <c r="L228" s="29" t="inlineStr">
        <is>
          <t>10h00</t>
        </is>
      </c>
      <c r="M228" s="29" t="n"/>
      <c r="N228" s="29" t="n">
        <v>2</v>
      </c>
    </row>
    <row r="229" ht="15" customHeight="1" s="22">
      <c r="A229" s="29" t="inlineStr">
        <is>
          <t>S227</t>
        </is>
      </c>
      <c r="B229" s="29" t="inlineStr">
        <is>
          <t>2025-2026</t>
        </is>
      </c>
      <c r="C229" s="29" t="inlineStr">
        <is>
          <t>5</t>
        </is>
      </c>
      <c r="D229" s="29" t="inlineStr">
        <is>
          <t>Soins infirmiers</t>
        </is>
      </c>
      <c r="E229" s="29" t="inlineStr">
        <is>
          <t>L3</t>
        </is>
      </c>
      <c r="F229" s="29" t="inlineStr">
        <is>
          <t>S.I</t>
        </is>
      </c>
      <c r="G229" s="29" t="inlineStr">
        <is>
          <t>Contrôle Endocrinologie</t>
        </is>
      </c>
      <c r="H229" s="29" t="inlineStr"/>
      <c r="I229" s="29" t="inlineStr"/>
      <c r="J229" s="29" t="inlineStr">
        <is>
          <t>Jeudi</t>
        </is>
      </c>
      <c r="K229" s="29" t="inlineStr">
        <is>
          <t>10h05</t>
        </is>
      </c>
      <c r="L229" s="29" t="inlineStr">
        <is>
          <t>12h05</t>
        </is>
      </c>
      <c r="M229" s="29" t="n"/>
      <c r="N229" s="29" t="n">
        <v>2</v>
      </c>
    </row>
    <row r="230" ht="15" customHeight="1" s="22">
      <c r="A230" s="29" t="inlineStr">
        <is>
          <t>S228</t>
        </is>
      </c>
      <c r="B230" s="29" t="inlineStr">
        <is>
          <t>2025-2026</t>
        </is>
      </c>
      <c r="C230" s="29" t="inlineStr">
        <is>
          <t>5</t>
        </is>
      </c>
      <c r="D230" s="29" t="inlineStr">
        <is>
          <t>Soins infirmiers</t>
        </is>
      </c>
      <c r="E230" s="29" t="inlineStr">
        <is>
          <t>L3</t>
        </is>
      </c>
      <c r="F230" s="29" t="inlineStr">
        <is>
          <t>S.I</t>
        </is>
      </c>
      <c r="G230" s="29" t="inlineStr">
        <is>
          <t>Démographie en SRMNIA</t>
        </is>
      </c>
      <c r="H230" s="29" t="inlineStr">
        <is>
          <t>HALIMA ABDALLAH</t>
        </is>
      </c>
      <c r="I230" s="29" t="inlineStr"/>
      <c r="J230" s="29" t="inlineStr">
        <is>
          <t>Jeudi</t>
        </is>
      </c>
      <c r="K230" s="29" t="inlineStr">
        <is>
          <t>10h05</t>
        </is>
      </c>
      <c r="L230" s="29" t="inlineStr">
        <is>
          <t>12h05</t>
        </is>
      </c>
      <c r="M230" s="29" t="n"/>
      <c r="N230" s="29" t="n">
        <v>2</v>
      </c>
    </row>
    <row r="231" ht="15" customHeight="1" s="22">
      <c r="A231" s="29" t="inlineStr">
        <is>
          <t>S229</t>
        </is>
      </c>
      <c r="B231" s="29" t="inlineStr">
        <is>
          <t>2025-2026</t>
        </is>
      </c>
      <c r="C231" s="29" t="inlineStr">
        <is>
          <t>5</t>
        </is>
      </c>
      <c r="D231" s="29" t="inlineStr">
        <is>
          <t>Soins infirmiers</t>
        </is>
      </c>
      <c r="E231" s="29" t="inlineStr">
        <is>
          <t>L3</t>
        </is>
      </c>
      <c r="F231" s="29" t="inlineStr">
        <is>
          <t>S.I</t>
        </is>
      </c>
      <c r="G231" s="29" t="inlineStr">
        <is>
          <t>Endocrinologie</t>
        </is>
      </c>
      <c r="H231" s="29" t="inlineStr"/>
      <c r="I231" s="29" t="inlineStr"/>
      <c r="J231" s="29" t="inlineStr">
        <is>
          <t>Jeudi</t>
        </is>
      </c>
      <c r="K231" s="29" t="inlineStr">
        <is>
          <t>10h05</t>
        </is>
      </c>
      <c r="L231" s="29" t="inlineStr">
        <is>
          <t>12h05</t>
        </is>
      </c>
      <c r="M231" s="29" t="n"/>
      <c r="N231" s="29" t="n">
        <v>6</v>
      </c>
    </row>
    <row r="232" ht="15" customHeight="1" s="22">
      <c r="A232" s="29" t="inlineStr">
        <is>
          <t>S230</t>
        </is>
      </c>
      <c r="B232" s="29" t="inlineStr">
        <is>
          <t>2025-2026</t>
        </is>
      </c>
      <c r="C232" s="29" t="inlineStr">
        <is>
          <t>5</t>
        </is>
      </c>
      <c r="D232" s="29" t="inlineStr">
        <is>
          <t>Soins infirmiers</t>
        </is>
      </c>
      <c r="E232" s="29" t="inlineStr">
        <is>
          <t>L3</t>
        </is>
      </c>
      <c r="F232" s="29" t="inlineStr">
        <is>
          <t>S.I</t>
        </is>
      </c>
      <c r="G232" s="29" t="inlineStr">
        <is>
          <t>Gestion des services de santé</t>
        </is>
      </c>
      <c r="H232" s="29" t="inlineStr">
        <is>
          <t>HALIMA ABDALLAH</t>
        </is>
      </c>
      <c r="I232" s="29" t="inlineStr"/>
      <c r="J232" s="29" t="inlineStr">
        <is>
          <t>Jeudi</t>
        </is>
      </c>
      <c r="K232" s="29" t="inlineStr">
        <is>
          <t>10h05</t>
        </is>
      </c>
      <c r="L232" s="29" t="inlineStr">
        <is>
          <t>12h05</t>
        </is>
      </c>
      <c r="M232" s="29" t="n"/>
      <c r="N232" s="29" t="n">
        <v>8</v>
      </c>
    </row>
    <row r="233" ht="15" customHeight="1" s="22">
      <c r="A233" s="29" t="inlineStr">
        <is>
          <t>S231</t>
        </is>
      </c>
      <c r="B233" s="29" t="inlineStr">
        <is>
          <t>2025-2026</t>
        </is>
      </c>
      <c r="C233" s="29" t="inlineStr">
        <is>
          <t>5</t>
        </is>
      </c>
      <c r="D233" s="29" t="inlineStr">
        <is>
          <t>Soins infirmiers</t>
        </is>
      </c>
      <c r="E233" s="29" t="inlineStr">
        <is>
          <t>L3</t>
        </is>
      </c>
      <c r="F233" s="29" t="inlineStr">
        <is>
          <t>S.I</t>
        </is>
      </c>
      <c r="G233" s="29" t="inlineStr">
        <is>
          <t>Pathologies dermatologiques</t>
        </is>
      </c>
      <c r="H233" s="29" t="inlineStr">
        <is>
          <t>Irina Ismaïla Abdou</t>
        </is>
      </c>
      <c r="I233" s="29" t="inlineStr"/>
      <c r="J233" s="29" t="inlineStr">
        <is>
          <t>Jeudi</t>
        </is>
      </c>
      <c r="K233" s="29" t="inlineStr">
        <is>
          <t>10h05</t>
        </is>
      </c>
      <c r="L233" s="29" t="inlineStr">
        <is>
          <t>12h05</t>
        </is>
      </c>
      <c r="M233" s="29" t="n"/>
      <c r="N233" s="29" t="n">
        <v>2</v>
      </c>
    </row>
    <row r="234" ht="15" customHeight="1" s="22">
      <c r="A234" s="29" t="inlineStr">
        <is>
          <t>S232</t>
        </is>
      </c>
      <c r="B234" s="29" t="inlineStr">
        <is>
          <t>2025-2026</t>
        </is>
      </c>
      <c r="C234" s="29" t="inlineStr">
        <is>
          <t>5</t>
        </is>
      </c>
      <c r="D234" s="29" t="inlineStr">
        <is>
          <t>Soins infirmiers</t>
        </is>
      </c>
      <c r="E234" s="29" t="inlineStr">
        <is>
          <t>L3</t>
        </is>
      </c>
      <c r="F234" s="29" t="inlineStr">
        <is>
          <t>S.I</t>
        </is>
      </c>
      <c r="G234" s="29" t="inlineStr">
        <is>
          <t>S.I Ophtalmologie</t>
        </is>
      </c>
      <c r="H234" s="29" t="inlineStr"/>
      <c r="I234" s="29" t="inlineStr"/>
      <c r="J234" s="29" t="inlineStr">
        <is>
          <t>Jeudi</t>
        </is>
      </c>
      <c r="K234" s="29" t="inlineStr">
        <is>
          <t>10h05</t>
        </is>
      </c>
      <c r="L234" s="29" t="inlineStr">
        <is>
          <t>12h05</t>
        </is>
      </c>
      <c r="M234" s="29" t="n"/>
      <c r="N234" s="29" t="n">
        <v>2</v>
      </c>
    </row>
    <row r="235" ht="15" customHeight="1" s="22">
      <c r="A235" s="29" t="inlineStr">
        <is>
          <t>S233</t>
        </is>
      </c>
      <c r="B235" s="29" t="inlineStr">
        <is>
          <t>2025-2026</t>
        </is>
      </c>
      <c r="C235" s="29" t="inlineStr">
        <is>
          <t>5</t>
        </is>
      </c>
      <c r="D235" s="29" t="inlineStr">
        <is>
          <t>Soins infirmiers</t>
        </is>
      </c>
      <c r="E235" s="29" t="inlineStr">
        <is>
          <t>L3</t>
        </is>
      </c>
      <c r="F235" s="29" t="inlineStr">
        <is>
          <t>S.I</t>
        </is>
      </c>
      <c r="G235" s="29" t="inlineStr">
        <is>
          <t>S.I Stomatologies</t>
        </is>
      </c>
      <c r="H235" s="29" t="inlineStr">
        <is>
          <t>HALIMA ABDALLAH</t>
        </is>
      </c>
      <c r="I235" s="29" t="inlineStr"/>
      <c r="J235" s="29" t="inlineStr">
        <is>
          <t>Jeudi</t>
        </is>
      </c>
      <c r="K235" s="29" t="inlineStr">
        <is>
          <t>10h05</t>
        </is>
      </c>
      <c r="L235" s="29" t="inlineStr">
        <is>
          <t>12h05</t>
        </is>
      </c>
      <c r="M235" s="29" t="n"/>
      <c r="N235" s="29" t="n">
        <v>2</v>
      </c>
    </row>
    <row r="236" ht="15" customHeight="1" s="22">
      <c r="A236" s="29" t="inlineStr">
        <is>
          <t>S234</t>
        </is>
      </c>
      <c r="B236" s="29" t="inlineStr">
        <is>
          <t>2025-2026</t>
        </is>
      </c>
      <c r="C236" s="29" t="inlineStr">
        <is>
          <t>5</t>
        </is>
      </c>
      <c r="D236" s="29" t="inlineStr">
        <is>
          <t>Soins infirmiers</t>
        </is>
      </c>
      <c r="E236" s="29" t="inlineStr">
        <is>
          <t>L3</t>
        </is>
      </c>
      <c r="F236" s="29" t="inlineStr">
        <is>
          <t>S.I</t>
        </is>
      </c>
      <c r="G236" s="29" t="inlineStr">
        <is>
          <t>S.I en oncologies</t>
        </is>
      </c>
      <c r="H236" s="29" t="inlineStr"/>
      <c r="I236" s="29" t="inlineStr"/>
      <c r="J236" s="29" t="inlineStr">
        <is>
          <t>Jeudi</t>
        </is>
      </c>
      <c r="K236" s="29" t="inlineStr">
        <is>
          <t>10h05</t>
        </is>
      </c>
      <c r="L236" s="29" t="inlineStr">
        <is>
          <t>12h05</t>
        </is>
      </c>
      <c r="M236" s="29" t="n"/>
      <c r="N236" s="29" t="n">
        <v>2</v>
      </c>
    </row>
    <row r="237" ht="15" customHeight="1" s="22">
      <c r="A237" s="29" t="inlineStr">
        <is>
          <t>S235</t>
        </is>
      </c>
      <c r="B237" s="29" t="inlineStr">
        <is>
          <t>2025-2026</t>
        </is>
      </c>
      <c r="C237" s="29" t="inlineStr">
        <is>
          <t>5</t>
        </is>
      </c>
      <c r="D237" s="29" t="inlineStr">
        <is>
          <t>Soins infirmiers</t>
        </is>
      </c>
      <c r="E237" s="29" t="inlineStr">
        <is>
          <t>L3</t>
        </is>
      </c>
      <c r="F237" s="29" t="inlineStr">
        <is>
          <t>S.I</t>
        </is>
      </c>
      <c r="G237" s="29" t="inlineStr">
        <is>
          <t>TD Compétences pratiques</t>
        </is>
      </c>
      <c r="H237" s="29" t="inlineStr"/>
      <c r="I237" s="29" t="inlineStr"/>
      <c r="J237" s="29" t="inlineStr">
        <is>
          <t>Jeudi</t>
        </is>
      </c>
      <c r="K237" s="29" t="inlineStr">
        <is>
          <t>10h05</t>
        </is>
      </c>
      <c r="L237" s="29" t="inlineStr">
        <is>
          <t>12h05</t>
        </is>
      </c>
      <c r="M237" s="29" t="n"/>
      <c r="N237" s="29" t="n">
        <v>2</v>
      </c>
    </row>
    <row r="238" ht="15" customHeight="1" s="22">
      <c r="A238" s="29" t="inlineStr">
        <is>
          <t>S236</t>
        </is>
      </c>
      <c r="B238" s="29" t="inlineStr">
        <is>
          <t>2025-2026</t>
        </is>
      </c>
      <c r="C238" s="29" t="inlineStr">
        <is>
          <t>5</t>
        </is>
      </c>
      <c r="D238" s="29" t="inlineStr">
        <is>
          <t>Soins infirmiers</t>
        </is>
      </c>
      <c r="E238" s="29" t="inlineStr">
        <is>
          <t>L3</t>
        </is>
      </c>
      <c r="F238" s="29" t="inlineStr">
        <is>
          <t>S.I</t>
        </is>
      </c>
      <c r="G238" s="29" t="inlineStr">
        <is>
          <t>Démographie en SRMNIA</t>
        </is>
      </c>
      <c r="H238" s="29" t="inlineStr">
        <is>
          <t>HALIMA ABDALLAH</t>
        </is>
      </c>
      <c r="I238" s="29" t="inlineStr"/>
      <c r="J238" s="29" t="inlineStr">
        <is>
          <t>Jeudi</t>
        </is>
      </c>
      <c r="K238" s="29" t="inlineStr">
        <is>
          <t>13h00</t>
        </is>
      </c>
      <c r="L238" s="29" t="inlineStr">
        <is>
          <t>15h00</t>
        </is>
      </c>
      <c r="M238" s="29" t="n"/>
      <c r="N238" s="29" t="n">
        <v>2</v>
      </c>
    </row>
    <row r="239" ht="15" customHeight="1" s="22">
      <c r="A239" s="29" t="inlineStr">
        <is>
          <t>S237</t>
        </is>
      </c>
      <c r="B239" s="29" t="inlineStr">
        <is>
          <t>2025-2026</t>
        </is>
      </c>
      <c r="C239" s="29" t="inlineStr">
        <is>
          <t>5</t>
        </is>
      </c>
      <c r="D239" s="29" t="inlineStr">
        <is>
          <t>Soins infirmiers</t>
        </is>
      </c>
      <c r="E239" s="29" t="inlineStr">
        <is>
          <t>L3</t>
        </is>
      </c>
      <c r="F239" s="29" t="inlineStr">
        <is>
          <t>S.I</t>
        </is>
      </c>
      <c r="G239" s="29" t="inlineStr">
        <is>
          <t>Initiation à la recherche en sciences infirmière</t>
        </is>
      </c>
      <c r="H239" s="29" t="inlineStr"/>
      <c r="I239" s="29" t="inlineStr"/>
      <c r="J239" s="29" t="inlineStr">
        <is>
          <t>Jeudi</t>
        </is>
      </c>
      <c r="K239" s="29" t="inlineStr">
        <is>
          <t>13h00</t>
        </is>
      </c>
      <c r="L239" s="29" t="inlineStr">
        <is>
          <t>15h00</t>
        </is>
      </c>
      <c r="M239" s="29" t="n"/>
      <c r="N239" s="29" t="n">
        <v>10</v>
      </c>
    </row>
    <row r="240" ht="15" customHeight="1" s="22">
      <c r="A240" s="29" t="inlineStr">
        <is>
          <t>S238</t>
        </is>
      </c>
      <c r="B240" s="29" t="inlineStr">
        <is>
          <t>2025-2026</t>
        </is>
      </c>
      <c r="C240" s="29" t="inlineStr">
        <is>
          <t>5</t>
        </is>
      </c>
      <c r="D240" s="29" t="inlineStr">
        <is>
          <t>Soins infirmiers</t>
        </is>
      </c>
      <c r="E240" s="29" t="inlineStr">
        <is>
          <t>L3</t>
        </is>
      </c>
      <c r="F240" s="29" t="inlineStr">
        <is>
          <t>S.I</t>
        </is>
      </c>
      <c r="G240" s="29" t="inlineStr">
        <is>
          <t>S.I Stomatologies</t>
        </is>
      </c>
      <c r="H240" s="29" t="inlineStr">
        <is>
          <t>HALIMA ABDALLAH</t>
        </is>
      </c>
      <c r="I240" s="29" t="inlineStr"/>
      <c r="J240" s="29" t="inlineStr">
        <is>
          <t>Jeudi</t>
        </is>
      </c>
      <c r="K240" s="29" t="inlineStr">
        <is>
          <t>13h00</t>
        </is>
      </c>
      <c r="L240" s="29" t="inlineStr">
        <is>
          <t>15h00</t>
        </is>
      </c>
      <c r="M240" s="29" t="n"/>
      <c r="N240" s="29" t="n">
        <v>2</v>
      </c>
    </row>
    <row r="241" ht="15" customHeight="1" s="22">
      <c r="A241" s="29" t="inlineStr">
        <is>
          <t>S239</t>
        </is>
      </c>
      <c r="B241" s="29" t="inlineStr">
        <is>
          <t>2025-2026</t>
        </is>
      </c>
      <c r="C241" s="29" t="inlineStr">
        <is>
          <t>5</t>
        </is>
      </c>
      <c r="D241" s="29" t="inlineStr">
        <is>
          <t>Soins infirmiers</t>
        </is>
      </c>
      <c r="E241" s="29" t="inlineStr">
        <is>
          <t>L3</t>
        </is>
      </c>
      <c r="F241" s="29" t="inlineStr">
        <is>
          <t>S.I</t>
        </is>
      </c>
      <c r="G241" s="29" t="inlineStr">
        <is>
          <t>S.I en ORL</t>
        </is>
      </c>
      <c r="H241" s="29" t="inlineStr"/>
      <c r="I241" s="29" t="inlineStr"/>
      <c r="J241" s="29" t="inlineStr">
        <is>
          <t>Jeudi</t>
        </is>
      </c>
      <c r="K241" s="29" t="inlineStr">
        <is>
          <t>13h00</t>
        </is>
      </c>
      <c r="L241" s="29" t="inlineStr">
        <is>
          <t>15h00</t>
        </is>
      </c>
      <c r="M241" s="29" t="n"/>
      <c r="N241" s="29" t="n">
        <v>4</v>
      </c>
    </row>
    <row r="242" ht="15" customHeight="1" s="22">
      <c r="A242" s="29" t="inlineStr">
        <is>
          <t>S240</t>
        </is>
      </c>
      <c r="B242" s="29" t="inlineStr">
        <is>
          <t>2025-2026</t>
        </is>
      </c>
      <c r="C242" s="29" t="inlineStr">
        <is>
          <t>5</t>
        </is>
      </c>
      <c r="D242" s="29" t="inlineStr">
        <is>
          <t>Soins infirmiers</t>
        </is>
      </c>
      <c r="E242" s="29" t="inlineStr">
        <is>
          <t>L3</t>
        </is>
      </c>
      <c r="F242" s="29" t="inlineStr">
        <is>
          <t>S.I</t>
        </is>
      </c>
      <c r="G242" s="29" t="inlineStr">
        <is>
          <t>S.I endocrinilogie</t>
        </is>
      </c>
      <c r="H242" s="29" t="inlineStr"/>
      <c r="I242" s="29" t="inlineStr"/>
      <c r="J242" s="29" t="inlineStr">
        <is>
          <t>Jeudi</t>
        </is>
      </c>
      <c r="K242" s="29" t="inlineStr">
        <is>
          <t>13h00</t>
        </is>
      </c>
      <c r="L242" s="29" t="inlineStr">
        <is>
          <t>15h00</t>
        </is>
      </c>
      <c r="M242" s="29" t="n"/>
      <c r="N242" s="29" t="n">
        <v>2</v>
      </c>
    </row>
    <row r="243" ht="15" customHeight="1" s="22">
      <c r="A243" s="29" t="inlineStr">
        <is>
          <t>S241</t>
        </is>
      </c>
      <c r="B243" s="29" t="inlineStr">
        <is>
          <t>2025-2026</t>
        </is>
      </c>
      <c r="C243" s="29" t="inlineStr">
        <is>
          <t>5</t>
        </is>
      </c>
      <c r="D243" s="29" t="inlineStr">
        <is>
          <t>Soins infirmiers</t>
        </is>
      </c>
      <c r="E243" s="29" t="inlineStr">
        <is>
          <t>L3</t>
        </is>
      </c>
      <c r="F243" s="29" t="inlineStr">
        <is>
          <t>S.I</t>
        </is>
      </c>
      <c r="G243" s="29" t="inlineStr">
        <is>
          <t>TD Initiation à la recherche en sciences infirmière</t>
        </is>
      </c>
      <c r="H243" s="29" t="inlineStr"/>
      <c r="I243" s="29" t="inlineStr"/>
      <c r="J243" s="29" t="inlineStr">
        <is>
          <t>Jeudi</t>
        </is>
      </c>
      <c r="K243" s="29" t="inlineStr">
        <is>
          <t>13h00</t>
        </is>
      </c>
      <c r="L243" s="29" t="inlineStr">
        <is>
          <t>15h00</t>
        </is>
      </c>
      <c r="M243" s="29" t="n"/>
      <c r="N243" s="29" t="n">
        <v>6</v>
      </c>
    </row>
    <row r="244" ht="15" customHeight="1" s="22">
      <c r="A244" s="29" t="inlineStr">
        <is>
          <t>S242</t>
        </is>
      </c>
      <c r="B244" s="29" t="inlineStr">
        <is>
          <t>2025-2026</t>
        </is>
      </c>
      <c r="C244" s="29" t="inlineStr">
        <is>
          <t>5</t>
        </is>
      </c>
      <c r="D244" s="29" t="inlineStr">
        <is>
          <t>Soins infirmiers</t>
        </is>
      </c>
      <c r="E244" s="29" t="inlineStr">
        <is>
          <t>L3</t>
        </is>
      </c>
      <c r="F244" s="29" t="inlineStr">
        <is>
          <t>S.I</t>
        </is>
      </c>
      <c r="G244" s="29" t="inlineStr">
        <is>
          <t>TD Pharmacologie et thérapeutiques des pathologies spéciales</t>
        </is>
      </c>
      <c r="H244" s="29" t="inlineStr"/>
      <c r="I244" s="29" t="inlineStr"/>
      <c r="J244" s="29" t="inlineStr">
        <is>
          <t>Jeudi</t>
        </is>
      </c>
      <c r="K244" s="29" t="inlineStr">
        <is>
          <t>13h00</t>
        </is>
      </c>
      <c r="L244" s="29" t="inlineStr">
        <is>
          <t>15h00</t>
        </is>
      </c>
      <c r="M244" s="29" t="n"/>
      <c r="N244" s="29" t="n">
        <v>2</v>
      </c>
    </row>
    <row r="245" ht="15" customHeight="1" s="22">
      <c r="A245" s="29" t="inlineStr">
        <is>
          <t>S243</t>
        </is>
      </c>
      <c r="B245" s="29" t="inlineStr">
        <is>
          <t>2025-2026</t>
        </is>
      </c>
      <c r="C245" s="29" t="inlineStr">
        <is>
          <t>5</t>
        </is>
      </c>
      <c r="D245" s="29" t="inlineStr">
        <is>
          <t>Soins infirmiers</t>
        </is>
      </c>
      <c r="E245" s="29" t="inlineStr">
        <is>
          <t>L3</t>
        </is>
      </c>
      <c r="F245" s="29" t="inlineStr">
        <is>
          <t>S.I</t>
        </is>
      </c>
      <c r="G245" s="29" t="inlineStr">
        <is>
          <t>Participation communautaire</t>
        </is>
      </c>
      <c r="H245" s="29" t="inlineStr">
        <is>
          <t>Mme Zaharia Said Allaoui</t>
        </is>
      </c>
      <c r="I245" s="29" t="inlineStr"/>
      <c r="J245" s="29" t="inlineStr">
        <is>
          <t>Jeudi</t>
        </is>
      </c>
      <c r="K245" s="29" t="inlineStr">
        <is>
          <t>15h05</t>
        </is>
      </c>
      <c r="L245" s="29" t="inlineStr">
        <is>
          <t>17h05</t>
        </is>
      </c>
      <c r="M245" s="29" t="n"/>
      <c r="N245" s="29" t="n">
        <v>6</v>
      </c>
    </row>
    <row r="246" ht="15" customHeight="1" s="22">
      <c r="A246" s="29" t="inlineStr">
        <is>
          <t>S244</t>
        </is>
      </c>
      <c r="B246" s="29" t="inlineStr">
        <is>
          <t>2025-2026</t>
        </is>
      </c>
      <c r="C246" s="29" t="inlineStr">
        <is>
          <t>5</t>
        </is>
      </c>
      <c r="D246" s="29" t="inlineStr">
        <is>
          <t>Soins infirmiers</t>
        </is>
      </c>
      <c r="E246" s="29" t="inlineStr">
        <is>
          <t>L3</t>
        </is>
      </c>
      <c r="F246" s="29" t="inlineStr">
        <is>
          <t>S.I</t>
        </is>
      </c>
      <c r="G246" s="29" t="inlineStr">
        <is>
          <t>Pathologies dermatologiques</t>
        </is>
      </c>
      <c r="H246" s="29" t="inlineStr">
        <is>
          <t>Irina Ismaïla Abdou</t>
        </is>
      </c>
      <c r="I246" s="29" t="inlineStr"/>
      <c r="J246" s="29" t="inlineStr">
        <is>
          <t>Jeudi</t>
        </is>
      </c>
      <c r="K246" s="29" t="inlineStr">
        <is>
          <t>15h05</t>
        </is>
      </c>
      <c r="L246" s="29" t="inlineStr">
        <is>
          <t>17h05</t>
        </is>
      </c>
      <c r="M246" s="29" t="n"/>
      <c r="N246" s="29" t="n">
        <v>4</v>
      </c>
    </row>
    <row r="247" ht="15" customHeight="1" s="22">
      <c r="A247" s="29" t="inlineStr">
        <is>
          <t>S245</t>
        </is>
      </c>
      <c r="B247" s="29" t="inlineStr">
        <is>
          <t>2025-2026</t>
        </is>
      </c>
      <c r="C247" s="29" t="inlineStr">
        <is>
          <t>5</t>
        </is>
      </c>
      <c r="D247" s="29" t="inlineStr">
        <is>
          <t>Soins infirmiers</t>
        </is>
      </c>
      <c r="E247" s="29" t="inlineStr">
        <is>
          <t>L3</t>
        </is>
      </c>
      <c r="F247" s="29" t="inlineStr">
        <is>
          <t>S.I</t>
        </is>
      </c>
      <c r="G247" s="29" t="inlineStr">
        <is>
          <t>Pharmacologie et thérapeutiques des pathologies spéciales</t>
        </is>
      </c>
      <c r="H247" s="29" t="inlineStr">
        <is>
          <t>Dr Youssouf Mahamoudou</t>
        </is>
      </c>
      <c r="I247" s="29" t="inlineStr"/>
      <c r="J247" s="29" t="inlineStr">
        <is>
          <t>Jeudi</t>
        </is>
      </c>
      <c r="K247" s="29" t="inlineStr">
        <is>
          <t>15h05</t>
        </is>
      </c>
      <c r="L247" s="29" t="inlineStr">
        <is>
          <t>17h05</t>
        </is>
      </c>
      <c r="M247" s="29" t="n"/>
      <c r="N247" s="29" t="n">
        <v>14</v>
      </c>
    </row>
    <row r="248" ht="15" customHeight="1" s="22">
      <c r="A248" s="29" t="inlineStr">
        <is>
          <t>S246</t>
        </is>
      </c>
      <c r="B248" s="29" t="inlineStr">
        <is>
          <t>2025-2026</t>
        </is>
      </c>
      <c r="C248" s="29" t="inlineStr">
        <is>
          <t>5</t>
        </is>
      </c>
      <c r="D248" s="29" t="inlineStr">
        <is>
          <t>Soins infirmiers</t>
        </is>
      </c>
      <c r="E248" s="29" t="inlineStr">
        <is>
          <t>L3</t>
        </is>
      </c>
      <c r="F248" s="29" t="inlineStr">
        <is>
          <t>S.I</t>
        </is>
      </c>
      <c r="G248" s="29" t="inlineStr">
        <is>
          <t>Compétences pratiques</t>
        </is>
      </c>
      <c r="H248" s="29" t="inlineStr"/>
      <c r="I248" s="29" t="inlineStr"/>
      <c r="J248" s="29" t="inlineStr">
        <is>
          <t>Jeudi</t>
        </is>
      </c>
      <c r="K248" s="29" t="inlineStr">
        <is>
          <t>8h00</t>
        </is>
      </c>
      <c r="L248" s="29" t="inlineStr">
        <is>
          <t>10h00</t>
        </is>
      </c>
      <c r="M248" s="29" t="n"/>
      <c r="N248" s="29" t="n">
        <v>2</v>
      </c>
    </row>
    <row r="249" ht="15" customHeight="1" s="22">
      <c r="A249" s="29" t="inlineStr">
        <is>
          <t>S247</t>
        </is>
      </c>
      <c r="B249" s="29" t="inlineStr">
        <is>
          <t>2025-2026</t>
        </is>
      </c>
      <c r="C249" s="29" t="inlineStr">
        <is>
          <t>5</t>
        </is>
      </c>
      <c r="D249" s="29" t="inlineStr">
        <is>
          <t>Soins infirmiers</t>
        </is>
      </c>
      <c r="E249" s="29" t="inlineStr">
        <is>
          <t>L3</t>
        </is>
      </c>
      <c r="F249" s="29" t="inlineStr">
        <is>
          <t>S.I</t>
        </is>
      </c>
      <c r="G249" s="29" t="inlineStr">
        <is>
          <t>Contrôle  Santé sexuelle et reproductive et droit connexes</t>
        </is>
      </c>
      <c r="H249" s="29" t="inlineStr"/>
      <c r="I249" s="29" t="inlineStr"/>
      <c r="J249" s="29" t="inlineStr">
        <is>
          <t>Jeudi</t>
        </is>
      </c>
      <c r="K249" s="29" t="inlineStr">
        <is>
          <t>8h00</t>
        </is>
      </c>
      <c r="L249" s="29" t="inlineStr">
        <is>
          <t>10h00</t>
        </is>
      </c>
      <c r="M249" s="29" t="n"/>
      <c r="N249" s="29" t="n">
        <v>2</v>
      </c>
    </row>
    <row r="250" ht="15" customHeight="1" s="22">
      <c r="A250" s="29" t="inlineStr">
        <is>
          <t>S248</t>
        </is>
      </c>
      <c r="B250" s="29" t="inlineStr">
        <is>
          <t>2025-2026</t>
        </is>
      </c>
      <c r="C250" s="29" t="inlineStr">
        <is>
          <t>5</t>
        </is>
      </c>
      <c r="D250" s="29" t="inlineStr">
        <is>
          <t>Soins infirmiers</t>
        </is>
      </c>
      <c r="E250" s="29" t="inlineStr">
        <is>
          <t>L3</t>
        </is>
      </c>
      <c r="F250" s="29" t="inlineStr">
        <is>
          <t>S.I</t>
        </is>
      </c>
      <c r="G250" s="29" t="inlineStr">
        <is>
          <t>Maladies et problèmes communs liés à la santé sexuelle et reproductive</t>
        </is>
      </c>
      <c r="H250" s="29" t="inlineStr"/>
      <c r="I250" s="29" t="inlineStr"/>
      <c r="J250" s="29" t="inlineStr">
        <is>
          <t>Jeudi</t>
        </is>
      </c>
      <c r="K250" s="29" t="inlineStr">
        <is>
          <t>8h00</t>
        </is>
      </c>
      <c r="L250" s="29" t="inlineStr">
        <is>
          <t>10h00</t>
        </is>
      </c>
      <c r="M250" s="29" t="n"/>
      <c r="N250" s="29" t="n">
        <v>2</v>
      </c>
    </row>
    <row r="251" ht="15" customHeight="1" s="22">
      <c r="A251" s="29" t="inlineStr">
        <is>
          <t>S249</t>
        </is>
      </c>
      <c r="B251" s="29" t="inlineStr">
        <is>
          <t>2025-2026</t>
        </is>
      </c>
      <c r="C251" s="29" t="inlineStr">
        <is>
          <t>5</t>
        </is>
      </c>
      <c r="D251" s="29" t="inlineStr">
        <is>
          <t>Soins infirmiers</t>
        </is>
      </c>
      <c r="E251" s="29" t="inlineStr">
        <is>
          <t>L3</t>
        </is>
      </c>
      <c r="F251" s="29" t="inlineStr">
        <is>
          <t>S.I</t>
        </is>
      </c>
      <c r="G251" s="29" t="inlineStr">
        <is>
          <t>Pathologies ORL</t>
        </is>
      </c>
      <c r="H251" s="29" t="inlineStr"/>
      <c r="I251" s="29" t="inlineStr"/>
      <c r="J251" s="29" t="inlineStr">
        <is>
          <t>Jeudi</t>
        </is>
      </c>
      <c r="K251" s="29" t="inlineStr">
        <is>
          <t>8h00</t>
        </is>
      </c>
      <c r="L251" s="29" t="inlineStr">
        <is>
          <t>10h00</t>
        </is>
      </c>
      <c r="M251" s="29" t="n"/>
      <c r="N251" s="29" t="n">
        <v>2</v>
      </c>
    </row>
    <row r="252" ht="15" customHeight="1" s="22">
      <c r="A252" s="29" t="inlineStr">
        <is>
          <t>S250</t>
        </is>
      </c>
      <c r="B252" s="29" t="inlineStr">
        <is>
          <t>2025-2026</t>
        </is>
      </c>
      <c r="C252" s="29" t="inlineStr">
        <is>
          <t>5</t>
        </is>
      </c>
      <c r="D252" s="29" t="inlineStr">
        <is>
          <t>Soins infirmiers</t>
        </is>
      </c>
      <c r="E252" s="29" t="inlineStr">
        <is>
          <t>L3</t>
        </is>
      </c>
      <c r="F252" s="29" t="inlineStr">
        <is>
          <t>S.I</t>
        </is>
      </c>
      <c r="G252" s="29" t="inlineStr">
        <is>
          <t>Pathologies ophtalmologiques</t>
        </is>
      </c>
      <c r="H252" s="29" t="inlineStr">
        <is>
          <t>Dr Mohamed Chanfi</t>
        </is>
      </c>
      <c r="I252" s="29" t="inlineStr"/>
      <c r="J252" s="29" t="inlineStr">
        <is>
          <t>Jeudi</t>
        </is>
      </c>
      <c r="K252" s="29" t="inlineStr">
        <is>
          <t>8h00</t>
        </is>
      </c>
      <c r="L252" s="29" t="inlineStr">
        <is>
          <t>10h00</t>
        </is>
      </c>
      <c r="M252" s="29" t="n"/>
      <c r="N252" s="29" t="n">
        <v>8</v>
      </c>
    </row>
    <row r="253" ht="15" customHeight="1" s="22">
      <c r="A253" s="29" t="inlineStr">
        <is>
          <t>S251</t>
        </is>
      </c>
      <c r="B253" s="29" t="inlineStr">
        <is>
          <t>2025-2026</t>
        </is>
      </c>
      <c r="C253" s="29" t="inlineStr">
        <is>
          <t>5</t>
        </is>
      </c>
      <c r="D253" s="29" t="inlineStr">
        <is>
          <t>Soins infirmiers</t>
        </is>
      </c>
      <c r="E253" s="29" t="inlineStr">
        <is>
          <t>L3</t>
        </is>
      </c>
      <c r="F253" s="29" t="inlineStr">
        <is>
          <t>S.I</t>
        </is>
      </c>
      <c r="G253" s="29" t="inlineStr">
        <is>
          <t>S.I en ORL</t>
        </is>
      </c>
      <c r="H253" s="29" t="inlineStr"/>
      <c r="I253" s="29" t="inlineStr"/>
      <c r="J253" s="29" t="inlineStr">
        <is>
          <t>Jeudi</t>
        </is>
      </c>
      <c r="K253" s="29" t="inlineStr">
        <is>
          <t>8h00</t>
        </is>
      </c>
      <c r="L253" s="29" t="inlineStr">
        <is>
          <t>10h00</t>
        </is>
      </c>
      <c r="M253" s="29" t="n"/>
      <c r="N253" s="29" t="n">
        <v>2</v>
      </c>
    </row>
    <row r="254" ht="15" customHeight="1" s="22">
      <c r="A254" s="29" t="inlineStr">
        <is>
          <t>S252</t>
        </is>
      </c>
      <c r="B254" s="29" t="inlineStr">
        <is>
          <t>2025-2026</t>
        </is>
      </c>
      <c r="C254" s="29" t="inlineStr">
        <is>
          <t>5</t>
        </is>
      </c>
      <c r="D254" s="29" t="inlineStr">
        <is>
          <t>Soins infirmiers</t>
        </is>
      </c>
      <c r="E254" s="29" t="inlineStr">
        <is>
          <t>L3</t>
        </is>
      </c>
      <c r="F254" s="29" t="inlineStr">
        <is>
          <t>S.I</t>
        </is>
      </c>
      <c r="G254" s="29" t="inlineStr">
        <is>
          <t>S.I en oncologies</t>
        </is>
      </c>
      <c r="H254" s="29" t="inlineStr"/>
      <c r="I254" s="29" t="inlineStr"/>
      <c r="J254" s="29" t="inlineStr">
        <is>
          <t>Jeudi</t>
        </is>
      </c>
      <c r="K254" s="29" t="inlineStr">
        <is>
          <t>8h00</t>
        </is>
      </c>
      <c r="L254" s="29" t="inlineStr">
        <is>
          <t>10h00</t>
        </is>
      </c>
      <c r="M254" s="29" t="n"/>
      <c r="N254" s="29" t="n">
        <v>4</v>
      </c>
    </row>
    <row r="255" ht="15" customHeight="1" s="22">
      <c r="A255" s="29" t="inlineStr">
        <is>
          <t>S253</t>
        </is>
      </c>
      <c r="B255" s="29" t="inlineStr">
        <is>
          <t>2025-2026</t>
        </is>
      </c>
      <c r="C255" s="29" t="inlineStr">
        <is>
          <t>5</t>
        </is>
      </c>
      <c r="D255" s="29" t="inlineStr">
        <is>
          <t>Soins infirmiers</t>
        </is>
      </c>
      <c r="E255" s="29" t="inlineStr">
        <is>
          <t>L3</t>
        </is>
      </c>
      <c r="F255" s="29" t="inlineStr">
        <is>
          <t>S.I</t>
        </is>
      </c>
      <c r="G255" s="29" t="inlineStr">
        <is>
          <t>Santé sexuelle et reproductive et droit connexes</t>
        </is>
      </c>
      <c r="H255" s="29" t="inlineStr"/>
      <c r="I255" s="29" t="inlineStr"/>
      <c r="J255" s="29" t="inlineStr">
        <is>
          <t>Jeudi</t>
        </is>
      </c>
      <c r="K255" s="29" t="inlineStr">
        <is>
          <t>8h00</t>
        </is>
      </c>
      <c r="L255" s="29" t="inlineStr">
        <is>
          <t>10h00</t>
        </is>
      </c>
      <c r="M255" s="29" t="n"/>
      <c r="N255" s="29" t="n">
        <v>4</v>
      </c>
    </row>
    <row r="256" ht="15" customHeight="1" s="22">
      <c r="A256" s="29" t="inlineStr">
        <is>
          <t>S254</t>
        </is>
      </c>
      <c r="B256" s="29" t="inlineStr">
        <is>
          <t>2025-2026</t>
        </is>
      </c>
      <c r="C256" s="29" t="inlineStr">
        <is>
          <t>5</t>
        </is>
      </c>
      <c r="D256" s="29" t="inlineStr">
        <is>
          <t>Soins infirmiers</t>
        </is>
      </c>
      <c r="E256" s="29" t="inlineStr">
        <is>
          <t>L3</t>
        </is>
      </c>
      <c r="F256" s="29" t="inlineStr">
        <is>
          <t>S.I</t>
        </is>
      </c>
      <c r="G256" s="29" t="inlineStr">
        <is>
          <t>TD Psychologie</t>
        </is>
      </c>
      <c r="H256" s="29" t="inlineStr"/>
      <c r="I256" s="29" t="inlineStr"/>
      <c r="J256" s="29" t="inlineStr">
        <is>
          <t>Jeudi</t>
        </is>
      </c>
      <c r="K256" s="29" t="inlineStr">
        <is>
          <t>8h00</t>
        </is>
      </c>
      <c r="L256" s="29" t="inlineStr">
        <is>
          <t>10h00</t>
        </is>
      </c>
      <c r="M256" s="29" t="n"/>
      <c r="N256" s="29" t="n">
        <v>2</v>
      </c>
    </row>
    <row r="257" ht="15" customHeight="1" s="22">
      <c r="A257" s="29" t="inlineStr">
        <is>
          <t>S255</t>
        </is>
      </c>
      <c r="B257" s="29" t="inlineStr">
        <is>
          <t>2025-2026</t>
        </is>
      </c>
      <c r="C257" s="29" t="inlineStr">
        <is>
          <t>5</t>
        </is>
      </c>
      <c r="D257" s="29" t="inlineStr">
        <is>
          <t>Soins infirmiers</t>
        </is>
      </c>
      <c r="E257" s="29" t="inlineStr">
        <is>
          <t>L3</t>
        </is>
      </c>
      <c r="F257" s="29" t="inlineStr">
        <is>
          <t>S.I</t>
        </is>
      </c>
      <c r="G257" s="29" t="inlineStr">
        <is>
          <t>Compétences pratiques</t>
        </is>
      </c>
      <c r="H257" s="29" t="inlineStr"/>
      <c r="I257" s="29" t="inlineStr"/>
      <c r="J257" s="29" t="inlineStr">
        <is>
          <t>Lundi</t>
        </is>
      </c>
      <c r="K257" s="29" t="inlineStr">
        <is>
          <t>10h05</t>
        </is>
      </c>
      <c r="L257" s="29" t="inlineStr">
        <is>
          <t>12h05</t>
        </is>
      </c>
      <c r="M257" s="29" t="n"/>
      <c r="N257" s="29" t="n">
        <v>4</v>
      </c>
    </row>
    <row r="258" ht="15" customHeight="1" s="22">
      <c r="A258" s="29" t="inlineStr">
        <is>
          <t>S256</t>
        </is>
      </c>
      <c r="B258" s="29" t="inlineStr">
        <is>
          <t>2025-2026</t>
        </is>
      </c>
      <c r="C258" s="29" t="inlineStr">
        <is>
          <t>5</t>
        </is>
      </c>
      <c r="D258" s="29" t="inlineStr">
        <is>
          <t>Soins infirmiers</t>
        </is>
      </c>
      <c r="E258" s="29" t="inlineStr">
        <is>
          <t>L3</t>
        </is>
      </c>
      <c r="F258" s="29" t="inlineStr">
        <is>
          <t>S.I</t>
        </is>
      </c>
      <c r="G258" s="29" t="inlineStr">
        <is>
          <t>Gestion des services de santé</t>
        </is>
      </c>
      <c r="H258" s="29" t="inlineStr">
        <is>
          <t>HALIMA ABDALLAH</t>
        </is>
      </c>
      <c r="I258" s="29" t="inlineStr"/>
      <c r="J258" s="29" t="inlineStr">
        <is>
          <t>Lundi</t>
        </is>
      </c>
      <c r="K258" s="29" t="inlineStr">
        <is>
          <t>10h05</t>
        </is>
      </c>
      <c r="L258" s="29" t="inlineStr">
        <is>
          <t>12h05</t>
        </is>
      </c>
      <c r="M258" s="29" t="n"/>
      <c r="N258" s="29" t="n">
        <v>2</v>
      </c>
    </row>
    <row r="259" ht="15" customHeight="1" s="22">
      <c r="A259" s="29" t="inlineStr">
        <is>
          <t>S257</t>
        </is>
      </c>
      <c r="B259" s="29" t="inlineStr">
        <is>
          <t>2025-2026</t>
        </is>
      </c>
      <c r="C259" s="29" t="inlineStr">
        <is>
          <t>5</t>
        </is>
      </c>
      <c r="D259" s="29" t="inlineStr">
        <is>
          <t>Soins infirmiers</t>
        </is>
      </c>
      <c r="E259" s="29" t="inlineStr">
        <is>
          <t>L3</t>
        </is>
      </c>
      <c r="F259" s="29" t="inlineStr">
        <is>
          <t>S.I</t>
        </is>
      </c>
      <c r="G259" s="29" t="inlineStr">
        <is>
          <t>Maladies et problèmes communs liés à la santé sexuelle et reproductive</t>
        </is>
      </c>
      <c r="H259" s="29" t="inlineStr"/>
      <c r="I259" s="29" t="inlineStr"/>
      <c r="J259" s="29" t="inlineStr">
        <is>
          <t>Lundi</t>
        </is>
      </c>
      <c r="K259" s="29" t="inlineStr">
        <is>
          <t>10h05</t>
        </is>
      </c>
      <c r="L259" s="29" t="inlineStr">
        <is>
          <t>12h05</t>
        </is>
      </c>
      <c r="M259" s="29" t="n"/>
      <c r="N259" s="29" t="n">
        <v>4</v>
      </c>
    </row>
    <row r="260" ht="15" customHeight="1" s="22">
      <c r="A260" s="29" t="inlineStr">
        <is>
          <t>S258</t>
        </is>
      </c>
      <c r="B260" s="29" t="inlineStr">
        <is>
          <t>2025-2026</t>
        </is>
      </c>
      <c r="C260" s="29" t="inlineStr">
        <is>
          <t>5</t>
        </is>
      </c>
      <c r="D260" s="29" t="inlineStr">
        <is>
          <t>Soins infirmiers</t>
        </is>
      </c>
      <c r="E260" s="29" t="inlineStr">
        <is>
          <t>L3</t>
        </is>
      </c>
      <c r="F260" s="29" t="inlineStr">
        <is>
          <t>S.I</t>
        </is>
      </c>
      <c r="G260" s="29" t="inlineStr">
        <is>
          <t>Pharmacologie et thérapeutiques des pathologies spéciales</t>
        </is>
      </c>
      <c r="H260" s="29" t="inlineStr">
        <is>
          <t>Dr Youssouf Mahamoudou</t>
        </is>
      </c>
      <c r="I260" s="29" t="inlineStr"/>
      <c r="J260" s="29" t="inlineStr">
        <is>
          <t>Lundi</t>
        </is>
      </c>
      <c r="K260" s="29" t="inlineStr">
        <is>
          <t>10h05</t>
        </is>
      </c>
      <c r="L260" s="29" t="inlineStr">
        <is>
          <t>12h05</t>
        </is>
      </c>
      <c r="M260" s="29" t="n"/>
      <c r="N260" s="29" t="n">
        <v>2</v>
      </c>
    </row>
    <row r="261" ht="15" customHeight="1" s="22">
      <c r="A261" s="29" t="inlineStr">
        <is>
          <t>S259</t>
        </is>
      </c>
      <c r="B261" s="29" t="inlineStr">
        <is>
          <t>2025-2026</t>
        </is>
      </c>
      <c r="C261" s="29" t="inlineStr">
        <is>
          <t>5</t>
        </is>
      </c>
      <c r="D261" s="29" t="inlineStr">
        <is>
          <t>Soins infirmiers</t>
        </is>
      </c>
      <c r="E261" s="29" t="inlineStr">
        <is>
          <t>L3</t>
        </is>
      </c>
      <c r="F261" s="29" t="inlineStr">
        <is>
          <t>S.I</t>
        </is>
      </c>
      <c r="G261" s="29" t="inlineStr">
        <is>
          <t>S.I en ORL</t>
        </is>
      </c>
      <c r="H261" s="29" t="inlineStr"/>
      <c r="I261" s="29" t="inlineStr"/>
      <c r="J261" s="29" t="inlineStr">
        <is>
          <t>Lundi</t>
        </is>
      </c>
      <c r="K261" s="29" t="inlineStr">
        <is>
          <t>10h05</t>
        </is>
      </c>
      <c r="L261" s="29" t="inlineStr">
        <is>
          <t>12h05</t>
        </is>
      </c>
      <c r="M261" s="29" t="n"/>
      <c r="N261" s="29" t="n">
        <v>10</v>
      </c>
    </row>
    <row r="262" ht="15" customHeight="1" s="22">
      <c r="A262" s="29" t="inlineStr">
        <is>
          <t>S260</t>
        </is>
      </c>
      <c r="B262" s="29" t="inlineStr">
        <is>
          <t>2025-2026</t>
        </is>
      </c>
      <c r="C262" s="29" t="inlineStr">
        <is>
          <t>5</t>
        </is>
      </c>
      <c r="D262" s="29" t="inlineStr">
        <is>
          <t>Soins infirmiers</t>
        </is>
      </c>
      <c r="E262" s="29" t="inlineStr">
        <is>
          <t>L3</t>
        </is>
      </c>
      <c r="F262" s="29" t="inlineStr">
        <is>
          <t>S.I</t>
        </is>
      </c>
      <c r="G262" s="29" t="inlineStr">
        <is>
          <t>Santé sexuelle et reproductive et droit connexes</t>
        </is>
      </c>
      <c r="H262" s="29" t="inlineStr"/>
      <c r="I262" s="29" t="inlineStr"/>
      <c r="J262" s="29" t="inlineStr">
        <is>
          <t>Lundi</t>
        </is>
      </c>
      <c r="K262" s="29" t="inlineStr">
        <is>
          <t>10h05</t>
        </is>
      </c>
      <c r="L262" s="29" t="inlineStr">
        <is>
          <t>12h05</t>
        </is>
      </c>
      <c r="M262" s="29" t="n"/>
      <c r="N262" s="29" t="n">
        <v>6</v>
      </c>
    </row>
    <row r="263" ht="15" customHeight="1" s="22">
      <c r="A263" s="29" t="inlineStr">
        <is>
          <t>S261</t>
        </is>
      </c>
      <c r="B263" s="29" t="inlineStr">
        <is>
          <t>2025-2026</t>
        </is>
      </c>
      <c r="C263" s="29" t="inlineStr">
        <is>
          <t>5</t>
        </is>
      </c>
      <c r="D263" s="29" t="inlineStr">
        <is>
          <t>Soins infirmiers</t>
        </is>
      </c>
      <c r="E263" s="29" t="inlineStr">
        <is>
          <t>L3</t>
        </is>
      </c>
      <c r="F263" s="29" t="inlineStr">
        <is>
          <t>S.I</t>
        </is>
      </c>
      <c r="G263" s="29" t="inlineStr">
        <is>
          <t>Pharmacologie et thérapeutiques des pathologies spéciales</t>
        </is>
      </c>
      <c r="H263" s="29" t="inlineStr">
        <is>
          <t>Dr Youssouf Mahamoudou</t>
        </is>
      </c>
      <c r="I263" s="29" t="inlineStr"/>
      <c r="J263" s="29" t="inlineStr">
        <is>
          <t>Lundi</t>
        </is>
      </c>
      <c r="K263" s="29" t="inlineStr">
        <is>
          <t>13h00</t>
        </is>
      </c>
      <c r="L263" s="29" t="inlineStr">
        <is>
          <t>15h00</t>
        </is>
      </c>
      <c r="M263" s="29" t="n"/>
      <c r="N263" s="29" t="n">
        <v>14</v>
      </c>
    </row>
    <row r="264" ht="15" customHeight="1" s="22">
      <c r="A264" s="29" t="inlineStr">
        <is>
          <t>S262</t>
        </is>
      </c>
      <c r="B264" s="29" t="inlineStr">
        <is>
          <t>2025-2026</t>
        </is>
      </c>
      <c r="C264" s="29" t="inlineStr">
        <is>
          <t>5</t>
        </is>
      </c>
      <c r="D264" s="29" t="inlineStr">
        <is>
          <t>Soins infirmiers</t>
        </is>
      </c>
      <c r="E264" s="29" t="inlineStr">
        <is>
          <t>L3</t>
        </is>
      </c>
      <c r="F264" s="29" t="inlineStr">
        <is>
          <t>S.I</t>
        </is>
      </c>
      <c r="G264" s="29" t="inlineStr">
        <is>
          <t>S.I en oncologies</t>
        </is>
      </c>
      <c r="H264" s="29" t="inlineStr"/>
      <c r="I264" s="29" t="inlineStr"/>
      <c r="J264" s="29" t="inlineStr">
        <is>
          <t>Lundi</t>
        </is>
      </c>
      <c r="K264" s="29" t="inlineStr">
        <is>
          <t>13h00</t>
        </is>
      </c>
      <c r="L264" s="29" t="inlineStr">
        <is>
          <t>15h00</t>
        </is>
      </c>
      <c r="M264" s="29" t="n"/>
      <c r="N264" s="29" t="n">
        <v>2</v>
      </c>
    </row>
    <row r="265" ht="15" customHeight="1" s="22">
      <c r="A265" s="29" t="inlineStr">
        <is>
          <t>S263</t>
        </is>
      </c>
      <c r="B265" s="29" t="inlineStr">
        <is>
          <t>2025-2026</t>
        </is>
      </c>
      <c r="C265" s="29" t="inlineStr">
        <is>
          <t>5</t>
        </is>
      </c>
      <c r="D265" s="29" t="inlineStr">
        <is>
          <t>Soins infirmiers</t>
        </is>
      </c>
      <c r="E265" s="29" t="inlineStr">
        <is>
          <t>L3</t>
        </is>
      </c>
      <c r="F265" s="29" t="inlineStr">
        <is>
          <t>S.I</t>
        </is>
      </c>
      <c r="G265" s="29" t="inlineStr">
        <is>
          <t>S.I endocrinilogie</t>
        </is>
      </c>
      <c r="H265" s="29" t="inlineStr"/>
      <c r="I265" s="29" t="inlineStr"/>
      <c r="J265" s="29" t="inlineStr">
        <is>
          <t>Lundi</t>
        </is>
      </c>
      <c r="K265" s="29" t="inlineStr">
        <is>
          <t>13h00</t>
        </is>
      </c>
      <c r="L265" s="29" t="inlineStr">
        <is>
          <t>15h00</t>
        </is>
      </c>
      <c r="M265" s="29" t="n"/>
      <c r="N265" s="29" t="n">
        <v>4</v>
      </c>
    </row>
    <row r="266" ht="15" customHeight="1" s="22">
      <c r="A266" s="29" t="inlineStr">
        <is>
          <t>S264</t>
        </is>
      </c>
      <c r="B266" s="29" t="inlineStr">
        <is>
          <t>2025-2026</t>
        </is>
      </c>
      <c r="C266" s="29" t="inlineStr">
        <is>
          <t>5</t>
        </is>
      </c>
      <c r="D266" s="29" t="inlineStr">
        <is>
          <t>Soins infirmiers</t>
        </is>
      </c>
      <c r="E266" s="29" t="inlineStr">
        <is>
          <t>L3</t>
        </is>
      </c>
      <c r="F266" s="29" t="inlineStr">
        <is>
          <t>S.I</t>
        </is>
      </c>
      <c r="G266" s="29" t="inlineStr">
        <is>
          <t>Stomatologie</t>
        </is>
      </c>
      <c r="H266" s="29" t="inlineStr"/>
      <c r="I266" s="29" t="inlineStr"/>
      <c r="J266" s="29" t="inlineStr">
        <is>
          <t>Lundi</t>
        </is>
      </c>
      <c r="K266" s="29" t="inlineStr">
        <is>
          <t>13h00</t>
        </is>
      </c>
      <c r="L266" s="29" t="inlineStr">
        <is>
          <t>15h00</t>
        </is>
      </c>
      <c r="M266" s="29" t="n"/>
      <c r="N266" s="29" t="n">
        <v>8</v>
      </c>
    </row>
    <row r="267" ht="15" customHeight="1" s="22">
      <c r="A267" s="29" t="inlineStr">
        <is>
          <t>S265</t>
        </is>
      </c>
      <c r="B267" s="29" t="inlineStr">
        <is>
          <t>2025-2026</t>
        </is>
      </c>
      <c r="C267" s="29" t="inlineStr">
        <is>
          <t>5</t>
        </is>
      </c>
      <c r="D267" s="29" t="inlineStr">
        <is>
          <t>Soins infirmiers</t>
        </is>
      </c>
      <c r="E267" s="29" t="inlineStr">
        <is>
          <t>L3</t>
        </is>
      </c>
      <c r="F267" s="29" t="inlineStr">
        <is>
          <t>S.I</t>
        </is>
      </c>
      <c r="G267" s="29" t="inlineStr">
        <is>
          <t>Cancerologie</t>
        </is>
      </c>
      <c r="H267" s="29" t="inlineStr">
        <is>
          <t>Dr Ahamada Widade</t>
        </is>
      </c>
      <c r="I267" s="29" t="inlineStr"/>
      <c r="J267" s="29" t="inlineStr">
        <is>
          <t>Lundi</t>
        </is>
      </c>
      <c r="K267" s="29" t="inlineStr">
        <is>
          <t>15h05</t>
        </is>
      </c>
      <c r="L267" s="29" t="inlineStr">
        <is>
          <t>17h05</t>
        </is>
      </c>
      <c r="M267" s="29" t="n"/>
      <c r="N267" s="29" t="n">
        <v>8</v>
      </c>
    </row>
    <row r="268" ht="15" customHeight="1" s="22">
      <c r="A268" s="29" t="inlineStr">
        <is>
          <t>S266</t>
        </is>
      </c>
      <c r="B268" s="29" t="inlineStr">
        <is>
          <t>2025-2026</t>
        </is>
      </c>
      <c r="C268" s="29" t="inlineStr">
        <is>
          <t>5</t>
        </is>
      </c>
      <c r="D268" s="29" t="inlineStr">
        <is>
          <t>Soins infirmiers</t>
        </is>
      </c>
      <c r="E268" s="29" t="inlineStr">
        <is>
          <t>L3</t>
        </is>
      </c>
      <c r="F268" s="29" t="inlineStr">
        <is>
          <t>S.I</t>
        </is>
      </c>
      <c r="G268" s="29" t="inlineStr">
        <is>
          <t>Gestion des catastrophes/Fléaux sociaux</t>
        </is>
      </c>
      <c r="H268" s="29" t="inlineStr">
        <is>
          <t>Daniel Ali Soumaïla (Chef de département S.I)</t>
        </is>
      </c>
      <c r="I268" s="29" t="inlineStr"/>
      <c r="J268" s="29" t="inlineStr">
        <is>
          <t>Lundi</t>
        </is>
      </c>
      <c r="K268" s="29" t="inlineStr">
        <is>
          <t>15h05</t>
        </is>
      </c>
      <c r="L268" s="29" t="inlineStr">
        <is>
          <t>17h05</t>
        </is>
      </c>
      <c r="M268" s="29" t="n"/>
      <c r="N268" s="29" t="n">
        <v>4</v>
      </c>
    </row>
    <row r="269" ht="15" customHeight="1" s="22">
      <c r="A269" s="29" t="inlineStr">
        <is>
          <t>S267</t>
        </is>
      </c>
      <c r="B269" s="29" t="inlineStr">
        <is>
          <t>2025-2026</t>
        </is>
      </c>
      <c r="C269" s="29" t="inlineStr">
        <is>
          <t>5</t>
        </is>
      </c>
      <c r="D269" s="29" t="inlineStr">
        <is>
          <t>Soins infirmiers</t>
        </is>
      </c>
      <c r="E269" s="29" t="inlineStr">
        <is>
          <t>L3</t>
        </is>
      </c>
      <c r="F269" s="29" t="inlineStr">
        <is>
          <t>S.I</t>
        </is>
      </c>
      <c r="G269" s="29" t="inlineStr">
        <is>
          <t>Participation communautaire</t>
        </is>
      </c>
      <c r="H269" s="29" t="inlineStr">
        <is>
          <t>Mme Zaharia Said Allaoui</t>
        </is>
      </c>
      <c r="I269" s="29" t="inlineStr"/>
      <c r="J269" s="29" t="inlineStr">
        <is>
          <t>Lundi</t>
        </is>
      </c>
      <c r="K269" s="29" t="inlineStr">
        <is>
          <t>15h05</t>
        </is>
      </c>
      <c r="L269" s="29" t="inlineStr">
        <is>
          <t>17h05</t>
        </is>
      </c>
      <c r="M269" s="29" t="n"/>
      <c r="N269" s="29" t="n">
        <v>6</v>
      </c>
    </row>
    <row r="270" ht="15" customHeight="1" s="22">
      <c r="A270" s="29" t="inlineStr">
        <is>
          <t>S268</t>
        </is>
      </c>
      <c r="B270" s="29" t="inlineStr">
        <is>
          <t>2025-2026</t>
        </is>
      </c>
      <c r="C270" s="29" t="inlineStr">
        <is>
          <t>5</t>
        </is>
      </c>
      <c r="D270" s="29" t="inlineStr">
        <is>
          <t>Soins infirmiers</t>
        </is>
      </c>
      <c r="E270" s="29" t="inlineStr">
        <is>
          <t>L3</t>
        </is>
      </c>
      <c r="F270" s="29" t="inlineStr">
        <is>
          <t>S.I</t>
        </is>
      </c>
      <c r="G270" s="29" t="inlineStr">
        <is>
          <t>Pathologies dermatologiques</t>
        </is>
      </c>
      <c r="H270" s="29" t="inlineStr">
        <is>
          <t>Irina Ismaïla Abdou</t>
        </is>
      </c>
      <c r="I270" s="29" t="inlineStr"/>
      <c r="J270" s="29" t="inlineStr">
        <is>
          <t>Lundi</t>
        </is>
      </c>
      <c r="K270" s="29" t="inlineStr">
        <is>
          <t>15h05</t>
        </is>
      </c>
      <c r="L270" s="29" t="inlineStr">
        <is>
          <t>17h05</t>
        </is>
      </c>
      <c r="M270" s="29" t="n"/>
      <c r="N270" s="29" t="n">
        <v>2</v>
      </c>
    </row>
    <row r="271" ht="15" customHeight="1" s="22">
      <c r="A271" s="29" t="inlineStr">
        <is>
          <t>S269</t>
        </is>
      </c>
      <c r="B271" s="29" t="inlineStr">
        <is>
          <t>2025-2026</t>
        </is>
      </c>
      <c r="C271" s="29" t="inlineStr">
        <is>
          <t>5</t>
        </is>
      </c>
      <c r="D271" s="29" t="inlineStr">
        <is>
          <t>Soins infirmiers</t>
        </is>
      </c>
      <c r="E271" s="29" t="inlineStr">
        <is>
          <t>L3</t>
        </is>
      </c>
      <c r="F271" s="29" t="inlineStr">
        <is>
          <t>S.I</t>
        </is>
      </c>
      <c r="G271" s="29" t="inlineStr">
        <is>
          <t>TD Gestion des catastrophes/Fléaux sociaux</t>
        </is>
      </c>
      <c r="H271" s="29" t="inlineStr"/>
      <c r="I271" s="29" t="inlineStr"/>
      <c r="J271" s="29" t="inlineStr">
        <is>
          <t>Lundi</t>
        </is>
      </c>
      <c r="K271" s="29" t="inlineStr">
        <is>
          <t>15h05</t>
        </is>
      </c>
      <c r="L271" s="29" t="inlineStr">
        <is>
          <t>17h05</t>
        </is>
      </c>
      <c r="M271" s="29" t="n"/>
      <c r="N271" s="29" t="n">
        <v>2</v>
      </c>
    </row>
    <row r="272" ht="15" customHeight="1" s="22">
      <c r="A272" s="29" t="inlineStr">
        <is>
          <t>S270</t>
        </is>
      </c>
      <c r="B272" s="29" t="inlineStr">
        <is>
          <t>2025-2026</t>
        </is>
      </c>
      <c r="C272" s="29" t="inlineStr">
        <is>
          <t>5</t>
        </is>
      </c>
      <c r="D272" s="29" t="inlineStr">
        <is>
          <t>Soins infirmiers</t>
        </is>
      </c>
      <c r="E272" s="29" t="inlineStr">
        <is>
          <t>L3</t>
        </is>
      </c>
      <c r="F272" s="29" t="inlineStr">
        <is>
          <t>S.I</t>
        </is>
      </c>
      <c r="G272" s="29" t="inlineStr">
        <is>
          <t>Endocrinologie</t>
        </is>
      </c>
      <c r="H272" s="29" t="inlineStr"/>
      <c r="I272" s="29" t="inlineStr"/>
      <c r="J272" s="29" t="inlineStr">
        <is>
          <t>Lundi</t>
        </is>
      </c>
      <c r="K272" s="29" t="inlineStr">
        <is>
          <t>8h00</t>
        </is>
      </c>
      <c r="L272" s="29" t="inlineStr">
        <is>
          <t>10h00</t>
        </is>
      </c>
      <c r="M272" s="29" t="n"/>
      <c r="N272" s="29" t="n">
        <v>6</v>
      </c>
    </row>
    <row r="273" ht="15" customHeight="1" s="22">
      <c r="A273" s="29" t="inlineStr">
        <is>
          <t>S271</t>
        </is>
      </c>
      <c r="B273" s="29" t="inlineStr">
        <is>
          <t>2025-2026</t>
        </is>
      </c>
      <c r="C273" s="29" t="inlineStr">
        <is>
          <t>5</t>
        </is>
      </c>
      <c r="D273" s="29" t="inlineStr">
        <is>
          <t>Soins infirmiers</t>
        </is>
      </c>
      <c r="E273" s="29" t="inlineStr">
        <is>
          <t>L3</t>
        </is>
      </c>
      <c r="F273" s="29" t="inlineStr">
        <is>
          <t>S.I</t>
        </is>
      </c>
      <c r="G273" s="29" t="inlineStr">
        <is>
          <t>Gestion des services de santé</t>
        </is>
      </c>
      <c r="H273" s="29" t="inlineStr">
        <is>
          <t>HALIMA ABDALLAH</t>
        </is>
      </c>
      <c r="I273" s="29" t="inlineStr"/>
      <c r="J273" s="29" t="inlineStr">
        <is>
          <t>Lundi</t>
        </is>
      </c>
      <c r="K273" s="29" t="inlineStr">
        <is>
          <t>8h00</t>
        </is>
      </c>
      <c r="L273" s="29" t="inlineStr">
        <is>
          <t>10h00</t>
        </is>
      </c>
      <c r="M273" s="29" t="n"/>
      <c r="N273" s="29" t="n">
        <v>8</v>
      </c>
    </row>
    <row r="274" ht="15" customHeight="1" s="22">
      <c r="A274" s="29" t="inlineStr">
        <is>
          <t>S272</t>
        </is>
      </c>
      <c r="B274" s="29" t="inlineStr">
        <is>
          <t>2025-2026</t>
        </is>
      </c>
      <c r="C274" s="29" t="inlineStr">
        <is>
          <t>5</t>
        </is>
      </c>
      <c r="D274" s="29" t="inlineStr">
        <is>
          <t>Soins infirmiers</t>
        </is>
      </c>
      <c r="E274" s="29" t="inlineStr">
        <is>
          <t>L3</t>
        </is>
      </c>
      <c r="F274" s="29" t="inlineStr">
        <is>
          <t>S.I</t>
        </is>
      </c>
      <c r="G274" s="29" t="inlineStr">
        <is>
          <t>Pathologies dermatologiques</t>
        </is>
      </c>
      <c r="H274" s="29" t="inlineStr">
        <is>
          <t>Irina Ismaïla Abdou</t>
        </is>
      </c>
      <c r="I274" s="29" t="inlineStr"/>
      <c r="J274" s="29" t="inlineStr">
        <is>
          <t>Lundi</t>
        </is>
      </c>
      <c r="K274" s="29" t="inlineStr">
        <is>
          <t>8h00</t>
        </is>
      </c>
      <c r="L274" s="29" t="inlineStr">
        <is>
          <t>10h00</t>
        </is>
      </c>
      <c r="M274" s="29" t="n"/>
      <c r="N274" s="29" t="n">
        <v>4</v>
      </c>
    </row>
    <row r="275" ht="15" customHeight="1" s="22">
      <c r="A275" s="29" t="inlineStr">
        <is>
          <t>S273</t>
        </is>
      </c>
      <c r="B275" s="29" t="inlineStr">
        <is>
          <t>2025-2026</t>
        </is>
      </c>
      <c r="C275" s="29" t="inlineStr">
        <is>
          <t>5</t>
        </is>
      </c>
      <c r="D275" s="29" t="inlineStr">
        <is>
          <t>Soins infirmiers</t>
        </is>
      </c>
      <c r="E275" s="29" t="inlineStr">
        <is>
          <t>L3</t>
        </is>
      </c>
      <c r="F275" s="29" t="inlineStr">
        <is>
          <t>S.I</t>
        </is>
      </c>
      <c r="G275" s="29" t="inlineStr">
        <is>
          <t>S.I Ophtalmologie</t>
        </is>
      </c>
      <c r="H275" s="29" t="inlineStr"/>
      <c r="I275" s="29" t="inlineStr"/>
      <c r="J275" s="29" t="inlineStr">
        <is>
          <t>Lundi</t>
        </is>
      </c>
      <c r="K275" s="29" t="inlineStr">
        <is>
          <t>8h00</t>
        </is>
      </c>
      <c r="L275" s="29" t="inlineStr">
        <is>
          <t>10h00</t>
        </is>
      </c>
      <c r="M275" s="29" t="n"/>
      <c r="N275" s="29" t="n">
        <v>4</v>
      </c>
    </row>
    <row r="276" ht="15" customHeight="1" s="22">
      <c r="A276" s="29" t="inlineStr">
        <is>
          <t>S274</t>
        </is>
      </c>
      <c r="B276" s="29" t="inlineStr">
        <is>
          <t>2025-2026</t>
        </is>
      </c>
      <c r="C276" s="29" t="inlineStr">
        <is>
          <t>5</t>
        </is>
      </c>
      <c r="D276" s="29" t="inlineStr">
        <is>
          <t>Soins infirmiers</t>
        </is>
      </c>
      <c r="E276" s="29" t="inlineStr">
        <is>
          <t>L3</t>
        </is>
      </c>
      <c r="F276" s="29" t="inlineStr">
        <is>
          <t>S.I</t>
        </is>
      </c>
      <c r="G276" s="29" t="inlineStr">
        <is>
          <t>S.I en oncologies</t>
        </is>
      </c>
      <c r="H276" s="29" t="inlineStr"/>
      <c r="I276" s="29" t="inlineStr"/>
      <c r="J276" s="29" t="inlineStr">
        <is>
          <t>Lundi</t>
        </is>
      </c>
      <c r="K276" s="29" t="inlineStr">
        <is>
          <t>8h00</t>
        </is>
      </c>
      <c r="L276" s="29" t="inlineStr">
        <is>
          <t>10h00</t>
        </is>
      </c>
      <c r="M276" s="29" t="n"/>
      <c r="N276" s="29" t="n">
        <v>4</v>
      </c>
    </row>
    <row r="277" ht="15" customHeight="1" s="22">
      <c r="A277" s="29" t="inlineStr">
        <is>
          <t>S275</t>
        </is>
      </c>
      <c r="B277" s="29" t="inlineStr">
        <is>
          <t>2025-2026</t>
        </is>
      </c>
      <c r="C277" s="29" t="inlineStr">
        <is>
          <t>5</t>
        </is>
      </c>
      <c r="D277" s="29" t="inlineStr">
        <is>
          <t>Soins infirmiers</t>
        </is>
      </c>
      <c r="E277" s="29" t="inlineStr">
        <is>
          <t>L3</t>
        </is>
      </c>
      <c r="F277" s="29" t="inlineStr">
        <is>
          <t>S.I</t>
        </is>
      </c>
      <c r="G277" s="29" t="inlineStr">
        <is>
          <t>TD Endocrinologie</t>
        </is>
      </c>
      <c r="H277" s="29" t="inlineStr"/>
      <c r="I277" s="29" t="inlineStr"/>
      <c r="J277" s="29" t="inlineStr">
        <is>
          <t>Lundi</t>
        </is>
      </c>
      <c r="K277" s="29" t="inlineStr">
        <is>
          <t>8h00</t>
        </is>
      </c>
      <c r="L277" s="29" t="inlineStr">
        <is>
          <t>10h00</t>
        </is>
      </c>
      <c r="M277" s="29" t="n"/>
      <c r="N277" s="29" t="n">
        <v>2</v>
      </c>
    </row>
    <row r="278" ht="15" customHeight="1" s="22">
      <c r="A278" s="29" t="inlineStr">
        <is>
          <t>S276</t>
        </is>
      </c>
      <c r="B278" s="29" t="inlineStr">
        <is>
          <t>2025-2026</t>
        </is>
      </c>
      <c r="C278" s="29" t="inlineStr">
        <is>
          <t>5</t>
        </is>
      </c>
      <c r="D278" s="29" t="inlineStr">
        <is>
          <t>Soins infirmiers</t>
        </is>
      </c>
      <c r="E278" s="29" t="inlineStr">
        <is>
          <t>L3</t>
        </is>
      </c>
      <c r="F278" s="29" t="inlineStr">
        <is>
          <t>S.I</t>
        </is>
      </c>
      <c r="G278" s="29" t="inlineStr">
        <is>
          <t>Compétences pratiques</t>
        </is>
      </c>
      <c r="H278" s="29" t="inlineStr"/>
      <c r="I278" s="29" t="inlineStr"/>
      <c r="J278" s="29" t="inlineStr">
        <is>
          <t>Mardi</t>
        </is>
      </c>
      <c r="K278" s="29" t="inlineStr">
        <is>
          <t>10h05</t>
        </is>
      </c>
      <c r="L278" s="29" t="inlineStr">
        <is>
          <t>12h05</t>
        </is>
      </c>
      <c r="M278" s="29" t="n"/>
      <c r="N278" s="29" t="n">
        <v>4</v>
      </c>
    </row>
    <row r="279" ht="15" customHeight="1" s="22">
      <c r="A279" s="29" t="inlineStr">
        <is>
          <t>S277</t>
        </is>
      </c>
      <c r="B279" s="29" t="inlineStr">
        <is>
          <t>2025-2026</t>
        </is>
      </c>
      <c r="C279" s="29" t="inlineStr">
        <is>
          <t>5</t>
        </is>
      </c>
      <c r="D279" s="29" t="inlineStr">
        <is>
          <t>Soins infirmiers</t>
        </is>
      </c>
      <c r="E279" s="29" t="inlineStr">
        <is>
          <t>L3</t>
        </is>
      </c>
      <c r="F279" s="29" t="inlineStr">
        <is>
          <t>S.I</t>
        </is>
      </c>
      <c r="G279" s="29" t="inlineStr">
        <is>
          <t>Gestion des services de santé</t>
        </is>
      </c>
      <c r="H279" s="29" t="inlineStr">
        <is>
          <t>HALIMA ABDALLAH</t>
        </is>
      </c>
      <c r="I279" s="29" t="inlineStr"/>
      <c r="J279" s="29" t="inlineStr">
        <is>
          <t>Mardi</t>
        </is>
      </c>
      <c r="K279" s="29" t="inlineStr">
        <is>
          <t>10h05</t>
        </is>
      </c>
      <c r="L279" s="29" t="inlineStr">
        <is>
          <t>12h05</t>
        </is>
      </c>
      <c r="M279" s="29" t="n"/>
      <c r="N279" s="29" t="n">
        <v>2</v>
      </c>
    </row>
    <row r="280" ht="15" customHeight="1" s="22">
      <c r="A280" s="29" t="inlineStr">
        <is>
          <t>S278</t>
        </is>
      </c>
      <c r="B280" s="29" t="inlineStr">
        <is>
          <t>2025-2026</t>
        </is>
      </c>
      <c r="C280" s="29" t="inlineStr">
        <is>
          <t>5</t>
        </is>
      </c>
      <c r="D280" s="29" t="inlineStr">
        <is>
          <t>Soins infirmiers</t>
        </is>
      </c>
      <c r="E280" s="29" t="inlineStr">
        <is>
          <t>L3</t>
        </is>
      </c>
      <c r="F280" s="29" t="inlineStr">
        <is>
          <t>S.I</t>
        </is>
      </c>
      <c r="G280" s="29" t="inlineStr">
        <is>
          <t>Pathologies ORL</t>
        </is>
      </c>
      <c r="H280" s="29" t="inlineStr"/>
      <c r="I280" s="29" t="inlineStr"/>
      <c r="J280" s="29" t="inlineStr">
        <is>
          <t>Mardi</t>
        </is>
      </c>
      <c r="K280" s="29" t="inlineStr">
        <is>
          <t>10h05</t>
        </is>
      </c>
      <c r="L280" s="29" t="inlineStr">
        <is>
          <t>12h05</t>
        </is>
      </c>
      <c r="M280" s="29" t="n"/>
      <c r="N280" s="29" t="n">
        <v>8</v>
      </c>
    </row>
    <row r="281" ht="15" customHeight="1" s="22">
      <c r="A281" s="29" t="inlineStr">
        <is>
          <t>S279</t>
        </is>
      </c>
      <c r="B281" s="29" t="inlineStr">
        <is>
          <t>2025-2026</t>
        </is>
      </c>
      <c r="C281" s="29" t="inlineStr">
        <is>
          <t>5</t>
        </is>
      </c>
      <c r="D281" s="29" t="inlineStr">
        <is>
          <t>Soins infirmiers</t>
        </is>
      </c>
      <c r="E281" s="29" t="inlineStr">
        <is>
          <t>L3</t>
        </is>
      </c>
      <c r="F281" s="29" t="inlineStr">
        <is>
          <t>S.I</t>
        </is>
      </c>
      <c r="G281" s="29" t="inlineStr">
        <is>
          <t>Psychologie</t>
        </is>
      </c>
      <c r="H281" s="29" t="inlineStr">
        <is>
          <t>Mme Houzaimata Ahamada</t>
        </is>
      </c>
      <c r="I281" s="29" t="inlineStr"/>
      <c r="J281" s="29" t="inlineStr">
        <is>
          <t>Mardi</t>
        </is>
      </c>
      <c r="K281" s="29" t="inlineStr">
        <is>
          <t>10h05</t>
        </is>
      </c>
      <c r="L281" s="29" t="inlineStr">
        <is>
          <t>12h05</t>
        </is>
      </c>
      <c r="M281" s="29" t="n"/>
      <c r="N281" s="29" t="n">
        <v>4</v>
      </c>
    </row>
    <row r="282" ht="15" customHeight="1" s="22">
      <c r="A282" s="29" t="inlineStr">
        <is>
          <t>S280</t>
        </is>
      </c>
      <c r="B282" s="29" t="inlineStr">
        <is>
          <t>2025-2026</t>
        </is>
      </c>
      <c r="C282" s="29" t="inlineStr">
        <is>
          <t>5</t>
        </is>
      </c>
      <c r="D282" s="29" t="inlineStr">
        <is>
          <t>Soins infirmiers</t>
        </is>
      </c>
      <c r="E282" s="29" t="inlineStr">
        <is>
          <t>L3</t>
        </is>
      </c>
      <c r="F282" s="29" t="inlineStr">
        <is>
          <t>S.I</t>
        </is>
      </c>
      <c r="G282" s="29" t="inlineStr">
        <is>
          <t>S.I Stomatologies</t>
        </is>
      </c>
      <c r="H282" s="29" t="inlineStr">
        <is>
          <t>HALIMA ABDALLAH</t>
        </is>
      </c>
      <c r="I282" s="29" t="inlineStr"/>
      <c r="J282" s="29" t="inlineStr">
        <is>
          <t>Mardi</t>
        </is>
      </c>
      <c r="K282" s="29" t="inlineStr">
        <is>
          <t>10h05</t>
        </is>
      </c>
      <c r="L282" s="29" t="inlineStr">
        <is>
          <t>12h05</t>
        </is>
      </c>
      <c r="M282" s="29" t="n"/>
      <c r="N282" s="29" t="n">
        <v>2</v>
      </c>
    </row>
    <row r="283" ht="15" customHeight="1" s="22">
      <c r="A283" s="29" t="inlineStr">
        <is>
          <t>S281</t>
        </is>
      </c>
      <c r="B283" s="29" t="inlineStr">
        <is>
          <t>2025-2026</t>
        </is>
      </c>
      <c r="C283" s="29" t="inlineStr">
        <is>
          <t>5</t>
        </is>
      </c>
      <c r="D283" s="29" t="inlineStr">
        <is>
          <t>Soins infirmiers</t>
        </is>
      </c>
      <c r="E283" s="29" t="inlineStr">
        <is>
          <t>L3</t>
        </is>
      </c>
      <c r="F283" s="29" t="inlineStr">
        <is>
          <t>S.I</t>
        </is>
      </c>
      <c r="G283" s="29" t="inlineStr">
        <is>
          <t>S.I en oncologies</t>
        </is>
      </c>
      <c r="H283" s="29" t="inlineStr"/>
      <c r="I283" s="29" t="inlineStr"/>
      <c r="J283" s="29" t="inlineStr">
        <is>
          <t>Mardi</t>
        </is>
      </c>
      <c r="K283" s="29" t="inlineStr">
        <is>
          <t>10h05</t>
        </is>
      </c>
      <c r="L283" s="29" t="inlineStr">
        <is>
          <t>12h05</t>
        </is>
      </c>
      <c r="M283" s="29" t="n"/>
      <c r="N283" s="29" t="n">
        <v>2</v>
      </c>
    </row>
    <row r="284" ht="15" customHeight="1" s="22">
      <c r="A284" s="29" t="inlineStr">
        <is>
          <t>S282</t>
        </is>
      </c>
      <c r="B284" s="29" t="inlineStr">
        <is>
          <t>2025-2026</t>
        </is>
      </c>
      <c r="C284" s="29" t="inlineStr">
        <is>
          <t>5</t>
        </is>
      </c>
      <c r="D284" s="29" t="inlineStr">
        <is>
          <t>Soins infirmiers</t>
        </is>
      </c>
      <c r="E284" s="29" t="inlineStr">
        <is>
          <t>L3</t>
        </is>
      </c>
      <c r="F284" s="29" t="inlineStr">
        <is>
          <t>S.I</t>
        </is>
      </c>
      <c r="G284" s="29" t="inlineStr">
        <is>
          <t>Sociologie &amp; Athropologie</t>
        </is>
      </c>
      <c r="H284" s="29" t="inlineStr"/>
      <c r="I284" s="29" t="inlineStr"/>
      <c r="J284" s="29" t="inlineStr">
        <is>
          <t>Mardi</t>
        </is>
      </c>
      <c r="K284" s="29" t="inlineStr">
        <is>
          <t>10h05</t>
        </is>
      </c>
      <c r="L284" s="29" t="inlineStr">
        <is>
          <t>12h05</t>
        </is>
      </c>
      <c r="M284" s="29" t="n"/>
      <c r="N284" s="29" t="n">
        <v>6</v>
      </c>
    </row>
    <row r="285" ht="15" customHeight="1" s="22">
      <c r="A285" s="29" t="inlineStr">
        <is>
          <t>S283</t>
        </is>
      </c>
      <c r="B285" s="29" t="inlineStr">
        <is>
          <t>2025-2026</t>
        </is>
      </c>
      <c r="C285" s="29" t="inlineStr">
        <is>
          <t>5</t>
        </is>
      </c>
      <c r="D285" s="29" t="inlineStr">
        <is>
          <t>Soins infirmiers</t>
        </is>
      </c>
      <c r="E285" s="29" t="inlineStr">
        <is>
          <t>L3</t>
        </is>
      </c>
      <c r="F285" s="29" t="inlineStr">
        <is>
          <t>S.I</t>
        </is>
      </c>
      <c r="G285" s="29" t="inlineStr">
        <is>
          <t>Gestion des services de santé</t>
        </is>
      </c>
      <c r="H285" s="29" t="inlineStr">
        <is>
          <t>HALIMA ABDALLAH</t>
        </is>
      </c>
      <c r="I285" s="29" t="inlineStr"/>
      <c r="J285" s="29" t="inlineStr">
        <is>
          <t>Mardi</t>
        </is>
      </c>
      <c r="K285" s="29" t="inlineStr">
        <is>
          <t>13h00</t>
        </is>
      </c>
      <c r="L285" s="29" t="inlineStr">
        <is>
          <t>15h00</t>
        </is>
      </c>
      <c r="M285" s="29" t="n"/>
      <c r="N285" s="29" t="n">
        <v>2</v>
      </c>
    </row>
    <row r="286" ht="15" customHeight="1" s="22">
      <c r="A286" s="29" t="inlineStr">
        <is>
          <t>S284</t>
        </is>
      </c>
      <c r="B286" s="29" t="inlineStr">
        <is>
          <t>2025-2026</t>
        </is>
      </c>
      <c r="C286" s="29" t="inlineStr">
        <is>
          <t>5</t>
        </is>
      </c>
      <c r="D286" s="29" t="inlineStr">
        <is>
          <t>Soins infirmiers</t>
        </is>
      </c>
      <c r="E286" s="29" t="inlineStr">
        <is>
          <t>L3</t>
        </is>
      </c>
      <c r="F286" s="29" t="inlineStr">
        <is>
          <t>S.I</t>
        </is>
      </c>
      <c r="G286" s="29" t="inlineStr">
        <is>
          <t>Initiation à la recherche en sciences infirmière</t>
        </is>
      </c>
      <c r="H286" s="29" t="inlineStr"/>
      <c r="I286" s="29" t="inlineStr"/>
      <c r="J286" s="29" t="inlineStr">
        <is>
          <t>Mardi</t>
        </is>
      </c>
      <c r="K286" s="29" t="inlineStr">
        <is>
          <t>13h00</t>
        </is>
      </c>
      <c r="L286" s="29" t="inlineStr">
        <is>
          <t>15h00</t>
        </is>
      </c>
      <c r="M286" s="29" t="n"/>
      <c r="N286" s="29" t="n">
        <v>10</v>
      </c>
    </row>
    <row r="287" ht="15" customHeight="1" s="22">
      <c r="A287" s="29" t="inlineStr">
        <is>
          <t>S285</t>
        </is>
      </c>
      <c r="B287" s="29" t="inlineStr">
        <is>
          <t>2025-2026</t>
        </is>
      </c>
      <c r="C287" s="29" t="inlineStr">
        <is>
          <t>5</t>
        </is>
      </c>
      <c r="D287" s="29" t="inlineStr">
        <is>
          <t>Soins infirmiers</t>
        </is>
      </c>
      <c r="E287" s="29" t="inlineStr">
        <is>
          <t>L3</t>
        </is>
      </c>
      <c r="F287" s="29" t="inlineStr">
        <is>
          <t>S.I</t>
        </is>
      </c>
      <c r="G287" s="29" t="inlineStr">
        <is>
          <t>S.I Stomatologies</t>
        </is>
      </c>
      <c r="H287" s="29" t="inlineStr">
        <is>
          <t>HALIMA ABDALLAH</t>
        </is>
      </c>
      <c r="I287" s="29" t="inlineStr"/>
      <c r="J287" s="29" t="inlineStr">
        <is>
          <t>Mardi</t>
        </is>
      </c>
      <c r="K287" s="29" t="inlineStr">
        <is>
          <t>13h00</t>
        </is>
      </c>
      <c r="L287" s="29" t="inlineStr">
        <is>
          <t>15h00</t>
        </is>
      </c>
      <c r="M287" s="29" t="n"/>
      <c r="N287" s="29" t="n">
        <v>2</v>
      </c>
    </row>
    <row r="288" ht="15" customHeight="1" s="22">
      <c r="A288" s="29" t="inlineStr">
        <is>
          <t>S286</t>
        </is>
      </c>
      <c r="B288" s="29" t="inlineStr">
        <is>
          <t>2025-2026</t>
        </is>
      </c>
      <c r="C288" s="29" t="inlineStr">
        <is>
          <t>5</t>
        </is>
      </c>
      <c r="D288" s="29" t="inlineStr">
        <is>
          <t>Soins infirmiers</t>
        </is>
      </c>
      <c r="E288" s="29" t="inlineStr">
        <is>
          <t>L3</t>
        </is>
      </c>
      <c r="F288" s="29" t="inlineStr">
        <is>
          <t>S.I</t>
        </is>
      </c>
      <c r="G288" s="29" t="inlineStr">
        <is>
          <t>S.I en oncologies</t>
        </is>
      </c>
      <c r="H288" s="29" t="inlineStr"/>
      <c r="I288" s="29" t="inlineStr"/>
      <c r="J288" s="29" t="inlineStr">
        <is>
          <t>Mardi</t>
        </is>
      </c>
      <c r="K288" s="29" t="inlineStr">
        <is>
          <t>13h00</t>
        </is>
      </c>
      <c r="L288" s="29" t="inlineStr">
        <is>
          <t>15h00</t>
        </is>
      </c>
      <c r="M288" s="29" t="n"/>
      <c r="N288" s="29" t="n">
        <v>4</v>
      </c>
    </row>
    <row r="289" ht="15" customHeight="1" s="22">
      <c r="A289" s="29" t="inlineStr">
        <is>
          <t>S287</t>
        </is>
      </c>
      <c r="B289" s="29" t="inlineStr">
        <is>
          <t>2025-2026</t>
        </is>
      </c>
      <c r="C289" s="29" t="inlineStr">
        <is>
          <t>5</t>
        </is>
      </c>
      <c r="D289" s="29" t="inlineStr">
        <is>
          <t>Soins infirmiers</t>
        </is>
      </c>
      <c r="E289" s="29" t="inlineStr">
        <is>
          <t>L3</t>
        </is>
      </c>
      <c r="F289" s="29" t="inlineStr">
        <is>
          <t>S.I</t>
        </is>
      </c>
      <c r="G289" s="29" t="inlineStr">
        <is>
          <t>Stomatologie</t>
        </is>
      </c>
      <c r="H289" s="29" t="inlineStr"/>
      <c r="I289" s="29" t="inlineStr"/>
      <c r="J289" s="29" t="inlineStr">
        <is>
          <t>Mardi</t>
        </is>
      </c>
      <c r="K289" s="29" t="inlineStr">
        <is>
          <t>13h00</t>
        </is>
      </c>
      <c r="L289" s="29" t="inlineStr">
        <is>
          <t>15h00</t>
        </is>
      </c>
      <c r="M289" s="29" t="n"/>
      <c r="N289" s="29" t="n">
        <v>6</v>
      </c>
    </row>
    <row r="290" ht="15" customHeight="1" s="22">
      <c r="A290" s="29" t="inlineStr">
        <is>
          <t>S288</t>
        </is>
      </c>
      <c r="B290" s="29" t="inlineStr">
        <is>
          <t>2025-2026</t>
        </is>
      </c>
      <c r="C290" s="29" t="inlineStr">
        <is>
          <t>5</t>
        </is>
      </c>
      <c r="D290" s="29" t="inlineStr">
        <is>
          <t>Soins infirmiers</t>
        </is>
      </c>
      <c r="E290" s="29" t="inlineStr">
        <is>
          <t>L3</t>
        </is>
      </c>
      <c r="F290" s="29" t="inlineStr">
        <is>
          <t>S.I</t>
        </is>
      </c>
      <c r="G290" s="29" t="inlineStr">
        <is>
          <t>TD Initiation à la recherche en sciences infirmière</t>
        </is>
      </c>
      <c r="H290" s="29" t="inlineStr"/>
      <c r="I290" s="29" t="inlineStr"/>
      <c r="J290" s="29" t="inlineStr">
        <is>
          <t>Mardi</t>
        </is>
      </c>
      <c r="K290" s="29" t="inlineStr">
        <is>
          <t>13h00</t>
        </is>
      </c>
      <c r="L290" s="29" t="inlineStr">
        <is>
          <t>15h00</t>
        </is>
      </c>
      <c r="M290" s="29" t="n"/>
      <c r="N290" s="29" t="n">
        <v>4</v>
      </c>
    </row>
    <row r="291" ht="15" customHeight="1" s="22">
      <c r="A291" s="29" t="inlineStr">
        <is>
          <t>S289</t>
        </is>
      </c>
      <c r="B291" s="29" t="inlineStr">
        <is>
          <t>2025-2026</t>
        </is>
      </c>
      <c r="C291" s="29" t="inlineStr">
        <is>
          <t>5</t>
        </is>
      </c>
      <c r="D291" s="29" t="inlineStr">
        <is>
          <t>Soins infirmiers</t>
        </is>
      </c>
      <c r="E291" s="29" t="inlineStr">
        <is>
          <t>L3</t>
        </is>
      </c>
      <c r="F291" s="29" t="inlineStr">
        <is>
          <t>S.I</t>
        </is>
      </c>
      <c r="G291" s="29" t="inlineStr">
        <is>
          <t>Cancerologie</t>
        </is>
      </c>
      <c r="H291" s="29" t="inlineStr">
        <is>
          <t>Dr Ahamada Widade</t>
        </is>
      </c>
      <c r="I291" s="29" t="inlineStr"/>
      <c r="J291" s="29" t="inlineStr">
        <is>
          <t>Mardi</t>
        </is>
      </c>
      <c r="K291" s="29" t="inlineStr">
        <is>
          <t>15h05</t>
        </is>
      </c>
      <c r="L291" s="29" t="inlineStr">
        <is>
          <t>17h05</t>
        </is>
      </c>
      <c r="M291" s="29" t="n"/>
      <c r="N291" s="29" t="n">
        <v>8</v>
      </c>
    </row>
    <row r="292" ht="15" customHeight="1" s="22">
      <c r="A292" s="29" t="inlineStr">
        <is>
          <t>S290</t>
        </is>
      </c>
      <c r="B292" s="29" t="inlineStr">
        <is>
          <t>2025-2026</t>
        </is>
      </c>
      <c r="C292" s="29" t="inlineStr">
        <is>
          <t>5</t>
        </is>
      </c>
      <c r="D292" s="29" t="inlineStr">
        <is>
          <t>Soins infirmiers</t>
        </is>
      </c>
      <c r="E292" s="29" t="inlineStr">
        <is>
          <t>L3</t>
        </is>
      </c>
      <c r="F292" s="29" t="inlineStr">
        <is>
          <t>S.I</t>
        </is>
      </c>
      <c r="G292" s="29" t="inlineStr">
        <is>
          <t>Gestion des catastrophes/Fléaux sociaux</t>
        </is>
      </c>
      <c r="H292" s="29" t="inlineStr">
        <is>
          <t>Daniel Ali Soumaïla (Chef de département S.I)</t>
        </is>
      </c>
      <c r="I292" s="29" t="inlineStr"/>
      <c r="J292" s="29" t="inlineStr">
        <is>
          <t>Mardi</t>
        </is>
      </c>
      <c r="K292" s="29" t="inlineStr">
        <is>
          <t>15h05</t>
        </is>
      </c>
      <c r="L292" s="29" t="inlineStr">
        <is>
          <t>17h05</t>
        </is>
      </c>
      <c r="M292" s="29" t="n"/>
      <c r="N292" s="29" t="n">
        <v>4</v>
      </c>
    </row>
    <row r="293" ht="15" customHeight="1" s="22">
      <c r="A293" s="29" t="inlineStr">
        <is>
          <t>S291</t>
        </is>
      </c>
      <c r="B293" s="29" t="inlineStr">
        <is>
          <t>2025-2026</t>
        </is>
      </c>
      <c r="C293" s="29" t="inlineStr">
        <is>
          <t>5</t>
        </is>
      </c>
      <c r="D293" s="29" t="inlineStr">
        <is>
          <t>Soins infirmiers</t>
        </is>
      </c>
      <c r="E293" s="29" t="inlineStr">
        <is>
          <t>L3</t>
        </is>
      </c>
      <c r="F293" s="29" t="inlineStr">
        <is>
          <t>S.I</t>
        </is>
      </c>
      <c r="G293" s="29" t="inlineStr">
        <is>
          <t>Imagerie médicale</t>
        </is>
      </c>
      <c r="H293" s="29" t="inlineStr"/>
      <c r="I293" s="29" t="inlineStr"/>
      <c r="J293" s="29" t="inlineStr">
        <is>
          <t>Mardi</t>
        </is>
      </c>
      <c r="K293" s="29" t="inlineStr">
        <is>
          <t>15h05</t>
        </is>
      </c>
      <c r="L293" s="29" t="inlineStr">
        <is>
          <t>17h05</t>
        </is>
      </c>
      <c r="M293" s="29" t="n"/>
      <c r="N293" s="29" t="n">
        <v>12</v>
      </c>
    </row>
    <row r="294" ht="15" customHeight="1" s="22">
      <c r="A294" s="29" t="inlineStr">
        <is>
          <t>S292</t>
        </is>
      </c>
      <c r="B294" s="29" t="inlineStr">
        <is>
          <t>2025-2026</t>
        </is>
      </c>
      <c r="C294" s="29" t="inlineStr">
        <is>
          <t>5</t>
        </is>
      </c>
      <c r="D294" s="29" t="inlineStr">
        <is>
          <t>Soins infirmiers</t>
        </is>
      </c>
      <c r="E294" s="29" t="inlineStr">
        <is>
          <t>L3</t>
        </is>
      </c>
      <c r="F294" s="29" t="inlineStr">
        <is>
          <t>S.I</t>
        </is>
      </c>
      <c r="G294" s="29" t="inlineStr">
        <is>
          <t>Pharmacologie et thérapeutiques des pathologies spéciales</t>
        </is>
      </c>
      <c r="H294" s="29" t="inlineStr">
        <is>
          <t>Dr Youssouf Mahamoudou</t>
        </is>
      </c>
      <c r="I294" s="29" t="inlineStr"/>
      <c r="J294" s="29" t="inlineStr">
        <is>
          <t>Mardi</t>
        </is>
      </c>
      <c r="K294" s="29" t="inlineStr">
        <is>
          <t>15h05</t>
        </is>
      </c>
      <c r="L294" s="29" t="inlineStr">
        <is>
          <t>17h05</t>
        </is>
      </c>
      <c r="M294" s="29" t="n"/>
      <c r="N294" s="29" t="n">
        <v>2</v>
      </c>
    </row>
    <row r="295" ht="15" customHeight="1" s="22">
      <c r="A295" s="29" t="inlineStr">
        <is>
          <t>S293</t>
        </is>
      </c>
      <c r="B295" s="29" t="inlineStr">
        <is>
          <t>2025-2026</t>
        </is>
      </c>
      <c r="C295" s="29" t="inlineStr">
        <is>
          <t>5</t>
        </is>
      </c>
      <c r="D295" s="29" t="inlineStr">
        <is>
          <t>Soins infirmiers</t>
        </is>
      </c>
      <c r="E295" s="29" t="inlineStr">
        <is>
          <t>L3</t>
        </is>
      </c>
      <c r="F295" s="29" t="inlineStr">
        <is>
          <t>S.I</t>
        </is>
      </c>
      <c r="G295" s="29" t="inlineStr">
        <is>
          <t>Psychologie</t>
        </is>
      </c>
      <c r="H295" s="29" t="inlineStr">
        <is>
          <t>Mme Houzaimata Ahamada</t>
        </is>
      </c>
      <c r="I295" s="29" t="inlineStr"/>
      <c r="J295" s="29" t="inlineStr">
        <is>
          <t>Mardi</t>
        </is>
      </c>
      <c r="K295" s="29" t="inlineStr">
        <is>
          <t>15h05</t>
        </is>
      </c>
      <c r="L295" s="29" t="inlineStr">
        <is>
          <t>17h05</t>
        </is>
      </c>
      <c r="M295" s="29" t="n"/>
      <c r="N295" s="29" t="n">
        <v>2</v>
      </c>
    </row>
    <row r="296" ht="15" customHeight="1" s="22">
      <c r="A296" s="29" t="inlineStr">
        <is>
          <t>S294</t>
        </is>
      </c>
      <c r="B296" s="29" t="inlineStr">
        <is>
          <t>2025-2026</t>
        </is>
      </c>
      <c r="C296" s="29" t="inlineStr">
        <is>
          <t>5</t>
        </is>
      </c>
      <c r="D296" s="29" t="inlineStr">
        <is>
          <t>Soins infirmiers</t>
        </is>
      </c>
      <c r="E296" s="29" t="inlineStr">
        <is>
          <t>L3</t>
        </is>
      </c>
      <c r="F296" s="29" t="inlineStr">
        <is>
          <t>S.I</t>
        </is>
      </c>
      <c r="G296" s="29" t="inlineStr">
        <is>
          <t>Maladies et problèmes communs liés à la santé sexuelle et reproductive</t>
        </is>
      </c>
      <c r="H296" s="29" t="inlineStr"/>
      <c r="I296" s="29" t="inlineStr"/>
      <c r="J296" s="29" t="inlineStr">
        <is>
          <t>Mardi</t>
        </is>
      </c>
      <c r="K296" s="29" t="inlineStr">
        <is>
          <t>8h00</t>
        </is>
      </c>
      <c r="L296" s="29" t="inlineStr">
        <is>
          <t>10h00</t>
        </is>
      </c>
      <c r="M296" s="29" t="n"/>
      <c r="N296" s="29" t="n">
        <v>2</v>
      </c>
    </row>
    <row r="297" ht="15" customHeight="1" s="22">
      <c r="A297" s="29" t="inlineStr">
        <is>
          <t>S295</t>
        </is>
      </c>
      <c r="B297" s="29" t="inlineStr">
        <is>
          <t>2025-2026</t>
        </is>
      </c>
      <c r="C297" s="29" t="inlineStr">
        <is>
          <t>5</t>
        </is>
      </c>
      <c r="D297" s="29" t="inlineStr">
        <is>
          <t>Soins infirmiers</t>
        </is>
      </c>
      <c r="E297" s="29" t="inlineStr">
        <is>
          <t>L3</t>
        </is>
      </c>
      <c r="F297" s="29" t="inlineStr">
        <is>
          <t>S.I</t>
        </is>
      </c>
      <c r="G297" s="29" t="inlineStr">
        <is>
          <t>Pathologies ophtalmologiques</t>
        </is>
      </c>
      <c r="H297" s="29" t="inlineStr">
        <is>
          <t>Dr Mohamed Chanfi</t>
        </is>
      </c>
      <c r="I297" s="29" t="inlineStr"/>
      <c r="J297" s="29" t="inlineStr">
        <is>
          <t>Mardi</t>
        </is>
      </c>
      <c r="K297" s="29" t="inlineStr">
        <is>
          <t>8h00</t>
        </is>
      </c>
      <c r="L297" s="29" t="inlineStr">
        <is>
          <t>10h00</t>
        </is>
      </c>
      <c r="M297" s="29" t="n"/>
      <c r="N297" s="29" t="n">
        <v>10</v>
      </c>
    </row>
    <row r="298" ht="15" customHeight="1" s="22">
      <c r="A298" s="29" t="inlineStr">
        <is>
          <t>S296</t>
        </is>
      </c>
      <c r="B298" s="29" t="inlineStr">
        <is>
          <t>2025-2026</t>
        </is>
      </c>
      <c r="C298" s="29" t="inlineStr">
        <is>
          <t>5</t>
        </is>
      </c>
      <c r="D298" s="29" t="inlineStr">
        <is>
          <t>Soins infirmiers</t>
        </is>
      </c>
      <c r="E298" s="29" t="inlineStr">
        <is>
          <t>L3</t>
        </is>
      </c>
      <c r="F298" s="29" t="inlineStr">
        <is>
          <t>S.I</t>
        </is>
      </c>
      <c r="G298" s="29" t="inlineStr">
        <is>
          <t>S.I endocrinilogie</t>
        </is>
      </c>
      <c r="H298" s="29" t="inlineStr"/>
      <c r="I298" s="29" t="inlineStr"/>
      <c r="J298" s="29" t="inlineStr">
        <is>
          <t>Mardi</t>
        </is>
      </c>
      <c r="K298" s="29" t="inlineStr">
        <is>
          <t>8h00</t>
        </is>
      </c>
      <c r="L298" s="29" t="inlineStr">
        <is>
          <t>10h00</t>
        </is>
      </c>
      <c r="M298" s="29" t="n"/>
      <c r="N298" s="29" t="n">
        <v>4</v>
      </c>
    </row>
    <row r="299" ht="15" customHeight="1" s="22">
      <c r="A299" s="29" t="inlineStr">
        <is>
          <t>S297</t>
        </is>
      </c>
      <c r="B299" s="29" t="inlineStr">
        <is>
          <t>2025-2026</t>
        </is>
      </c>
      <c r="C299" s="29" t="inlineStr">
        <is>
          <t>5</t>
        </is>
      </c>
      <c r="D299" s="29" t="inlineStr">
        <is>
          <t>Soins infirmiers</t>
        </is>
      </c>
      <c r="E299" s="29" t="inlineStr">
        <is>
          <t>L3</t>
        </is>
      </c>
      <c r="F299" s="29" t="inlineStr">
        <is>
          <t>S.I</t>
        </is>
      </c>
      <c r="G299" s="29" t="inlineStr">
        <is>
          <t>Santé sexuelle et reproductive et droit connexes</t>
        </is>
      </c>
      <c r="H299" s="29" t="inlineStr"/>
      <c r="I299" s="29" t="inlineStr"/>
      <c r="J299" s="29" t="inlineStr">
        <is>
          <t>Mardi</t>
        </is>
      </c>
      <c r="K299" s="29" t="inlineStr">
        <is>
          <t>8h00</t>
        </is>
      </c>
      <c r="L299" s="29" t="inlineStr">
        <is>
          <t>10h00</t>
        </is>
      </c>
      <c r="M299" s="29" t="n"/>
      <c r="N299" s="29" t="n">
        <v>4</v>
      </c>
    </row>
    <row r="300" ht="15" customHeight="1" s="22">
      <c r="A300" s="29" t="inlineStr">
        <is>
          <t>S298</t>
        </is>
      </c>
      <c r="B300" s="29" t="inlineStr">
        <is>
          <t>2025-2026</t>
        </is>
      </c>
      <c r="C300" s="29" t="inlineStr">
        <is>
          <t>5</t>
        </is>
      </c>
      <c r="D300" s="29" t="inlineStr">
        <is>
          <t>Soins infirmiers</t>
        </is>
      </c>
      <c r="E300" s="29" t="inlineStr">
        <is>
          <t>L3</t>
        </is>
      </c>
      <c r="F300" s="29" t="inlineStr">
        <is>
          <t>S.I</t>
        </is>
      </c>
      <c r="G300" s="29" t="inlineStr">
        <is>
          <t>TD Maladies et problèmes communs liés à la santé sexuelle et reproductive</t>
        </is>
      </c>
      <c r="H300" s="29" t="inlineStr"/>
      <c r="I300" s="29" t="inlineStr"/>
      <c r="J300" s="29" t="inlineStr">
        <is>
          <t>Mardi</t>
        </is>
      </c>
      <c r="K300" s="29" t="inlineStr">
        <is>
          <t>8h00</t>
        </is>
      </c>
      <c r="L300" s="29" t="inlineStr">
        <is>
          <t>10h00</t>
        </is>
      </c>
      <c r="M300" s="29" t="n"/>
      <c r="N300" s="29" t="n">
        <v>2</v>
      </c>
    </row>
    <row r="301">
      <c r="A301" t="inlineStr">
        <is>
          <t>S299</t>
        </is>
      </c>
      <c r="B301" t="inlineStr">
        <is>
          <t>2025-2026</t>
        </is>
      </c>
      <c r="C301" t="inlineStr">
        <is>
          <t>5</t>
        </is>
      </c>
      <c r="D301" t="inlineStr">
        <is>
          <t>Soins infirmiers</t>
        </is>
      </c>
      <c r="E301" t="inlineStr">
        <is>
          <t>L3</t>
        </is>
      </c>
      <c r="F301" t="inlineStr">
        <is>
          <t>S.I</t>
        </is>
      </c>
      <c r="G301" t="inlineStr">
        <is>
          <t>TD Pathologies ORL</t>
        </is>
      </c>
      <c r="H301" t="inlineStr"/>
      <c r="I301" t="inlineStr"/>
      <c r="J301" t="inlineStr">
        <is>
          <t>Mardi</t>
        </is>
      </c>
      <c r="K301" t="inlineStr">
        <is>
          <t>8h00</t>
        </is>
      </c>
      <c r="L301" t="inlineStr">
        <is>
          <t>10h00</t>
        </is>
      </c>
      <c r="N301" t="n">
        <v>2</v>
      </c>
    </row>
    <row r="302">
      <c r="A302" t="inlineStr">
        <is>
          <t>S300</t>
        </is>
      </c>
      <c r="B302" t="inlineStr">
        <is>
          <t>2025-2026</t>
        </is>
      </c>
      <c r="C302" t="inlineStr">
        <is>
          <t>5</t>
        </is>
      </c>
      <c r="D302" t="inlineStr">
        <is>
          <t>Soins infirmiers</t>
        </is>
      </c>
      <c r="E302" t="inlineStr">
        <is>
          <t>L3</t>
        </is>
      </c>
      <c r="F302" t="inlineStr">
        <is>
          <t>S.I</t>
        </is>
      </c>
      <c r="G302" t="inlineStr">
        <is>
          <t>TD Santé sexuelle et reproductive et droit connexes</t>
        </is>
      </c>
      <c r="H302" t="inlineStr"/>
      <c r="I302" t="inlineStr"/>
      <c r="J302" t="inlineStr">
        <is>
          <t>Mardi</t>
        </is>
      </c>
      <c r="K302" t="inlineStr">
        <is>
          <t>8h00</t>
        </is>
      </c>
      <c r="L302" t="inlineStr">
        <is>
          <t>10h00</t>
        </is>
      </c>
      <c r="N302" t="n">
        <v>2</v>
      </c>
    </row>
    <row r="303">
      <c r="A303" t="inlineStr">
        <is>
          <t>S301</t>
        </is>
      </c>
      <c r="B303" t="inlineStr">
        <is>
          <t>2025-2026</t>
        </is>
      </c>
      <c r="C303" t="inlineStr">
        <is>
          <t>5</t>
        </is>
      </c>
      <c r="D303" t="inlineStr">
        <is>
          <t>Soins infirmiers</t>
        </is>
      </c>
      <c r="E303" t="inlineStr">
        <is>
          <t>L3</t>
        </is>
      </c>
      <c r="F303" t="inlineStr">
        <is>
          <t>S.I</t>
        </is>
      </c>
      <c r="G303" t="inlineStr">
        <is>
          <t>TD athologies ophtalmologiques</t>
        </is>
      </c>
      <c r="H303" t="inlineStr"/>
      <c r="I303" t="inlineStr"/>
      <c r="J303" t="inlineStr">
        <is>
          <t>Mardi</t>
        </is>
      </c>
      <c r="K303" t="inlineStr">
        <is>
          <t>8h00</t>
        </is>
      </c>
      <c r="L303" t="inlineStr">
        <is>
          <t>10h00</t>
        </is>
      </c>
      <c r="N303" t="n">
        <v>2</v>
      </c>
    </row>
    <row r="304">
      <c r="A304" t="inlineStr">
        <is>
          <t>S302</t>
        </is>
      </c>
      <c r="B304" t="inlineStr">
        <is>
          <t>2025-2026</t>
        </is>
      </c>
      <c r="C304" t="inlineStr">
        <is>
          <t>5</t>
        </is>
      </c>
      <c r="D304" t="inlineStr">
        <is>
          <t>Soins infirmiers</t>
        </is>
      </c>
      <c r="E304" t="inlineStr">
        <is>
          <t>L3</t>
        </is>
      </c>
      <c r="F304" t="inlineStr">
        <is>
          <t>S.I</t>
        </is>
      </c>
      <c r="G304" t="inlineStr">
        <is>
          <t>Compétences pratiques</t>
        </is>
      </c>
      <c r="H304" t="inlineStr"/>
      <c r="I304" t="inlineStr"/>
      <c r="J304" t="inlineStr">
        <is>
          <t>Mercredi</t>
        </is>
      </c>
      <c r="K304" t="inlineStr">
        <is>
          <t>10h05</t>
        </is>
      </c>
      <c r="L304" t="inlineStr">
        <is>
          <t>12h05</t>
        </is>
      </c>
      <c r="N304" t="n">
        <v>6</v>
      </c>
    </row>
    <row r="305">
      <c r="A305" t="inlineStr">
        <is>
          <t>S303</t>
        </is>
      </c>
      <c r="B305" t="inlineStr">
        <is>
          <t>2025-2026</t>
        </is>
      </c>
      <c r="C305" t="inlineStr">
        <is>
          <t>5</t>
        </is>
      </c>
      <c r="D305" t="inlineStr">
        <is>
          <t>Soins infirmiers</t>
        </is>
      </c>
      <c r="E305" t="inlineStr">
        <is>
          <t>L3</t>
        </is>
      </c>
      <c r="F305" t="inlineStr">
        <is>
          <t>S.I</t>
        </is>
      </c>
      <c r="G305" t="inlineStr">
        <is>
          <t>Démographie en SRMNIA</t>
        </is>
      </c>
      <c r="H305" t="inlineStr">
        <is>
          <t>HALIMA ABDALLAH</t>
        </is>
      </c>
      <c r="I305" t="inlineStr"/>
      <c r="J305" t="inlineStr">
        <is>
          <t>Mercredi</t>
        </is>
      </c>
      <c r="K305" t="inlineStr">
        <is>
          <t>10h05</t>
        </is>
      </c>
      <c r="L305" t="inlineStr">
        <is>
          <t>12h05</t>
        </is>
      </c>
      <c r="N305" t="n">
        <v>2</v>
      </c>
    </row>
    <row r="306">
      <c r="A306" t="inlineStr">
        <is>
          <t>S304</t>
        </is>
      </c>
      <c r="B306" t="inlineStr">
        <is>
          <t>2025-2026</t>
        </is>
      </c>
      <c r="C306" t="inlineStr">
        <is>
          <t>5</t>
        </is>
      </c>
      <c r="D306" t="inlineStr">
        <is>
          <t>Soins infirmiers</t>
        </is>
      </c>
      <c r="E306" t="inlineStr">
        <is>
          <t>L3</t>
        </is>
      </c>
      <c r="F306" t="inlineStr">
        <is>
          <t>S.I</t>
        </is>
      </c>
      <c r="G306" t="inlineStr">
        <is>
          <t>Gestion des services de santé</t>
        </is>
      </c>
      <c r="H306" t="inlineStr">
        <is>
          <t>HALIMA ABDALLAH</t>
        </is>
      </c>
      <c r="I306" t="inlineStr"/>
      <c r="J306" t="inlineStr">
        <is>
          <t>Mercredi</t>
        </is>
      </c>
      <c r="K306" t="inlineStr">
        <is>
          <t>10h05</t>
        </is>
      </c>
      <c r="L306" t="inlineStr">
        <is>
          <t>12h05</t>
        </is>
      </c>
      <c r="N306" t="n">
        <v>4</v>
      </c>
    </row>
    <row r="307">
      <c r="A307" t="inlineStr">
        <is>
          <t>S305</t>
        </is>
      </c>
      <c r="B307" t="inlineStr">
        <is>
          <t>2025-2026</t>
        </is>
      </c>
      <c r="C307" t="inlineStr">
        <is>
          <t>5</t>
        </is>
      </c>
      <c r="D307" t="inlineStr">
        <is>
          <t>Soins infirmiers</t>
        </is>
      </c>
      <c r="E307" t="inlineStr">
        <is>
          <t>L3</t>
        </is>
      </c>
      <c r="F307" t="inlineStr">
        <is>
          <t>S.I</t>
        </is>
      </c>
      <c r="G307" t="inlineStr">
        <is>
          <t>Maladies et problèmes communs liés à la santé sexuelle et reproductive</t>
        </is>
      </c>
      <c r="H307" t="inlineStr"/>
      <c r="I307" t="inlineStr"/>
      <c r="J307" t="inlineStr">
        <is>
          <t>Mercredi</t>
        </is>
      </c>
      <c r="K307" t="inlineStr">
        <is>
          <t>10h05</t>
        </is>
      </c>
      <c r="L307" t="inlineStr">
        <is>
          <t>12h05</t>
        </is>
      </c>
      <c r="N307" t="n">
        <v>6</v>
      </c>
    </row>
    <row r="308">
      <c r="A308" t="inlineStr">
        <is>
          <t>S306</t>
        </is>
      </c>
      <c r="B308" t="inlineStr">
        <is>
          <t>2025-2026</t>
        </is>
      </c>
      <c r="C308" t="inlineStr">
        <is>
          <t>5</t>
        </is>
      </c>
      <c r="D308" t="inlineStr">
        <is>
          <t>Soins infirmiers</t>
        </is>
      </c>
      <c r="E308" t="inlineStr">
        <is>
          <t>L3</t>
        </is>
      </c>
      <c r="F308" t="inlineStr">
        <is>
          <t>S.I</t>
        </is>
      </c>
      <c r="G308" t="inlineStr">
        <is>
          <t>Pathologies dermatologiques</t>
        </is>
      </c>
      <c r="H308" t="inlineStr">
        <is>
          <t>Irina Ismaïla Abdou</t>
        </is>
      </c>
      <c r="I308" t="inlineStr"/>
      <c r="J308" t="inlineStr">
        <is>
          <t>Mercredi</t>
        </is>
      </c>
      <c r="K308" t="inlineStr">
        <is>
          <t>10h05</t>
        </is>
      </c>
      <c r="L308" t="inlineStr">
        <is>
          <t>12h05</t>
        </is>
      </c>
      <c r="N308" t="n">
        <v>2</v>
      </c>
    </row>
    <row r="309">
      <c r="A309" t="inlineStr">
        <is>
          <t>S307</t>
        </is>
      </c>
      <c r="B309" t="inlineStr">
        <is>
          <t>2025-2026</t>
        </is>
      </c>
      <c r="C309" t="inlineStr">
        <is>
          <t>5</t>
        </is>
      </c>
      <c r="D309" t="inlineStr">
        <is>
          <t>Soins infirmiers</t>
        </is>
      </c>
      <c r="E309" t="inlineStr">
        <is>
          <t>L3</t>
        </is>
      </c>
      <c r="F309" t="inlineStr">
        <is>
          <t>S.I</t>
        </is>
      </c>
      <c r="G309" t="inlineStr">
        <is>
          <t>S.I Stomatologies</t>
        </is>
      </c>
      <c r="H309" t="inlineStr">
        <is>
          <t>HALIMA ABDALLAH</t>
        </is>
      </c>
      <c r="I309" t="inlineStr"/>
      <c r="J309" t="inlineStr">
        <is>
          <t>Mercredi</t>
        </is>
      </c>
      <c r="K309" t="inlineStr">
        <is>
          <t>10h05</t>
        </is>
      </c>
      <c r="L309" t="inlineStr">
        <is>
          <t>12h05</t>
        </is>
      </c>
      <c r="N309" t="n">
        <v>2</v>
      </c>
    </row>
    <row r="310">
      <c r="A310" t="inlineStr">
        <is>
          <t>S308</t>
        </is>
      </c>
      <c r="B310" t="inlineStr">
        <is>
          <t>2025-2026</t>
        </is>
      </c>
      <c r="C310" t="inlineStr">
        <is>
          <t>5</t>
        </is>
      </c>
      <c r="D310" t="inlineStr">
        <is>
          <t>Soins infirmiers</t>
        </is>
      </c>
      <c r="E310" t="inlineStr">
        <is>
          <t>L3</t>
        </is>
      </c>
      <c r="F310" t="inlineStr">
        <is>
          <t>S.I</t>
        </is>
      </c>
      <c r="G310" t="inlineStr">
        <is>
          <t>S.I en ORL</t>
        </is>
      </c>
      <c r="H310" t="inlineStr"/>
      <c r="I310" t="inlineStr"/>
      <c r="J310" t="inlineStr">
        <is>
          <t>Mercredi</t>
        </is>
      </c>
      <c r="K310" t="inlineStr">
        <is>
          <t>10h05</t>
        </is>
      </c>
      <c r="L310" t="inlineStr">
        <is>
          <t>12h05</t>
        </is>
      </c>
      <c r="N310" t="n">
        <v>2</v>
      </c>
    </row>
    <row r="311">
      <c r="A311" t="inlineStr">
        <is>
          <t>S309</t>
        </is>
      </c>
      <c r="B311" t="inlineStr">
        <is>
          <t>2025-2026</t>
        </is>
      </c>
      <c r="C311" t="inlineStr">
        <is>
          <t>5</t>
        </is>
      </c>
      <c r="D311" t="inlineStr">
        <is>
          <t>Soins infirmiers</t>
        </is>
      </c>
      <c r="E311" t="inlineStr">
        <is>
          <t>L3</t>
        </is>
      </c>
      <c r="F311" t="inlineStr">
        <is>
          <t>S.I</t>
        </is>
      </c>
      <c r="G311" t="inlineStr">
        <is>
          <t>Santé sexuelle et reproductive et droit connexes</t>
        </is>
      </c>
      <c r="H311" t="inlineStr"/>
      <c r="I311" t="inlineStr"/>
      <c r="J311" t="inlineStr">
        <is>
          <t>Mercredi</t>
        </is>
      </c>
      <c r="K311" t="inlineStr">
        <is>
          <t>10h05</t>
        </is>
      </c>
      <c r="L311" t="inlineStr">
        <is>
          <t>12h05</t>
        </is>
      </c>
      <c r="N311" t="n">
        <v>4</v>
      </c>
    </row>
    <row r="312">
      <c r="A312" t="inlineStr">
        <is>
          <t>S310</t>
        </is>
      </c>
      <c r="B312" t="inlineStr">
        <is>
          <t>2025-2026</t>
        </is>
      </c>
      <c r="C312" t="inlineStr">
        <is>
          <t>5</t>
        </is>
      </c>
      <c r="D312" t="inlineStr">
        <is>
          <t>Soins infirmiers</t>
        </is>
      </c>
      <c r="E312" t="inlineStr">
        <is>
          <t>L3</t>
        </is>
      </c>
      <c r="F312" t="inlineStr">
        <is>
          <t>S.I</t>
        </is>
      </c>
      <c r="G312" t="inlineStr">
        <is>
          <t>Cancerologie</t>
        </is>
      </c>
      <c r="H312" t="inlineStr">
        <is>
          <t>Dr Ahamada Widade</t>
        </is>
      </c>
      <c r="I312" t="inlineStr"/>
      <c r="J312" t="inlineStr">
        <is>
          <t>Mercredi</t>
        </is>
      </c>
      <c r="K312" t="inlineStr">
        <is>
          <t>13h00</t>
        </is>
      </c>
      <c r="L312" t="inlineStr">
        <is>
          <t>15h00</t>
        </is>
      </c>
      <c r="N312" t="n">
        <v>2</v>
      </c>
    </row>
    <row r="313">
      <c r="A313" t="inlineStr">
        <is>
          <t>S311</t>
        </is>
      </c>
      <c r="B313" t="inlineStr">
        <is>
          <t>2025-2026</t>
        </is>
      </c>
      <c r="C313" t="inlineStr">
        <is>
          <t>5</t>
        </is>
      </c>
      <c r="D313" t="inlineStr">
        <is>
          <t>Soins infirmiers</t>
        </is>
      </c>
      <c r="E313" t="inlineStr">
        <is>
          <t>L3</t>
        </is>
      </c>
      <c r="F313" t="inlineStr">
        <is>
          <t>S.I</t>
        </is>
      </c>
      <c r="G313" t="inlineStr">
        <is>
          <t>Gestion des services de santé</t>
        </is>
      </c>
      <c r="H313" t="inlineStr">
        <is>
          <t>HALIMA ABDALLAH</t>
        </is>
      </c>
      <c r="I313" t="inlineStr"/>
      <c r="J313" t="inlineStr">
        <is>
          <t>Mercredi</t>
        </is>
      </c>
      <c r="K313" t="inlineStr">
        <is>
          <t>13h00</t>
        </is>
      </c>
      <c r="L313" t="inlineStr">
        <is>
          <t>15h00</t>
        </is>
      </c>
      <c r="N313" t="n">
        <v>2</v>
      </c>
    </row>
    <row r="314">
      <c r="A314" t="inlineStr">
        <is>
          <t>S312</t>
        </is>
      </c>
      <c r="B314" t="inlineStr">
        <is>
          <t>2025-2026</t>
        </is>
      </c>
      <c r="C314" t="inlineStr">
        <is>
          <t>5</t>
        </is>
      </c>
      <c r="D314" t="inlineStr">
        <is>
          <t>Soins infirmiers</t>
        </is>
      </c>
      <c r="E314" t="inlineStr">
        <is>
          <t>L3</t>
        </is>
      </c>
      <c r="F314" t="inlineStr">
        <is>
          <t>S.I</t>
        </is>
      </c>
      <c r="G314" t="inlineStr">
        <is>
          <t>Psychologie</t>
        </is>
      </c>
      <c r="H314" t="inlineStr">
        <is>
          <t>Mme Houzaimata Ahamada</t>
        </is>
      </c>
      <c r="I314" t="inlineStr"/>
      <c r="J314" t="inlineStr">
        <is>
          <t>Mercredi</t>
        </is>
      </c>
      <c r="K314" t="inlineStr">
        <is>
          <t>13h00</t>
        </is>
      </c>
      <c r="L314" t="inlineStr">
        <is>
          <t>15h00</t>
        </is>
      </c>
      <c r="N314" t="n">
        <v>4</v>
      </c>
    </row>
    <row r="315">
      <c r="A315" t="inlineStr">
        <is>
          <t>S313</t>
        </is>
      </c>
      <c r="B315" t="inlineStr">
        <is>
          <t>2025-2026</t>
        </is>
      </c>
      <c r="C315" t="inlineStr">
        <is>
          <t>5</t>
        </is>
      </c>
      <c r="D315" t="inlineStr">
        <is>
          <t>Soins infirmiers</t>
        </is>
      </c>
      <c r="E315" t="inlineStr">
        <is>
          <t>L3</t>
        </is>
      </c>
      <c r="F315" t="inlineStr">
        <is>
          <t>S.I</t>
        </is>
      </c>
      <c r="G315" t="inlineStr">
        <is>
          <t>S.I en oncologies</t>
        </is>
      </c>
      <c r="H315" t="inlineStr"/>
      <c r="I315" t="inlineStr"/>
      <c r="J315" t="inlineStr">
        <is>
          <t>Mercredi</t>
        </is>
      </c>
      <c r="K315" t="inlineStr">
        <is>
          <t>13h00</t>
        </is>
      </c>
      <c r="L315" t="inlineStr">
        <is>
          <t>15h00</t>
        </is>
      </c>
      <c r="N315" t="n">
        <v>2</v>
      </c>
    </row>
    <row r="316">
      <c r="A316" t="inlineStr">
        <is>
          <t>S314</t>
        </is>
      </c>
      <c r="B316" t="inlineStr">
        <is>
          <t>2025-2026</t>
        </is>
      </c>
      <c r="C316" t="inlineStr">
        <is>
          <t>5</t>
        </is>
      </c>
      <c r="D316" t="inlineStr">
        <is>
          <t>Soins infirmiers</t>
        </is>
      </c>
      <c r="E316" t="inlineStr">
        <is>
          <t>L3</t>
        </is>
      </c>
      <c r="F316" t="inlineStr">
        <is>
          <t>S.I</t>
        </is>
      </c>
      <c r="G316" t="inlineStr">
        <is>
          <t>S.I endocrinilogie</t>
        </is>
      </c>
      <c r="H316" t="inlineStr"/>
      <c r="I316" t="inlineStr"/>
      <c r="J316" t="inlineStr">
        <is>
          <t>Mercredi</t>
        </is>
      </c>
      <c r="K316" t="inlineStr">
        <is>
          <t>13h00</t>
        </is>
      </c>
      <c r="L316" t="inlineStr">
        <is>
          <t>15h00</t>
        </is>
      </c>
      <c r="N316" t="n">
        <v>4</v>
      </c>
    </row>
    <row r="317">
      <c r="A317" t="inlineStr">
        <is>
          <t>S315</t>
        </is>
      </c>
      <c r="B317" t="inlineStr">
        <is>
          <t>2025-2026</t>
        </is>
      </c>
      <c r="C317" t="inlineStr">
        <is>
          <t>5</t>
        </is>
      </c>
      <c r="D317" t="inlineStr">
        <is>
          <t>Soins infirmiers</t>
        </is>
      </c>
      <c r="E317" t="inlineStr">
        <is>
          <t>L3</t>
        </is>
      </c>
      <c r="F317" t="inlineStr">
        <is>
          <t>S.I</t>
        </is>
      </c>
      <c r="G317" t="inlineStr">
        <is>
          <t>Sociologie &amp; Athropologie</t>
        </is>
      </c>
      <c r="H317" t="inlineStr"/>
      <c r="I317" t="inlineStr"/>
      <c r="J317" t="inlineStr">
        <is>
          <t>Mercredi</t>
        </is>
      </c>
      <c r="K317" t="inlineStr">
        <is>
          <t>13h00</t>
        </is>
      </c>
      <c r="L317" t="inlineStr">
        <is>
          <t>15h00</t>
        </is>
      </c>
      <c r="N317" t="n">
        <v>4</v>
      </c>
    </row>
    <row r="318">
      <c r="A318" t="inlineStr">
        <is>
          <t>S316</t>
        </is>
      </c>
      <c r="B318" t="inlineStr">
        <is>
          <t>2025-2026</t>
        </is>
      </c>
      <c r="C318" t="inlineStr">
        <is>
          <t>5</t>
        </is>
      </c>
      <c r="D318" t="inlineStr">
        <is>
          <t>Soins infirmiers</t>
        </is>
      </c>
      <c r="E318" t="inlineStr">
        <is>
          <t>L3</t>
        </is>
      </c>
      <c r="F318" t="inlineStr">
        <is>
          <t>S.I</t>
        </is>
      </c>
      <c r="G318" t="inlineStr">
        <is>
          <t>Stomatologie</t>
        </is>
      </c>
      <c r="H318" t="inlineStr"/>
      <c r="I318" t="inlineStr"/>
      <c r="J318" t="inlineStr">
        <is>
          <t>Mercredi</t>
        </is>
      </c>
      <c r="K318" t="inlineStr">
        <is>
          <t>13h00</t>
        </is>
      </c>
      <c r="L318" t="inlineStr">
        <is>
          <t>15h00</t>
        </is>
      </c>
      <c r="N318" t="n">
        <v>4</v>
      </c>
    </row>
    <row r="319">
      <c r="A319" t="inlineStr">
        <is>
          <t>S317</t>
        </is>
      </c>
      <c r="B319" t="inlineStr">
        <is>
          <t>2025-2026</t>
        </is>
      </c>
      <c r="C319" t="inlineStr">
        <is>
          <t>5</t>
        </is>
      </c>
      <c r="D319" t="inlineStr">
        <is>
          <t>Soins infirmiers</t>
        </is>
      </c>
      <c r="E319" t="inlineStr">
        <is>
          <t>L3</t>
        </is>
      </c>
      <c r="F319" t="inlineStr">
        <is>
          <t>S.I</t>
        </is>
      </c>
      <c r="G319" t="inlineStr">
        <is>
          <t>TD Cancerologie</t>
        </is>
      </c>
      <c r="H319" t="inlineStr"/>
      <c r="I319" t="inlineStr"/>
      <c r="J319" t="inlineStr">
        <is>
          <t>Mercredi</t>
        </is>
      </c>
      <c r="K319" t="inlineStr">
        <is>
          <t>13h00</t>
        </is>
      </c>
      <c r="L319" t="inlineStr">
        <is>
          <t>15h00</t>
        </is>
      </c>
      <c r="N319" t="n">
        <v>2</v>
      </c>
    </row>
    <row r="320">
      <c r="A320" t="inlineStr">
        <is>
          <t>S318</t>
        </is>
      </c>
      <c r="B320" t="inlineStr">
        <is>
          <t>2025-2026</t>
        </is>
      </c>
      <c r="C320" t="inlineStr">
        <is>
          <t>5</t>
        </is>
      </c>
      <c r="D320" t="inlineStr">
        <is>
          <t>Soins infirmiers</t>
        </is>
      </c>
      <c r="E320" t="inlineStr">
        <is>
          <t>L3</t>
        </is>
      </c>
      <c r="F320" t="inlineStr">
        <is>
          <t>S.I</t>
        </is>
      </c>
      <c r="G320" t="inlineStr">
        <is>
          <t>TD Sociologie &amp; Athropologie</t>
        </is>
      </c>
      <c r="H320" t="inlineStr"/>
      <c r="I320" t="inlineStr"/>
      <c r="J320" t="inlineStr">
        <is>
          <t>Mercredi</t>
        </is>
      </c>
      <c r="K320" t="inlineStr">
        <is>
          <t>13h00</t>
        </is>
      </c>
      <c r="L320" t="inlineStr">
        <is>
          <t>15h00</t>
        </is>
      </c>
      <c r="N320" t="n">
        <v>2</v>
      </c>
    </row>
    <row r="321">
      <c r="A321" t="inlineStr">
        <is>
          <t>S319</t>
        </is>
      </c>
      <c r="B321" t="inlineStr">
        <is>
          <t>2025-2026</t>
        </is>
      </c>
      <c r="C321" t="inlineStr">
        <is>
          <t>5</t>
        </is>
      </c>
      <c r="D321" t="inlineStr">
        <is>
          <t>Soins infirmiers</t>
        </is>
      </c>
      <c r="E321" t="inlineStr">
        <is>
          <t>L3</t>
        </is>
      </c>
      <c r="F321" t="inlineStr">
        <is>
          <t>S.I</t>
        </is>
      </c>
      <c r="G321" t="inlineStr">
        <is>
          <t>TD Stomatologie</t>
        </is>
      </c>
      <c r="H321" t="inlineStr"/>
      <c r="I321" t="inlineStr"/>
      <c r="J321" t="inlineStr">
        <is>
          <t>Mercredi</t>
        </is>
      </c>
      <c r="K321" t="inlineStr">
        <is>
          <t>13h00</t>
        </is>
      </c>
      <c r="L321" t="inlineStr">
        <is>
          <t>15h00</t>
        </is>
      </c>
      <c r="N321" t="n">
        <v>2</v>
      </c>
    </row>
    <row r="322">
      <c r="A322" t="inlineStr">
        <is>
          <t>S320</t>
        </is>
      </c>
      <c r="B322" t="inlineStr">
        <is>
          <t>2025-2026</t>
        </is>
      </c>
      <c r="C322" t="inlineStr">
        <is>
          <t>5</t>
        </is>
      </c>
      <c r="D322" t="inlineStr">
        <is>
          <t>Soins infirmiers</t>
        </is>
      </c>
      <c r="E322" t="inlineStr">
        <is>
          <t>L3</t>
        </is>
      </c>
      <c r="F322" t="inlineStr">
        <is>
          <t>S.I</t>
        </is>
      </c>
      <c r="G322" t="inlineStr">
        <is>
          <t>Imagerie médicale</t>
        </is>
      </c>
      <c r="H322" t="inlineStr"/>
      <c r="I322" t="inlineStr"/>
      <c r="J322" t="inlineStr">
        <is>
          <t>Mercredi</t>
        </is>
      </c>
      <c r="K322" t="inlineStr">
        <is>
          <t>15h05</t>
        </is>
      </c>
      <c r="L322" t="inlineStr">
        <is>
          <t>17h05</t>
        </is>
      </c>
      <c r="N322" t="n">
        <v>10</v>
      </c>
    </row>
    <row r="323">
      <c r="A323" t="inlineStr">
        <is>
          <t>S321</t>
        </is>
      </c>
      <c r="B323" t="inlineStr">
        <is>
          <t>2025-2026</t>
        </is>
      </c>
      <c r="C323" t="inlineStr">
        <is>
          <t>5</t>
        </is>
      </c>
      <c r="D323" t="inlineStr">
        <is>
          <t>Soins infirmiers</t>
        </is>
      </c>
      <c r="E323" t="inlineStr">
        <is>
          <t>L3</t>
        </is>
      </c>
      <c r="F323" t="inlineStr">
        <is>
          <t>S.I</t>
        </is>
      </c>
      <c r="G323" t="inlineStr">
        <is>
          <t>Pharmacologie et thérapeutiques des pathologies spéciales</t>
        </is>
      </c>
      <c r="H323" t="inlineStr">
        <is>
          <t>Dr Youssouf Mahamoudou</t>
        </is>
      </c>
      <c r="I323" t="inlineStr"/>
      <c r="J323" t="inlineStr">
        <is>
          <t>Mercredi</t>
        </is>
      </c>
      <c r="K323" t="inlineStr">
        <is>
          <t>15h05</t>
        </is>
      </c>
      <c r="L323" t="inlineStr">
        <is>
          <t>17h05</t>
        </is>
      </c>
      <c r="N323" t="n">
        <v>18</v>
      </c>
    </row>
    <row r="324">
      <c r="A324" t="inlineStr">
        <is>
          <t>S322</t>
        </is>
      </c>
      <c r="B324" t="inlineStr">
        <is>
          <t>2025-2026</t>
        </is>
      </c>
      <c r="C324" t="inlineStr">
        <is>
          <t>5</t>
        </is>
      </c>
      <c r="D324" t="inlineStr">
        <is>
          <t>Soins infirmiers</t>
        </is>
      </c>
      <c r="E324" t="inlineStr">
        <is>
          <t>L3</t>
        </is>
      </c>
      <c r="F324" t="inlineStr">
        <is>
          <t>S.I</t>
        </is>
      </c>
      <c r="G324" t="inlineStr">
        <is>
          <t>Endocrinologie</t>
        </is>
      </c>
      <c r="H324" t="inlineStr"/>
      <c r="I324" t="inlineStr"/>
      <c r="J324" t="inlineStr">
        <is>
          <t>Mercredi</t>
        </is>
      </c>
      <c r="K324" t="inlineStr">
        <is>
          <t>8h00</t>
        </is>
      </c>
      <c r="L324" t="inlineStr">
        <is>
          <t>10h00</t>
        </is>
      </c>
      <c r="N324" t="n">
        <v>6</v>
      </c>
    </row>
    <row r="325">
      <c r="A325" t="inlineStr">
        <is>
          <t>S323</t>
        </is>
      </c>
      <c r="B325" t="inlineStr">
        <is>
          <t>2025-2026</t>
        </is>
      </c>
      <c r="C325" t="inlineStr">
        <is>
          <t>5</t>
        </is>
      </c>
      <c r="D325" t="inlineStr">
        <is>
          <t>Soins infirmiers</t>
        </is>
      </c>
      <c r="E325" t="inlineStr">
        <is>
          <t>L3</t>
        </is>
      </c>
      <c r="F325" t="inlineStr">
        <is>
          <t>S.I</t>
        </is>
      </c>
      <c r="G325" t="inlineStr">
        <is>
          <t>Pathologies ORL</t>
        </is>
      </c>
      <c r="H325" t="inlineStr"/>
      <c r="I325" t="inlineStr"/>
      <c r="J325" t="inlineStr">
        <is>
          <t>Mercredi</t>
        </is>
      </c>
      <c r="K325" t="inlineStr">
        <is>
          <t>8h00</t>
        </is>
      </c>
      <c r="L325" t="inlineStr">
        <is>
          <t>10h00</t>
        </is>
      </c>
      <c r="N325" t="n">
        <v>10</v>
      </c>
    </row>
    <row r="326">
      <c r="A326" t="inlineStr">
        <is>
          <t>S324</t>
        </is>
      </c>
      <c r="B326" t="inlineStr">
        <is>
          <t>2025-2026</t>
        </is>
      </c>
      <c r="C326" t="inlineStr">
        <is>
          <t>5</t>
        </is>
      </c>
      <c r="D326" t="inlineStr">
        <is>
          <t>Soins infirmiers</t>
        </is>
      </c>
      <c r="E326" t="inlineStr">
        <is>
          <t>L3</t>
        </is>
      </c>
      <c r="F326" t="inlineStr">
        <is>
          <t>S.I</t>
        </is>
      </c>
      <c r="G326" t="inlineStr">
        <is>
          <t>S.I Ophtalmologie</t>
        </is>
      </c>
      <c r="H326" t="inlineStr"/>
      <c r="I326" t="inlineStr"/>
      <c r="J326" t="inlineStr">
        <is>
          <t>Mercredi</t>
        </is>
      </c>
      <c r="K326" t="inlineStr">
        <is>
          <t>8h00</t>
        </is>
      </c>
      <c r="L326" t="inlineStr">
        <is>
          <t>10h00</t>
        </is>
      </c>
      <c r="N326" t="n">
        <v>4</v>
      </c>
    </row>
    <row r="327">
      <c r="A327" t="inlineStr">
        <is>
          <t>S325</t>
        </is>
      </c>
      <c r="B327" t="inlineStr">
        <is>
          <t>2025-2026</t>
        </is>
      </c>
      <c r="C327" t="inlineStr">
        <is>
          <t>5</t>
        </is>
      </c>
      <c r="D327" t="inlineStr">
        <is>
          <t>Soins infirmiers</t>
        </is>
      </c>
      <c r="E327" t="inlineStr">
        <is>
          <t>L3</t>
        </is>
      </c>
      <c r="F327" t="inlineStr">
        <is>
          <t>S.I</t>
        </is>
      </c>
      <c r="G327" t="inlineStr">
        <is>
          <t>S.I en ORL</t>
        </is>
      </c>
      <c r="H327" t="inlineStr"/>
      <c r="I327" t="inlineStr"/>
      <c r="J327" t="inlineStr">
        <is>
          <t>Mercredi</t>
        </is>
      </c>
      <c r="K327" t="inlineStr">
        <is>
          <t>8h00</t>
        </is>
      </c>
      <c r="L327" t="inlineStr">
        <is>
          <t>10h00</t>
        </is>
      </c>
      <c r="N327" t="n">
        <v>4</v>
      </c>
    </row>
    <row r="328">
      <c r="A328" t="inlineStr">
        <is>
          <t>S326</t>
        </is>
      </c>
      <c r="B328" t="inlineStr">
        <is>
          <t>2025-2026</t>
        </is>
      </c>
      <c r="C328" t="inlineStr">
        <is>
          <t>5</t>
        </is>
      </c>
      <c r="D328" t="inlineStr">
        <is>
          <t>Soins infirmiers</t>
        </is>
      </c>
      <c r="E328" t="inlineStr">
        <is>
          <t>L3</t>
        </is>
      </c>
      <c r="F328" t="inlineStr">
        <is>
          <t>S.I</t>
        </is>
      </c>
      <c r="G328" t="inlineStr">
        <is>
          <t>TD Endocrinologie</t>
        </is>
      </c>
      <c r="H328" t="inlineStr"/>
      <c r="I328" t="inlineStr"/>
      <c r="J328" t="inlineStr">
        <is>
          <t>Mercredi</t>
        </is>
      </c>
      <c r="K328" t="inlineStr">
        <is>
          <t>8h00</t>
        </is>
      </c>
      <c r="L328" t="inlineStr">
        <is>
          <t>10h00</t>
        </is>
      </c>
      <c r="N328" t="n">
        <v>2</v>
      </c>
    </row>
    <row r="329">
      <c r="A329" t="inlineStr">
        <is>
          <t>S327</t>
        </is>
      </c>
      <c r="B329" t="inlineStr">
        <is>
          <t>2025-2026</t>
        </is>
      </c>
      <c r="C329" t="inlineStr">
        <is>
          <t>5</t>
        </is>
      </c>
      <c r="D329" t="inlineStr">
        <is>
          <t>Soins infirmiers</t>
        </is>
      </c>
      <c r="E329" t="inlineStr">
        <is>
          <t>L3</t>
        </is>
      </c>
      <c r="F329" t="inlineStr">
        <is>
          <t>S.I</t>
        </is>
      </c>
      <c r="G329" t="inlineStr">
        <is>
          <t>TD Gestion des services de santé</t>
        </is>
      </c>
      <c r="H329" t="inlineStr"/>
      <c r="I329" t="inlineStr"/>
      <c r="J329" t="inlineStr">
        <is>
          <t>Mercredi</t>
        </is>
      </c>
      <c r="K329" t="inlineStr">
        <is>
          <t>8h00</t>
        </is>
      </c>
      <c r="L329" t="inlineStr">
        <is>
          <t>10h00</t>
        </is>
      </c>
      <c r="N329" t="n">
        <v>2</v>
      </c>
    </row>
    <row r="330">
      <c r="A330" t="inlineStr">
        <is>
          <t>S328</t>
        </is>
      </c>
      <c r="B330" t="inlineStr">
        <is>
          <t>2025-2026</t>
        </is>
      </c>
      <c r="C330" t="inlineStr">
        <is>
          <t>1</t>
        </is>
      </c>
      <c r="D330" t="inlineStr">
        <is>
          <t>Soins obstétricaux</t>
        </is>
      </c>
      <c r="E330" t="inlineStr">
        <is>
          <t>L1</t>
        </is>
      </c>
      <c r="F330" t="inlineStr">
        <is>
          <t>S.O</t>
        </is>
      </c>
      <c r="G330" t="inlineStr">
        <is>
          <t>Microbiologie</t>
        </is>
      </c>
      <c r="H330" t="inlineStr">
        <is>
          <t>Dr EL HABIB</t>
        </is>
      </c>
      <c r="I330" t="inlineStr"/>
      <c r="J330" t="inlineStr">
        <is>
          <t>Jeudi</t>
        </is>
      </c>
      <c r="K330" t="inlineStr">
        <is>
          <t>10h05</t>
        </is>
      </c>
      <c r="L330" t="inlineStr">
        <is>
          <t>12h05</t>
        </is>
      </c>
      <c r="N330" t="n">
        <v>30</v>
      </c>
    </row>
    <row r="331">
      <c r="A331" t="inlineStr">
        <is>
          <t>S329</t>
        </is>
      </c>
      <c r="B331" t="inlineStr">
        <is>
          <t>2025-2026</t>
        </is>
      </c>
      <c r="C331" t="inlineStr">
        <is>
          <t>1</t>
        </is>
      </c>
      <c r="D331" t="inlineStr">
        <is>
          <t>Soins obstétricaux</t>
        </is>
      </c>
      <c r="E331" t="inlineStr">
        <is>
          <t>L1</t>
        </is>
      </c>
      <c r="F331" t="inlineStr">
        <is>
          <t>S.O</t>
        </is>
      </c>
      <c r="G331" t="inlineStr">
        <is>
          <t>Besoins fondamentaux du patient</t>
        </is>
      </c>
      <c r="H331" t="inlineStr">
        <is>
          <t>Mme Zainaba Mohamed</t>
        </is>
      </c>
      <c r="I331" t="inlineStr"/>
      <c r="J331" t="inlineStr">
        <is>
          <t>Jeudi</t>
        </is>
      </c>
      <c r="K331" t="inlineStr">
        <is>
          <t>13h00</t>
        </is>
      </c>
      <c r="L331" t="inlineStr">
        <is>
          <t>15h00</t>
        </is>
      </c>
      <c r="N331" t="n">
        <v>2</v>
      </c>
    </row>
    <row r="332">
      <c r="A332" t="inlineStr">
        <is>
          <t>S330</t>
        </is>
      </c>
      <c r="B332" t="inlineStr">
        <is>
          <t>2025-2026</t>
        </is>
      </c>
      <c r="C332" t="inlineStr">
        <is>
          <t>1</t>
        </is>
      </c>
      <c r="D332" t="inlineStr">
        <is>
          <t>Soins obstétricaux</t>
        </is>
      </c>
      <c r="E332" t="inlineStr">
        <is>
          <t>L1</t>
        </is>
      </c>
      <c r="F332" t="inlineStr">
        <is>
          <t>S.O</t>
        </is>
      </c>
      <c r="G332" t="inlineStr">
        <is>
          <t>Démarche de soins et Projet de soins</t>
        </is>
      </c>
      <c r="H332" t="inlineStr"/>
      <c r="I332" t="inlineStr"/>
      <c r="J332" t="inlineStr">
        <is>
          <t>Jeudi</t>
        </is>
      </c>
      <c r="K332" t="inlineStr">
        <is>
          <t>13h00</t>
        </is>
      </c>
      <c r="L332" t="inlineStr">
        <is>
          <t>15h00</t>
        </is>
      </c>
      <c r="N332" t="n">
        <v>2</v>
      </c>
    </row>
    <row r="333">
      <c r="A333" t="inlineStr">
        <is>
          <t>S331</t>
        </is>
      </c>
      <c r="B333" t="inlineStr">
        <is>
          <t>2025-2026</t>
        </is>
      </c>
      <c r="C333" t="inlineStr">
        <is>
          <t>1</t>
        </is>
      </c>
      <c r="D333" t="inlineStr">
        <is>
          <t>Soins obstétricaux</t>
        </is>
      </c>
      <c r="E333" t="inlineStr">
        <is>
          <t>L1</t>
        </is>
      </c>
      <c r="F333" t="inlineStr">
        <is>
          <t>S.O</t>
        </is>
      </c>
      <c r="G333" t="inlineStr">
        <is>
          <t>Généralité sur la SP/SC</t>
        </is>
      </c>
      <c r="H333" t="inlineStr">
        <is>
          <t>Anne Beugny</t>
        </is>
      </c>
      <c r="I333" t="inlineStr"/>
      <c r="J333" t="inlineStr">
        <is>
          <t>Jeudi</t>
        </is>
      </c>
      <c r="K333" t="inlineStr">
        <is>
          <t>13h00</t>
        </is>
      </c>
      <c r="L333" t="inlineStr">
        <is>
          <t>15h00</t>
        </is>
      </c>
      <c r="N333" t="n">
        <v>8</v>
      </c>
    </row>
    <row r="334">
      <c r="A334" t="inlineStr">
        <is>
          <t>S332</t>
        </is>
      </c>
      <c r="B334" t="inlineStr">
        <is>
          <t>2025-2026</t>
        </is>
      </c>
      <c r="C334" t="inlineStr">
        <is>
          <t>1</t>
        </is>
      </c>
      <c r="D334" t="inlineStr">
        <is>
          <t>Soins obstétricaux</t>
        </is>
      </c>
      <c r="E334" t="inlineStr">
        <is>
          <t>L1</t>
        </is>
      </c>
      <c r="F334" t="inlineStr">
        <is>
          <t>S.O</t>
        </is>
      </c>
      <c r="G334" t="inlineStr">
        <is>
          <t>Liquides et életrolytes</t>
        </is>
      </c>
      <c r="H334" t="inlineStr"/>
      <c r="I334" t="inlineStr"/>
      <c r="J334" t="inlineStr">
        <is>
          <t>Jeudi</t>
        </is>
      </c>
      <c r="K334" t="inlineStr">
        <is>
          <t>13h00</t>
        </is>
      </c>
      <c r="L334" t="inlineStr">
        <is>
          <t>15h00</t>
        </is>
      </c>
      <c r="N334" t="n">
        <v>4</v>
      </c>
    </row>
    <row r="335">
      <c r="A335" t="inlineStr">
        <is>
          <t>S333</t>
        </is>
      </c>
      <c r="B335" t="inlineStr">
        <is>
          <t>2025-2026</t>
        </is>
      </c>
      <c r="C335" t="inlineStr">
        <is>
          <t>1</t>
        </is>
      </c>
      <c r="D335" t="inlineStr">
        <is>
          <t>Soins obstétricaux</t>
        </is>
      </c>
      <c r="E335" t="inlineStr">
        <is>
          <t>L1</t>
        </is>
      </c>
      <c r="F335" t="inlineStr">
        <is>
          <t>S.O</t>
        </is>
      </c>
      <c r="G335" t="inlineStr">
        <is>
          <t>Procédure d’admission</t>
        </is>
      </c>
      <c r="H335" t="inlineStr"/>
      <c r="I335" t="inlineStr"/>
      <c r="J335" t="inlineStr">
        <is>
          <t>Jeudi</t>
        </is>
      </c>
      <c r="K335" t="inlineStr">
        <is>
          <t>13h00</t>
        </is>
      </c>
      <c r="L335" t="inlineStr">
        <is>
          <t>15h00</t>
        </is>
      </c>
      <c r="N335" t="n">
        <v>4</v>
      </c>
    </row>
    <row r="336">
      <c r="A336" t="inlineStr">
        <is>
          <t>S334</t>
        </is>
      </c>
      <c r="B336" t="inlineStr">
        <is>
          <t>2025-2026</t>
        </is>
      </c>
      <c r="C336" t="inlineStr">
        <is>
          <t>1</t>
        </is>
      </c>
      <c r="D336" t="inlineStr">
        <is>
          <t>Soins obstétricaux</t>
        </is>
      </c>
      <c r="E336" t="inlineStr">
        <is>
          <t>L1</t>
        </is>
      </c>
      <c r="F336" t="inlineStr">
        <is>
          <t>S.O</t>
        </is>
      </c>
      <c r="G336" t="inlineStr">
        <is>
          <t>Système cardiovasculaire</t>
        </is>
      </c>
      <c r="H336" t="inlineStr"/>
      <c r="I336" t="inlineStr"/>
      <c r="J336" t="inlineStr">
        <is>
          <t>Jeudi</t>
        </is>
      </c>
      <c r="K336" t="inlineStr">
        <is>
          <t>13h00</t>
        </is>
      </c>
      <c r="L336" t="inlineStr">
        <is>
          <t>15h00</t>
        </is>
      </c>
      <c r="N336" t="n">
        <v>2</v>
      </c>
    </row>
    <row r="337">
      <c r="A337" t="inlineStr">
        <is>
          <t>S335</t>
        </is>
      </c>
      <c r="B337" t="inlineStr">
        <is>
          <t>2025-2026</t>
        </is>
      </c>
      <c r="C337" t="inlineStr">
        <is>
          <t>1</t>
        </is>
      </c>
      <c r="D337" t="inlineStr">
        <is>
          <t>Soins obstétricaux</t>
        </is>
      </c>
      <c r="E337" t="inlineStr">
        <is>
          <t>L1</t>
        </is>
      </c>
      <c r="F337" t="inlineStr">
        <is>
          <t>S.O</t>
        </is>
      </c>
      <c r="G337" t="inlineStr">
        <is>
          <t>TD Besoins fondamentaux du patient</t>
        </is>
      </c>
      <c r="H337" t="inlineStr"/>
      <c r="I337" t="inlineStr"/>
      <c r="J337" t="inlineStr">
        <is>
          <t>Jeudi</t>
        </is>
      </c>
      <c r="K337" t="inlineStr">
        <is>
          <t>13h00</t>
        </is>
      </c>
      <c r="L337" t="inlineStr">
        <is>
          <t>15h00</t>
        </is>
      </c>
      <c r="N337" t="n">
        <v>6</v>
      </c>
    </row>
    <row r="338">
      <c r="A338" t="inlineStr">
        <is>
          <t>S336</t>
        </is>
      </c>
      <c r="B338" t="inlineStr">
        <is>
          <t>2025-2026</t>
        </is>
      </c>
      <c r="C338" t="inlineStr">
        <is>
          <t>1</t>
        </is>
      </c>
      <c r="D338" t="inlineStr">
        <is>
          <t>Soins obstétricaux</t>
        </is>
      </c>
      <c r="E338" t="inlineStr">
        <is>
          <t>L1</t>
        </is>
      </c>
      <c r="F338" t="inlineStr">
        <is>
          <t>S.O</t>
        </is>
      </c>
      <c r="G338" t="inlineStr">
        <is>
          <t>TD Démarche de soins et Projet de soins</t>
        </is>
      </c>
      <c r="H338" t="inlineStr"/>
      <c r="I338" t="inlineStr"/>
      <c r="J338" t="inlineStr">
        <is>
          <t>Jeudi</t>
        </is>
      </c>
      <c r="K338" t="inlineStr">
        <is>
          <t>13h00</t>
        </is>
      </c>
      <c r="L338" t="inlineStr">
        <is>
          <t>15h00</t>
        </is>
      </c>
      <c r="N338" t="n">
        <v>2</v>
      </c>
    </row>
    <row r="339">
      <c r="A339" t="inlineStr">
        <is>
          <t>S337</t>
        </is>
      </c>
      <c r="B339" t="inlineStr">
        <is>
          <t>2025-2026</t>
        </is>
      </c>
      <c r="C339" t="inlineStr">
        <is>
          <t>1</t>
        </is>
      </c>
      <c r="D339" t="inlineStr">
        <is>
          <t>Soins obstétricaux</t>
        </is>
      </c>
      <c r="E339" t="inlineStr">
        <is>
          <t>L1</t>
        </is>
      </c>
      <c r="F339" t="inlineStr">
        <is>
          <t>S.O</t>
        </is>
      </c>
      <c r="G339" t="inlineStr">
        <is>
          <t>Epidémiologie</t>
        </is>
      </c>
      <c r="H339" t="inlineStr"/>
      <c r="I339" t="inlineStr"/>
      <c r="J339" t="inlineStr">
        <is>
          <t>Jeudi</t>
        </is>
      </c>
      <c r="K339" t="inlineStr">
        <is>
          <t>15h05</t>
        </is>
      </c>
      <c r="L339" t="inlineStr">
        <is>
          <t>17h05</t>
        </is>
      </c>
      <c r="N339" t="n">
        <v>2</v>
      </c>
    </row>
    <row r="340">
      <c r="A340" t="inlineStr">
        <is>
          <t>S338</t>
        </is>
      </c>
      <c r="B340" t="inlineStr">
        <is>
          <t>2025-2026</t>
        </is>
      </c>
      <c r="C340" t="inlineStr">
        <is>
          <t>1</t>
        </is>
      </c>
      <c r="D340" t="inlineStr">
        <is>
          <t>Soins obstétricaux</t>
        </is>
      </c>
      <c r="E340" t="inlineStr">
        <is>
          <t>L1</t>
        </is>
      </c>
      <c r="F340" t="inlineStr">
        <is>
          <t>S.O</t>
        </is>
      </c>
      <c r="G340" t="inlineStr">
        <is>
          <t>Examens de laboratoire</t>
        </is>
      </c>
      <c r="H340" t="inlineStr"/>
      <c r="I340" t="inlineStr"/>
      <c r="J340" t="inlineStr">
        <is>
          <t>Jeudi</t>
        </is>
      </c>
      <c r="K340" t="inlineStr">
        <is>
          <t>15h05</t>
        </is>
      </c>
      <c r="L340" t="inlineStr">
        <is>
          <t>17h05</t>
        </is>
      </c>
      <c r="N340" t="n">
        <v>10</v>
      </c>
    </row>
    <row r="341">
      <c r="A341" t="inlineStr">
        <is>
          <t>S339</t>
        </is>
      </c>
      <c r="B341" t="inlineStr">
        <is>
          <t>2025-2026</t>
        </is>
      </c>
      <c r="C341" t="inlineStr">
        <is>
          <t>1</t>
        </is>
      </c>
      <c r="D341" t="inlineStr">
        <is>
          <t>Soins obstétricaux</t>
        </is>
      </c>
      <c r="E341" t="inlineStr">
        <is>
          <t>L1</t>
        </is>
      </c>
      <c r="F341" t="inlineStr">
        <is>
          <t>S.O</t>
        </is>
      </c>
      <c r="G341" t="inlineStr">
        <is>
          <t>Généralités sur la pharmacologie</t>
        </is>
      </c>
      <c r="H341" t="inlineStr"/>
      <c r="I341" t="inlineStr"/>
      <c r="J341" t="inlineStr">
        <is>
          <t>Jeudi</t>
        </is>
      </c>
      <c r="K341" t="inlineStr">
        <is>
          <t>15h05</t>
        </is>
      </c>
      <c r="L341" t="inlineStr">
        <is>
          <t>17h05</t>
        </is>
      </c>
      <c r="N341" t="n">
        <v>8</v>
      </c>
    </row>
    <row r="342">
      <c r="A342" t="inlineStr">
        <is>
          <t>S340</t>
        </is>
      </c>
      <c r="B342" t="inlineStr">
        <is>
          <t>2025-2026</t>
        </is>
      </c>
      <c r="C342" t="inlineStr">
        <is>
          <t>1</t>
        </is>
      </c>
      <c r="D342" t="inlineStr">
        <is>
          <t>Soins obstétricaux</t>
        </is>
      </c>
      <c r="E342" t="inlineStr">
        <is>
          <t>L1</t>
        </is>
      </c>
      <c r="F342" t="inlineStr">
        <is>
          <t>S.O</t>
        </is>
      </c>
      <c r="G342" t="inlineStr">
        <is>
          <t>Methodes statistiques</t>
        </is>
      </c>
      <c r="H342" t="inlineStr"/>
      <c r="I342" t="inlineStr"/>
      <c r="J342" t="inlineStr">
        <is>
          <t>Jeudi</t>
        </is>
      </c>
      <c r="K342" t="inlineStr">
        <is>
          <t>15h05</t>
        </is>
      </c>
      <c r="L342" t="inlineStr">
        <is>
          <t>17h05</t>
        </is>
      </c>
      <c r="N342" t="n">
        <v>4</v>
      </c>
    </row>
    <row r="343">
      <c r="A343" t="inlineStr">
        <is>
          <t>S341</t>
        </is>
      </c>
      <c r="B343" t="inlineStr">
        <is>
          <t>2025-2026</t>
        </is>
      </c>
      <c r="C343" t="inlineStr">
        <is>
          <t>1</t>
        </is>
      </c>
      <c r="D343" t="inlineStr">
        <is>
          <t>Soins obstétricaux</t>
        </is>
      </c>
      <c r="E343" t="inlineStr">
        <is>
          <t>L1</t>
        </is>
      </c>
      <c r="F343" t="inlineStr">
        <is>
          <t>S.O</t>
        </is>
      </c>
      <c r="G343" t="inlineStr">
        <is>
          <t>Système cardiovasculaire</t>
        </is>
      </c>
      <c r="H343" t="inlineStr"/>
      <c r="I343" t="inlineStr"/>
      <c r="J343" t="inlineStr">
        <is>
          <t>Jeudi</t>
        </is>
      </c>
      <c r="K343" t="inlineStr">
        <is>
          <t>15h05</t>
        </is>
      </c>
      <c r="L343" t="inlineStr">
        <is>
          <t>17h05</t>
        </is>
      </c>
      <c r="N343" t="n">
        <v>4</v>
      </c>
    </row>
    <row r="344">
      <c r="A344" t="inlineStr">
        <is>
          <t>S342</t>
        </is>
      </c>
      <c r="B344" t="inlineStr">
        <is>
          <t>2025-2026</t>
        </is>
      </c>
      <c r="C344" t="inlineStr">
        <is>
          <t>1</t>
        </is>
      </c>
      <c r="D344" t="inlineStr">
        <is>
          <t>Soins obstétricaux</t>
        </is>
      </c>
      <c r="E344" t="inlineStr">
        <is>
          <t>L1</t>
        </is>
      </c>
      <c r="F344" t="inlineStr">
        <is>
          <t>S.O</t>
        </is>
      </c>
      <c r="G344" t="inlineStr">
        <is>
          <t>TD Généralités sur la pharmacologie</t>
        </is>
      </c>
      <c r="H344" t="inlineStr"/>
      <c r="I344" t="inlineStr"/>
      <c r="J344" t="inlineStr">
        <is>
          <t>Jeudi</t>
        </is>
      </c>
      <c r="K344" t="inlineStr">
        <is>
          <t>15h05</t>
        </is>
      </c>
      <c r="L344" t="inlineStr">
        <is>
          <t>17h05</t>
        </is>
      </c>
      <c r="N344" t="n">
        <v>2</v>
      </c>
    </row>
    <row r="345">
      <c r="A345" t="inlineStr">
        <is>
          <t>S343</t>
        </is>
      </c>
      <c r="B345" t="inlineStr">
        <is>
          <t>2025-2026</t>
        </is>
      </c>
      <c r="C345" t="inlineStr">
        <is>
          <t>1</t>
        </is>
      </c>
      <c r="D345" t="inlineStr">
        <is>
          <t>Soins obstétricaux</t>
        </is>
      </c>
      <c r="E345" t="inlineStr">
        <is>
          <t>L1</t>
        </is>
      </c>
      <c r="F345" t="inlineStr">
        <is>
          <t>S.O</t>
        </is>
      </c>
      <c r="G345" t="inlineStr">
        <is>
          <t>Anatomie  du système digestif</t>
        </is>
      </c>
      <c r="H345" t="inlineStr"/>
      <c r="I345" t="inlineStr"/>
      <c r="J345" t="inlineStr">
        <is>
          <t>Jeudi</t>
        </is>
      </c>
      <c r="K345" t="inlineStr">
        <is>
          <t>8h00</t>
        </is>
      </c>
      <c r="L345" t="inlineStr">
        <is>
          <t>10h00</t>
        </is>
      </c>
      <c r="N345" t="n">
        <v>2</v>
      </c>
    </row>
    <row r="346">
      <c r="A346" t="inlineStr">
        <is>
          <t>S344</t>
        </is>
      </c>
      <c r="B346" t="inlineStr">
        <is>
          <t>2025-2026</t>
        </is>
      </c>
      <c r="C346" t="inlineStr">
        <is>
          <t>1</t>
        </is>
      </c>
      <c r="D346" t="inlineStr">
        <is>
          <t>Soins obstétricaux</t>
        </is>
      </c>
      <c r="E346" t="inlineStr">
        <is>
          <t>L1</t>
        </is>
      </c>
      <c r="F346" t="inlineStr">
        <is>
          <t>S.O</t>
        </is>
      </c>
      <c r="G346" t="inlineStr">
        <is>
          <t>Langue chinoise</t>
        </is>
      </c>
      <c r="H346" t="inlineStr"/>
      <c r="I346" t="inlineStr"/>
      <c r="J346" t="inlineStr">
        <is>
          <t>Jeudi</t>
        </is>
      </c>
      <c r="K346" t="inlineStr">
        <is>
          <t>8h00</t>
        </is>
      </c>
      <c r="L346" t="inlineStr">
        <is>
          <t>10h00</t>
        </is>
      </c>
      <c r="N346" t="n">
        <v>28</v>
      </c>
    </row>
    <row r="347">
      <c r="A347" t="inlineStr">
        <is>
          <t>S345</t>
        </is>
      </c>
      <c r="B347" t="inlineStr">
        <is>
          <t>2025-2026</t>
        </is>
      </c>
      <c r="C347" t="inlineStr">
        <is>
          <t>1</t>
        </is>
      </c>
      <c r="D347" t="inlineStr">
        <is>
          <t>Soins obstétricaux</t>
        </is>
      </c>
      <c r="E347" t="inlineStr">
        <is>
          <t>L1</t>
        </is>
      </c>
      <c r="F347" t="inlineStr">
        <is>
          <t>S.O</t>
        </is>
      </c>
      <c r="G347" t="inlineStr">
        <is>
          <t>Anatomie du système Respiratoire</t>
        </is>
      </c>
      <c r="H347" t="inlineStr"/>
      <c r="I347" t="inlineStr"/>
      <c r="J347" t="inlineStr">
        <is>
          <t>Lundi</t>
        </is>
      </c>
      <c r="K347" t="inlineStr">
        <is>
          <t>10h05</t>
        </is>
      </c>
      <c r="L347" t="inlineStr">
        <is>
          <t>12h05</t>
        </is>
      </c>
      <c r="N347" t="n">
        <v>2</v>
      </c>
    </row>
    <row r="348">
      <c r="A348" t="inlineStr">
        <is>
          <t>S346</t>
        </is>
      </c>
      <c r="B348" t="inlineStr">
        <is>
          <t>2025-2026</t>
        </is>
      </c>
      <c r="C348" t="inlineStr">
        <is>
          <t>1</t>
        </is>
      </c>
      <c r="D348" t="inlineStr">
        <is>
          <t>Soins obstétricaux</t>
        </is>
      </c>
      <c r="E348" t="inlineStr">
        <is>
          <t>L1</t>
        </is>
      </c>
      <c r="F348" t="inlineStr">
        <is>
          <t>S.O</t>
        </is>
      </c>
      <c r="G348" t="inlineStr">
        <is>
          <t>Anatomie du système endocrinien</t>
        </is>
      </c>
      <c r="H348" t="inlineStr">
        <is>
          <t>Moussa Mohamed Ahmed (Chef de département formation continue et santé publique)</t>
        </is>
      </c>
      <c r="I348" t="inlineStr"/>
      <c r="J348" t="inlineStr">
        <is>
          <t>Lundi</t>
        </is>
      </c>
      <c r="K348" t="inlineStr">
        <is>
          <t>10h05</t>
        </is>
      </c>
      <c r="L348" t="inlineStr">
        <is>
          <t>12h05</t>
        </is>
      </c>
      <c r="N348" t="n">
        <v>4</v>
      </c>
    </row>
    <row r="349">
      <c r="A349" t="inlineStr">
        <is>
          <t>S347</t>
        </is>
      </c>
      <c r="B349" t="inlineStr">
        <is>
          <t>2025-2026</t>
        </is>
      </c>
      <c r="C349" t="inlineStr">
        <is>
          <t>1</t>
        </is>
      </c>
      <c r="D349" t="inlineStr">
        <is>
          <t>Soins obstétricaux</t>
        </is>
      </c>
      <c r="E349" t="inlineStr">
        <is>
          <t>L1</t>
        </is>
      </c>
      <c r="F349" t="inlineStr">
        <is>
          <t>S.O</t>
        </is>
      </c>
      <c r="G349" t="inlineStr">
        <is>
          <t>Anatomie du système nerveux</t>
        </is>
      </c>
      <c r="H349" t="inlineStr"/>
      <c r="I349" t="inlineStr"/>
      <c r="J349" t="inlineStr">
        <is>
          <t>Lundi</t>
        </is>
      </c>
      <c r="K349" t="inlineStr">
        <is>
          <t>10h05</t>
        </is>
      </c>
      <c r="L349" t="inlineStr">
        <is>
          <t>12h05</t>
        </is>
      </c>
      <c r="N349" t="n">
        <v>4</v>
      </c>
    </row>
    <row r="350">
      <c r="A350" t="inlineStr">
        <is>
          <t>S348</t>
        </is>
      </c>
      <c r="B350" t="inlineStr">
        <is>
          <t>2025-2026</t>
        </is>
      </c>
      <c r="C350" t="inlineStr">
        <is>
          <t>1</t>
        </is>
      </c>
      <c r="D350" t="inlineStr">
        <is>
          <t>Soins obstétricaux</t>
        </is>
      </c>
      <c r="E350" t="inlineStr">
        <is>
          <t>L1</t>
        </is>
      </c>
      <c r="F350" t="inlineStr">
        <is>
          <t>S.O</t>
        </is>
      </c>
      <c r="G350" t="inlineStr">
        <is>
          <t>Appareil locomoteur</t>
        </is>
      </c>
      <c r="H350" t="inlineStr"/>
      <c r="I350" t="inlineStr"/>
      <c r="J350" t="inlineStr">
        <is>
          <t>Lundi</t>
        </is>
      </c>
      <c r="K350" t="inlineStr">
        <is>
          <t>10h05</t>
        </is>
      </c>
      <c r="L350" t="inlineStr">
        <is>
          <t>12h05</t>
        </is>
      </c>
      <c r="N350" t="n">
        <v>2</v>
      </c>
    </row>
    <row r="351">
      <c r="A351" t="inlineStr">
        <is>
          <t>S349</t>
        </is>
      </c>
      <c r="B351" t="inlineStr">
        <is>
          <t>2025-2026</t>
        </is>
      </c>
      <c r="C351" t="inlineStr">
        <is>
          <t>1</t>
        </is>
      </c>
      <c r="D351" t="inlineStr">
        <is>
          <t>Soins obstétricaux</t>
        </is>
      </c>
      <c r="E351" t="inlineStr">
        <is>
          <t>L1</t>
        </is>
      </c>
      <c r="F351" t="inlineStr">
        <is>
          <t>S.O</t>
        </is>
      </c>
      <c r="G351" t="inlineStr">
        <is>
          <t>Sémiologie médicochirurgicale</t>
        </is>
      </c>
      <c r="H351" t="inlineStr"/>
      <c r="I351" t="inlineStr"/>
      <c r="J351" t="inlineStr">
        <is>
          <t>Lundi</t>
        </is>
      </c>
      <c r="K351" t="inlineStr">
        <is>
          <t>10h05</t>
        </is>
      </c>
      <c r="L351" t="inlineStr">
        <is>
          <t>12h05</t>
        </is>
      </c>
      <c r="N351" t="n">
        <v>14</v>
      </c>
    </row>
    <row r="352">
      <c r="A352" t="inlineStr">
        <is>
          <t>S350</t>
        </is>
      </c>
      <c r="B352" t="inlineStr">
        <is>
          <t>2025-2026</t>
        </is>
      </c>
      <c r="C352" t="inlineStr">
        <is>
          <t>1</t>
        </is>
      </c>
      <c r="D352" t="inlineStr">
        <is>
          <t>Soins obstétricaux</t>
        </is>
      </c>
      <c r="E352" t="inlineStr">
        <is>
          <t>L1</t>
        </is>
      </c>
      <c r="F352" t="inlineStr">
        <is>
          <t>S.O</t>
        </is>
      </c>
      <c r="G352" t="inlineStr">
        <is>
          <t>TD Disposition d’un environnement sûr</t>
        </is>
      </c>
      <c r="H352" t="inlineStr"/>
      <c r="I352" t="inlineStr"/>
      <c r="J352" t="inlineStr">
        <is>
          <t>Lundi</t>
        </is>
      </c>
      <c r="K352" t="inlineStr">
        <is>
          <t>10h05</t>
        </is>
      </c>
      <c r="L352" t="inlineStr">
        <is>
          <t>12h05</t>
        </is>
      </c>
      <c r="N352" t="n">
        <v>2</v>
      </c>
    </row>
    <row r="353">
      <c r="A353" t="inlineStr">
        <is>
          <t>S351</t>
        </is>
      </c>
      <c r="B353" t="inlineStr">
        <is>
          <t>2025-2026</t>
        </is>
      </c>
      <c r="C353" t="inlineStr">
        <is>
          <t>1</t>
        </is>
      </c>
      <c r="D353" t="inlineStr">
        <is>
          <t>Soins obstétricaux</t>
        </is>
      </c>
      <c r="E353" t="inlineStr">
        <is>
          <t>L1</t>
        </is>
      </c>
      <c r="F353" t="inlineStr">
        <is>
          <t>S.O</t>
        </is>
      </c>
      <c r="G353" t="inlineStr">
        <is>
          <t>Anatomie des organes de sens</t>
        </is>
      </c>
      <c r="H353" t="inlineStr">
        <is>
          <t>Irina Ismaïla Abdou</t>
        </is>
      </c>
      <c r="I353" t="inlineStr"/>
      <c r="J353" t="inlineStr">
        <is>
          <t>Lundi</t>
        </is>
      </c>
      <c r="K353" t="inlineStr">
        <is>
          <t>13h00</t>
        </is>
      </c>
      <c r="L353" t="inlineStr">
        <is>
          <t>15h00</t>
        </is>
      </c>
      <c r="N353" t="n">
        <v>4</v>
      </c>
    </row>
    <row r="354">
      <c r="A354" t="inlineStr">
        <is>
          <t>S352</t>
        </is>
      </c>
      <c r="B354" t="inlineStr">
        <is>
          <t>2025-2026</t>
        </is>
      </c>
      <c r="C354" t="inlineStr">
        <is>
          <t>1</t>
        </is>
      </c>
      <c r="D354" t="inlineStr">
        <is>
          <t>Soins obstétricaux</t>
        </is>
      </c>
      <c r="E354" t="inlineStr">
        <is>
          <t>L1</t>
        </is>
      </c>
      <c r="F354" t="inlineStr">
        <is>
          <t>S.O</t>
        </is>
      </c>
      <c r="G354" t="inlineStr">
        <is>
          <t>Démographie</t>
        </is>
      </c>
      <c r="H354" t="inlineStr"/>
      <c r="I354" t="inlineStr"/>
      <c r="J354" t="inlineStr">
        <is>
          <t>Lundi</t>
        </is>
      </c>
      <c r="K354" t="inlineStr">
        <is>
          <t>13h00</t>
        </is>
      </c>
      <c r="L354" t="inlineStr">
        <is>
          <t>15h00</t>
        </is>
      </c>
      <c r="N354" t="n">
        <v>14</v>
      </c>
    </row>
    <row r="355">
      <c r="A355" t="inlineStr">
        <is>
          <t>S353</t>
        </is>
      </c>
      <c r="B355" t="inlineStr">
        <is>
          <t>2025-2026</t>
        </is>
      </c>
      <c r="C355" t="inlineStr">
        <is>
          <t>1</t>
        </is>
      </c>
      <c r="D355" t="inlineStr">
        <is>
          <t>Soins obstétricaux</t>
        </is>
      </c>
      <c r="E355" t="inlineStr">
        <is>
          <t>L1</t>
        </is>
      </c>
      <c r="F355" t="inlineStr">
        <is>
          <t>S.O</t>
        </is>
      </c>
      <c r="G355" t="inlineStr">
        <is>
          <t>L’infirmier dans l’environnement sanitaire</t>
        </is>
      </c>
      <c r="H355" t="inlineStr"/>
      <c r="I355" t="inlineStr"/>
      <c r="J355" t="inlineStr">
        <is>
          <t>Lundi</t>
        </is>
      </c>
      <c r="K355" t="inlineStr">
        <is>
          <t>13h00</t>
        </is>
      </c>
      <c r="L355" t="inlineStr">
        <is>
          <t>15h00</t>
        </is>
      </c>
      <c r="N355" t="n">
        <v>2</v>
      </c>
    </row>
    <row r="356">
      <c r="A356" t="inlineStr">
        <is>
          <t>S354</t>
        </is>
      </c>
      <c r="B356" t="inlineStr">
        <is>
          <t>2025-2026</t>
        </is>
      </c>
      <c r="C356" t="inlineStr">
        <is>
          <t>1</t>
        </is>
      </c>
      <c r="D356" t="inlineStr">
        <is>
          <t>Soins obstétricaux</t>
        </is>
      </c>
      <c r="E356" t="inlineStr">
        <is>
          <t>L1</t>
        </is>
      </c>
      <c r="F356" t="inlineStr">
        <is>
          <t>S.O</t>
        </is>
      </c>
      <c r="G356" t="inlineStr">
        <is>
          <t>Perceptions en matière de santé</t>
        </is>
      </c>
      <c r="H356" t="inlineStr">
        <is>
          <t>Mréha Abdou (Chef de département S.O)</t>
        </is>
      </c>
      <c r="I356" t="inlineStr"/>
      <c r="J356" t="inlineStr">
        <is>
          <t>Lundi</t>
        </is>
      </c>
      <c r="K356" t="inlineStr">
        <is>
          <t>13h00</t>
        </is>
      </c>
      <c r="L356" t="inlineStr">
        <is>
          <t>15h00</t>
        </is>
      </c>
      <c r="N356" t="n">
        <v>2</v>
      </c>
    </row>
    <row r="357">
      <c r="A357" t="inlineStr">
        <is>
          <t>S355</t>
        </is>
      </c>
      <c r="B357" t="inlineStr">
        <is>
          <t>2025-2026</t>
        </is>
      </c>
      <c r="C357" t="inlineStr">
        <is>
          <t>1</t>
        </is>
      </c>
      <c r="D357" t="inlineStr">
        <is>
          <t>Soins obstétricaux</t>
        </is>
      </c>
      <c r="E357" t="inlineStr">
        <is>
          <t>L1</t>
        </is>
      </c>
      <c r="F357" t="inlineStr">
        <is>
          <t>S.O</t>
        </is>
      </c>
      <c r="G357" t="inlineStr">
        <is>
          <t>TD Disposition d’un environnement sûr</t>
        </is>
      </c>
      <c r="H357" t="inlineStr"/>
      <c r="I357" t="inlineStr"/>
      <c r="J357" t="inlineStr">
        <is>
          <t>Lundi</t>
        </is>
      </c>
      <c r="K357" t="inlineStr">
        <is>
          <t>13h00</t>
        </is>
      </c>
      <c r="L357" t="inlineStr">
        <is>
          <t>15h00</t>
        </is>
      </c>
      <c r="N357" t="n">
        <v>4</v>
      </c>
    </row>
    <row r="358">
      <c r="A358" t="inlineStr">
        <is>
          <t>S356</t>
        </is>
      </c>
      <c r="B358" t="inlineStr">
        <is>
          <t>2025-2026</t>
        </is>
      </c>
      <c r="C358" t="inlineStr">
        <is>
          <t>1</t>
        </is>
      </c>
      <c r="D358" t="inlineStr">
        <is>
          <t>Soins obstétricaux</t>
        </is>
      </c>
      <c r="E358" t="inlineStr">
        <is>
          <t>L1</t>
        </is>
      </c>
      <c r="F358" t="inlineStr">
        <is>
          <t>S.O</t>
        </is>
      </c>
      <c r="G358" t="inlineStr">
        <is>
          <t>TD Perceptions en matière de santé</t>
        </is>
      </c>
      <c r="H358" t="inlineStr"/>
      <c r="I358" t="inlineStr"/>
      <c r="J358" t="inlineStr">
        <is>
          <t>Lundi</t>
        </is>
      </c>
      <c r="K358" t="inlineStr">
        <is>
          <t>13h00</t>
        </is>
      </c>
      <c r="L358" t="inlineStr">
        <is>
          <t>15h00</t>
        </is>
      </c>
      <c r="N358" t="n">
        <v>2</v>
      </c>
    </row>
    <row r="359">
      <c r="A359" t="inlineStr">
        <is>
          <t>S357</t>
        </is>
      </c>
      <c r="B359" t="inlineStr">
        <is>
          <t>2025-2026</t>
        </is>
      </c>
      <c r="C359" t="inlineStr">
        <is>
          <t>1</t>
        </is>
      </c>
      <c r="D359" t="inlineStr">
        <is>
          <t>Soins obstétricaux</t>
        </is>
      </c>
      <c r="E359" t="inlineStr">
        <is>
          <t>L1</t>
        </is>
      </c>
      <c r="F359" t="inlineStr">
        <is>
          <t>S.O</t>
        </is>
      </c>
      <c r="G359" t="inlineStr">
        <is>
          <t>Appareil urogénital</t>
        </is>
      </c>
      <c r="H359" t="inlineStr"/>
      <c r="I359" t="inlineStr"/>
      <c r="J359" t="inlineStr">
        <is>
          <t>Lundi</t>
        </is>
      </c>
      <c r="K359" t="inlineStr">
        <is>
          <t>15h05</t>
        </is>
      </c>
      <c r="L359" t="inlineStr">
        <is>
          <t>17h05</t>
        </is>
      </c>
      <c r="N359" t="n">
        <v>8</v>
      </c>
    </row>
    <row r="360">
      <c r="A360" t="inlineStr">
        <is>
          <t>S358</t>
        </is>
      </c>
      <c r="B360" t="inlineStr">
        <is>
          <t>2025-2026</t>
        </is>
      </c>
      <c r="C360" t="inlineStr">
        <is>
          <t>1</t>
        </is>
      </c>
      <c r="D360" t="inlineStr">
        <is>
          <t>Soins obstétricaux</t>
        </is>
      </c>
      <c r="E360" t="inlineStr">
        <is>
          <t>L1</t>
        </is>
      </c>
      <c r="F360" t="inlineStr">
        <is>
          <t>S.O</t>
        </is>
      </c>
      <c r="G360" t="inlineStr">
        <is>
          <t>Communication</t>
        </is>
      </c>
      <c r="H360" t="inlineStr"/>
      <c r="I360" t="inlineStr"/>
      <c r="J360" t="inlineStr">
        <is>
          <t>Lundi</t>
        </is>
      </c>
      <c r="K360" t="inlineStr">
        <is>
          <t>15h05</t>
        </is>
      </c>
      <c r="L360" t="inlineStr">
        <is>
          <t>17h05</t>
        </is>
      </c>
      <c r="N360" t="n">
        <v>10</v>
      </c>
    </row>
    <row r="361">
      <c r="A361" t="inlineStr">
        <is>
          <t>S359</t>
        </is>
      </c>
      <c r="B361" t="inlineStr">
        <is>
          <t>2025-2026</t>
        </is>
      </c>
      <c r="C361" t="inlineStr">
        <is>
          <t>1</t>
        </is>
      </c>
      <c r="D361" t="inlineStr">
        <is>
          <t>Soins obstétricaux</t>
        </is>
      </c>
      <c r="E361" t="inlineStr">
        <is>
          <t>L1</t>
        </is>
      </c>
      <c r="F361" t="inlineStr">
        <is>
          <t>S.O</t>
        </is>
      </c>
      <c r="G361" t="inlineStr">
        <is>
          <t>Epidémiologie</t>
        </is>
      </c>
      <c r="H361" t="inlineStr"/>
      <c r="I361" t="inlineStr"/>
      <c r="J361" t="inlineStr">
        <is>
          <t>Lundi</t>
        </is>
      </c>
      <c r="K361" t="inlineStr">
        <is>
          <t>15h05</t>
        </is>
      </c>
      <c r="L361" t="inlineStr">
        <is>
          <t>17h05</t>
        </is>
      </c>
      <c r="N361" t="n">
        <v>2</v>
      </c>
    </row>
    <row r="362">
      <c r="A362" t="inlineStr">
        <is>
          <t>S360</t>
        </is>
      </c>
      <c r="B362" t="inlineStr">
        <is>
          <t>2025-2026</t>
        </is>
      </c>
      <c r="C362" t="inlineStr">
        <is>
          <t>1</t>
        </is>
      </c>
      <c r="D362" t="inlineStr">
        <is>
          <t>Soins obstétricaux</t>
        </is>
      </c>
      <c r="E362" t="inlineStr">
        <is>
          <t>L1</t>
        </is>
      </c>
      <c r="F362" t="inlineStr">
        <is>
          <t>S.O</t>
        </is>
      </c>
      <c r="G362" t="inlineStr">
        <is>
          <t>Methodes statistiques</t>
        </is>
      </c>
      <c r="H362" t="inlineStr"/>
      <c r="I362" t="inlineStr"/>
      <c r="J362" t="inlineStr">
        <is>
          <t>Lundi</t>
        </is>
      </c>
      <c r="K362" t="inlineStr">
        <is>
          <t>15h05</t>
        </is>
      </c>
      <c r="L362" t="inlineStr">
        <is>
          <t>17h05</t>
        </is>
      </c>
      <c r="N362" t="n">
        <v>2</v>
      </c>
    </row>
    <row r="363">
      <c r="A363" t="inlineStr">
        <is>
          <t>S361</t>
        </is>
      </c>
      <c r="B363" t="inlineStr">
        <is>
          <t>2025-2026</t>
        </is>
      </c>
      <c r="C363" t="inlineStr">
        <is>
          <t>1</t>
        </is>
      </c>
      <c r="D363" t="inlineStr">
        <is>
          <t>Soins obstétricaux</t>
        </is>
      </c>
      <c r="E363" t="inlineStr">
        <is>
          <t>L1</t>
        </is>
      </c>
      <c r="F363" t="inlineStr">
        <is>
          <t>S.O</t>
        </is>
      </c>
      <c r="G363" t="inlineStr">
        <is>
          <t>Sémiologie médicochirurgicale</t>
        </is>
      </c>
      <c r="H363" t="inlineStr"/>
      <c r="I363" t="inlineStr"/>
      <c r="J363" t="inlineStr">
        <is>
          <t>Lundi</t>
        </is>
      </c>
      <c r="K363" t="inlineStr">
        <is>
          <t>15h05</t>
        </is>
      </c>
      <c r="L363" t="inlineStr">
        <is>
          <t>17h05</t>
        </is>
      </c>
      <c r="N363" t="n">
        <v>2</v>
      </c>
    </row>
    <row r="364">
      <c r="A364" t="inlineStr">
        <is>
          <t>S362</t>
        </is>
      </c>
      <c r="B364" t="inlineStr">
        <is>
          <t>2025-2026</t>
        </is>
      </c>
      <c r="C364" t="inlineStr">
        <is>
          <t>1</t>
        </is>
      </c>
      <c r="D364" t="inlineStr">
        <is>
          <t>Soins obstétricaux</t>
        </is>
      </c>
      <c r="E364" t="inlineStr">
        <is>
          <t>L1</t>
        </is>
      </c>
      <c r="F364" t="inlineStr">
        <is>
          <t>S.O</t>
        </is>
      </c>
      <c r="G364" t="inlineStr">
        <is>
          <t>TD Théories, modèles et interaction</t>
        </is>
      </c>
      <c r="H364" t="inlineStr"/>
      <c r="I364" t="inlineStr"/>
      <c r="J364" t="inlineStr">
        <is>
          <t>Lundi</t>
        </is>
      </c>
      <c r="K364" t="inlineStr">
        <is>
          <t>15h05</t>
        </is>
      </c>
      <c r="L364" t="inlineStr">
        <is>
          <t>17h05</t>
        </is>
      </c>
      <c r="N364" t="n">
        <v>2</v>
      </c>
    </row>
    <row r="365">
      <c r="A365" t="inlineStr">
        <is>
          <t>S363</t>
        </is>
      </c>
      <c r="B365" t="inlineStr">
        <is>
          <t>2025-2026</t>
        </is>
      </c>
      <c r="C365" t="inlineStr">
        <is>
          <t>1</t>
        </is>
      </c>
      <c r="D365" t="inlineStr">
        <is>
          <t>Soins obstétricaux</t>
        </is>
      </c>
      <c r="E365" t="inlineStr">
        <is>
          <t>L1</t>
        </is>
      </c>
      <c r="F365" t="inlineStr">
        <is>
          <t>S.O</t>
        </is>
      </c>
      <c r="G365" t="inlineStr">
        <is>
          <t>Théories, modèles et interaction</t>
        </is>
      </c>
      <c r="H365" t="inlineStr"/>
      <c r="I365" t="inlineStr"/>
      <c r="J365" t="inlineStr">
        <is>
          <t>Lundi</t>
        </is>
      </c>
      <c r="K365" t="inlineStr">
        <is>
          <t>15h05</t>
        </is>
      </c>
      <c r="L365" t="inlineStr">
        <is>
          <t>17h05</t>
        </is>
      </c>
      <c r="N365" t="n">
        <v>2</v>
      </c>
    </row>
    <row r="366">
      <c r="A366" t="inlineStr">
        <is>
          <t>S364</t>
        </is>
      </c>
      <c r="B366" t="inlineStr">
        <is>
          <t>2025-2026</t>
        </is>
      </c>
      <c r="C366" t="inlineStr">
        <is>
          <t>1</t>
        </is>
      </c>
      <c r="D366" t="inlineStr">
        <is>
          <t>Soins obstétricaux</t>
        </is>
      </c>
      <c r="E366" t="inlineStr">
        <is>
          <t>L1</t>
        </is>
      </c>
      <c r="F366" t="inlineStr">
        <is>
          <t>S.O</t>
        </is>
      </c>
      <c r="G366" t="inlineStr">
        <is>
          <t>Anatomie des organes de sens</t>
        </is>
      </c>
      <c r="H366" t="inlineStr">
        <is>
          <t>Irina Ismaïla Abdou</t>
        </is>
      </c>
      <c r="I366" t="inlineStr"/>
      <c r="J366" t="inlineStr">
        <is>
          <t>Lundi</t>
        </is>
      </c>
      <c r="K366" t="inlineStr">
        <is>
          <t>8h00</t>
        </is>
      </c>
      <c r="L366" t="inlineStr">
        <is>
          <t>10h00</t>
        </is>
      </c>
      <c r="N366" t="n">
        <v>4</v>
      </c>
    </row>
    <row r="367">
      <c r="A367" t="inlineStr">
        <is>
          <t>S365</t>
        </is>
      </c>
      <c r="B367" t="inlineStr">
        <is>
          <t>2025-2026</t>
        </is>
      </c>
      <c r="C367" t="inlineStr">
        <is>
          <t>1</t>
        </is>
      </c>
      <c r="D367" t="inlineStr">
        <is>
          <t>Soins obstétricaux</t>
        </is>
      </c>
      <c r="E367" t="inlineStr">
        <is>
          <t>L1</t>
        </is>
      </c>
      <c r="F367" t="inlineStr">
        <is>
          <t>S.O</t>
        </is>
      </c>
      <c r="G367" t="inlineStr">
        <is>
          <t>Contrôle Anatomie du système Respiratoire et digestif</t>
        </is>
      </c>
      <c r="H367" t="inlineStr"/>
      <c r="I367" t="inlineStr"/>
      <c r="J367" t="inlineStr">
        <is>
          <t>Lundi</t>
        </is>
      </c>
      <c r="K367" t="inlineStr">
        <is>
          <t>8h00</t>
        </is>
      </c>
      <c r="L367" t="inlineStr">
        <is>
          <t>10h00</t>
        </is>
      </c>
      <c r="N367" t="n">
        <v>2</v>
      </c>
    </row>
    <row r="368">
      <c r="A368" t="inlineStr">
        <is>
          <t>S366</t>
        </is>
      </c>
      <c r="B368" t="inlineStr">
        <is>
          <t>2025-2026</t>
        </is>
      </c>
      <c r="C368" t="inlineStr">
        <is>
          <t>1</t>
        </is>
      </c>
      <c r="D368" t="inlineStr">
        <is>
          <t>Soins obstétricaux</t>
        </is>
      </c>
      <c r="E368" t="inlineStr">
        <is>
          <t>L1</t>
        </is>
      </c>
      <c r="F368" t="inlineStr">
        <is>
          <t>S.O</t>
        </is>
      </c>
      <c r="G368" t="inlineStr">
        <is>
          <t>Contrôle Généralités sur la pharmacologie</t>
        </is>
      </c>
      <c r="H368" t="inlineStr"/>
      <c r="I368" t="inlineStr"/>
      <c r="J368" t="inlineStr">
        <is>
          <t>Lundi</t>
        </is>
      </c>
      <c r="K368" t="inlineStr">
        <is>
          <t>8h00</t>
        </is>
      </c>
      <c r="L368" t="inlineStr">
        <is>
          <t>10h00</t>
        </is>
      </c>
      <c r="N368" t="n">
        <v>2</v>
      </c>
    </row>
    <row r="369">
      <c r="A369" t="inlineStr">
        <is>
          <t>S367</t>
        </is>
      </c>
      <c r="B369" t="inlineStr">
        <is>
          <t>2025-2026</t>
        </is>
      </c>
      <c r="C369" t="inlineStr">
        <is>
          <t>1</t>
        </is>
      </c>
      <c r="D369" t="inlineStr">
        <is>
          <t>Soins obstétricaux</t>
        </is>
      </c>
      <c r="E369" t="inlineStr">
        <is>
          <t>L1</t>
        </is>
      </c>
      <c r="F369" t="inlineStr">
        <is>
          <t>S.O</t>
        </is>
      </c>
      <c r="G369" t="inlineStr">
        <is>
          <t>Immunité</t>
        </is>
      </c>
      <c r="H369" t="inlineStr"/>
      <c r="I369" t="inlineStr"/>
      <c r="J369" t="inlineStr">
        <is>
          <t>Lundi</t>
        </is>
      </c>
      <c r="K369" t="inlineStr">
        <is>
          <t>8h00</t>
        </is>
      </c>
      <c r="L369" t="inlineStr">
        <is>
          <t>10h00</t>
        </is>
      </c>
      <c r="N369" t="n">
        <v>2</v>
      </c>
    </row>
    <row r="370">
      <c r="A370" t="inlineStr">
        <is>
          <t>S368</t>
        </is>
      </c>
      <c r="B370" t="inlineStr">
        <is>
          <t>2025-2026</t>
        </is>
      </c>
      <c r="C370" t="inlineStr">
        <is>
          <t>1</t>
        </is>
      </c>
      <c r="D370" t="inlineStr">
        <is>
          <t>Soins obstétricaux</t>
        </is>
      </c>
      <c r="E370" t="inlineStr">
        <is>
          <t>L1</t>
        </is>
      </c>
      <c r="F370" t="inlineStr">
        <is>
          <t>S.O</t>
        </is>
      </c>
      <c r="G370" t="inlineStr">
        <is>
          <t>Santé et environnement</t>
        </is>
      </c>
      <c r="H370" t="inlineStr">
        <is>
          <t>Soudjay Mohamed</t>
        </is>
      </c>
      <c r="I370" t="inlineStr"/>
      <c r="J370" t="inlineStr">
        <is>
          <t>Lundi</t>
        </is>
      </c>
      <c r="K370" t="inlineStr">
        <is>
          <t>8h00</t>
        </is>
      </c>
      <c r="L370" t="inlineStr">
        <is>
          <t>10h00</t>
        </is>
      </c>
      <c r="N370" t="n">
        <v>4</v>
      </c>
    </row>
    <row r="371">
      <c r="A371" t="inlineStr">
        <is>
          <t>S369</t>
        </is>
      </c>
      <c r="B371" t="inlineStr">
        <is>
          <t>2025-2026</t>
        </is>
      </c>
      <c r="C371" t="inlineStr">
        <is>
          <t>1</t>
        </is>
      </c>
      <c r="D371" t="inlineStr">
        <is>
          <t>Soins obstétricaux</t>
        </is>
      </c>
      <c r="E371" t="inlineStr">
        <is>
          <t>L1</t>
        </is>
      </c>
      <c r="F371" t="inlineStr">
        <is>
          <t>S.O</t>
        </is>
      </c>
      <c r="G371" t="inlineStr">
        <is>
          <t>Sémiologie médicochirurgicale</t>
        </is>
      </c>
      <c r="H371" t="inlineStr"/>
      <c r="I371" t="inlineStr"/>
      <c r="J371" t="inlineStr">
        <is>
          <t>Lundi</t>
        </is>
      </c>
      <c r="K371" t="inlineStr">
        <is>
          <t>8h00</t>
        </is>
      </c>
      <c r="L371" t="inlineStr">
        <is>
          <t>10h00</t>
        </is>
      </c>
      <c r="N371" t="n">
        <v>2</v>
      </c>
    </row>
    <row r="372">
      <c r="A372" t="inlineStr">
        <is>
          <t>S370</t>
        </is>
      </c>
      <c r="B372" t="inlineStr">
        <is>
          <t>2025-2026</t>
        </is>
      </c>
      <c r="C372" t="inlineStr">
        <is>
          <t>1</t>
        </is>
      </c>
      <c r="D372" t="inlineStr">
        <is>
          <t>Soins obstétricaux</t>
        </is>
      </c>
      <c r="E372" t="inlineStr">
        <is>
          <t>L1</t>
        </is>
      </c>
      <c r="F372" t="inlineStr">
        <is>
          <t>S.O</t>
        </is>
      </c>
      <c r="G372" t="inlineStr">
        <is>
          <t>TD  L’infirmier dans l’environnement sanitaire</t>
        </is>
      </c>
      <c r="H372" t="inlineStr"/>
      <c r="I372" t="inlineStr"/>
      <c r="J372" t="inlineStr">
        <is>
          <t>Lundi</t>
        </is>
      </c>
      <c r="K372" t="inlineStr">
        <is>
          <t>8h00</t>
        </is>
      </c>
      <c r="L372" t="inlineStr">
        <is>
          <t>10h00</t>
        </is>
      </c>
      <c r="N372" t="n">
        <v>2</v>
      </c>
    </row>
    <row r="373">
      <c r="A373" t="inlineStr">
        <is>
          <t>S371</t>
        </is>
      </c>
      <c r="B373" t="inlineStr">
        <is>
          <t>2025-2026</t>
        </is>
      </c>
      <c r="C373" t="inlineStr">
        <is>
          <t>1</t>
        </is>
      </c>
      <c r="D373" t="inlineStr">
        <is>
          <t>Soins obstétricaux</t>
        </is>
      </c>
      <c r="E373" t="inlineStr">
        <is>
          <t>L1</t>
        </is>
      </c>
      <c r="F373" t="inlineStr">
        <is>
          <t>S.O</t>
        </is>
      </c>
      <c r="G373" t="inlineStr">
        <is>
          <t>TD Anatomie  du système digestif</t>
        </is>
      </c>
      <c r="H373" t="inlineStr"/>
      <c r="I373" t="inlineStr"/>
      <c r="J373" t="inlineStr">
        <is>
          <t>Lundi</t>
        </is>
      </c>
      <c r="K373" t="inlineStr">
        <is>
          <t>8h00</t>
        </is>
      </c>
      <c r="L373" t="inlineStr">
        <is>
          <t>10h00</t>
        </is>
      </c>
      <c r="N373" t="n">
        <v>2</v>
      </c>
    </row>
    <row r="374">
      <c r="A374" t="inlineStr">
        <is>
          <t>S372</t>
        </is>
      </c>
      <c r="B374" t="inlineStr">
        <is>
          <t>2025-2026</t>
        </is>
      </c>
      <c r="C374" t="inlineStr">
        <is>
          <t>1</t>
        </is>
      </c>
      <c r="D374" t="inlineStr">
        <is>
          <t>Soins obstétricaux</t>
        </is>
      </c>
      <c r="E374" t="inlineStr">
        <is>
          <t>L1</t>
        </is>
      </c>
      <c r="F374" t="inlineStr">
        <is>
          <t>S.O</t>
        </is>
      </c>
      <c r="G374" t="inlineStr">
        <is>
          <t>TD Besoins fondamentaux du patient</t>
        </is>
      </c>
      <c r="H374" t="inlineStr"/>
      <c r="I374" t="inlineStr"/>
      <c r="J374" t="inlineStr">
        <is>
          <t>Lundi</t>
        </is>
      </c>
      <c r="K374" t="inlineStr">
        <is>
          <t>8h00</t>
        </is>
      </c>
      <c r="L374" t="inlineStr">
        <is>
          <t>10h00</t>
        </is>
      </c>
      <c r="N374" t="n">
        <v>2</v>
      </c>
    </row>
    <row r="375">
      <c r="A375" t="inlineStr">
        <is>
          <t>S373</t>
        </is>
      </c>
      <c r="B375" t="inlineStr">
        <is>
          <t>2025-2026</t>
        </is>
      </c>
      <c r="C375" t="inlineStr">
        <is>
          <t>1</t>
        </is>
      </c>
      <c r="D375" t="inlineStr">
        <is>
          <t>Soins obstétricaux</t>
        </is>
      </c>
      <c r="E375" t="inlineStr">
        <is>
          <t>L1</t>
        </is>
      </c>
      <c r="F375" t="inlineStr">
        <is>
          <t>S.O</t>
        </is>
      </c>
      <c r="G375" t="inlineStr">
        <is>
          <t>TD Immunité</t>
        </is>
      </c>
      <c r="H375" t="inlineStr"/>
      <c r="I375" t="inlineStr"/>
      <c r="J375" t="inlineStr">
        <is>
          <t>Lundi</t>
        </is>
      </c>
      <c r="K375" t="inlineStr">
        <is>
          <t>8h00</t>
        </is>
      </c>
      <c r="L375" t="inlineStr">
        <is>
          <t>10h00</t>
        </is>
      </c>
      <c r="N375" t="n">
        <v>2</v>
      </c>
    </row>
    <row r="376">
      <c r="A376" t="inlineStr">
        <is>
          <t>S374</t>
        </is>
      </c>
      <c r="B376" t="inlineStr">
        <is>
          <t>2025-2026</t>
        </is>
      </c>
      <c r="C376" t="inlineStr">
        <is>
          <t>1</t>
        </is>
      </c>
      <c r="D376" t="inlineStr">
        <is>
          <t>Soins obstétricaux</t>
        </is>
      </c>
      <c r="E376" t="inlineStr">
        <is>
          <t>L1</t>
        </is>
      </c>
      <c r="F376" t="inlineStr">
        <is>
          <t>S.O</t>
        </is>
      </c>
      <c r="G376" t="inlineStr">
        <is>
          <t>TD Santé et environnement</t>
        </is>
      </c>
      <c r="H376" t="inlineStr"/>
      <c r="I376" t="inlineStr"/>
      <c r="J376" t="inlineStr">
        <is>
          <t>Lundi</t>
        </is>
      </c>
      <c r="K376" t="inlineStr">
        <is>
          <t>8h00</t>
        </is>
      </c>
      <c r="L376" t="inlineStr">
        <is>
          <t>10h00</t>
        </is>
      </c>
      <c r="N376" t="n">
        <v>2</v>
      </c>
    </row>
    <row r="377">
      <c r="A377" t="inlineStr">
        <is>
          <t>S375</t>
        </is>
      </c>
      <c r="B377" t="inlineStr">
        <is>
          <t>2025-2026</t>
        </is>
      </c>
      <c r="C377" t="inlineStr">
        <is>
          <t>1</t>
        </is>
      </c>
      <c r="D377" t="inlineStr">
        <is>
          <t>Soins obstétricaux</t>
        </is>
      </c>
      <c r="E377" t="inlineStr">
        <is>
          <t>L1</t>
        </is>
      </c>
      <c r="F377" t="inlineStr">
        <is>
          <t>S.O</t>
        </is>
      </c>
      <c r="G377" t="inlineStr">
        <is>
          <t>contrôle Anatomie des organes de sens et système nerveux</t>
        </is>
      </c>
      <c r="H377" t="inlineStr"/>
      <c r="I377" t="inlineStr"/>
      <c r="J377" t="inlineStr">
        <is>
          <t>Lundi</t>
        </is>
      </c>
      <c r="K377" t="inlineStr">
        <is>
          <t>8h00</t>
        </is>
      </c>
      <c r="L377" t="inlineStr">
        <is>
          <t>10h00</t>
        </is>
      </c>
      <c r="N377" t="n">
        <v>2</v>
      </c>
    </row>
    <row r="378">
      <c r="A378" t="inlineStr">
        <is>
          <t>S376</t>
        </is>
      </c>
      <c r="B378" t="inlineStr">
        <is>
          <t>2025-2026</t>
        </is>
      </c>
      <c r="C378" t="inlineStr">
        <is>
          <t>1</t>
        </is>
      </c>
      <c r="D378" t="inlineStr">
        <is>
          <t>Soins obstétricaux</t>
        </is>
      </c>
      <c r="E378" t="inlineStr">
        <is>
          <t>L1</t>
        </is>
      </c>
      <c r="F378" t="inlineStr">
        <is>
          <t>S.O</t>
        </is>
      </c>
      <c r="G378" t="inlineStr">
        <is>
          <t>Biochimie</t>
        </is>
      </c>
      <c r="H378" t="inlineStr"/>
      <c r="I378" t="inlineStr"/>
      <c r="J378" t="inlineStr">
        <is>
          <t>Mardi</t>
        </is>
      </c>
      <c r="K378" t="inlineStr">
        <is>
          <t>10h05</t>
        </is>
      </c>
      <c r="L378" t="inlineStr">
        <is>
          <t>12h05</t>
        </is>
      </c>
      <c r="N378" t="n">
        <v>30</v>
      </c>
    </row>
    <row r="379">
      <c r="A379" t="inlineStr">
        <is>
          <t>S377</t>
        </is>
      </c>
      <c r="B379" t="inlineStr">
        <is>
          <t>2025-2026</t>
        </is>
      </c>
      <c r="C379" t="inlineStr">
        <is>
          <t>1</t>
        </is>
      </c>
      <c r="D379" t="inlineStr">
        <is>
          <t>Soins obstétricaux</t>
        </is>
      </c>
      <c r="E379" t="inlineStr">
        <is>
          <t>L1</t>
        </is>
      </c>
      <c r="F379" t="inlineStr">
        <is>
          <t>S.O</t>
        </is>
      </c>
      <c r="G379" t="inlineStr">
        <is>
          <t>Généralité sur la SP/SC</t>
        </is>
      </c>
      <c r="H379" t="inlineStr">
        <is>
          <t>Anne Beugny</t>
        </is>
      </c>
      <c r="I379" t="inlineStr"/>
      <c r="J379" t="inlineStr">
        <is>
          <t>Mardi</t>
        </is>
      </c>
      <c r="K379" t="inlineStr">
        <is>
          <t>13h00</t>
        </is>
      </c>
      <c r="L379" t="inlineStr">
        <is>
          <t>15h00</t>
        </is>
      </c>
      <c r="N379" t="n">
        <v>12</v>
      </c>
    </row>
    <row r="380">
      <c r="A380" t="inlineStr">
        <is>
          <t>S378</t>
        </is>
      </c>
      <c r="B380" t="inlineStr">
        <is>
          <t>2025-2026</t>
        </is>
      </c>
      <c r="C380" t="inlineStr">
        <is>
          <t>1</t>
        </is>
      </c>
      <c r="D380" t="inlineStr">
        <is>
          <t>Soins obstétricaux</t>
        </is>
      </c>
      <c r="E380" t="inlineStr">
        <is>
          <t>L1</t>
        </is>
      </c>
      <c r="F380" t="inlineStr">
        <is>
          <t>S.O</t>
        </is>
      </c>
      <c r="G380" t="inlineStr">
        <is>
          <t>Système de disoense de soins aux Comores</t>
        </is>
      </c>
      <c r="H380" t="inlineStr"/>
      <c r="I380" t="inlineStr"/>
      <c r="J380" t="inlineStr">
        <is>
          <t>Mardi</t>
        </is>
      </c>
      <c r="K380" t="inlineStr">
        <is>
          <t>13h00</t>
        </is>
      </c>
      <c r="L380" t="inlineStr">
        <is>
          <t>15h00</t>
        </is>
      </c>
      <c r="N380" t="n">
        <v>4</v>
      </c>
    </row>
    <row r="381">
      <c r="A381" t="inlineStr">
        <is>
          <t>S379</t>
        </is>
      </c>
      <c r="B381" t="inlineStr">
        <is>
          <t>2025-2026</t>
        </is>
      </c>
      <c r="C381" t="inlineStr">
        <is>
          <t>1</t>
        </is>
      </c>
      <c r="D381" t="inlineStr">
        <is>
          <t>Soins obstétricaux</t>
        </is>
      </c>
      <c r="E381" t="inlineStr">
        <is>
          <t>L1</t>
        </is>
      </c>
      <c r="F381" t="inlineStr">
        <is>
          <t>S.O</t>
        </is>
      </c>
      <c r="G381" t="inlineStr">
        <is>
          <t>Sémiologie médicochirurgicale</t>
        </is>
      </c>
      <c r="H381" t="inlineStr"/>
      <c r="I381" t="inlineStr"/>
      <c r="J381" t="inlineStr">
        <is>
          <t>Mardi</t>
        </is>
      </c>
      <c r="K381" t="inlineStr">
        <is>
          <t>13h00</t>
        </is>
      </c>
      <c r="L381" t="inlineStr">
        <is>
          <t>15h00</t>
        </is>
      </c>
      <c r="N381" t="n">
        <v>12</v>
      </c>
    </row>
    <row r="382">
      <c r="A382" t="inlineStr">
        <is>
          <t>S380</t>
        </is>
      </c>
      <c r="B382" t="inlineStr">
        <is>
          <t>2025-2026</t>
        </is>
      </c>
      <c r="C382" t="inlineStr">
        <is>
          <t>1</t>
        </is>
      </c>
      <c r="D382" t="inlineStr">
        <is>
          <t>Soins obstétricaux</t>
        </is>
      </c>
      <c r="E382" t="inlineStr">
        <is>
          <t>L1</t>
        </is>
      </c>
      <c r="F382" t="inlineStr">
        <is>
          <t>S.O</t>
        </is>
      </c>
      <c r="G382" t="inlineStr">
        <is>
          <t>TD Système de dispense de soins aux Comores</t>
        </is>
      </c>
      <c r="H382" t="inlineStr"/>
      <c r="I382" t="inlineStr"/>
      <c r="J382" t="inlineStr">
        <is>
          <t>Mardi</t>
        </is>
      </c>
      <c r="K382" t="inlineStr">
        <is>
          <t>13h00</t>
        </is>
      </c>
      <c r="L382" t="inlineStr">
        <is>
          <t>15h00</t>
        </is>
      </c>
      <c r="N382" t="n">
        <v>2</v>
      </c>
    </row>
    <row r="383">
      <c r="A383" t="inlineStr">
        <is>
          <t>S381</t>
        </is>
      </c>
      <c r="B383" t="inlineStr">
        <is>
          <t>2025-2026</t>
        </is>
      </c>
      <c r="C383" t="inlineStr">
        <is>
          <t>1</t>
        </is>
      </c>
      <c r="D383" t="inlineStr">
        <is>
          <t>Soins obstétricaux</t>
        </is>
      </c>
      <c r="E383" t="inlineStr">
        <is>
          <t>L1</t>
        </is>
      </c>
      <c r="F383" t="inlineStr">
        <is>
          <t>S.O</t>
        </is>
      </c>
      <c r="G383" t="inlineStr">
        <is>
          <t>Appareil urogénital</t>
        </is>
      </c>
      <c r="H383" t="inlineStr"/>
      <c r="I383" t="inlineStr"/>
      <c r="J383" t="inlineStr">
        <is>
          <t>Mardi</t>
        </is>
      </c>
      <c r="K383" t="inlineStr">
        <is>
          <t>15h05</t>
        </is>
      </c>
      <c r="L383" t="inlineStr">
        <is>
          <t>17h05</t>
        </is>
      </c>
      <c r="N383" t="n">
        <v>6</v>
      </c>
    </row>
    <row r="384">
      <c r="A384" t="inlineStr">
        <is>
          <t>S382</t>
        </is>
      </c>
      <c r="B384" t="inlineStr">
        <is>
          <t>2025-2026</t>
        </is>
      </c>
      <c r="C384" t="inlineStr">
        <is>
          <t>1</t>
        </is>
      </c>
      <c r="D384" t="inlineStr">
        <is>
          <t>Soins obstétricaux</t>
        </is>
      </c>
      <c r="E384" t="inlineStr">
        <is>
          <t>L1</t>
        </is>
      </c>
      <c r="F384" t="inlineStr">
        <is>
          <t>S.O</t>
        </is>
      </c>
      <c r="G384" t="inlineStr">
        <is>
          <t>Epidémiologie</t>
        </is>
      </c>
      <c r="H384" t="inlineStr"/>
      <c r="I384" t="inlineStr"/>
      <c r="J384" t="inlineStr">
        <is>
          <t>Mardi</t>
        </is>
      </c>
      <c r="K384" t="inlineStr">
        <is>
          <t>15h05</t>
        </is>
      </c>
      <c r="L384" t="inlineStr">
        <is>
          <t>17h05</t>
        </is>
      </c>
      <c r="N384" t="n">
        <v>2</v>
      </c>
    </row>
    <row r="385">
      <c r="A385" t="inlineStr">
        <is>
          <t>S383</t>
        </is>
      </c>
      <c r="B385" t="inlineStr">
        <is>
          <t>2025-2026</t>
        </is>
      </c>
      <c r="C385" t="inlineStr">
        <is>
          <t>1</t>
        </is>
      </c>
      <c r="D385" t="inlineStr">
        <is>
          <t>Soins obstétricaux</t>
        </is>
      </c>
      <c r="E385" t="inlineStr">
        <is>
          <t>L1</t>
        </is>
      </c>
      <c r="F385" t="inlineStr">
        <is>
          <t>S.O</t>
        </is>
      </c>
      <c r="G385" t="inlineStr">
        <is>
          <t>Examens de laboratoire</t>
        </is>
      </c>
      <c r="H385" t="inlineStr"/>
      <c r="I385" t="inlineStr"/>
      <c r="J385" t="inlineStr">
        <is>
          <t>Mardi</t>
        </is>
      </c>
      <c r="K385" t="inlineStr">
        <is>
          <t>15h05</t>
        </is>
      </c>
      <c r="L385" t="inlineStr">
        <is>
          <t>17h05</t>
        </is>
      </c>
      <c r="N385" t="n">
        <v>10</v>
      </c>
    </row>
    <row r="386">
      <c r="A386" t="inlineStr">
        <is>
          <t>S384</t>
        </is>
      </c>
      <c r="B386" t="inlineStr">
        <is>
          <t>2025-2026</t>
        </is>
      </c>
      <c r="C386" t="inlineStr">
        <is>
          <t>1</t>
        </is>
      </c>
      <c r="D386" t="inlineStr">
        <is>
          <t>Soins obstétricaux</t>
        </is>
      </c>
      <c r="E386" t="inlineStr">
        <is>
          <t>L1</t>
        </is>
      </c>
      <c r="F386" t="inlineStr">
        <is>
          <t>S.O</t>
        </is>
      </c>
      <c r="G386" t="inlineStr">
        <is>
          <t>Introduction du corps humain</t>
        </is>
      </c>
      <c r="H386" t="inlineStr"/>
      <c r="I386" t="inlineStr"/>
      <c r="J386" t="inlineStr">
        <is>
          <t>Mardi</t>
        </is>
      </c>
      <c r="K386" t="inlineStr">
        <is>
          <t>15h05</t>
        </is>
      </c>
      <c r="L386" t="inlineStr">
        <is>
          <t>17h05</t>
        </is>
      </c>
      <c r="N386" t="n">
        <v>2</v>
      </c>
    </row>
    <row r="387">
      <c r="A387" t="inlineStr">
        <is>
          <t>S385</t>
        </is>
      </c>
      <c r="B387" t="inlineStr">
        <is>
          <t>2025-2026</t>
        </is>
      </c>
      <c r="C387" t="inlineStr">
        <is>
          <t>1</t>
        </is>
      </c>
      <c r="D387" t="inlineStr">
        <is>
          <t>Soins obstétricaux</t>
        </is>
      </c>
      <c r="E387" t="inlineStr">
        <is>
          <t>L1</t>
        </is>
      </c>
      <c r="F387" t="inlineStr">
        <is>
          <t>S.O</t>
        </is>
      </c>
      <c r="G387" t="inlineStr">
        <is>
          <t>Le sang</t>
        </is>
      </c>
      <c r="H387" t="inlineStr"/>
      <c r="I387" t="inlineStr"/>
      <c r="J387" t="inlineStr">
        <is>
          <t>Mardi</t>
        </is>
      </c>
      <c r="K387" t="inlineStr">
        <is>
          <t>15h05</t>
        </is>
      </c>
      <c r="L387" t="inlineStr">
        <is>
          <t>17h05</t>
        </is>
      </c>
      <c r="N387" t="n">
        <v>2</v>
      </c>
    </row>
    <row r="388">
      <c r="A388" t="inlineStr">
        <is>
          <t>S386</t>
        </is>
      </c>
      <c r="B388" t="inlineStr">
        <is>
          <t>2025-2026</t>
        </is>
      </c>
      <c r="C388" t="inlineStr">
        <is>
          <t>1</t>
        </is>
      </c>
      <c r="D388" t="inlineStr">
        <is>
          <t>Soins obstétricaux</t>
        </is>
      </c>
      <c r="E388" t="inlineStr">
        <is>
          <t>L1</t>
        </is>
      </c>
      <c r="F388" t="inlineStr">
        <is>
          <t>S.O</t>
        </is>
      </c>
      <c r="G388" t="inlineStr">
        <is>
          <t>Santé et environnement</t>
        </is>
      </c>
      <c r="H388" t="inlineStr">
        <is>
          <t>Soudjay Mohamed</t>
        </is>
      </c>
      <c r="I388" t="inlineStr"/>
      <c r="J388" t="inlineStr">
        <is>
          <t>Mardi</t>
        </is>
      </c>
      <c r="K388" t="inlineStr">
        <is>
          <t>15h05</t>
        </is>
      </c>
      <c r="L388" t="inlineStr">
        <is>
          <t>17h05</t>
        </is>
      </c>
      <c r="N388" t="n">
        <v>4</v>
      </c>
    </row>
    <row r="389">
      <c r="A389" t="inlineStr">
        <is>
          <t>S387</t>
        </is>
      </c>
      <c r="B389" t="inlineStr">
        <is>
          <t>2025-2026</t>
        </is>
      </c>
      <c r="C389" t="inlineStr">
        <is>
          <t>1</t>
        </is>
      </c>
      <c r="D389" t="inlineStr">
        <is>
          <t>Soins obstétricaux</t>
        </is>
      </c>
      <c r="E389" t="inlineStr">
        <is>
          <t>L1</t>
        </is>
      </c>
      <c r="F389" t="inlineStr">
        <is>
          <t>S.O</t>
        </is>
      </c>
      <c r="G389" t="inlineStr">
        <is>
          <t>TD Appareil urogénital</t>
        </is>
      </c>
      <c r="H389" t="inlineStr"/>
      <c r="I389" t="inlineStr"/>
      <c r="J389" t="inlineStr">
        <is>
          <t>Mardi</t>
        </is>
      </c>
      <c r="K389" t="inlineStr">
        <is>
          <t>15h05</t>
        </is>
      </c>
      <c r="L389" t="inlineStr">
        <is>
          <t>17h05</t>
        </is>
      </c>
      <c r="N389" t="n">
        <v>2</v>
      </c>
    </row>
    <row r="390">
      <c r="A390" t="inlineStr">
        <is>
          <t>S388</t>
        </is>
      </c>
      <c r="B390" t="inlineStr">
        <is>
          <t>2025-2026</t>
        </is>
      </c>
      <c r="C390" t="inlineStr">
        <is>
          <t>1</t>
        </is>
      </c>
      <c r="D390" t="inlineStr">
        <is>
          <t>Soins obstétricaux</t>
        </is>
      </c>
      <c r="E390" t="inlineStr">
        <is>
          <t>L1</t>
        </is>
      </c>
      <c r="F390" t="inlineStr">
        <is>
          <t>S.O</t>
        </is>
      </c>
      <c r="G390" t="inlineStr">
        <is>
          <t>Théories, modèles et interaction</t>
        </is>
      </c>
      <c r="H390" t="inlineStr"/>
      <c r="I390" t="inlineStr"/>
      <c r="J390" t="inlineStr">
        <is>
          <t>Mardi</t>
        </is>
      </c>
      <c r="K390" t="inlineStr">
        <is>
          <t>15h05</t>
        </is>
      </c>
      <c r="L390" t="inlineStr">
        <is>
          <t>17h05</t>
        </is>
      </c>
      <c r="N390" t="n">
        <v>2</v>
      </c>
    </row>
    <row r="391">
      <c r="A391" t="inlineStr">
        <is>
          <t>S389</t>
        </is>
      </c>
      <c r="B391" t="inlineStr">
        <is>
          <t>2025-2026</t>
        </is>
      </c>
      <c r="C391" t="inlineStr">
        <is>
          <t>1</t>
        </is>
      </c>
      <c r="D391" t="inlineStr">
        <is>
          <t>Soins obstétricaux</t>
        </is>
      </c>
      <c r="E391" t="inlineStr">
        <is>
          <t>L1</t>
        </is>
      </c>
      <c r="F391" t="inlineStr">
        <is>
          <t>S.O</t>
        </is>
      </c>
      <c r="G391" t="inlineStr">
        <is>
          <t>Anatomie  du système digestif</t>
        </is>
      </c>
      <c r="H391" t="inlineStr"/>
      <c r="I391" t="inlineStr"/>
      <c r="J391" t="inlineStr">
        <is>
          <t>Mardi</t>
        </is>
      </c>
      <c r="K391" t="inlineStr">
        <is>
          <t>8h00</t>
        </is>
      </c>
      <c r="L391" t="inlineStr">
        <is>
          <t>10h00</t>
        </is>
      </c>
      <c r="N391" t="n">
        <v>2</v>
      </c>
    </row>
    <row r="392">
      <c r="A392" t="inlineStr">
        <is>
          <t>S390</t>
        </is>
      </c>
      <c r="B392" t="inlineStr">
        <is>
          <t>2025-2026</t>
        </is>
      </c>
      <c r="C392" t="inlineStr">
        <is>
          <t>1</t>
        </is>
      </c>
      <c r="D392" t="inlineStr">
        <is>
          <t>Soins obstétricaux</t>
        </is>
      </c>
      <c r="E392" t="inlineStr">
        <is>
          <t>L1</t>
        </is>
      </c>
      <c r="F392" t="inlineStr">
        <is>
          <t>S.O</t>
        </is>
      </c>
      <c r="G392" t="inlineStr">
        <is>
          <t>Anatomie du système Respiratoire</t>
        </is>
      </c>
      <c r="H392" t="inlineStr"/>
      <c r="I392" t="inlineStr"/>
      <c r="J392" t="inlineStr">
        <is>
          <t>Mardi</t>
        </is>
      </c>
      <c r="K392" t="inlineStr">
        <is>
          <t>8h00</t>
        </is>
      </c>
      <c r="L392" t="inlineStr">
        <is>
          <t>10h00</t>
        </is>
      </c>
      <c r="N392" t="n">
        <v>2</v>
      </c>
    </row>
    <row r="393">
      <c r="A393" t="inlineStr">
        <is>
          <t>S391</t>
        </is>
      </c>
      <c r="B393" t="inlineStr">
        <is>
          <t>2025-2026</t>
        </is>
      </c>
      <c r="C393" t="inlineStr">
        <is>
          <t>1</t>
        </is>
      </c>
      <c r="D393" t="inlineStr">
        <is>
          <t>Soins obstétricaux</t>
        </is>
      </c>
      <c r="E393" t="inlineStr">
        <is>
          <t>L1</t>
        </is>
      </c>
      <c r="F393" t="inlineStr">
        <is>
          <t>S.O</t>
        </is>
      </c>
      <c r="G393" t="inlineStr">
        <is>
          <t>Anatomie du système nerveux</t>
        </is>
      </c>
      <c r="H393" t="inlineStr"/>
      <c r="I393" t="inlineStr"/>
      <c r="J393" t="inlineStr">
        <is>
          <t>Mardi</t>
        </is>
      </c>
      <c r="K393" t="inlineStr">
        <is>
          <t>8h00</t>
        </is>
      </c>
      <c r="L393" t="inlineStr">
        <is>
          <t>10h00</t>
        </is>
      </c>
      <c r="N393" t="n">
        <v>2</v>
      </c>
    </row>
    <row r="394">
      <c r="A394" t="inlineStr">
        <is>
          <t>S392</t>
        </is>
      </c>
      <c r="B394" t="inlineStr">
        <is>
          <t>2025-2026</t>
        </is>
      </c>
      <c r="C394" t="inlineStr">
        <is>
          <t>1</t>
        </is>
      </c>
      <c r="D394" t="inlineStr">
        <is>
          <t>Soins obstétricaux</t>
        </is>
      </c>
      <c r="E394" t="inlineStr">
        <is>
          <t>L1</t>
        </is>
      </c>
      <c r="F394" t="inlineStr">
        <is>
          <t>S.O</t>
        </is>
      </c>
      <c r="G394" t="inlineStr">
        <is>
          <t>Conntrôle Le sang</t>
        </is>
      </c>
      <c r="H394" t="inlineStr"/>
      <c r="I394" t="inlineStr"/>
      <c r="J394" t="inlineStr">
        <is>
          <t>Mardi</t>
        </is>
      </c>
      <c r="K394" t="inlineStr">
        <is>
          <t>8h00</t>
        </is>
      </c>
      <c r="L394" t="inlineStr">
        <is>
          <t>10h00</t>
        </is>
      </c>
      <c r="N394" t="n">
        <v>2</v>
      </c>
    </row>
    <row r="395">
      <c r="A395" t="inlineStr">
        <is>
          <t>S393</t>
        </is>
      </c>
      <c r="B395" t="inlineStr">
        <is>
          <t>2025-2026</t>
        </is>
      </c>
      <c r="C395" t="inlineStr">
        <is>
          <t>1</t>
        </is>
      </c>
      <c r="D395" t="inlineStr">
        <is>
          <t>Soins obstétricaux</t>
        </is>
      </c>
      <c r="E395" t="inlineStr">
        <is>
          <t>L1</t>
        </is>
      </c>
      <c r="F395" t="inlineStr">
        <is>
          <t>S.O</t>
        </is>
      </c>
      <c r="G395" t="inlineStr">
        <is>
          <t>Contrôle Disposition d’un environnement sûr et besoins fondamentaux</t>
        </is>
      </c>
      <c r="H395" t="inlineStr"/>
      <c r="I395" t="inlineStr"/>
      <c r="J395" t="inlineStr">
        <is>
          <t>Mardi</t>
        </is>
      </c>
      <c r="K395" t="inlineStr">
        <is>
          <t>8h00</t>
        </is>
      </c>
      <c r="L395" t="inlineStr">
        <is>
          <t>10h00</t>
        </is>
      </c>
      <c r="N395" t="n">
        <v>2</v>
      </c>
    </row>
    <row r="396">
      <c r="A396" t="inlineStr">
        <is>
          <t>S394</t>
        </is>
      </c>
      <c r="B396" t="inlineStr">
        <is>
          <t>2025-2026</t>
        </is>
      </c>
      <c r="C396" t="inlineStr">
        <is>
          <t>1</t>
        </is>
      </c>
      <c r="D396" t="inlineStr">
        <is>
          <t>Soins obstétricaux</t>
        </is>
      </c>
      <c r="E396" t="inlineStr">
        <is>
          <t>L1</t>
        </is>
      </c>
      <c r="F396" t="inlineStr">
        <is>
          <t>S.O</t>
        </is>
      </c>
      <c r="G396" t="inlineStr">
        <is>
          <t>Contrôle Introduction du corps humain</t>
        </is>
      </c>
      <c r="H396" t="inlineStr"/>
      <c r="I396" t="inlineStr"/>
      <c r="J396" t="inlineStr">
        <is>
          <t>Mardi</t>
        </is>
      </c>
      <c r="K396" t="inlineStr">
        <is>
          <t>8h00</t>
        </is>
      </c>
      <c r="L396" t="inlineStr">
        <is>
          <t>10h00</t>
        </is>
      </c>
      <c r="N396" t="n">
        <v>2</v>
      </c>
    </row>
    <row r="397">
      <c r="A397" t="inlineStr">
        <is>
          <t>S395</t>
        </is>
      </c>
      <c r="B397" t="inlineStr">
        <is>
          <t>2025-2026</t>
        </is>
      </c>
      <c r="C397" t="inlineStr">
        <is>
          <t>1</t>
        </is>
      </c>
      <c r="D397" t="inlineStr">
        <is>
          <t>Soins obstétricaux</t>
        </is>
      </c>
      <c r="E397" t="inlineStr">
        <is>
          <t>L1</t>
        </is>
      </c>
      <c r="F397" t="inlineStr">
        <is>
          <t>S.O</t>
        </is>
      </c>
      <c r="G397" t="inlineStr">
        <is>
          <t>Contrôle Liquides et életrolytes</t>
        </is>
      </c>
      <c r="H397" t="inlineStr"/>
      <c r="I397" t="inlineStr"/>
      <c r="J397" t="inlineStr">
        <is>
          <t>Mardi</t>
        </is>
      </c>
      <c r="K397" t="inlineStr">
        <is>
          <t>8h00</t>
        </is>
      </c>
      <c r="L397" t="inlineStr">
        <is>
          <t>10h00</t>
        </is>
      </c>
      <c r="N397" t="n">
        <v>2</v>
      </c>
    </row>
    <row r="398">
      <c r="A398" t="inlineStr">
        <is>
          <t>S396</t>
        </is>
      </c>
      <c r="B398" t="inlineStr">
        <is>
          <t>2025-2026</t>
        </is>
      </c>
      <c r="C398" t="inlineStr">
        <is>
          <t>1</t>
        </is>
      </c>
      <c r="D398" t="inlineStr">
        <is>
          <t>Soins obstétricaux</t>
        </is>
      </c>
      <c r="E398" t="inlineStr">
        <is>
          <t>L1</t>
        </is>
      </c>
      <c r="F398" t="inlineStr">
        <is>
          <t>S.O</t>
        </is>
      </c>
      <c r="G398" t="inlineStr">
        <is>
          <t>Démarche de soins et Projet de soins</t>
        </is>
      </c>
      <c r="H398" t="inlineStr"/>
      <c r="I398" t="inlineStr"/>
      <c r="J398" t="inlineStr">
        <is>
          <t>Mardi</t>
        </is>
      </c>
      <c r="K398" t="inlineStr">
        <is>
          <t>8h00</t>
        </is>
      </c>
      <c r="L398" t="inlineStr">
        <is>
          <t>10h00</t>
        </is>
      </c>
      <c r="N398" t="n">
        <v>2</v>
      </c>
    </row>
    <row r="399">
      <c r="A399" t="inlineStr">
        <is>
          <t>S397</t>
        </is>
      </c>
      <c r="B399" t="inlineStr">
        <is>
          <t>2025-2026</t>
        </is>
      </c>
      <c r="C399" t="inlineStr">
        <is>
          <t>1</t>
        </is>
      </c>
      <c r="D399" t="inlineStr">
        <is>
          <t>Soins obstétricaux</t>
        </is>
      </c>
      <c r="E399" t="inlineStr">
        <is>
          <t>L1</t>
        </is>
      </c>
      <c r="F399" t="inlineStr">
        <is>
          <t>S.O</t>
        </is>
      </c>
      <c r="G399" t="inlineStr">
        <is>
          <t>Immunité</t>
        </is>
      </c>
      <c r="H399" t="inlineStr"/>
      <c r="I399" t="inlineStr"/>
      <c r="J399" t="inlineStr">
        <is>
          <t>Mardi</t>
        </is>
      </c>
      <c r="K399" t="inlineStr">
        <is>
          <t>8h00</t>
        </is>
      </c>
      <c r="L399" t="inlineStr">
        <is>
          <t>10h00</t>
        </is>
      </c>
      <c r="N399" t="n">
        <v>2</v>
      </c>
    </row>
    <row r="400">
      <c r="A400" t="inlineStr">
        <is>
          <t>S398</t>
        </is>
      </c>
      <c r="B400" t="inlineStr">
        <is>
          <t>2025-2026</t>
        </is>
      </c>
      <c r="C400" t="inlineStr">
        <is>
          <t>1</t>
        </is>
      </c>
      <c r="D400" t="inlineStr">
        <is>
          <t>Soins obstétricaux</t>
        </is>
      </c>
      <c r="E400" t="inlineStr">
        <is>
          <t>L1</t>
        </is>
      </c>
      <c r="F400" t="inlineStr">
        <is>
          <t>S.O</t>
        </is>
      </c>
      <c r="G400" t="inlineStr">
        <is>
          <t>Procédure d’admission</t>
        </is>
      </c>
      <c r="H400" t="inlineStr"/>
      <c r="I400" t="inlineStr"/>
      <c r="J400" t="inlineStr">
        <is>
          <t>Mardi</t>
        </is>
      </c>
      <c r="K400" t="inlineStr">
        <is>
          <t>8h00</t>
        </is>
      </c>
      <c r="L400" t="inlineStr">
        <is>
          <t>10h00</t>
        </is>
      </c>
      <c r="N400" t="n">
        <v>4</v>
      </c>
    </row>
    <row r="401">
      <c r="A401" t="inlineStr">
        <is>
          <t>S399</t>
        </is>
      </c>
      <c r="B401" t="inlineStr">
        <is>
          <t>2025-2026</t>
        </is>
      </c>
      <c r="C401" t="inlineStr">
        <is>
          <t>1</t>
        </is>
      </c>
      <c r="D401" t="inlineStr">
        <is>
          <t>Soins obstétricaux</t>
        </is>
      </c>
      <c r="E401" t="inlineStr">
        <is>
          <t>L1</t>
        </is>
      </c>
      <c r="F401" t="inlineStr">
        <is>
          <t>S.O</t>
        </is>
      </c>
      <c r="G401" t="inlineStr">
        <is>
          <t>Sémiologie médicochirurgicale</t>
        </is>
      </c>
      <c r="H401" t="inlineStr"/>
      <c r="I401" t="inlineStr"/>
      <c r="J401" t="inlineStr">
        <is>
          <t>Mardi</t>
        </is>
      </c>
      <c r="K401" t="inlineStr">
        <is>
          <t>8h00</t>
        </is>
      </c>
      <c r="L401" t="inlineStr">
        <is>
          <t>10h00</t>
        </is>
      </c>
      <c r="N401" t="n">
        <v>4</v>
      </c>
    </row>
    <row r="402">
      <c r="A402" t="inlineStr">
        <is>
          <t>S400</t>
        </is>
      </c>
      <c r="B402" t="inlineStr">
        <is>
          <t>2025-2026</t>
        </is>
      </c>
      <c r="C402" t="inlineStr">
        <is>
          <t>1</t>
        </is>
      </c>
      <c r="D402" t="inlineStr">
        <is>
          <t>Soins obstétricaux</t>
        </is>
      </c>
      <c r="E402" t="inlineStr">
        <is>
          <t>L1</t>
        </is>
      </c>
      <c r="F402" t="inlineStr">
        <is>
          <t>S.O</t>
        </is>
      </c>
      <c r="G402" t="inlineStr">
        <is>
          <t>TD Anatomie du système nerveux</t>
        </is>
      </c>
      <c r="H402" t="inlineStr"/>
      <c r="I402" t="inlineStr"/>
      <c r="J402" t="inlineStr">
        <is>
          <t>Mardi</t>
        </is>
      </c>
      <c r="K402" t="inlineStr">
        <is>
          <t>8h00</t>
        </is>
      </c>
      <c r="L402" t="inlineStr">
        <is>
          <t>10h00</t>
        </is>
      </c>
      <c r="N402" t="n">
        <v>2</v>
      </c>
    </row>
    <row r="403">
      <c r="A403" t="inlineStr">
        <is>
          <t>S401</t>
        </is>
      </c>
      <c r="B403" t="inlineStr">
        <is>
          <t>2025-2026</t>
        </is>
      </c>
      <c r="C403" t="inlineStr">
        <is>
          <t>1</t>
        </is>
      </c>
      <c r="D403" t="inlineStr">
        <is>
          <t>Soins obstétricaux</t>
        </is>
      </c>
      <c r="E403" t="inlineStr">
        <is>
          <t>L1</t>
        </is>
      </c>
      <c r="F403" t="inlineStr">
        <is>
          <t>S.O</t>
        </is>
      </c>
      <c r="G403" t="inlineStr">
        <is>
          <t>TD Démarche de soins et Projet de soins</t>
        </is>
      </c>
      <c r="H403" t="inlineStr"/>
      <c r="I403" t="inlineStr"/>
      <c r="J403" t="inlineStr">
        <is>
          <t>Mardi</t>
        </is>
      </c>
      <c r="K403" t="inlineStr">
        <is>
          <t>8h00</t>
        </is>
      </c>
      <c r="L403" t="inlineStr">
        <is>
          <t>10h00</t>
        </is>
      </c>
      <c r="N403" t="n">
        <v>2</v>
      </c>
    </row>
    <row r="404">
      <c r="A404" t="inlineStr">
        <is>
          <t>S402</t>
        </is>
      </c>
      <c r="B404" t="inlineStr">
        <is>
          <t>2025-2026</t>
        </is>
      </c>
      <c r="C404" t="inlineStr">
        <is>
          <t>1</t>
        </is>
      </c>
      <c r="D404" t="inlineStr">
        <is>
          <t>Soins obstétricaux</t>
        </is>
      </c>
      <c r="E404" t="inlineStr">
        <is>
          <t>L1</t>
        </is>
      </c>
      <c r="F404" t="inlineStr">
        <is>
          <t>S.O</t>
        </is>
      </c>
      <c r="G404" t="inlineStr">
        <is>
          <t>Anatomie du système Respiratoire</t>
        </is>
      </c>
      <c r="H404" t="inlineStr"/>
      <c r="I404" t="inlineStr"/>
      <c r="J404" t="inlineStr">
        <is>
          <t>Mercredi</t>
        </is>
      </c>
      <c r="K404" t="inlineStr">
        <is>
          <t>10h05</t>
        </is>
      </c>
      <c r="L404" t="inlineStr">
        <is>
          <t>12h05</t>
        </is>
      </c>
      <c r="N404" t="n">
        <v>2</v>
      </c>
    </row>
    <row r="405">
      <c r="A405" t="inlineStr">
        <is>
          <t>S403</t>
        </is>
      </c>
      <c r="B405" t="inlineStr">
        <is>
          <t>2025-2026</t>
        </is>
      </c>
      <c r="C405" t="inlineStr">
        <is>
          <t>1</t>
        </is>
      </c>
      <c r="D405" t="inlineStr">
        <is>
          <t>Soins obstétricaux</t>
        </is>
      </c>
      <c r="E405" t="inlineStr">
        <is>
          <t>L1</t>
        </is>
      </c>
      <c r="F405" t="inlineStr">
        <is>
          <t>S.O</t>
        </is>
      </c>
      <c r="G405" t="inlineStr">
        <is>
          <t>Anatomie du système endocrinien</t>
        </is>
      </c>
      <c r="H405" t="inlineStr">
        <is>
          <t>Moussa Mohamed Ahmed (Chef de département formation continue et santé publique)</t>
        </is>
      </c>
      <c r="I405" t="inlineStr"/>
      <c r="J405" t="inlineStr">
        <is>
          <t>Mercredi</t>
        </is>
      </c>
      <c r="K405" t="inlineStr">
        <is>
          <t>10h05</t>
        </is>
      </c>
      <c r="L405" t="inlineStr">
        <is>
          <t>12h05</t>
        </is>
      </c>
      <c r="N405" t="n">
        <v>2</v>
      </c>
    </row>
    <row r="406">
      <c r="A406" t="inlineStr">
        <is>
          <t>S404</t>
        </is>
      </c>
      <c r="B406" t="inlineStr">
        <is>
          <t>2025-2026</t>
        </is>
      </c>
      <c r="C406" t="inlineStr">
        <is>
          <t>1</t>
        </is>
      </c>
      <c r="D406" t="inlineStr">
        <is>
          <t>Soins obstétricaux</t>
        </is>
      </c>
      <c r="E406" t="inlineStr">
        <is>
          <t>L1</t>
        </is>
      </c>
      <c r="F406" t="inlineStr">
        <is>
          <t>S.O</t>
        </is>
      </c>
      <c r="G406" t="inlineStr">
        <is>
          <t>Appareil locomoteur</t>
        </is>
      </c>
      <c r="H406" t="inlineStr"/>
      <c r="I406" t="inlineStr"/>
      <c r="J406" t="inlineStr">
        <is>
          <t>Mercredi</t>
        </is>
      </c>
      <c r="K406" t="inlineStr">
        <is>
          <t>10h05</t>
        </is>
      </c>
      <c r="L406" t="inlineStr">
        <is>
          <t>12h05</t>
        </is>
      </c>
      <c r="N406" t="n">
        <v>22</v>
      </c>
    </row>
    <row r="407">
      <c r="A407" t="inlineStr">
        <is>
          <t>S405</t>
        </is>
      </c>
      <c r="B407" t="inlineStr">
        <is>
          <t>2025-2026</t>
        </is>
      </c>
      <c r="C407" t="inlineStr">
        <is>
          <t>1</t>
        </is>
      </c>
      <c r="D407" t="inlineStr">
        <is>
          <t>Soins obstétricaux</t>
        </is>
      </c>
      <c r="E407" t="inlineStr">
        <is>
          <t>L1</t>
        </is>
      </c>
      <c r="F407" t="inlineStr">
        <is>
          <t>S.O</t>
        </is>
      </c>
      <c r="G407" t="inlineStr">
        <is>
          <t>Le sang</t>
        </is>
      </c>
      <c r="H407" t="inlineStr"/>
      <c r="I407" t="inlineStr"/>
      <c r="J407" t="inlineStr">
        <is>
          <t>Mercredi</t>
        </is>
      </c>
      <c r="K407" t="inlineStr">
        <is>
          <t>10h05</t>
        </is>
      </c>
      <c r="L407" t="inlineStr">
        <is>
          <t>12h05</t>
        </is>
      </c>
      <c r="N407" t="n">
        <v>2</v>
      </c>
    </row>
    <row r="408">
      <c r="A408" t="inlineStr">
        <is>
          <t>S406</t>
        </is>
      </c>
      <c r="B408" t="inlineStr">
        <is>
          <t>2025-2026</t>
        </is>
      </c>
      <c r="C408" t="inlineStr">
        <is>
          <t>1</t>
        </is>
      </c>
      <c r="D408" t="inlineStr">
        <is>
          <t>Soins obstétricaux</t>
        </is>
      </c>
      <c r="E408" t="inlineStr">
        <is>
          <t>L1</t>
        </is>
      </c>
      <c r="F408" t="inlineStr">
        <is>
          <t>S.O</t>
        </is>
      </c>
      <c r="G408" t="inlineStr">
        <is>
          <t>TD Anatomie du système Respiratoire</t>
        </is>
      </c>
      <c r="H408" t="inlineStr"/>
      <c r="I408" t="inlineStr"/>
      <c r="J408" t="inlineStr">
        <is>
          <t>Mercredi</t>
        </is>
      </c>
      <c r="K408" t="inlineStr">
        <is>
          <t>10h05</t>
        </is>
      </c>
      <c r="L408" t="inlineStr">
        <is>
          <t>12h05</t>
        </is>
      </c>
      <c r="N408" t="n">
        <v>2</v>
      </c>
    </row>
    <row r="409">
      <c r="A409" t="inlineStr">
        <is>
          <t>S407</t>
        </is>
      </c>
      <c r="B409" t="inlineStr">
        <is>
          <t>2025-2026</t>
        </is>
      </c>
      <c r="C409" t="inlineStr">
        <is>
          <t>1</t>
        </is>
      </c>
      <c r="D409" t="inlineStr">
        <is>
          <t>Soins obstétricaux</t>
        </is>
      </c>
      <c r="E409" t="inlineStr">
        <is>
          <t>L1</t>
        </is>
      </c>
      <c r="F409" t="inlineStr">
        <is>
          <t>S.O</t>
        </is>
      </c>
      <c r="G409" t="inlineStr">
        <is>
          <t>Anatomie  du système digestif</t>
        </is>
      </c>
      <c r="H409" t="inlineStr"/>
      <c r="I409" t="inlineStr"/>
      <c r="J409" t="inlineStr">
        <is>
          <t>Mercredi</t>
        </is>
      </c>
      <c r="K409" t="inlineStr">
        <is>
          <t>13h00</t>
        </is>
      </c>
      <c r="L409" t="inlineStr">
        <is>
          <t>15h00</t>
        </is>
      </c>
      <c r="N409" t="n">
        <v>2</v>
      </c>
    </row>
    <row r="410">
      <c r="A410" t="inlineStr">
        <is>
          <t>S408</t>
        </is>
      </c>
      <c r="B410" t="inlineStr">
        <is>
          <t>2025-2026</t>
        </is>
      </c>
      <c r="C410" t="inlineStr">
        <is>
          <t>1</t>
        </is>
      </c>
      <c r="D410" t="inlineStr">
        <is>
          <t>Soins obstétricaux</t>
        </is>
      </c>
      <c r="E410" t="inlineStr">
        <is>
          <t>L1</t>
        </is>
      </c>
      <c r="F410" t="inlineStr">
        <is>
          <t>S.O</t>
        </is>
      </c>
      <c r="G410" t="inlineStr">
        <is>
          <t>Besoins fondamentaux du patient</t>
        </is>
      </c>
      <c r="H410" t="inlineStr">
        <is>
          <t>Mme Zainaba Mohamed</t>
        </is>
      </c>
      <c r="I410" t="inlineStr"/>
      <c r="J410" t="inlineStr">
        <is>
          <t>Mercredi</t>
        </is>
      </c>
      <c r="K410" t="inlineStr">
        <is>
          <t>13h00</t>
        </is>
      </c>
      <c r="L410" t="inlineStr">
        <is>
          <t>15h00</t>
        </is>
      </c>
      <c r="N410" t="n">
        <v>2</v>
      </c>
    </row>
    <row r="411">
      <c r="A411" t="inlineStr">
        <is>
          <t>S409</t>
        </is>
      </c>
      <c r="B411" t="inlineStr">
        <is>
          <t>2025-2026</t>
        </is>
      </c>
      <c r="C411" t="inlineStr">
        <is>
          <t>1</t>
        </is>
      </c>
      <c r="D411" t="inlineStr">
        <is>
          <t>Soins obstétricaux</t>
        </is>
      </c>
      <c r="E411" t="inlineStr">
        <is>
          <t>L1</t>
        </is>
      </c>
      <c r="F411" t="inlineStr">
        <is>
          <t>S.O</t>
        </is>
      </c>
      <c r="G411" t="inlineStr">
        <is>
          <t>Contrôle Immunité</t>
        </is>
      </c>
      <c r="H411" t="inlineStr"/>
      <c r="I411" t="inlineStr"/>
      <c r="J411" t="inlineStr">
        <is>
          <t>Mercredi</t>
        </is>
      </c>
      <c r="K411" t="inlineStr">
        <is>
          <t>13h00</t>
        </is>
      </c>
      <c r="L411" t="inlineStr">
        <is>
          <t>15h00</t>
        </is>
      </c>
      <c r="N411" t="n">
        <v>2</v>
      </c>
    </row>
    <row r="412">
      <c r="A412" t="inlineStr">
        <is>
          <t>S410</t>
        </is>
      </c>
      <c r="B412" t="inlineStr">
        <is>
          <t>2025-2026</t>
        </is>
      </c>
      <c r="C412" t="inlineStr">
        <is>
          <t>1</t>
        </is>
      </c>
      <c r="D412" t="inlineStr">
        <is>
          <t>Soins obstétricaux</t>
        </is>
      </c>
      <c r="E412" t="inlineStr">
        <is>
          <t>L1</t>
        </is>
      </c>
      <c r="F412" t="inlineStr">
        <is>
          <t>S.O</t>
        </is>
      </c>
      <c r="G412" t="inlineStr">
        <is>
          <t>Disposition d’un environnement sûr</t>
        </is>
      </c>
      <c r="H412" t="inlineStr"/>
      <c r="I412" t="inlineStr"/>
      <c r="J412" t="inlineStr">
        <is>
          <t>Mercredi</t>
        </is>
      </c>
      <c r="K412" t="inlineStr">
        <is>
          <t>13h00</t>
        </is>
      </c>
      <c r="L412" t="inlineStr">
        <is>
          <t>15h00</t>
        </is>
      </c>
      <c r="N412" t="n">
        <v>4</v>
      </c>
    </row>
    <row r="413">
      <c r="A413" t="inlineStr">
        <is>
          <t>S411</t>
        </is>
      </c>
      <c r="B413" t="inlineStr">
        <is>
          <t>2025-2026</t>
        </is>
      </c>
      <c r="C413" t="inlineStr">
        <is>
          <t>1</t>
        </is>
      </c>
      <c r="D413" t="inlineStr">
        <is>
          <t>Soins obstétricaux</t>
        </is>
      </c>
      <c r="E413" t="inlineStr">
        <is>
          <t>L1</t>
        </is>
      </c>
      <c r="F413" t="inlineStr">
        <is>
          <t>S.O</t>
        </is>
      </c>
      <c r="G413" t="inlineStr">
        <is>
          <t>Démarche de soins et Projet de soins</t>
        </is>
      </c>
      <c r="H413" t="inlineStr"/>
      <c r="I413" t="inlineStr"/>
      <c r="J413" t="inlineStr">
        <is>
          <t>Mercredi</t>
        </is>
      </c>
      <c r="K413" t="inlineStr">
        <is>
          <t>13h00</t>
        </is>
      </c>
      <c r="L413" t="inlineStr">
        <is>
          <t>15h00</t>
        </is>
      </c>
      <c r="N413" t="n">
        <v>2</v>
      </c>
    </row>
    <row r="414">
      <c r="A414" t="inlineStr">
        <is>
          <t>S412</t>
        </is>
      </c>
      <c r="B414" t="inlineStr">
        <is>
          <t>2025-2026</t>
        </is>
      </c>
      <c r="C414" t="inlineStr">
        <is>
          <t>1</t>
        </is>
      </c>
      <c r="D414" t="inlineStr">
        <is>
          <t>Soins obstétricaux</t>
        </is>
      </c>
      <c r="E414" t="inlineStr">
        <is>
          <t>L1</t>
        </is>
      </c>
      <c r="F414" t="inlineStr">
        <is>
          <t>S.O</t>
        </is>
      </c>
      <c r="G414" t="inlineStr">
        <is>
          <t>Immunité</t>
        </is>
      </c>
      <c r="H414" t="inlineStr"/>
      <c r="I414" t="inlineStr"/>
      <c r="J414" t="inlineStr">
        <is>
          <t>Mercredi</t>
        </is>
      </c>
      <c r="K414" t="inlineStr">
        <is>
          <t>13h00</t>
        </is>
      </c>
      <c r="L414" t="inlineStr">
        <is>
          <t>15h00</t>
        </is>
      </c>
      <c r="N414" t="n">
        <v>2</v>
      </c>
    </row>
    <row r="415">
      <c r="A415" t="inlineStr">
        <is>
          <t>S413</t>
        </is>
      </c>
      <c r="B415" t="inlineStr">
        <is>
          <t>2025-2026</t>
        </is>
      </c>
      <c r="C415" t="inlineStr">
        <is>
          <t>1</t>
        </is>
      </c>
      <c r="D415" t="inlineStr">
        <is>
          <t>Soins obstétricaux</t>
        </is>
      </c>
      <c r="E415" t="inlineStr">
        <is>
          <t>L1</t>
        </is>
      </c>
      <c r="F415" t="inlineStr">
        <is>
          <t>S.O</t>
        </is>
      </c>
      <c r="G415" t="inlineStr">
        <is>
          <t>L’infirmier dans l’environnement sanitaire</t>
        </is>
      </c>
      <c r="H415" t="inlineStr"/>
      <c r="I415" t="inlineStr"/>
      <c r="J415" t="inlineStr">
        <is>
          <t>Mercredi</t>
        </is>
      </c>
      <c r="K415" t="inlineStr">
        <is>
          <t>13h00</t>
        </is>
      </c>
      <c r="L415" t="inlineStr">
        <is>
          <t>15h00</t>
        </is>
      </c>
      <c r="N415" t="n">
        <v>4</v>
      </c>
    </row>
    <row r="416">
      <c r="A416" t="inlineStr">
        <is>
          <t>S414</t>
        </is>
      </c>
      <c r="B416" t="inlineStr">
        <is>
          <t>2025-2026</t>
        </is>
      </c>
      <c r="C416" t="inlineStr">
        <is>
          <t>1</t>
        </is>
      </c>
      <c r="D416" t="inlineStr">
        <is>
          <t>Soins obstétricaux</t>
        </is>
      </c>
      <c r="E416" t="inlineStr">
        <is>
          <t>L1</t>
        </is>
      </c>
      <c r="F416" t="inlineStr">
        <is>
          <t>S.O</t>
        </is>
      </c>
      <c r="G416" t="inlineStr">
        <is>
          <t>Perceptions en matière de santé</t>
        </is>
      </c>
      <c r="H416" t="inlineStr">
        <is>
          <t>Mréha Abdou (Chef de département S.O)</t>
        </is>
      </c>
      <c r="I416" t="inlineStr"/>
      <c r="J416" t="inlineStr">
        <is>
          <t>Mercredi</t>
        </is>
      </c>
      <c r="K416" t="inlineStr">
        <is>
          <t>13h00</t>
        </is>
      </c>
      <c r="L416" t="inlineStr">
        <is>
          <t>15h00</t>
        </is>
      </c>
      <c r="N416" t="n">
        <v>2</v>
      </c>
    </row>
    <row r="417">
      <c r="A417" t="inlineStr">
        <is>
          <t>S415</t>
        </is>
      </c>
      <c r="B417" t="inlineStr">
        <is>
          <t>2025-2026</t>
        </is>
      </c>
      <c r="C417" t="inlineStr">
        <is>
          <t>1</t>
        </is>
      </c>
      <c r="D417" t="inlineStr">
        <is>
          <t>Soins obstétricaux</t>
        </is>
      </c>
      <c r="E417" t="inlineStr">
        <is>
          <t>L1</t>
        </is>
      </c>
      <c r="F417" t="inlineStr">
        <is>
          <t>S.O</t>
        </is>
      </c>
      <c r="G417" t="inlineStr">
        <is>
          <t>Procédure d’admission</t>
        </is>
      </c>
      <c r="H417" t="inlineStr"/>
      <c r="I417" t="inlineStr"/>
      <c r="J417" t="inlineStr">
        <is>
          <t>Mercredi</t>
        </is>
      </c>
      <c r="K417" t="inlineStr">
        <is>
          <t>13h00</t>
        </is>
      </c>
      <c r="L417" t="inlineStr">
        <is>
          <t>15h00</t>
        </is>
      </c>
      <c r="N417" t="n">
        <v>4</v>
      </c>
    </row>
    <row r="418">
      <c r="A418" t="inlineStr">
        <is>
          <t>S416</t>
        </is>
      </c>
      <c r="B418" t="inlineStr">
        <is>
          <t>2025-2026</t>
        </is>
      </c>
      <c r="C418" t="inlineStr">
        <is>
          <t>1</t>
        </is>
      </c>
      <c r="D418" t="inlineStr">
        <is>
          <t>Soins obstétricaux</t>
        </is>
      </c>
      <c r="E418" t="inlineStr">
        <is>
          <t>L1</t>
        </is>
      </c>
      <c r="F418" t="inlineStr">
        <is>
          <t>S.O</t>
        </is>
      </c>
      <c r="G418" t="inlineStr">
        <is>
          <t>TD Besoins fondamentaux du patient</t>
        </is>
      </c>
      <c r="H418" t="inlineStr"/>
      <c r="I418" t="inlineStr"/>
      <c r="J418" t="inlineStr">
        <is>
          <t>Mercredi</t>
        </is>
      </c>
      <c r="K418" t="inlineStr">
        <is>
          <t>13h00</t>
        </is>
      </c>
      <c r="L418" t="inlineStr">
        <is>
          <t>15h00</t>
        </is>
      </c>
      <c r="N418" t="n">
        <v>4</v>
      </c>
    </row>
    <row r="419">
      <c r="A419" t="inlineStr">
        <is>
          <t>S417</t>
        </is>
      </c>
      <c r="B419" t="inlineStr">
        <is>
          <t>2025-2026</t>
        </is>
      </c>
      <c r="C419" t="inlineStr">
        <is>
          <t>1</t>
        </is>
      </c>
      <c r="D419" t="inlineStr">
        <is>
          <t>Soins obstétricaux</t>
        </is>
      </c>
      <c r="E419" t="inlineStr">
        <is>
          <t>L1</t>
        </is>
      </c>
      <c r="F419" t="inlineStr">
        <is>
          <t>S.O</t>
        </is>
      </c>
      <c r="G419" t="inlineStr">
        <is>
          <t>TD Démarche de soins et Projet de soins</t>
        </is>
      </c>
      <c r="H419" t="inlineStr"/>
      <c r="I419" t="inlineStr"/>
      <c r="J419" t="inlineStr">
        <is>
          <t>Mercredi</t>
        </is>
      </c>
      <c r="K419" t="inlineStr">
        <is>
          <t>13h00</t>
        </is>
      </c>
      <c r="L419" t="inlineStr">
        <is>
          <t>15h00</t>
        </is>
      </c>
      <c r="N419" t="n">
        <v>2</v>
      </c>
    </row>
    <row r="420">
      <c r="A420" t="inlineStr">
        <is>
          <t>S418</t>
        </is>
      </c>
      <c r="B420" t="inlineStr">
        <is>
          <t>2025-2026</t>
        </is>
      </c>
      <c r="C420" t="inlineStr">
        <is>
          <t>1</t>
        </is>
      </c>
      <c r="D420" t="inlineStr">
        <is>
          <t>Soins obstétricaux</t>
        </is>
      </c>
      <c r="E420" t="inlineStr">
        <is>
          <t>L1</t>
        </is>
      </c>
      <c r="F420" t="inlineStr">
        <is>
          <t>S.O</t>
        </is>
      </c>
      <c r="G420" t="inlineStr">
        <is>
          <t>Anatomie des organes de sens</t>
        </is>
      </c>
      <c r="H420" t="inlineStr">
        <is>
          <t>Irina Ismaïla Abdou</t>
        </is>
      </c>
      <c r="I420" t="inlineStr"/>
      <c r="J420" t="inlineStr">
        <is>
          <t>Mercredi</t>
        </is>
      </c>
      <c r="K420" t="inlineStr">
        <is>
          <t>15h05</t>
        </is>
      </c>
      <c r="L420" t="inlineStr">
        <is>
          <t>17h05</t>
        </is>
      </c>
      <c r="N420" t="n">
        <v>2</v>
      </c>
    </row>
    <row r="421">
      <c r="A421" t="inlineStr">
        <is>
          <t>S419</t>
        </is>
      </c>
      <c r="B421" t="inlineStr">
        <is>
          <t>2025-2026</t>
        </is>
      </c>
      <c r="C421" t="inlineStr">
        <is>
          <t>1</t>
        </is>
      </c>
      <c r="D421" t="inlineStr">
        <is>
          <t>Soins obstétricaux</t>
        </is>
      </c>
      <c r="E421" t="inlineStr">
        <is>
          <t>L1</t>
        </is>
      </c>
      <c r="F421" t="inlineStr">
        <is>
          <t>S.O</t>
        </is>
      </c>
      <c r="G421" t="inlineStr">
        <is>
          <t>Communication</t>
        </is>
      </c>
      <c r="H421" t="inlineStr"/>
      <c r="I421" t="inlineStr"/>
      <c r="J421" t="inlineStr">
        <is>
          <t>Mercredi</t>
        </is>
      </c>
      <c r="K421" t="inlineStr">
        <is>
          <t>15h05</t>
        </is>
      </c>
      <c r="L421" t="inlineStr">
        <is>
          <t>17h05</t>
        </is>
      </c>
      <c r="N421" t="n">
        <v>10</v>
      </c>
    </row>
    <row r="422">
      <c r="A422" t="inlineStr">
        <is>
          <t>S420</t>
        </is>
      </c>
      <c r="B422" t="inlineStr">
        <is>
          <t>2025-2026</t>
        </is>
      </c>
      <c r="C422" t="inlineStr">
        <is>
          <t>1</t>
        </is>
      </c>
      <c r="D422" t="inlineStr">
        <is>
          <t>Soins obstétricaux</t>
        </is>
      </c>
      <c r="E422" t="inlineStr">
        <is>
          <t>L1</t>
        </is>
      </c>
      <c r="F422" t="inlineStr">
        <is>
          <t>S.O</t>
        </is>
      </c>
      <c r="G422" t="inlineStr">
        <is>
          <t>Epidémiologie</t>
        </is>
      </c>
      <c r="H422" t="inlineStr"/>
      <c r="I422" t="inlineStr"/>
      <c r="J422" t="inlineStr">
        <is>
          <t>Mercredi</t>
        </is>
      </c>
      <c r="K422" t="inlineStr">
        <is>
          <t>15h05</t>
        </is>
      </c>
      <c r="L422" t="inlineStr">
        <is>
          <t>17h05</t>
        </is>
      </c>
      <c r="N422" t="n">
        <v>2</v>
      </c>
    </row>
    <row r="423">
      <c r="A423" t="inlineStr">
        <is>
          <t>S421</t>
        </is>
      </c>
      <c r="B423" t="inlineStr">
        <is>
          <t>2025-2026</t>
        </is>
      </c>
      <c r="C423" t="inlineStr">
        <is>
          <t>1</t>
        </is>
      </c>
      <c r="D423" t="inlineStr">
        <is>
          <t>Soins obstétricaux</t>
        </is>
      </c>
      <c r="E423" t="inlineStr">
        <is>
          <t>L1</t>
        </is>
      </c>
      <c r="F423" t="inlineStr">
        <is>
          <t>S.O</t>
        </is>
      </c>
      <c r="G423" t="inlineStr">
        <is>
          <t>Généralités sur la pharmacologie</t>
        </is>
      </c>
      <c r="H423" t="inlineStr"/>
      <c r="I423" t="inlineStr"/>
      <c r="J423" t="inlineStr">
        <is>
          <t>Mercredi</t>
        </is>
      </c>
      <c r="K423" t="inlineStr">
        <is>
          <t>15h05</t>
        </is>
      </c>
      <c r="L423" t="inlineStr">
        <is>
          <t>17h05</t>
        </is>
      </c>
      <c r="N423" t="n">
        <v>10</v>
      </c>
    </row>
    <row r="424">
      <c r="A424" t="inlineStr">
        <is>
          <t>S422</t>
        </is>
      </c>
      <c r="B424" t="inlineStr">
        <is>
          <t>2025-2026</t>
        </is>
      </c>
      <c r="C424" t="inlineStr">
        <is>
          <t>1</t>
        </is>
      </c>
      <c r="D424" t="inlineStr">
        <is>
          <t>Soins obstétricaux</t>
        </is>
      </c>
      <c r="E424" t="inlineStr">
        <is>
          <t>L1</t>
        </is>
      </c>
      <c r="F424" t="inlineStr">
        <is>
          <t>S.O</t>
        </is>
      </c>
      <c r="G424" t="inlineStr">
        <is>
          <t>Methodes statistiques</t>
        </is>
      </c>
      <c r="H424" t="inlineStr"/>
      <c r="I424" t="inlineStr"/>
      <c r="J424" t="inlineStr">
        <is>
          <t>Mercredi</t>
        </is>
      </c>
      <c r="K424" t="inlineStr">
        <is>
          <t>15h05</t>
        </is>
      </c>
      <c r="L424" t="inlineStr">
        <is>
          <t>17h05</t>
        </is>
      </c>
      <c r="N424" t="n">
        <v>2</v>
      </c>
    </row>
    <row r="425">
      <c r="A425" t="inlineStr">
        <is>
          <t>S423</t>
        </is>
      </c>
      <c r="B425" t="inlineStr">
        <is>
          <t>2025-2026</t>
        </is>
      </c>
      <c r="C425" t="inlineStr">
        <is>
          <t>1</t>
        </is>
      </c>
      <c r="D425" t="inlineStr">
        <is>
          <t>Soins obstétricaux</t>
        </is>
      </c>
      <c r="E425" t="inlineStr">
        <is>
          <t>L1</t>
        </is>
      </c>
      <c r="F425" t="inlineStr">
        <is>
          <t>S.O</t>
        </is>
      </c>
      <c r="G425" t="inlineStr">
        <is>
          <t>Système cardiovasculaire</t>
        </is>
      </c>
      <c r="H425" t="inlineStr"/>
      <c r="I425" t="inlineStr"/>
      <c r="J425" t="inlineStr">
        <is>
          <t>Mercredi</t>
        </is>
      </c>
      <c r="K425" t="inlineStr">
        <is>
          <t>15h05</t>
        </is>
      </c>
      <c r="L425" t="inlineStr">
        <is>
          <t>17h05</t>
        </is>
      </c>
      <c r="N425" t="n">
        <v>2</v>
      </c>
    </row>
    <row r="426">
      <c r="A426" t="inlineStr">
        <is>
          <t>S424</t>
        </is>
      </c>
      <c r="B426" t="inlineStr">
        <is>
          <t>2025-2026</t>
        </is>
      </c>
      <c r="C426" t="inlineStr">
        <is>
          <t>1</t>
        </is>
      </c>
      <c r="D426" t="inlineStr">
        <is>
          <t>Soins obstétricaux</t>
        </is>
      </c>
      <c r="E426" t="inlineStr">
        <is>
          <t>L1</t>
        </is>
      </c>
      <c r="F426" t="inlineStr">
        <is>
          <t>S.O</t>
        </is>
      </c>
      <c r="G426" t="inlineStr">
        <is>
          <t>TD Anatomie des organes de sens</t>
        </is>
      </c>
      <c r="H426" t="inlineStr"/>
      <c r="I426" t="inlineStr"/>
      <c r="J426" t="inlineStr">
        <is>
          <t>Mercredi</t>
        </is>
      </c>
      <c r="K426" t="inlineStr">
        <is>
          <t>15h05</t>
        </is>
      </c>
      <c r="L426" t="inlineStr">
        <is>
          <t>17h05</t>
        </is>
      </c>
      <c r="N426" t="n">
        <v>2</v>
      </c>
    </row>
    <row r="427">
      <c r="A427" t="inlineStr">
        <is>
          <t>S425</t>
        </is>
      </c>
      <c r="B427" t="inlineStr">
        <is>
          <t>2025-2026</t>
        </is>
      </c>
      <c r="C427" t="inlineStr">
        <is>
          <t>1</t>
        </is>
      </c>
      <c r="D427" t="inlineStr">
        <is>
          <t>Soins obstétricaux</t>
        </is>
      </c>
      <c r="E427" t="inlineStr">
        <is>
          <t>L1</t>
        </is>
      </c>
      <c r="F427" t="inlineStr">
        <is>
          <t>S.O</t>
        </is>
      </c>
      <c r="G427" t="inlineStr">
        <is>
          <t>Anglais professionnel</t>
        </is>
      </c>
      <c r="H427" t="inlineStr"/>
      <c r="I427" t="inlineStr"/>
      <c r="J427" t="inlineStr">
        <is>
          <t>Mercredi</t>
        </is>
      </c>
      <c r="K427" t="inlineStr">
        <is>
          <t>8h00</t>
        </is>
      </c>
      <c r="L427" t="inlineStr">
        <is>
          <t>10h00</t>
        </is>
      </c>
      <c r="N427" t="n">
        <v>4</v>
      </c>
    </row>
    <row r="428">
      <c r="A428" t="inlineStr">
        <is>
          <t>S426</t>
        </is>
      </c>
      <c r="B428" t="inlineStr">
        <is>
          <t>2025-2026</t>
        </is>
      </c>
      <c r="C428" t="inlineStr">
        <is>
          <t>1</t>
        </is>
      </c>
      <c r="D428" t="inlineStr">
        <is>
          <t>Soins obstétricaux</t>
        </is>
      </c>
      <c r="E428" t="inlineStr">
        <is>
          <t>L1</t>
        </is>
      </c>
      <c r="F428" t="inlineStr">
        <is>
          <t>S.O</t>
        </is>
      </c>
      <c r="G428" t="inlineStr">
        <is>
          <t>Expression française</t>
        </is>
      </c>
      <c r="H428" t="inlineStr"/>
      <c r="I428" t="inlineStr"/>
      <c r="J428" t="inlineStr">
        <is>
          <t>Mercredi</t>
        </is>
      </c>
      <c r="K428" t="inlineStr">
        <is>
          <t>8h00</t>
        </is>
      </c>
      <c r="L428" t="inlineStr">
        <is>
          <t>10h00</t>
        </is>
      </c>
      <c r="N428" t="n">
        <v>2</v>
      </c>
    </row>
    <row r="429">
      <c r="A429" t="inlineStr">
        <is>
          <t>S427</t>
        </is>
      </c>
      <c r="B429" t="inlineStr">
        <is>
          <t>2025-2026</t>
        </is>
      </c>
      <c r="C429" t="inlineStr">
        <is>
          <t>1</t>
        </is>
      </c>
      <c r="D429" t="inlineStr">
        <is>
          <t>Soins obstétricaux</t>
        </is>
      </c>
      <c r="E429" t="inlineStr">
        <is>
          <t>L1</t>
        </is>
      </c>
      <c r="F429" t="inlineStr">
        <is>
          <t>S.O</t>
        </is>
      </c>
      <c r="G429" t="inlineStr">
        <is>
          <t>Liquides et életrolytes</t>
        </is>
      </c>
      <c r="H429" t="inlineStr"/>
      <c r="I429" t="inlineStr"/>
      <c r="J429" t="inlineStr">
        <is>
          <t>Mercredi</t>
        </is>
      </c>
      <c r="K429" t="inlineStr">
        <is>
          <t>8h00</t>
        </is>
      </c>
      <c r="L429" t="inlineStr">
        <is>
          <t>10h00</t>
        </is>
      </c>
      <c r="N429" t="n">
        <v>4</v>
      </c>
    </row>
    <row r="430">
      <c r="A430" t="inlineStr">
        <is>
          <t>S428</t>
        </is>
      </c>
      <c r="B430" t="inlineStr">
        <is>
          <t>2025-2026</t>
        </is>
      </c>
      <c r="C430" t="inlineStr">
        <is>
          <t>1</t>
        </is>
      </c>
      <c r="D430" t="inlineStr">
        <is>
          <t>Soins obstétricaux</t>
        </is>
      </c>
      <c r="E430" t="inlineStr">
        <is>
          <t>L1</t>
        </is>
      </c>
      <c r="F430" t="inlineStr">
        <is>
          <t>S.O</t>
        </is>
      </c>
      <c r="G430" t="inlineStr">
        <is>
          <t>Observation du malade</t>
        </is>
      </c>
      <c r="H430" t="inlineStr"/>
      <c r="I430" t="inlineStr"/>
      <c r="J430" t="inlineStr">
        <is>
          <t>Mercredi</t>
        </is>
      </c>
      <c r="K430" t="inlineStr">
        <is>
          <t>8h00</t>
        </is>
      </c>
      <c r="L430" t="inlineStr">
        <is>
          <t>10h00</t>
        </is>
      </c>
      <c r="N430" t="n">
        <v>2</v>
      </c>
    </row>
    <row r="431">
      <c r="A431" t="inlineStr">
        <is>
          <t>S429</t>
        </is>
      </c>
      <c r="B431" t="inlineStr">
        <is>
          <t>2025-2026</t>
        </is>
      </c>
      <c r="C431" t="inlineStr">
        <is>
          <t>1</t>
        </is>
      </c>
      <c r="D431" t="inlineStr">
        <is>
          <t>Soins obstétricaux</t>
        </is>
      </c>
      <c r="E431" t="inlineStr">
        <is>
          <t>L1</t>
        </is>
      </c>
      <c r="F431" t="inlineStr">
        <is>
          <t>S.O</t>
        </is>
      </c>
      <c r="G431" t="inlineStr">
        <is>
          <t>Soins de base prodigués au patient</t>
        </is>
      </c>
      <c r="H431" t="inlineStr"/>
      <c r="I431" t="inlineStr"/>
      <c r="J431" t="inlineStr">
        <is>
          <t>Mercredi</t>
        </is>
      </c>
      <c r="K431" t="inlineStr">
        <is>
          <t>8h00</t>
        </is>
      </c>
      <c r="L431" t="inlineStr">
        <is>
          <t>10h00</t>
        </is>
      </c>
      <c r="N431" t="n">
        <v>10</v>
      </c>
    </row>
    <row r="432">
      <c r="A432" t="inlineStr">
        <is>
          <t>S430</t>
        </is>
      </c>
      <c r="B432" t="inlineStr">
        <is>
          <t>2025-2026</t>
        </is>
      </c>
      <c r="C432" t="inlineStr">
        <is>
          <t>1</t>
        </is>
      </c>
      <c r="D432" t="inlineStr">
        <is>
          <t>Soins obstétricaux</t>
        </is>
      </c>
      <c r="E432" t="inlineStr">
        <is>
          <t>L1</t>
        </is>
      </c>
      <c r="F432" t="inlineStr">
        <is>
          <t>S.O</t>
        </is>
      </c>
      <c r="G432" t="inlineStr">
        <is>
          <t>Sémiologie médicochirurgicale</t>
        </is>
      </c>
      <c r="H432" t="inlineStr"/>
      <c r="I432" t="inlineStr"/>
      <c r="J432" t="inlineStr">
        <is>
          <t>Mercredi</t>
        </is>
      </c>
      <c r="K432" t="inlineStr">
        <is>
          <t>8h00</t>
        </is>
      </c>
      <c r="L432" t="inlineStr">
        <is>
          <t>10h00</t>
        </is>
      </c>
      <c r="N432" t="n">
        <v>2</v>
      </c>
    </row>
    <row r="433">
      <c r="A433" t="inlineStr">
        <is>
          <t>S431</t>
        </is>
      </c>
      <c r="B433" t="inlineStr">
        <is>
          <t>2025-2026</t>
        </is>
      </c>
      <c r="C433" t="inlineStr">
        <is>
          <t>1</t>
        </is>
      </c>
      <c r="D433" t="inlineStr">
        <is>
          <t>Soins obstétricaux</t>
        </is>
      </c>
      <c r="E433" t="inlineStr">
        <is>
          <t>L1</t>
        </is>
      </c>
      <c r="F433" t="inlineStr">
        <is>
          <t>S.O</t>
        </is>
      </c>
      <c r="G433" t="inlineStr">
        <is>
          <t>TD Anglais professionnel</t>
        </is>
      </c>
      <c r="H433" t="inlineStr"/>
      <c r="I433" t="inlineStr"/>
      <c r="J433" t="inlineStr">
        <is>
          <t>Mercredi</t>
        </is>
      </c>
      <c r="K433" t="inlineStr">
        <is>
          <t>8h00</t>
        </is>
      </c>
      <c r="L433" t="inlineStr">
        <is>
          <t>10h00</t>
        </is>
      </c>
      <c r="N433" t="n">
        <v>2</v>
      </c>
    </row>
    <row r="434">
      <c r="A434" t="inlineStr">
        <is>
          <t>S432</t>
        </is>
      </c>
      <c r="B434" t="inlineStr">
        <is>
          <t>2025-2026</t>
        </is>
      </c>
      <c r="C434" t="inlineStr">
        <is>
          <t>1</t>
        </is>
      </c>
      <c r="D434" t="inlineStr">
        <is>
          <t>Soins obstétricaux</t>
        </is>
      </c>
      <c r="E434" t="inlineStr">
        <is>
          <t>L1</t>
        </is>
      </c>
      <c r="F434" t="inlineStr">
        <is>
          <t>S.O</t>
        </is>
      </c>
      <c r="G434" t="inlineStr">
        <is>
          <t>TD Liquides et életrolytes</t>
        </is>
      </c>
      <c r="H434" t="inlineStr"/>
      <c r="I434" t="inlineStr"/>
      <c r="J434" t="inlineStr">
        <is>
          <t>Mercredi</t>
        </is>
      </c>
      <c r="K434" t="inlineStr">
        <is>
          <t>8h00</t>
        </is>
      </c>
      <c r="L434" t="inlineStr">
        <is>
          <t>10h00</t>
        </is>
      </c>
      <c r="N434" t="n">
        <v>2</v>
      </c>
    </row>
    <row r="435">
      <c r="A435" t="inlineStr">
        <is>
          <t>S433</t>
        </is>
      </c>
      <c r="B435" t="inlineStr">
        <is>
          <t>2025-2026</t>
        </is>
      </c>
      <c r="C435" t="inlineStr">
        <is>
          <t>1</t>
        </is>
      </c>
      <c r="D435" t="inlineStr">
        <is>
          <t>Soins obstétricaux</t>
        </is>
      </c>
      <c r="E435" t="inlineStr">
        <is>
          <t>L1</t>
        </is>
      </c>
      <c r="F435" t="inlineStr">
        <is>
          <t>S.O</t>
        </is>
      </c>
      <c r="G435" t="inlineStr">
        <is>
          <t>TD Observation du malade</t>
        </is>
      </c>
      <c r="H435" t="inlineStr"/>
      <c r="I435" t="inlineStr"/>
      <c r="J435" t="inlineStr">
        <is>
          <t>Mercredi</t>
        </is>
      </c>
      <c r="K435" t="inlineStr">
        <is>
          <t>8h00</t>
        </is>
      </c>
      <c r="L435" t="inlineStr">
        <is>
          <t>10h00</t>
        </is>
      </c>
      <c r="N435" t="n">
        <v>2</v>
      </c>
    </row>
    <row r="436">
      <c r="A436" t="inlineStr">
        <is>
          <t>S434</t>
        </is>
      </c>
      <c r="B436" t="inlineStr">
        <is>
          <t>2025-2026</t>
        </is>
      </c>
      <c r="C436" t="inlineStr">
        <is>
          <t>1</t>
        </is>
      </c>
      <c r="D436" t="inlineStr">
        <is>
          <t>Soins obstétricaux</t>
        </is>
      </c>
      <c r="E436" t="inlineStr">
        <is>
          <t>L1</t>
        </is>
      </c>
      <c r="F436" t="inlineStr">
        <is>
          <t>S.O</t>
        </is>
      </c>
      <c r="G436" t="inlineStr">
        <is>
          <t>Anatomie du système endocrinien</t>
        </is>
      </c>
      <c r="H436" t="inlineStr">
        <is>
          <t>Moussa Mohamed Ahmed (Chef de département formation continue et santé publique)</t>
        </is>
      </c>
      <c r="I436" t="inlineStr"/>
      <c r="J436" t="inlineStr">
        <is>
          <t>Vendredi</t>
        </is>
      </c>
      <c r="K436" t="inlineStr">
        <is>
          <t>10h05</t>
        </is>
      </c>
      <c r="L436" t="inlineStr">
        <is>
          <t>12h05</t>
        </is>
      </c>
      <c r="N436" t="n">
        <v>2</v>
      </c>
    </row>
    <row r="437">
      <c r="A437" t="inlineStr">
        <is>
          <t>S435</t>
        </is>
      </c>
      <c r="B437" t="inlineStr">
        <is>
          <t>2025-2026</t>
        </is>
      </c>
      <c r="C437" t="inlineStr">
        <is>
          <t>1</t>
        </is>
      </c>
      <c r="D437" t="inlineStr">
        <is>
          <t>Soins obstétricaux</t>
        </is>
      </c>
      <c r="E437" t="inlineStr">
        <is>
          <t>L1</t>
        </is>
      </c>
      <c r="F437" t="inlineStr">
        <is>
          <t>S.O</t>
        </is>
      </c>
      <c r="G437" t="inlineStr">
        <is>
          <t>Appareil locomoteur</t>
        </is>
      </c>
      <c r="H437" t="inlineStr"/>
      <c r="I437" t="inlineStr"/>
      <c r="J437" t="inlineStr">
        <is>
          <t>Vendredi</t>
        </is>
      </c>
      <c r="K437" t="inlineStr">
        <is>
          <t>10h05</t>
        </is>
      </c>
      <c r="L437" t="inlineStr">
        <is>
          <t>12h05</t>
        </is>
      </c>
      <c r="N437" t="n">
        <v>6</v>
      </c>
    </row>
    <row r="438">
      <c r="A438" t="inlineStr">
        <is>
          <t>S436</t>
        </is>
      </c>
      <c r="B438" t="inlineStr">
        <is>
          <t>2025-2026</t>
        </is>
      </c>
      <c r="C438" t="inlineStr">
        <is>
          <t>1</t>
        </is>
      </c>
      <c r="D438" t="inlineStr">
        <is>
          <t>Soins obstétricaux</t>
        </is>
      </c>
      <c r="E438" t="inlineStr">
        <is>
          <t>L1</t>
        </is>
      </c>
      <c r="F438" t="inlineStr">
        <is>
          <t>S.O</t>
        </is>
      </c>
      <c r="G438" t="inlineStr">
        <is>
          <t>Contrôle  Appareil locomoteur</t>
        </is>
      </c>
      <c r="H438" t="inlineStr"/>
      <c r="I438" t="inlineStr"/>
      <c r="J438" t="inlineStr">
        <is>
          <t>Vendredi</t>
        </is>
      </c>
      <c r="K438" t="inlineStr">
        <is>
          <t>10h05</t>
        </is>
      </c>
      <c r="L438" t="inlineStr">
        <is>
          <t>12h05</t>
        </is>
      </c>
      <c r="N438" t="n">
        <v>2</v>
      </c>
    </row>
    <row r="439">
      <c r="A439" t="inlineStr">
        <is>
          <t>S437</t>
        </is>
      </c>
      <c r="B439" t="inlineStr">
        <is>
          <t>2025-2026</t>
        </is>
      </c>
      <c r="C439" t="inlineStr">
        <is>
          <t>1</t>
        </is>
      </c>
      <c r="D439" t="inlineStr">
        <is>
          <t>Soins obstétricaux</t>
        </is>
      </c>
      <c r="E439" t="inlineStr">
        <is>
          <t>L1</t>
        </is>
      </c>
      <c r="F439" t="inlineStr">
        <is>
          <t>S.O</t>
        </is>
      </c>
      <c r="G439" t="inlineStr">
        <is>
          <t>Introduction du corps humain</t>
        </is>
      </c>
      <c r="H439" t="inlineStr"/>
      <c r="I439" t="inlineStr"/>
      <c r="J439" t="inlineStr">
        <is>
          <t>Vendredi</t>
        </is>
      </c>
      <c r="K439" t="inlineStr">
        <is>
          <t>10h05</t>
        </is>
      </c>
      <c r="L439" t="inlineStr">
        <is>
          <t>12h05</t>
        </is>
      </c>
      <c r="N439" t="n">
        <v>2</v>
      </c>
    </row>
    <row r="440">
      <c r="A440" t="inlineStr">
        <is>
          <t>S438</t>
        </is>
      </c>
      <c r="B440" t="inlineStr">
        <is>
          <t>2025-2026</t>
        </is>
      </c>
      <c r="C440" t="inlineStr">
        <is>
          <t>1</t>
        </is>
      </c>
      <c r="D440" t="inlineStr">
        <is>
          <t>Soins obstétricaux</t>
        </is>
      </c>
      <c r="E440" t="inlineStr">
        <is>
          <t>L1</t>
        </is>
      </c>
      <c r="F440" t="inlineStr">
        <is>
          <t>S.O</t>
        </is>
      </c>
      <c r="G440" t="inlineStr">
        <is>
          <t>Sémiologie médicochirurgicale</t>
        </is>
      </c>
      <c r="H440" t="inlineStr"/>
      <c r="I440" t="inlineStr"/>
      <c r="J440" t="inlineStr">
        <is>
          <t>Vendredi</t>
        </is>
      </c>
      <c r="K440" t="inlineStr">
        <is>
          <t>10h05</t>
        </is>
      </c>
      <c r="L440" t="inlineStr">
        <is>
          <t>12h05</t>
        </is>
      </c>
      <c r="N440" t="n">
        <v>12</v>
      </c>
    </row>
    <row r="441">
      <c r="A441" t="inlineStr">
        <is>
          <t>S439</t>
        </is>
      </c>
      <c r="B441" t="inlineStr">
        <is>
          <t>2025-2026</t>
        </is>
      </c>
      <c r="C441" t="inlineStr">
        <is>
          <t>1</t>
        </is>
      </c>
      <c r="D441" t="inlineStr">
        <is>
          <t>Soins obstétricaux</t>
        </is>
      </c>
      <c r="E441" t="inlineStr">
        <is>
          <t>L1</t>
        </is>
      </c>
      <c r="F441" t="inlineStr">
        <is>
          <t>S.O</t>
        </is>
      </c>
      <c r="G441" t="inlineStr">
        <is>
          <t>TD Anatomie du système endocrinien</t>
        </is>
      </c>
      <c r="H441" t="inlineStr"/>
      <c r="I441" t="inlineStr"/>
      <c r="J441" t="inlineStr">
        <is>
          <t>Vendredi</t>
        </is>
      </c>
      <c r="K441" t="inlineStr">
        <is>
          <t>10h05</t>
        </is>
      </c>
      <c r="L441" t="inlineStr">
        <is>
          <t>12h05</t>
        </is>
      </c>
      <c r="N441" t="n">
        <v>2</v>
      </c>
    </row>
    <row r="442">
      <c r="A442" t="inlineStr">
        <is>
          <t>S440</t>
        </is>
      </c>
      <c r="B442" t="inlineStr">
        <is>
          <t>2025-2026</t>
        </is>
      </c>
      <c r="C442" t="inlineStr">
        <is>
          <t>1</t>
        </is>
      </c>
      <c r="D442" t="inlineStr">
        <is>
          <t>Soins obstétricaux</t>
        </is>
      </c>
      <c r="E442" t="inlineStr">
        <is>
          <t>L1</t>
        </is>
      </c>
      <c r="F442" t="inlineStr">
        <is>
          <t>S.O</t>
        </is>
      </c>
      <c r="G442" t="inlineStr">
        <is>
          <t>TD Appareil locomoteur</t>
        </is>
      </c>
      <c r="H442" t="inlineStr"/>
      <c r="I442" t="inlineStr"/>
      <c r="J442" t="inlineStr">
        <is>
          <t>Vendredi</t>
        </is>
      </c>
      <c r="K442" t="inlineStr">
        <is>
          <t>10h05</t>
        </is>
      </c>
      <c r="L442" t="inlineStr">
        <is>
          <t>12h05</t>
        </is>
      </c>
      <c r="N442" t="n">
        <v>2</v>
      </c>
    </row>
    <row r="443">
      <c r="A443" t="inlineStr">
        <is>
          <t>S441</t>
        </is>
      </c>
      <c r="B443" t="inlineStr">
        <is>
          <t>2025-2026</t>
        </is>
      </c>
      <c r="C443" t="inlineStr">
        <is>
          <t>1</t>
        </is>
      </c>
      <c r="D443" t="inlineStr">
        <is>
          <t>Soins obstétricaux</t>
        </is>
      </c>
      <c r="E443" t="inlineStr">
        <is>
          <t>L1</t>
        </is>
      </c>
      <c r="F443" t="inlineStr">
        <is>
          <t>S.O</t>
        </is>
      </c>
      <c r="G443" t="inlineStr">
        <is>
          <t>TD Introduction du corps humain</t>
        </is>
      </c>
      <c r="H443" t="inlineStr"/>
      <c r="I443" t="inlineStr"/>
      <c r="J443" t="inlineStr">
        <is>
          <t>Vendredi</t>
        </is>
      </c>
      <c r="K443" t="inlineStr">
        <is>
          <t>10h05</t>
        </is>
      </c>
      <c r="L443" t="inlineStr">
        <is>
          <t>12h05</t>
        </is>
      </c>
      <c r="N443" t="n">
        <v>2</v>
      </c>
    </row>
    <row r="444">
      <c r="A444" t="inlineStr">
        <is>
          <t>S442</t>
        </is>
      </c>
      <c r="B444" t="inlineStr">
        <is>
          <t>2025-2026</t>
        </is>
      </c>
      <c r="C444" t="inlineStr">
        <is>
          <t>1</t>
        </is>
      </c>
      <c r="D444" t="inlineStr">
        <is>
          <t>Soins obstétricaux</t>
        </is>
      </c>
      <c r="E444" t="inlineStr">
        <is>
          <t>L1</t>
        </is>
      </c>
      <c r="F444" t="inlineStr">
        <is>
          <t>S.O</t>
        </is>
      </c>
      <c r="G444" t="inlineStr">
        <is>
          <t>Anglais professionnel</t>
        </is>
      </c>
      <c r="H444" t="inlineStr"/>
      <c r="I444" t="inlineStr"/>
      <c r="J444" t="inlineStr">
        <is>
          <t>Vendredi</t>
        </is>
      </c>
      <c r="K444" t="inlineStr">
        <is>
          <t>8h00</t>
        </is>
      </c>
      <c r="L444" t="inlineStr">
        <is>
          <t>10h00</t>
        </is>
      </c>
      <c r="N444" t="n">
        <v>4</v>
      </c>
    </row>
    <row r="445">
      <c r="A445" t="inlineStr">
        <is>
          <t>S443</t>
        </is>
      </c>
      <c r="B445" t="inlineStr">
        <is>
          <t>2025-2026</t>
        </is>
      </c>
      <c r="C445" t="inlineStr">
        <is>
          <t>1</t>
        </is>
      </c>
      <c r="D445" t="inlineStr">
        <is>
          <t>Soins obstétricaux</t>
        </is>
      </c>
      <c r="E445" t="inlineStr">
        <is>
          <t>L1</t>
        </is>
      </c>
      <c r="F445" t="inlineStr">
        <is>
          <t>S.O</t>
        </is>
      </c>
      <c r="G445" t="inlineStr">
        <is>
          <t>Contrôle Anglais professionnel</t>
        </is>
      </c>
      <c r="H445" t="inlineStr"/>
      <c r="I445" t="inlineStr"/>
      <c r="J445" t="inlineStr">
        <is>
          <t>Vendredi</t>
        </is>
      </c>
      <c r="K445" t="inlineStr">
        <is>
          <t>8h00</t>
        </is>
      </c>
      <c r="L445" t="inlineStr">
        <is>
          <t>10h00</t>
        </is>
      </c>
      <c r="N445" t="n">
        <v>2</v>
      </c>
    </row>
    <row r="446">
      <c r="A446" t="inlineStr">
        <is>
          <t>S444</t>
        </is>
      </c>
      <c r="B446" t="inlineStr">
        <is>
          <t>2025-2026</t>
        </is>
      </c>
      <c r="C446" t="inlineStr">
        <is>
          <t>1</t>
        </is>
      </c>
      <c r="D446" t="inlineStr">
        <is>
          <t>Soins obstétricaux</t>
        </is>
      </c>
      <c r="E446" t="inlineStr">
        <is>
          <t>L1</t>
        </is>
      </c>
      <c r="F446" t="inlineStr">
        <is>
          <t>S.O</t>
        </is>
      </c>
      <c r="G446" t="inlineStr">
        <is>
          <t>Contrôle Appareil urogénital</t>
        </is>
      </c>
      <c r="H446" t="inlineStr"/>
      <c r="I446" t="inlineStr"/>
      <c r="J446" t="inlineStr">
        <is>
          <t>Vendredi</t>
        </is>
      </c>
      <c r="K446" t="inlineStr">
        <is>
          <t>8h00</t>
        </is>
      </c>
      <c r="L446" t="inlineStr">
        <is>
          <t>10h00</t>
        </is>
      </c>
      <c r="N446" t="n">
        <v>2</v>
      </c>
    </row>
    <row r="447">
      <c r="A447" t="inlineStr">
        <is>
          <t>S445</t>
        </is>
      </c>
      <c r="B447" t="inlineStr">
        <is>
          <t>2025-2026</t>
        </is>
      </c>
      <c r="C447" t="inlineStr">
        <is>
          <t>1</t>
        </is>
      </c>
      <c r="D447" t="inlineStr">
        <is>
          <t>Soins obstétricaux</t>
        </is>
      </c>
      <c r="E447" t="inlineStr">
        <is>
          <t>L1</t>
        </is>
      </c>
      <c r="F447" t="inlineStr">
        <is>
          <t>S.O</t>
        </is>
      </c>
      <c r="G447" t="inlineStr">
        <is>
          <t>Contrôle Expression française</t>
        </is>
      </c>
      <c r="H447" t="inlineStr"/>
      <c r="I447" t="inlineStr"/>
      <c r="J447" t="inlineStr">
        <is>
          <t>Vendredi</t>
        </is>
      </c>
      <c r="K447" t="inlineStr">
        <is>
          <t>8h00</t>
        </is>
      </c>
      <c r="L447" t="inlineStr">
        <is>
          <t>10h00</t>
        </is>
      </c>
      <c r="N447" t="n">
        <v>2</v>
      </c>
    </row>
    <row r="448">
      <c r="A448" t="inlineStr">
        <is>
          <t>S446</t>
        </is>
      </c>
      <c r="B448" t="inlineStr">
        <is>
          <t>2025-2026</t>
        </is>
      </c>
      <c r="C448" t="inlineStr">
        <is>
          <t>1</t>
        </is>
      </c>
      <c r="D448" t="inlineStr">
        <is>
          <t>Soins obstétricaux</t>
        </is>
      </c>
      <c r="E448" t="inlineStr">
        <is>
          <t>L1</t>
        </is>
      </c>
      <c r="F448" t="inlineStr">
        <is>
          <t>S.O</t>
        </is>
      </c>
      <c r="G448" t="inlineStr">
        <is>
          <t>Expression française</t>
        </is>
      </c>
      <c r="H448" t="inlineStr"/>
      <c r="I448" t="inlineStr"/>
      <c r="J448" t="inlineStr">
        <is>
          <t>Vendredi</t>
        </is>
      </c>
      <c r="K448" t="inlineStr">
        <is>
          <t>8h00</t>
        </is>
      </c>
      <c r="L448" t="inlineStr">
        <is>
          <t>10h00</t>
        </is>
      </c>
      <c r="N448" t="n">
        <v>4</v>
      </c>
    </row>
    <row r="449">
      <c r="A449" t="inlineStr">
        <is>
          <t>S447</t>
        </is>
      </c>
      <c r="B449" t="inlineStr">
        <is>
          <t>2025-2026</t>
        </is>
      </c>
      <c r="C449" t="inlineStr">
        <is>
          <t>1</t>
        </is>
      </c>
      <c r="D449" t="inlineStr">
        <is>
          <t>Soins obstétricaux</t>
        </is>
      </c>
      <c r="E449" t="inlineStr">
        <is>
          <t>L1</t>
        </is>
      </c>
      <c r="F449" t="inlineStr">
        <is>
          <t>S.O</t>
        </is>
      </c>
      <c r="G449" t="inlineStr">
        <is>
          <t>Observation du malade</t>
        </is>
      </c>
      <c r="H449" t="inlineStr"/>
      <c r="I449" t="inlineStr"/>
      <c r="J449" t="inlineStr">
        <is>
          <t>Vendredi</t>
        </is>
      </c>
      <c r="K449" t="inlineStr">
        <is>
          <t>8h00</t>
        </is>
      </c>
      <c r="L449" t="inlineStr">
        <is>
          <t>10h00</t>
        </is>
      </c>
      <c r="N449" t="n">
        <v>4</v>
      </c>
    </row>
    <row r="450">
      <c r="A450" t="inlineStr">
        <is>
          <t>S448</t>
        </is>
      </c>
      <c r="B450" t="inlineStr">
        <is>
          <t>2025-2026</t>
        </is>
      </c>
      <c r="C450" t="inlineStr">
        <is>
          <t>1</t>
        </is>
      </c>
      <c r="D450" t="inlineStr">
        <is>
          <t>Soins obstétricaux</t>
        </is>
      </c>
      <c r="E450" t="inlineStr">
        <is>
          <t>L1</t>
        </is>
      </c>
      <c r="F450" t="inlineStr">
        <is>
          <t>S.O</t>
        </is>
      </c>
      <c r="G450" t="inlineStr">
        <is>
          <t>Soins de base prodigués au patient</t>
        </is>
      </c>
      <c r="H450" t="inlineStr"/>
      <c r="I450" t="inlineStr"/>
      <c r="J450" t="inlineStr">
        <is>
          <t>Vendredi</t>
        </is>
      </c>
      <c r="K450" t="inlineStr">
        <is>
          <t>8h00</t>
        </is>
      </c>
      <c r="L450" t="inlineStr">
        <is>
          <t>10h00</t>
        </is>
      </c>
      <c r="N450" t="n">
        <v>10</v>
      </c>
    </row>
    <row r="451">
      <c r="A451" t="inlineStr">
        <is>
          <t>S449</t>
        </is>
      </c>
      <c r="B451" t="inlineStr">
        <is>
          <t>2025-2026</t>
        </is>
      </c>
      <c r="C451" t="inlineStr">
        <is>
          <t>1</t>
        </is>
      </c>
      <c r="D451" t="inlineStr">
        <is>
          <t>Soins obstétricaux</t>
        </is>
      </c>
      <c r="E451" t="inlineStr">
        <is>
          <t>L1</t>
        </is>
      </c>
      <c r="F451" t="inlineStr">
        <is>
          <t>S.O</t>
        </is>
      </c>
      <c r="G451" t="inlineStr">
        <is>
          <t>Sémiologie médicochirurgicale</t>
        </is>
      </c>
      <c r="H451" t="inlineStr"/>
      <c r="I451" t="inlineStr"/>
      <c r="J451" t="inlineStr">
        <is>
          <t>Vendredi</t>
        </is>
      </c>
      <c r="K451" t="inlineStr">
        <is>
          <t>8h00</t>
        </is>
      </c>
      <c r="L451" t="inlineStr">
        <is>
          <t>10h00</t>
        </is>
      </c>
      <c r="N451" t="n">
        <v>2</v>
      </c>
    </row>
    <row r="452">
      <c r="A452" t="inlineStr">
        <is>
          <t>S450</t>
        </is>
      </c>
      <c r="B452" t="inlineStr">
        <is>
          <t>2025-2026</t>
        </is>
      </c>
      <c r="C452" t="inlineStr">
        <is>
          <t>3</t>
        </is>
      </c>
      <c r="D452" t="inlineStr">
        <is>
          <t>Soins obstétricaux</t>
        </is>
      </c>
      <c r="E452" t="inlineStr">
        <is>
          <t>L2</t>
        </is>
      </c>
      <c r="F452" t="inlineStr">
        <is>
          <t>S.O</t>
        </is>
      </c>
      <c r="G452" t="inlineStr">
        <is>
          <t>Consultation prénatale</t>
        </is>
      </c>
      <c r="H452" t="inlineStr">
        <is>
          <t>Mme MYRIAM ABDALLAH</t>
        </is>
      </c>
      <c r="I452" t="inlineStr"/>
      <c r="J452" t="inlineStr">
        <is>
          <t>Jeudi</t>
        </is>
      </c>
      <c r="K452" t="inlineStr">
        <is>
          <t>10h05</t>
        </is>
      </c>
      <c r="L452" t="inlineStr">
        <is>
          <t>12h05</t>
        </is>
      </c>
      <c r="N452" t="n">
        <v>2</v>
      </c>
    </row>
    <row r="453">
      <c r="A453" t="inlineStr">
        <is>
          <t>S451</t>
        </is>
      </c>
      <c r="B453" t="inlineStr">
        <is>
          <t>2025-2026</t>
        </is>
      </c>
      <c r="C453" t="inlineStr">
        <is>
          <t>3</t>
        </is>
      </c>
      <c r="D453" t="inlineStr">
        <is>
          <t>Soins obstétricaux</t>
        </is>
      </c>
      <c r="E453" t="inlineStr">
        <is>
          <t>L2</t>
        </is>
      </c>
      <c r="F453" t="inlineStr">
        <is>
          <t>S.O</t>
        </is>
      </c>
      <c r="G453" t="inlineStr">
        <is>
          <t>Patologies orthopédiques et traumatologiqes</t>
        </is>
      </c>
      <c r="H453" t="inlineStr"/>
      <c r="I453" t="inlineStr"/>
      <c r="J453" t="inlineStr">
        <is>
          <t>Jeudi</t>
        </is>
      </c>
      <c r="K453" t="inlineStr">
        <is>
          <t>10h05</t>
        </is>
      </c>
      <c r="L453" t="inlineStr">
        <is>
          <t>12h05</t>
        </is>
      </c>
      <c r="N453" t="n">
        <v>2</v>
      </c>
    </row>
    <row r="454">
      <c r="A454" t="inlineStr">
        <is>
          <t>S452</t>
        </is>
      </c>
      <c r="B454" t="inlineStr">
        <is>
          <t>2025-2026</t>
        </is>
      </c>
      <c r="C454" t="inlineStr">
        <is>
          <t>3</t>
        </is>
      </c>
      <c r="D454" t="inlineStr">
        <is>
          <t>Soins obstétricaux</t>
        </is>
      </c>
      <c r="E454" t="inlineStr">
        <is>
          <t>L2</t>
        </is>
      </c>
      <c r="F454" t="inlineStr">
        <is>
          <t>S.O</t>
        </is>
      </c>
      <c r="G454" t="inlineStr">
        <is>
          <t>Protocoles de prise en charge de la grossesse normale</t>
        </is>
      </c>
      <c r="H454" t="inlineStr"/>
      <c r="I454" t="inlineStr"/>
      <c r="J454" t="inlineStr">
        <is>
          <t>Jeudi</t>
        </is>
      </c>
      <c r="K454" t="inlineStr">
        <is>
          <t>10h05</t>
        </is>
      </c>
      <c r="L454" t="inlineStr">
        <is>
          <t>12h05</t>
        </is>
      </c>
      <c r="N454" t="n">
        <v>2</v>
      </c>
    </row>
    <row r="455">
      <c r="A455" t="inlineStr">
        <is>
          <t>S453</t>
        </is>
      </c>
      <c r="B455" t="inlineStr">
        <is>
          <t>2025-2026</t>
        </is>
      </c>
      <c r="C455" t="inlineStr">
        <is>
          <t>3</t>
        </is>
      </c>
      <c r="D455" t="inlineStr">
        <is>
          <t>Soins obstétricaux</t>
        </is>
      </c>
      <c r="E455" t="inlineStr">
        <is>
          <t>L2</t>
        </is>
      </c>
      <c r="F455" t="inlineStr">
        <is>
          <t>S.O</t>
        </is>
      </c>
      <c r="G455" t="inlineStr">
        <is>
          <t>Préparation à l’accouchement normal</t>
        </is>
      </c>
      <c r="H455" t="inlineStr">
        <is>
          <t>Soudjay Asnounat</t>
        </is>
      </c>
      <c r="I455" t="inlineStr"/>
      <c r="J455" t="inlineStr">
        <is>
          <t>Jeudi</t>
        </is>
      </c>
      <c r="K455" t="inlineStr">
        <is>
          <t>10h05</t>
        </is>
      </c>
      <c r="L455" t="inlineStr">
        <is>
          <t>12h05</t>
        </is>
      </c>
      <c r="N455" t="n">
        <v>4</v>
      </c>
    </row>
    <row r="456">
      <c r="A456" t="inlineStr">
        <is>
          <t>S454</t>
        </is>
      </c>
      <c r="B456" t="inlineStr">
        <is>
          <t>2025-2026</t>
        </is>
      </c>
      <c r="C456" t="inlineStr">
        <is>
          <t>3</t>
        </is>
      </c>
      <c r="D456" t="inlineStr">
        <is>
          <t>Soins obstétricaux</t>
        </is>
      </c>
      <c r="E456" t="inlineStr">
        <is>
          <t>L2</t>
        </is>
      </c>
      <c r="F456" t="inlineStr">
        <is>
          <t>S.O</t>
        </is>
      </c>
      <c r="G456" t="inlineStr">
        <is>
          <t>Puériculture</t>
        </is>
      </c>
      <c r="H456" t="inlineStr">
        <is>
          <t>Dr Chamsouddine</t>
        </is>
      </c>
      <c r="I456" t="inlineStr"/>
      <c r="J456" t="inlineStr">
        <is>
          <t>Jeudi</t>
        </is>
      </c>
      <c r="K456" t="inlineStr">
        <is>
          <t>10h05</t>
        </is>
      </c>
      <c r="L456" t="inlineStr">
        <is>
          <t>12h05</t>
        </is>
      </c>
      <c r="N456" t="n">
        <v>6</v>
      </c>
    </row>
    <row r="457">
      <c r="A457" t="inlineStr">
        <is>
          <t>S455</t>
        </is>
      </c>
      <c r="B457" t="inlineStr">
        <is>
          <t>2025-2026</t>
        </is>
      </c>
      <c r="C457" t="inlineStr">
        <is>
          <t>3</t>
        </is>
      </c>
      <c r="D457" t="inlineStr">
        <is>
          <t>Soins obstétricaux</t>
        </is>
      </c>
      <c r="E457" t="inlineStr">
        <is>
          <t>L2</t>
        </is>
      </c>
      <c r="F457" t="inlineStr">
        <is>
          <t>S.O</t>
        </is>
      </c>
      <c r="G457" t="inlineStr">
        <is>
          <t>SI Affections Digestifs</t>
        </is>
      </c>
      <c r="H457" t="inlineStr"/>
      <c r="I457" t="inlineStr"/>
      <c r="J457" t="inlineStr">
        <is>
          <t>Jeudi</t>
        </is>
      </c>
      <c r="K457" t="inlineStr">
        <is>
          <t>10h05</t>
        </is>
      </c>
      <c r="L457" t="inlineStr">
        <is>
          <t>12h05</t>
        </is>
      </c>
      <c r="N457" t="n">
        <v>6</v>
      </c>
    </row>
    <row r="458">
      <c r="A458" t="inlineStr">
        <is>
          <t>S456</t>
        </is>
      </c>
      <c r="B458" t="inlineStr">
        <is>
          <t>2025-2026</t>
        </is>
      </c>
      <c r="C458" t="inlineStr">
        <is>
          <t>3</t>
        </is>
      </c>
      <c r="D458" t="inlineStr">
        <is>
          <t>Soins obstétricaux</t>
        </is>
      </c>
      <c r="E458" t="inlineStr">
        <is>
          <t>L2</t>
        </is>
      </c>
      <c r="F458" t="inlineStr">
        <is>
          <t>S.O</t>
        </is>
      </c>
      <c r="G458" t="inlineStr">
        <is>
          <t>Stratégies conventionnelles et novatrices de communication</t>
        </is>
      </c>
      <c r="H458" t="inlineStr">
        <is>
          <t>HALIMA ABDALLAH</t>
        </is>
      </c>
      <c r="I458" t="inlineStr"/>
      <c r="J458" t="inlineStr">
        <is>
          <t>Jeudi</t>
        </is>
      </c>
      <c r="K458" t="inlineStr">
        <is>
          <t>10h05</t>
        </is>
      </c>
      <c r="L458" t="inlineStr">
        <is>
          <t>12h05</t>
        </is>
      </c>
      <c r="N458" t="n">
        <v>2</v>
      </c>
    </row>
    <row r="459">
      <c r="A459" t="inlineStr">
        <is>
          <t>S457</t>
        </is>
      </c>
      <c r="B459" t="inlineStr">
        <is>
          <t>2025-2026</t>
        </is>
      </c>
      <c r="C459" t="inlineStr">
        <is>
          <t>3</t>
        </is>
      </c>
      <c r="D459" t="inlineStr">
        <is>
          <t>Soins obstétricaux</t>
        </is>
      </c>
      <c r="E459" t="inlineStr">
        <is>
          <t>L2</t>
        </is>
      </c>
      <c r="F459" t="inlineStr">
        <is>
          <t>S.O</t>
        </is>
      </c>
      <c r="G459" t="inlineStr">
        <is>
          <t>TD Patologies orthopédiques et traumatologiqes</t>
        </is>
      </c>
      <c r="H459" t="inlineStr"/>
      <c r="I459" t="inlineStr"/>
      <c r="J459" t="inlineStr">
        <is>
          <t>Jeudi</t>
        </is>
      </c>
      <c r="K459" t="inlineStr">
        <is>
          <t>10h05</t>
        </is>
      </c>
      <c r="L459" t="inlineStr">
        <is>
          <t>12h05</t>
        </is>
      </c>
      <c r="N459" t="n">
        <v>2</v>
      </c>
    </row>
    <row r="460">
      <c r="A460" t="inlineStr">
        <is>
          <t>S458</t>
        </is>
      </c>
      <c r="B460" t="inlineStr">
        <is>
          <t>2025-2026</t>
        </is>
      </c>
      <c r="C460" t="inlineStr">
        <is>
          <t>3</t>
        </is>
      </c>
      <c r="D460" t="inlineStr">
        <is>
          <t>Soins obstétricaux</t>
        </is>
      </c>
      <c r="E460" t="inlineStr">
        <is>
          <t>L2</t>
        </is>
      </c>
      <c r="F460" t="inlineStr">
        <is>
          <t>S.O</t>
        </is>
      </c>
      <c r="G460" t="inlineStr">
        <is>
          <t>TD Puériculture</t>
        </is>
      </c>
      <c r="H460" t="inlineStr"/>
      <c r="I460" t="inlineStr"/>
      <c r="J460" t="inlineStr">
        <is>
          <t>Jeudi</t>
        </is>
      </c>
      <c r="K460" t="inlineStr">
        <is>
          <t>10h05</t>
        </is>
      </c>
      <c r="L460" t="inlineStr">
        <is>
          <t>12h05</t>
        </is>
      </c>
      <c r="N460" t="n">
        <v>2</v>
      </c>
    </row>
    <row r="461">
      <c r="A461" t="inlineStr">
        <is>
          <t>S459</t>
        </is>
      </c>
      <c r="B461" t="inlineStr">
        <is>
          <t>2025-2026</t>
        </is>
      </c>
      <c r="C461" t="inlineStr">
        <is>
          <t>3</t>
        </is>
      </c>
      <c r="D461" t="inlineStr">
        <is>
          <t>Soins obstétricaux</t>
        </is>
      </c>
      <c r="E461" t="inlineStr">
        <is>
          <t>L2</t>
        </is>
      </c>
      <c r="F461" t="inlineStr">
        <is>
          <t>S.O</t>
        </is>
      </c>
      <c r="G461" t="inlineStr">
        <is>
          <t>TD SI Affections Digestifs</t>
        </is>
      </c>
      <c r="H461" t="inlineStr"/>
      <c r="I461" t="inlineStr"/>
      <c r="J461" t="inlineStr">
        <is>
          <t>Jeudi</t>
        </is>
      </c>
      <c r="K461" t="inlineStr">
        <is>
          <t>10h05</t>
        </is>
      </c>
      <c r="L461" t="inlineStr">
        <is>
          <t>12h05</t>
        </is>
      </c>
      <c r="N461" t="n">
        <v>2</v>
      </c>
    </row>
    <row r="462">
      <c r="A462" t="inlineStr">
        <is>
          <t>S460</t>
        </is>
      </c>
      <c r="B462" t="inlineStr">
        <is>
          <t>2025-2026</t>
        </is>
      </c>
      <c r="C462" t="inlineStr">
        <is>
          <t>3</t>
        </is>
      </c>
      <c r="D462" t="inlineStr">
        <is>
          <t>Soins obstétricaux</t>
        </is>
      </c>
      <c r="E462" t="inlineStr">
        <is>
          <t>L2</t>
        </is>
      </c>
      <c r="F462" t="inlineStr">
        <is>
          <t>S.O</t>
        </is>
      </c>
      <c r="G462" t="inlineStr">
        <is>
          <t>PCIME</t>
        </is>
      </c>
      <c r="H462" t="inlineStr">
        <is>
          <t>Daniel Ali Soumaïla (Chef de département S.I)</t>
        </is>
      </c>
      <c r="I462" t="inlineStr"/>
      <c r="J462" t="inlineStr">
        <is>
          <t>Jeudi</t>
        </is>
      </c>
      <c r="K462" t="inlineStr">
        <is>
          <t>13h00</t>
        </is>
      </c>
      <c r="L462" t="inlineStr">
        <is>
          <t>15h00</t>
        </is>
      </c>
      <c r="N462" t="n">
        <v>6</v>
      </c>
    </row>
    <row r="463">
      <c r="A463" t="inlineStr">
        <is>
          <t>S461</t>
        </is>
      </c>
      <c r="B463" t="inlineStr">
        <is>
          <t>2025-2026</t>
        </is>
      </c>
      <c r="C463" t="inlineStr">
        <is>
          <t>3</t>
        </is>
      </c>
      <c r="D463" t="inlineStr">
        <is>
          <t>Soins obstétricaux</t>
        </is>
      </c>
      <c r="E463" t="inlineStr">
        <is>
          <t>L2</t>
        </is>
      </c>
      <c r="F463" t="inlineStr">
        <is>
          <t>S.O</t>
        </is>
      </c>
      <c r="G463" t="inlineStr">
        <is>
          <t>Patologies orthopédiques et traumatologiqes</t>
        </is>
      </c>
      <c r="H463" t="inlineStr"/>
      <c r="I463" t="inlineStr"/>
      <c r="J463" t="inlineStr">
        <is>
          <t>Jeudi</t>
        </is>
      </c>
      <c r="K463" t="inlineStr">
        <is>
          <t>13h00</t>
        </is>
      </c>
      <c r="L463" t="inlineStr">
        <is>
          <t>15h00</t>
        </is>
      </c>
      <c r="N463" t="n">
        <v>2</v>
      </c>
    </row>
    <row r="464">
      <c r="A464" t="inlineStr">
        <is>
          <t>S462</t>
        </is>
      </c>
      <c r="B464" t="inlineStr">
        <is>
          <t>2025-2026</t>
        </is>
      </c>
      <c r="C464" t="inlineStr">
        <is>
          <t>3</t>
        </is>
      </c>
      <c r="D464" t="inlineStr">
        <is>
          <t>Soins obstétricaux</t>
        </is>
      </c>
      <c r="E464" t="inlineStr">
        <is>
          <t>L2</t>
        </is>
      </c>
      <c r="F464" t="inlineStr">
        <is>
          <t>S.O</t>
        </is>
      </c>
      <c r="G464" t="inlineStr">
        <is>
          <t>Psychologie de l'enfant</t>
        </is>
      </c>
      <c r="H464" t="inlineStr"/>
      <c r="I464" t="inlineStr"/>
      <c r="J464" t="inlineStr">
        <is>
          <t>Jeudi</t>
        </is>
      </c>
      <c r="K464" t="inlineStr">
        <is>
          <t>13h00</t>
        </is>
      </c>
      <c r="L464" t="inlineStr">
        <is>
          <t>15h00</t>
        </is>
      </c>
      <c r="N464" t="n">
        <v>2</v>
      </c>
    </row>
    <row r="465">
      <c r="A465" t="inlineStr">
        <is>
          <t>S463</t>
        </is>
      </c>
      <c r="B465" t="inlineStr">
        <is>
          <t>2025-2026</t>
        </is>
      </c>
      <c r="C465" t="inlineStr">
        <is>
          <t>3</t>
        </is>
      </c>
      <c r="D465" t="inlineStr">
        <is>
          <t>Soins obstétricaux</t>
        </is>
      </c>
      <c r="E465" t="inlineStr">
        <is>
          <t>L2</t>
        </is>
      </c>
      <c r="F465" t="inlineStr">
        <is>
          <t>S.O</t>
        </is>
      </c>
      <c r="G465" t="inlineStr">
        <is>
          <t>Pédiatrie &amp; pédopsychiatrie</t>
        </is>
      </c>
      <c r="H465" t="inlineStr"/>
      <c r="I465" t="inlineStr"/>
      <c r="J465" t="inlineStr">
        <is>
          <t>Jeudi</t>
        </is>
      </c>
      <c r="K465" t="inlineStr">
        <is>
          <t>13h00</t>
        </is>
      </c>
      <c r="L465" t="inlineStr">
        <is>
          <t>15h00</t>
        </is>
      </c>
      <c r="N465" t="n">
        <v>16</v>
      </c>
    </row>
    <row r="466">
      <c r="A466" t="inlineStr">
        <is>
          <t>S464</t>
        </is>
      </c>
      <c r="B466" t="inlineStr">
        <is>
          <t>2025-2026</t>
        </is>
      </c>
      <c r="C466" t="inlineStr">
        <is>
          <t>3</t>
        </is>
      </c>
      <c r="D466" t="inlineStr">
        <is>
          <t>Soins obstétricaux</t>
        </is>
      </c>
      <c r="E466" t="inlineStr">
        <is>
          <t>L2</t>
        </is>
      </c>
      <c r="F466" t="inlineStr">
        <is>
          <t>S.O</t>
        </is>
      </c>
      <c r="G466" t="inlineStr">
        <is>
          <t>TD Pédiatrie &amp; pédopsychiatrie</t>
        </is>
      </c>
      <c r="H466" t="inlineStr"/>
      <c r="I466" t="inlineStr"/>
      <c r="J466" t="inlineStr">
        <is>
          <t>Jeudi</t>
        </is>
      </c>
      <c r="K466" t="inlineStr">
        <is>
          <t>13h00</t>
        </is>
      </c>
      <c r="L466" t="inlineStr">
        <is>
          <t>15h00</t>
        </is>
      </c>
      <c r="N466" t="n">
        <v>2</v>
      </c>
    </row>
    <row r="467">
      <c r="A467" t="inlineStr">
        <is>
          <t>S465</t>
        </is>
      </c>
      <c r="B467" t="inlineStr">
        <is>
          <t>2025-2026</t>
        </is>
      </c>
      <c r="C467" t="inlineStr">
        <is>
          <t>3</t>
        </is>
      </c>
      <c r="D467" t="inlineStr">
        <is>
          <t>Soins obstétricaux</t>
        </is>
      </c>
      <c r="E467" t="inlineStr">
        <is>
          <t>L2</t>
        </is>
      </c>
      <c r="F467" t="inlineStr">
        <is>
          <t>S.O</t>
        </is>
      </c>
      <c r="G467" t="inlineStr">
        <is>
          <t>TD soins infirmiers en orthopédie et truamatologie</t>
        </is>
      </c>
      <c r="H467" t="inlineStr"/>
      <c r="I467" t="inlineStr"/>
      <c r="J467" t="inlineStr">
        <is>
          <t>Jeudi</t>
        </is>
      </c>
      <c r="K467" t="inlineStr">
        <is>
          <t>13h00</t>
        </is>
      </c>
      <c r="L467" t="inlineStr">
        <is>
          <t>15h00</t>
        </is>
      </c>
      <c r="N467" t="n">
        <v>2</v>
      </c>
    </row>
    <row r="468">
      <c r="A468" t="inlineStr">
        <is>
          <t>S466</t>
        </is>
      </c>
      <c r="B468" t="inlineStr">
        <is>
          <t>2025-2026</t>
        </is>
      </c>
      <c r="C468" t="inlineStr">
        <is>
          <t>3</t>
        </is>
      </c>
      <c r="D468" t="inlineStr">
        <is>
          <t>Soins obstétricaux</t>
        </is>
      </c>
      <c r="E468" t="inlineStr">
        <is>
          <t>L2</t>
        </is>
      </c>
      <c r="F468" t="inlineStr">
        <is>
          <t>S.O</t>
        </is>
      </c>
      <c r="G468" t="inlineStr">
        <is>
          <t>Consultation prénatale</t>
        </is>
      </c>
      <c r="H468" t="inlineStr">
        <is>
          <t>Mme MYRIAM ABDALLAH</t>
        </is>
      </c>
      <c r="I468" t="inlineStr"/>
      <c r="J468" t="inlineStr">
        <is>
          <t>Jeudi</t>
        </is>
      </c>
      <c r="K468" t="inlineStr">
        <is>
          <t>15h05</t>
        </is>
      </c>
      <c r="L468" t="inlineStr">
        <is>
          <t>17h05</t>
        </is>
      </c>
      <c r="N468" t="n">
        <v>4</v>
      </c>
    </row>
    <row r="469">
      <c r="A469" t="inlineStr">
        <is>
          <t>S467</t>
        </is>
      </c>
      <c r="B469" t="inlineStr">
        <is>
          <t>2025-2026</t>
        </is>
      </c>
      <c r="C469" t="inlineStr">
        <is>
          <t>3</t>
        </is>
      </c>
      <c r="D469" t="inlineStr">
        <is>
          <t>Soins obstétricaux</t>
        </is>
      </c>
      <c r="E469" t="inlineStr">
        <is>
          <t>L2</t>
        </is>
      </c>
      <c r="F469" t="inlineStr">
        <is>
          <t>S.O</t>
        </is>
      </c>
      <c r="G469" t="inlineStr">
        <is>
          <t>Examen physique</t>
        </is>
      </c>
      <c r="H469" t="inlineStr"/>
      <c r="I469" t="inlineStr"/>
      <c r="J469" t="inlineStr">
        <is>
          <t>Jeudi</t>
        </is>
      </c>
      <c r="K469" t="inlineStr">
        <is>
          <t>15h05</t>
        </is>
      </c>
      <c r="L469" t="inlineStr">
        <is>
          <t>17h05</t>
        </is>
      </c>
      <c r="N469" t="n">
        <v>2</v>
      </c>
    </row>
    <row r="470">
      <c r="A470" t="inlineStr">
        <is>
          <t>S468</t>
        </is>
      </c>
      <c r="B470" t="inlineStr">
        <is>
          <t>2025-2026</t>
        </is>
      </c>
      <c r="C470" t="inlineStr">
        <is>
          <t>3</t>
        </is>
      </c>
      <c r="D470" t="inlineStr">
        <is>
          <t>Soins obstétricaux</t>
        </is>
      </c>
      <c r="E470" t="inlineStr">
        <is>
          <t>L2</t>
        </is>
      </c>
      <c r="F470" t="inlineStr">
        <is>
          <t>S.O</t>
        </is>
      </c>
      <c r="G470" t="inlineStr">
        <is>
          <t>Pathologies Digestifs</t>
        </is>
      </c>
      <c r="H470" t="inlineStr">
        <is>
          <t>Irina Ismaïla Abdou</t>
        </is>
      </c>
      <c r="I470" t="inlineStr"/>
      <c r="J470" t="inlineStr">
        <is>
          <t>Jeudi</t>
        </is>
      </c>
      <c r="K470" t="inlineStr">
        <is>
          <t>15h05</t>
        </is>
      </c>
      <c r="L470" t="inlineStr">
        <is>
          <t>17h05</t>
        </is>
      </c>
      <c r="N470" t="n">
        <v>8</v>
      </c>
    </row>
    <row r="471">
      <c r="A471" t="inlineStr">
        <is>
          <t>S469</t>
        </is>
      </c>
      <c r="B471" t="inlineStr">
        <is>
          <t>2025-2026</t>
        </is>
      </c>
      <c r="C471" t="inlineStr">
        <is>
          <t>3</t>
        </is>
      </c>
      <c r="D471" t="inlineStr">
        <is>
          <t>Soins obstétricaux</t>
        </is>
      </c>
      <c r="E471" t="inlineStr">
        <is>
          <t>L2</t>
        </is>
      </c>
      <c r="F471" t="inlineStr">
        <is>
          <t>S.O</t>
        </is>
      </c>
      <c r="G471" t="inlineStr">
        <is>
          <t>Protocoles de prise en charge de la grossesse normale</t>
        </is>
      </c>
      <c r="H471" t="inlineStr"/>
      <c r="I471" t="inlineStr"/>
      <c r="J471" t="inlineStr">
        <is>
          <t>Jeudi</t>
        </is>
      </c>
      <c r="K471" t="inlineStr">
        <is>
          <t>15h05</t>
        </is>
      </c>
      <c r="L471" t="inlineStr">
        <is>
          <t>17h05</t>
        </is>
      </c>
      <c r="N471" t="n">
        <v>2</v>
      </c>
    </row>
    <row r="472">
      <c r="A472" t="inlineStr">
        <is>
          <t>S470</t>
        </is>
      </c>
      <c r="B472" t="inlineStr">
        <is>
          <t>2025-2026</t>
        </is>
      </c>
      <c r="C472" t="inlineStr">
        <is>
          <t>3</t>
        </is>
      </c>
      <c r="D472" t="inlineStr">
        <is>
          <t>Soins obstétricaux</t>
        </is>
      </c>
      <c r="E472" t="inlineStr">
        <is>
          <t>L2</t>
        </is>
      </c>
      <c r="F472" t="inlineStr">
        <is>
          <t>S.O</t>
        </is>
      </c>
      <c r="G472" t="inlineStr">
        <is>
          <t>Protocoles de prise en charge en post partum immédiat et précoce</t>
        </is>
      </c>
      <c r="H472" t="inlineStr">
        <is>
          <t>Soudjay Asnounat</t>
        </is>
      </c>
      <c r="I472" t="inlineStr"/>
      <c r="J472" t="inlineStr">
        <is>
          <t>Jeudi</t>
        </is>
      </c>
      <c r="K472" t="inlineStr">
        <is>
          <t>15h05</t>
        </is>
      </c>
      <c r="L472" t="inlineStr">
        <is>
          <t>17h05</t>
        </is>
      </c>
      <c r="N472" t="n">
        <v>2</v>
      </c>
    </row>
    <row r="473">
      <c r="A473" t="inlineStr">
        <is>
          <t>S471</t>
        </is>
      </c>
      <c r="B473" t="inlineStr">
        <is>
          <t>2025-2026</t>
        </is>
      </c>
      <c r="C473" t="inlineStr">
        <is>
          <t>3</t>
        </is>
      </c>
      <c r="D473" t="inlineStr">
        <is>
          <t>Soins obstétricaux</t>
        </is>
      </c>
      <c r="E473" t="inlineStr">
        <is>
          <t>L2</t>
        </is>
      </c>
      <c r="F473" t="inlineStr">
        <is>
          <t>S.O</t>
        </is>
      </c>
      <c r="G473" t="inlineStr">
        <is>
          <t>Préparation à l’accouchement normal</t>
        </is>
      </c>
      <c r="H473" t="inlineStr">
        <is>
          <t>Soudjay Asnounat</t>
        </is>
      </c>
      <c r="I473" t="inlineStr"/>
      <c r="J473" t="inlineStr">
        <is>
          <t>Jeudi</t>
        </is>
      </c>
      <c r="K473" t="inlineStr">
        <is>
          <t>15h05</t>
        </is>
      </c>
      <c r="L473" t="inlineStr">
        <is>
          <t>17h05</t>
        </is>
      </c>
      <c r="N473" t="n">
        <v>2</v>
      </c>
    </row>
    <row r="474">
      <c r="A474" t="inlineStr">
        <is>
          <t>S472</t>
        </is>
      </c>
      <c r="B474" t="inlineStr">
        <is>
          <t>2025-2026</t>
        </is>
      </c>
      <c r="C474" t="inlineStr">
        <is>
          <t>3</t>
        </is>
      </c>
      <c r="D474" t="inlineStr">
        <is>
          <t>Soins obstétricaux</t>
        </is>
      </c>
      <c r="E474" t="inlineStr">
        <is>
          <t>L2</t>
        </is>
      </c>
      <c r="F474" t="inlineStr">
        <is>
          <t>S.O</t>
        </is>
      </c>
      <c r="G474" t="inlineStr">
        <is>
          <t>Psychologie de l'enfant</t>
        </is>
      </c>
      <c r="H474" t="inlineStr"/>
      <c r="I474" t="inlineStr"/>
      <c r="J474" t="inlineStr">
        <is>
          <t>Jeudi</t>
        </is>
      </c>
      <c r="K474" t="inlineStr">
        <is>
          <t>15h05</t>
        </is>
      </c>
      <c r="L474" t="inlineStr">
        <is>
          <t>17h05</t>
        </is>
      </c>
      <c r="N474" t="n">
        <v>2</v>
      </c>
    </row>
    <row r="475">
      <c r="A475" t="inlineStr">
        <is>
          <t>S473</t>
        </is>
      </c>
      <c r="B475" t="inlineStr">
        <is>
          <t>2025-2026</t>
        </is>
      </c>
      <c r="C475" t="inlineStr">
        <is>
          <t>3</t>
        </is>
      </c>
      <c r="D475" t="inlineStr">
        <is>
          <t>Soins obstétricaux</t>
        </is>
      </c>
      <c r="E475" t="inlineStr">
        <is>
          <t>L2</t>
        </is>
      </c>
      <c r="F475" t="inlineStr">
        <is>
          <t>S.O</t>
        </is>
      </c>
      <c r="G475" t="inlineStr">
        <is>
          <t>TD Consultation prénatale</t>
        </is>
      </c>
      <c r="H475" t="inlineStr"/>
      <c r="I475" t="inlineStr"/>
      <c r="J475" t="inlineStr">
        <is>
          <t>Jeudi</t>
        </is>
      </c>
      <c r="K475" t="inlineStr">
        <is>
          <t>15h05</t>
        </is>
      </c>
      <c r="L475" t="inlineStr">
        <is>
          <t>17h05</t>
        </is>
      </c>
      <c r="N475" t="n">
        <v>2</v>
      </c>
    </row>
    <row r="476">
      <c r="A476" t="inlineStr">
        <is>
          <t>S474</t>
        </is>
      </c>
      <c r="B476" t="inlineStr">
        <is>
          <t>2025-2026</t>
        </is>
      </c>
      <c r="C476" t="inlineStr">
        <is>
          <t>3</t>
        </is>
      </c>
      <c r="D476" t="inlineStr">
        <is>
          <t>Soins obstétricaux</t>
        </is>
      </c>
      <c r="E476" t="inlineStr">
        <is>
          <t>L2</t>
        </is>
      </c>
      <c r="F476" t="inlineStr">
        <is>
          <t>S.O</t>
        </is>
      </c>
      <c r="G476" t="inlineStr">
        <is>
          <t>TD Examen physique</t>
        </is>
      </c>
      <c r="H476" t="inlineStr"/>
      <c r="I476" t="inlineStr"/>
      <c r="J476" t="inlineStr">
        <is>
          <t>Jeudi</t>
        </is>
      </c>
      <c r="K476" t="inlineStr">
        <is>
          <t>15h05</t>
        </is>
      </c>
      <c r="L476" t="inlineStr">
        <is>
          <t>17h05</t>
        </is>
      </c>
      <c r="N476" t="n">
        <v>2</v>
      </c>
    </row>
    <row r="477">
      <c r="A477" t="inlineStr">
        <is>
          <t>S475</t>
        </is>
      </c>
      <c r="B477" t="inlineStr">
        <is>
          <t>2025-2026</t>
        </is>
      </c>
      <c r="C477" t="inlineStr">
        <is>
          <t>3</t>
        </is>
      </c>
      <c r="D477" t="inlineStr">
        <is>
          <t>Soins obstétricaux</t>
        </is>
      </c>
      <c r="E477" t="inlineStr">
        <is>
          <t>L2</t>
        </is>
      </c>
      <c r="F477" t="inlineStr">
        <is>
          <t>S.O</t>
        </is>
      </c>
      <c r="G477" t="inlineStr">
        <is>
          <t>TD Pathologies Digestifs</t>
        </is>
      </c>
      <c r="H477" t="inlineStr"/>
      <c r="I477" t="inlineStr"/>
      <c r="J477" t="inlineStr">
        <is>
          <t>Jeudi</t>
        </is>
      </c>
      <c r="K477" t="inlineStr">
        <is>
          <t>15h05</t>
        </is>
      </c>
      <c r="L477" t="inlineStr">
        <is>
          <t>17h05</t>
        </is>
      </c>
      <c r="N477" t="n">
        <v>2</v>
      </c>
    </row>
    <row r="478">
      <c r="A478" t="inlineStr">
        <is>
          <t>S476</t>
        </is>
      </c>
      <c r="B478" t="inlineStr">
        <is>
          <t>2025-2026</t>
        </is>
      </c>
      <c r="C478" t="inlineStr">
        <is>
          <t>3</t>
        </is>
      </c>
      <c r="D478" t="inlineStr">
        <is>
          <t>Soins obstétricaux</t>
        </is>
      </c>
      <c r="E478" t="inlineStr">
        <is>
          <t>L2</t>
        </is>
      </c>
      <c r="F478" t="inlineStr">
        <is>
          <t>S.O</t>
        </is>
      </c>
      <c r="G478" t="inlineStr">
        <is>
          <t>TD Protocoles de prise en charge en post partum immédiat et précoce</t>
        </is>
      </c>
      <c r="H478" t="inlineStr"/>
      <c r="I478" t="inlineStr"/>
      <c r="J478" t="inlineStr">
        <is>
          <t>Jeudi</t>
        </is>
      </c>
      <c r="K478" t="inlineStr">
        <is>
          <t>15h05</t>
        </is>
      </c>
      <c r="L478" t="inlineStr">
        <is>
          <t>17h05</t>
        </is>
      </c>
      <c r="N478" t="n">
        <v>2</v>
      </c>
    </row>
    <row r="479">
      <c r="A479" t="inlineStr">
        <is>
          <t>S477</t>
        </is>
      </c>
      <c r="B479" t="inlineStr">
        <is>
          <t>2025-2026</t>
        </is>
      </c>
      <c r="C479" t="inlineStr">
        <is>
          <t>3</t>
        </is>
      </c>
      <c r="D479" t="inlineStr">
        <is>
          <t>Soins obstétricaux</t>
        </is>
      </c>
      <c r="E479" t="inlineStr">
        <is>
          <t>L2</t>
        </is>
      </c>
      <c r="F479" t="inlineStr">
        <is>
          <t>S.O</t>
        </is>
      </c>
      <c r="G479" t="inlineStr">
        <is>
          <t>Mme Halima Abdallah</t>
        </is>
      </c>
      <c r="H479" t="inlineStr"/>
      <c r="I479" t="inlineStr"/>
      <c r="J479" t="inlineStr">
        <is>
          <t>Jeudi</t>
        </is>
      </c>
      <c r="K479" t="inlineStr">
        <is>
          <t>8h00</t>
        </is>
      </c>
      <c r="L479" t="inlineStr">
        <is>
          <t>10h00</t>
        </is>
      </c>
      <c r="N479" t="n">
        <v>2</v>
      </c>
    </row>
    <row r="480">
      <c r="A480" t="inlineStr">
        <is>
          <t>S478</t>
        </is>
      </c>
      <c r="B480" t="inlineStr">
        <is>
          <t>2025-2026</t>
        </is>
      </c>
      <c r="C480" t="inlineStr">
        <is>
          <t>3</t>
        </is>
      </c>
      <c r="D480" t="inlineStr">
        <is>
          <t>Soins obstétricaux</t>
        </is>
      </c>
      <c r="E480" t="inlineStr">
        <is>
          <t>L2</t>
        </is>
      </c>
      <c r="F480" t="inlineStr">
        <is>
          <t>S.O</t>
        </is>
      </c>
      <c r="G480" t="inlineStr">
        <is>
          <t>PCIME</t>
        </is>
      </c>
      <c r="H480" t="inlineStr">
        <is>
          <t>Daniel Ali Soumaïla (Chef de département S.I)</t>
        </is>
      </c>
      <c r="I480" t="inlineStr"/>
      <c r="J480" t="inlineStr">
        <is>
          <t>Jeudi</t>
        </is>
      </c>
      <c r="K480" t="inlineStr">
        <is>
          <t>8h00</t>
        </is>
      </c>
      <c r="L480" t="inlineStr">
        <is>
          <t>10h00</t>
        </is>
      </c>
      <c r="N480" t="n">
        <v>2</v>
      </c>
    </row>
    <row r="481">
      <c r="A481" t="inlineStr">
        <is>
          <t>S479</t>
        </is>
      </c>
      <c r="B481" t="inlineStr">
        <is>
          <t>2025-2026</t>
        </is>
      </c>
      <c r="C481" t="inlineStr">
        <is>
          <t>3</t>
        </is>
      </c>
      <c r="D481" t="inlineStr">
        <is>
          <t>Soins obstétricaux</t>
        </is>
      </c>
      <c r="E481" t="inlineStr">
        <is>
          <t>L2</t>
        </is>
      </c>
      <c r="F481" t="inlineStr">
        <is>
          <t>S.O</t>
        </is>
      </c>
      <c r="G481" t="inlineStr">
        <is>
          <t>PEC psychologique des enfants ou couple  victimes ou de tentatifes d'agression</t>
        </is>
      </c>
      <c r="H481" t="inlineStr"/>
      <c r="I481" t="inlineStr"/>
      <c r="J481" t="inlineStr">
        <is>
          <t>Jeudi</t>
        </is>
      </c>
      <c r="K481" t="inlineStr">
        <is>
          <t>8h00</t>
        </is>
      </c>
      <c r="L481" t="inlineStr">
        <is>
          <t>10h00</t>
        </is>
      </c>
      <c r="N481" t="n">
        <v>2</v>
      </c>
    </row>
    <row r="482">
      <c r="A482" t="inlineStr">
        <is>
          <t>S480</t>
        </is>
      </c>
      <c r="B482" t="inlineStr">
        <is>
          <t>2025-2026</t>
        </is>
      </c>
      <c r="C482" t="inlineStr">
        <is>
          <t>3</t>
        </is>
      </c>
      <c r="D482" t="inlineStr">
        <is>
          <t>Soins obstétricaux</t>
        </is>
      </c>
      <c r="E482" t="inlineStr">
        <is>
          <t>L2</t>
        </is>
      </c>
      <c r="F482" t="inlineStr">
        <is>
          <t>S.O</t>
        </is>
      </c>
      <c r="G482" t="inlineStr">
        <is>
          <t>Pathologie chirurgicale pédiatrique</t>
        </is>
      </c>
      <c r="H482" t="inlineStr"/>
      <c r="I482" t="inlineStr"/>
      <c r="J482" t="inlineStr">
        <is>
          <t>Jeudi</t>
        </is>
      </c>
      <c r="K482" t="inlineStr">
        <is>
          <t>8h00</t>
        </is>
      </c>
      <c r="L482" t="inlineStr">
        <is>
          <t>10h00</t>
        </is>
      </c>
      <c r="N482" t="n">
        <v>6</v>
      </c>
    </row>
    <row r="483">
      <c r="A483" t="inlineStr">
        <is>
          <t>S481</t>
        </is>
      </c>
      <c r="B483" t="inlineStr">
        <is>
          <t>2025-2026</t>
        </is>
      </c>
      <c r="C483" t="inlineStr">
        <is>
          <t>3</t>
        </is>
      </c>
      <c r="D483" t="inlineStr">
        <is>
          <t>Soins obstétricaux</t>
        </is>
      </c>
      <c r="E483" t="inlineStr">
        <is>
          <t>L2</t>
        </is>
      </c>
      <c r="F483" t="inlineStr">
        <is>
          <t>S.O</t>
        </is>
      </c>
      <c r="G483" t="inlineStr">
        <is>
          <t>Pharmacologie et thérapeutiques spécifiques à la pathologie</t>
        </is>
      </c>
      <c r="H483" t="inlineStr"/>
      <c r="I483" t="inlineStr"/>
      <c r="J483" t="inlineStr">
        <is>
          <t>Jeudi</t>
        </is>
      </c>
      <c r="K483" t="inlineStr">
        <is>
          <t>8h00</t>
        </is>
      </c>
      <c r="L483" t="inlineStr">
        <is>
          <t>10h00</t>
        </is>
      </c>
      <c r="N483" t="n">
        <v>2</v>
      </c>
    </row>
    <row r="484">
      <c r="A484" t="inlineStr">
        <is>
          <t>S482</t>
        </is>
      </c>
      <c r="B484" t="inlineStr">
        <is>
          <t>2025-2026</t>
        </is>
      </c>
      <c r="C484" t="inlineStr">
        <is>
          <t>3</t>
        </is>
      </c>
      <c r="D484" t="inlineStr">
        <is>
          <t>Soins obstétricaux</t>
        </is>
      </c>
      <c r="E484" t="inlineStr">
        <is>
          <t>L2</t>
        </is>
      </c>
      <c r="F484" t="inlineStr">
        <is>
          <t>S.O</t>
        </is>
      </c>
      <c r="G484" t="inlineStr">
        <is>
          <t>Santé sexuelle et reproductive et droits connexes</t>
        </is>
      </c>
      <c r="H484" t="inlineStr">
        <is>
          <t>HALIMA ABDALLAH</t>
        </is>
      </c>
      <c r="I484" t="inlineStr"/>
      <c r="J484" t="inlineStr">
        <is>
          <t>Jeudi</t>
        </is>
      </c>
      <c r="K484" t="inlineStr">
        <is>
          <t>8h00</t>
        </is>
      </c>
      <c r="L484" t="inlineStr">
        <is>
          <t>10h00</t>
        </is>
      </c>
      <c r="N484" t="n">
        <v>4</v>
      </c>
    </row>
    <row r="485">
      <c r="A485" t="inlineStr">
        <is>
          <t>S483</t>
        </is>
      </c>
      <c r="B485" t="inlineStr">
        <is>
          <t>2025-2026</t>
        </is>
      </c>
      <c r="C485" t="inlineStr">
        <is>
          <t>3</t>
        </is>
      </c>
      <c r="D485" t="inlineStr">
        <is>
          <t>Soins obstétricaux</t>
        </is>
      </c>
      <c r="E485" t="inlineStr">
        <is>
          <t>L2</t>
        </is>
      </c>
      <c r="F485" t="inlineStr">
        <is>
          <t>S.O</t>
        </is>
      </c>
      <c r="G485" t="inlineStr">
        <is>
          <t>Soins en pediatrie</t>
        </is>
      </c>
      <c r="H485" t="inlineStr">
        <is>
          <t>Dr Chamsouddine</t>
        </is>
      </c>
      <c r="I485" t="inlineStr"/>
      <c r="J485" t="inlineStr">
        <is>
          <t>Jeudi</t>
        </is>
      </c>
      <c r="K485" t="inlineStr">
        <is>
          <t>8h00</t>
        </is>
      </c>
      <c r="L485" t="inlineStr">
        <is>
          <t>10h00</t>
        </is>
      </c>
      <c r="N485" t="n">
        <v>4</v>
      </c>
    </row>
    <row r="486">
      <c r="A486" t="inlineStr">
        <is>
          <t>S484</t>
        </is>
      </c>
      <c r="B486" t="inlineStr">
        <is>
          <t>2025-2026</t>
        </is>
      </c>
      <c r="C486" t="inlineStr">
        <is>
          <t>3</t>
        </is>
      </c>
      <c r="D486" t="inlineStr">
        <is>
          <t>Soins obstétricaux</t>
        </is>
      </c>
      <c r="E486" t="inlineStr">
        <is>
          <t>L2</t>
        </is>
      </c>
      <c r="F486" t="inlineStr">
        <is>
          <t>S.O</t>
        </is>
      </c>
      <c r="G486" t="inlineStr">
        <is>
          <t>Stratégies conventionnelles et novatrices de communication</t>
        </is>
      </c>
      <c r="H486" t="inlineStr">
        <is>
          <t>HALIMA ABDALLAH</t>
        </is>
      </c>
      <c r="I486" t="inlineStr"/>
      <c r="J486" t="inlineStr">
        <is>
          <t>Jeudi</t>
        </is>
      </c>
      <c r="K486" t="inlineStr">
        <is>
          <t>8h00</t>
        </is>
      </c>
      <c r="L486" t="inlineStr">
        <is>
          <t>10h00</t>
        </is>
      </c>
      <c r="N486" t="n">
        <v>6</v>
      </c>
    </row>
    <row r="487">
      <c r="A487" t="inlineStr">
        <is>
          <t>S485</t>
        </is>
      </c>
      <c r="B487" t="inlineStr">
        <is>
          <t>2025-2026</t>
        </is>
      </c>
      <c r="C487" t="inlineStr">
        <is>
          <t>3</t>
        </is>
      </c>
      <c r="D487" t="inlineStr">
        <is>
          <t>Soins obstétricaux</t>
        </is>
      </c>
      <c r="E487" t="inlineStr">
        <is>
          <t>L2</t>
        </is>
      </c>
      <c r="F487" t="inlineStr">
        <is>
          <t>S.O</t>
        </is>
      </c>
      <c r="G487" t="inlineStr">
        <is>
          <t>TD PCIME</t>
        </is>
      </c>
      <c r="H487" t="inlineStr"/>
      <c r="I487" t="inlineStr"/>
      <c r="J487" t="inlineStr">
        <is>
          <t>Jeudi</t>
        </is>
      </c>
      <c r="K487" t="inlineStr">
        <is>
          <t>8h00</t>
        </is>
      </c>
      <c r="L487" t="inlineStr">
        <is>
          <t>10h00</t>
        </is>
      </c>
      <c r="N487" t="n">
        <v>2</v>
      </c>
    </row>
    <row r="488">
      <c r="A488" t="inlineStr">
        <is>
          <t>S486</t>
        </is>
      </c>
      <c r="B488" t="inlineStr">
        <is>
          <t>2025-2026</t>
        </is>
      </c>
      <c r="C488" t="inlineStr">
        <is>
          <t>3</t>
        </is>
      </c>
      <c r="D488" t="inlineStr">
        <is>
          <t>Soins obstétricaux</t>
        </is>
      </c>
      <c r="E488" t="inlineStr">
        <is>
          <t>L2</t>
        </is>
      </c>
      <c r="F488" t="inlineStr">
        <is>
          <t>S.O</t>
        </is>
      </c>
      <c r="G488" t="inlineStr">
        <is>
          <t>TD Pathologie chirurgicale pédiatrique</t>
        </is>
      </c>
      <c r="H488" t="inlineStr"/>
      <c r="I488" t="inlineStr"/>
      <c r="J488" t="inlineStr">
        <is>
          <t>Jeudi</t>
        </is>
      </c>
      <c r="K488" t="inlineStr">
        <is>
          <t>8h00</t>
        </is>
      </c>
      <c r="L488" t="inlineStr">
        <is>
          <t>10h00</t>
        </is>
      </c>
      <c r="N488" t="n">
        <v>2</v>
      </c>
    </row>
    <row r="489">
      <c r="A489" t="inlineStr">
        <is>
          <t>S487</t>
        </is>
      </c>
      <c r="B489" t="inlineStr">
        <is>
          <t>2025-2026</t>
        </is>
      </c>
      <c r="C489" t="inlineStr">
        <is>
          <t>3</t>
        </is>
      </c>
      <c r="D489" t="inlineStr">
        <is>
          <t>Soins obstétricaux</t>
        </is>
      </c>
      <c r="E489" t="inlineStr">
        <is>
          <t>L2</t>
        </is>
      </c>
      <c r="F489" t="inlineStr">
        <is>
          <t>S.O</t>
        </is>
      </c>
      <c r="G489" t="inlineStr">
        <is>
          <t>PEC psychologique des enfants ou couple  victimes ou de tentatifes d'agression</t>
        </is>
      </c>
      <c r="H489" t="inlineStr"/>
      <c r="I489" t="inlineStr"/>
      <c r="J489" t="inlineStr">
        <is>
          <t>Lundi</t>
        </is>
      </c>
      <c r="K489" t="inlineStr">
        <is>
          <t>10h05</t>
        </is>
      </c>
      <c r="L489" t="inlineStr">
        <is>
          <t>12h05</t>
        </is>
      </c>
      <c r="N489" t="n">
        <v>2</v>
      </c>
    </row>
    <row r="490">
      <c r="A490" t="inlineStr">
        <is>
          <t>S488</t>
        </is>
      </c>
      <c r="B490" t="inlineStr">
        <is>
          <t>2025-2026</t>
        </is>
      </c>
      <c r="C490" t="inlineStr">
        <is>
          <t>3</t>
        </is>
      </c>
      <c r="D490" t="inlineStr">
        <is>
          <t>Soins obstétricaux</t>
        </is>
      </c>
      <c r="E490" t="inlineStr">
        <is>
          <t>L2</t>
        </is>
      </c>
      <c r="F490" t="inlineStr">
        <is>
          <t>S.O</t>
        </is>
      </c>
      <c r="G490" t="inlineStr">
        <is>
          <t>Pathologies Digestifs</t>
        </is>
      </c>
      <c r="H490" t="inlineStr">
        <is>
          <t>Irina Ismaïla Abdou</t>
        </is>
      </c>
      <c r="I490" t="inlineStr"/>
      <c r="J490" t="inlineStr">
        <is>
          <t>Lundi</t>
        </is>
      </c>
      <c r="K490" t="inlineStr">
        <is>
          <t>10h05</t>
        </is>
      </c>
      <c r="L490" t="inlineStr">
        <is>
          <t>12h05</t>
        </is>
      </c>
      <c r="N490" t="n">
        <v>6</v>
      </c>
    </row>
    <row r="491">
      <c r="A491" t="inlineStr">
        <is>
          <t>S489</t>
        </is>
      </c>
      <c r="B491" t="inlineStr">
        <is>
          <t>2025-2026</t>
        </is>
      </c>
      <c r="C491" t="inlineStr">
        <is>
          <t>3</t>
        </is>
      </c>
      <c r="D491" t="inlineStr">
        <is>
          <t>Soins obstétricaux</t>
        </is>
      </c>
      <c r="E491" t="inlineStr">
        <is>
          <t>L2</t>
        </is>
      </c>
      <c r="F491" t="inlineStr">
        <is>
          <t>S.O</t>
        </is>
      </c>
      <c r="G491" t="inlineStr">
        <is>
          <t>Pédiatrie &amp; pédopsychiatrie</t>
        </is>
      </c>
      <c r="H491" t="inlineStr"/>
      <c r="I491" t="inlineStr"/>
      <c r="J491" t="inlineStr">
        <is>
          <t>Lundi</t>
        </is>
      </c>
      <c r="K491" t="inlineStr">
        <is>
          <t>10h05</t>
        </is>
      </c>
      <c r="L491" t="inlineStr">
        <is>
          <t>12h05</t>
        </is>
      </c>
      <c r="N491" t="n">
        <v>18</v>
      </c>
    </row>
    <row r="492">
      <c r="A492" t="inlineStr">
        <is>
          <t>S490</t>
        </is>
      </c>
      <c r="B492" t="inlineStr">
        <is>
          <t>2025-2026</t>
        </is>
      </c>
      <c r="C492" t="inlineStr">
        <is>
          <t>3</t>
        </is>
      </c>
      <c r="D492" t="inlineStr">
        <is>
          <t>Soins obstétricaux</t>
        </is>
      </c>
      <c r="E492" t="inlineStr">
        <is>
          <t>L2</t>
        </is>
      </c>
      <c r="F492" t="inlineStr">
        <is>
          <t>S.O</t>
        </is>
      </c>
      <c r="G492" t="inlineStr">
        <is>
          <t>soins infirmiers en orthopédie et truamatologie</t>
        </is>
      </c>
      <c r="H492" t="inlineStr">
        <is>
          <t>Mr AMELDINE DACHIROUDINE</t>
        </is>
      </c>
      <c r="I492" t="inlineStr"/>
      <c r="J492" t="inlineStr">
        <is>
          <t>Lundi</t>
        </is>
      </c>
      <c r="K492" t="inlineStr">
        <is>
          <t>10h05</t>
        </is>
      </c>
      <c r="L492" t="inlineStr">
        <is>
          <t>12h05</t>
        </is>
      </c>
      <c r="N492" t="n">
        <v>6</v>
      </c>
    </row>
    <row r="493">
      <c r="A493" t="inlineStr">
        <is>
          <t>S491</t>
        </is>
      </c>
      <c r="B493" t="inlineStr">
        <is>
          <t>2025-2026</t>
        </is>
      </c>
      <c r="C493" t="inlineStr">
        <is>
          <t>3</t>
        </is>
      </c>
      <c r="D493" t="inlineStr">
        <is>
          <t>Soins obstétricaux</t>
        </is>
      </c>
      <c r="E493" t="inlineStr">
        <is>
          <t>L2</t>
        </is>
      </c>
      <c r="F493" t="inlineStr">
        <is>
          <t>S.O</t>
        </is>
      </c>
      <c r="G493" t="inlineStr">
        <is>
          <t>Examen physique</t>
        </is>
      </c>
      <c r="H493" t="inlineStr"/>
      <c r="I493" t="inlineStr"/>
      <c r="J493" t="inlineStr">
        <is>
          <t>Lundi</t>
        </is>
      </c>
      <c r="K493" t="inlineStr">
        <is>
          <t>13h00</t>
        </is>
      </c>
      <c r="L493" t="inlineStr">
        <is>
          <t>15h00</t>
        </is>
      </c>
      <c r="N493" t="n">
        <v>4</v>
      </c>
    </row>
    <row r="494">
      <c r="A494" t="inlineStr">
        <is>
          <t>S492</t>
        </is>
      </c>
      <c r="B494" t="inlineStr">
        <is>
          <t>2025-2026</t>
        </is>
      </c>
      <c r="C494" t="inlineStr">
        <is>
          <t>3</t>
        </is>
      </c>
      <c r="D494" t="inlineStr">
        <is>
          <t>Soins obstétricaux</t>
        </is>
      </c>
      <c r="E494" t="inlineStr">
        <is>
          <t>L2</t>
        </is>
      </c>
      <c r="F494" t="inlineStr">
        <is>
          <t>S.O</t>
        </is>
      </c>
      <c r="G494" t="inlineStr">
        <is>
          <t>Obstétrique Normale</t>
        </is>
      </c>
      <c r="H494" t="inlineStr">
        <is>
          <t>Adamou Hamada Jean Alain</t>
        </is>
      </c>
      <c r="I494" t="inlineStr"/>
      <c r="J494" t="inlineStr">
        <is>
          <t>Lundi</t>
        </is>
      </c>
      <c r="K494" t="inlineStr">
        <is>
          <t>13h00</t>
        </is>
      </c>
      <c r="L494" t="inlineStr">
        <is>
          <t>15h00</t>
        </is>
      </c>
      <c r="N494" t="n">
        <v>22</v>
      </c>
    </row>
    <row r="495">
      <c r="A495" t="inlineStr">
        <is>
          <t>S493</t>
        </is>
      </c>
      <c r="B495" t="inlineStr">
        <is>
          <t>2025-2026</t>
        </is>
      </c>
      <c r="C495" t="inlineStr">
        <is>
          <t>3</t>
        </is>
      </c>
      <c r="D495" t="inlineStr">
        <is>
          <t>Soins obstétricaux</t>
        </is>
      </c>
      <c r="E495" t="inlineStr">
        <is>
          <t>L2</t>
        </is>
      </c>
      <c r="F495" t="inlineStr">
        <is>
          <t>S.O</t>
        </is>
      </c>
      <c r="G495" t="inlineStr">
        <is>
          <t>Pathologie chirurgicale pédiatrique</t>
        </is>
      </c>
      <c r="H495" t="inlineStr"/>
      <c r="I495" t="inlineStr"/>
      <c r="J495" t="inlineStr">
        <is>
          <t>Lundi</t>
        </is>
      </c>
      <c r="K495" t="inlineStr">
        <is>
          <t>13h00</t>
        </is>
      </c>
      <c r="L495" t="inlineStr">
        <is>
          <t>15h00</t>
        </is>
      </c>
      <c r="N495" t="n">
        <v>4</v>
      </c>
    </row>
    <row r="496">
      <c r="A496" t="inlineStr">
        <is>
          <t>S494</t>
        </is>
      </c>
      <c r="B496" t="inlineStr">
        <is>
          <t>2025-2026</t>
        </is>
      </c>
      <c r="C496" t="inlineStr">
        <is>
          <t>3</t>
        </is>
      </c>
      <c r="D496" t="inlineStr">
        <is>
          <t>Soins obstétricaux</t>
        </is>
      </c>
      <c r="E496" t="inlineStr">
        <is>
          <t>L2</t>
        </is>
      </c>
      <c r="F496" t="inlineStr">
        <is>
          <t>S.O</t>
        </is>
      </c>
      <c r="G496" t="inlineStr">
        <is>
          <t>TD Obstétrique Normale</t>
        </is>
      </c>
      <c r="H496" t="inlineStr"/>
      <c r="I496" t="inlineStr"/>
      <c r="J496" t="inlineStr">
        <is>
          <t>Lundi</t>
        </is>
      </c>
      <c r="K496" t="inlineStr">
        <is>
          <t>13h00</t>
        </is>
      </c>
      <c r="L496" t="inlineStr">
        <is>
          <t>15h00</t>
        </is>
      </c>
      <c r="N496" t="n">
        <v>2</v>
      </c>
    </row>
    <row r="497">
      <c r="A497" t="inlineStr">
        <is>
          <t>S495</t>
        </is>
      </c>
      <c r="B497" t="inlineStr">
        <is>
          <t>2025-2026</t>
        </is>
      </c>
      <c r="C497" t="inlineStr">
        <is>
          <t>3</t>
        </is>
      </c>
      <c r="D497" t="inlineStr">
        <is>
          <t>Soins obstétricaux</t>
        </is>
      </c>
      <c r="E497" t="inlineStr">
        <is>
          <t>L2</t>
        </is>
      </c>
      <c r="F497" t="inlineStr">
        <is>
          <t>S.O</t>
        </is>
      </c>
      <c r="G497" t="inlineStr">
        <is>
          <t>Kinésithérapie respiratoire chez l'enfant</t>
        </is>
      </c>
      <c r="H497" t="inlineStr"/>
      <c r="I497" t="inlineStr"/>
      <c r="J497" t="inlineStr">
        <is>
          <t>Lundi</t>
        </is>
      </c>
      <c r="K497" t="inlineStr">
        <is>
          <t>15h05</t>
        </is>
      </c>
      <c r="L497" t="inlineStr">
        <is>
          <t>17h05</t>
        </is>
      </c>
      <c r="N497" t="n">
        <v>4</v>
      </c>
    </row>
    <row r="498">
      <c r="A498" t="inlineStr">
        <is>
          <t>S496</t>
        </is>
      </c>
      <c r="B498" t="inlineStr">
        <is>
          <t>2025-2026</t>
        </is>
      </c>
      <c r="C498" t="inlineStr">
        <is>
          <t>3</t>
        </is>
      </c>
      <c r="D498" t="inlineStr">
        <is>
          <t>Soins obstétricaux</t>
        </is>
      </c>
      <c r="E498" t="inlineStr">
        <is>
          <t>L2</t>
        </is>
      </c>
      <c r="F498" t="inlineStr">
        <is>
          <t>S.O</t>
        </is>
      </c>
      <c r="G498" t="inlineStr">
        <is>
          <t>Pharmacologie et thérapeutiques spécifiques à la pathologie</t>
        </is>
      </c>
      <c r="H498" t="inlineStr"/>
      <c r="I498" t="inlineStr"/>
      <c r="J498" t="inlineStr">
        <is>
          <t>Lundi</t>
        </is>
      </c>
      <c r="K498" t="inlineStr">
        <is>
          <t>15h05</t>
        </is>
      </c>
      <c r="L498" t="inlineStr">
        <is>
          <t>17h05</t>
        </is>
      </c>
      <c r="N498" t="n">
        <v>12</v>
      </c>
    </row>
    <row r="499">
      <c r="A499" t="inlineStr">
        <is>
          <t>S497</t>
        </is>
      </c>
      <c r="B499" t="inlineStr">
        <is>
          <t>2025-2026</t>
        </is>
      </c>
      <c r="C499" t="inlineStr">
        <is>
          <t>3</t>
        </is>
      </c>
      <c r="D499" t="inlineStr">
        <is>
          <t>Soins obstétricaux</t>
        </is>
      </c>
      <c r="E499" t="inlineStr">
        <is>
          <t>L2</t>
        </is>
      </c>
      <c r="F499" t="inlineStr">
        <is>
          <t>S.O</t>
        </is>
      </c>
      <c r="G499" t="inlineStr">
        <is>
          <t>Stratégies conventionnelles et novatrices de communication</t>
        </is>
      </c>
      <c r="H499" t="inlineStr">
        <is>
          <t>HALIMA ABDALLAH</t>
        </is>
      </c>
      <c r="I499" t="inlineStr"/>
      <c r="J499" t="inlineStr">
        <is>
          <t>Lundi</t>
        </is>
      </c>
      <c r="K499" t="inlineStr">
        <is>
          <t>15h05</t>
        </is>
      </c>
      <c r="L499" t="inlineStr">
        <is>
          <t>17h05</t>
        </is>
      </c>
      <c r="N499" t="n">
        <v>14</v>
      </c>
    </row>
    <row r="500">
      <c r="A500" t="inlineStr">
        <is>
          <t>S498</t>
        </is>
      </c>
      <c r="B500" t="inlineStr">
        <is>
          <t>2025-2026</t>
        </is>
      </c>
      <c r="C500" t="inlineStr">
        <is>
          <t>3</t>
        </is>
      </c>
      <c r="D500" t="inlineStr">
        <is>
          <t>Soins obstétricaux</t>
        </is>
      </c>
      <c r="E500" t="inlineStr">
        <is>
          <t>L2</t>
        </is>
      </c>
      <c r="F500" t="inlineStr">
        <is>
          <t>S.O</t>
        </is>
      </c>
      <c r="G500" t="inlineStr">
        <is>
          <t>TD Stratégies conventionnelles et novatrices de communication</t>
        </is>
      </c>
      <c r="H500" t="inlineStr"/>
      <c r="I500" t="inlineStr"/>
      <c r="J500" t="inlineStr">
        <is>
          <t>Lundi</t>
        </is>
      </c>
      <c r="K500" t="inlineStr">
        <is>
          <t>15h05</t>
        </is>
      </c>
      <c r="L500" t="inlineStr">
        <is>
          <t>17h05</t>
        </is>
      </c>
      <c r="N500" t="n">
        <v>2</v>
      </c>
    </row>
    <row r="501">
      <c r="A501" t="inlineStr">
        <is>
          <t>S499</t>
        </is>
      </c>
      <c r="B501" t="inlineStr">
        <is>
          <t>2025-2026</t>
        </is>
      </c>
      <c r="C501" t="inlineStr">
        <is>
          <t>3</t>
        </is>
      </c>
      <c r="D501" t="inlineStr">
        <is>
          <t>Soins obstétricaux</t>
        </is>
      </c>
      <c r="E501" t="inlineStr">
        <is>
          <t>L2</t>
        </is>
      </c>
      <c r="F501" t="inlineStr">
        <is>
          <t>S.O</t>
        </is>
      </c>
      <c r="G501" t="inlineStr">
        <is>
          <t>Consultation prénatale</t>
        </is>
      </c>
      <c r="H501" t="inlineStr">
        <is>
          <t>Mme MYRIAM ABDALLAH</t>
        </is>
      </c>
      <c r="I501" t="inlineStr"/>
      <c r="J501" t="inlineStr">
        <is>
          <t>Lundi</t>
        </is>
      </c>
      <c r="K501" t="inlineStr">
        <is>
          <t>8h00</t>
        </is>
      </c>
      <c r="L501" t="inlineStr">
        <is>
          <t>10h00</t>
        </is>
      </c>
      <c r="N501" t="n">
        <v>6</v>
      </c>
    </row>
    <row r="502">
      <c r="A502" t="inlineStr">
        <is>
          <t>S500</t>
        </is>
      </c>
      <c r="B502" t="inlineStr">
        <is>
          <t>2025-2026</t>
        </is>
      </c>
      <c r="C502" t="inlineStr">
        <is>
          <t>3</t>
        </is>
      </c>
      <c r="D502" t="inlineStr">
        <is>
          <t>Soins obstétricaux</t>
        </is>
      </c>
      <c r="E502" t="inlineStr">
        <is>
          <t>L2</t>
        </is>
      </c>
      <c r="F502" t="inlineStr">
        <is>
          <t>S.O</t>
        </is>
      </c>
      <c r="G502" t="inlineStr">
        <is>
          <t>Examen physique</t>
        </is>
      </c>
      <c r="H502" t="inlineStr"/>
      <c r="I502" t="inlineStr"/>
      <c r="J502" t="inlineStr">
        <is>
          <t>Lundi</t>
        </is>
      </c>
      <c r="K502" t="inlineStr">
        <is>
          <t>8h00</t>
        </is>
      </c>
      <c r="L502" t="inlineStr">
        <is>
          <t>10h00</t>
        </is>
      </c>
      <c r="N502" t="n">
        <v>2</v>
      </c>
    </row>
    <row r="503">
      <c r="A503" t="inlineStr">
        <is>
          <t>S501</t>
        </is>
      </c>
      <c r="B503" t="inlineStr">
        <is>
          <t>2025-2026</t>
        </is>
      </c>
      <c r="C503" t="inlineStr">
        <is>
          <t>3</t>
        </is>
      </c>
      <c r="D503" t="inlineStr">
        <is>
          <t>Soins obstétricaux</t>
        </is>
      </c>
      <c r="E503" t="inlineStr">
        <is>
          <t>L2</t>
        </is>
      </c>
      <c r="F503" t="inlineStr">
        <is>
          <t>S.O</t>
        </is>
      </c>
      <c r="G503" t="inlineStr">
        <is>
          <t>Pathologies Digestifs</t>
        </is>
      </c>
      <c r="H503" t="inlineStr">
        <is>
          <t>Irina Ismaïla Abdou</t>
        </is>
      </c>
      <c r="I503" t="inlineStr"/>
      <c r="J503" t="inlineStr">
        <is>
          <t>Lundi</t>
        </is>
      </c>
      <c r="K503" t="inlineStr">
        <is>
          <t>8h00</t>
        </is>
      </c>
      <c r="L503" t="inlineStr">
        <is>
          <t>10h00</t>
        </is>
      </c>
      <c r="N503" t="n">
        <v>2</v>
      </c>
    </row>
    <row r="504">
      <c r="A504" t="inlineStr">
        <is>
          <t>S502</t>
        </is>
      </c>
      <c r="B504" t="inlineStr">
        <is>
          <t>2025-2026</t>
        </is>
      </c>
      <c r="C504" t="inlineStr">
        <is>
          <t>3</t>
        </is>
      </c>
      <c r="D504" t="inlineStr">
        <is>
          <t>Soins obstétricaux</t>
        </is>
      </c>
      <c r="E504" t="inlineStr">
        <is>
          <t>L2</t>
        </is>
      </c>
      <c r="F504" t="inlineStr">
        <is>
          <t>S.O</t>
        </is>
      </c>
      <c r="G504" t="inlineStr">
        <is>
          <t>Patologies orthopédiques et traumatologiqes</t>
        </is>
      </c>
      <c r="H504" t="inlineStr"/>
      <c r="I504" t="inlineStr"/>
      <c r="J504" t="inlineStr">
        <is>
          <t>Lundi</t>
        </is>
      </c>
      <c r="K504" t="inlineStr">
        <is>
          <t>8h00</t>
        </is>
      </c>
      <c r="L504" t="inlineStr">
        <is>
          <t>10h00</t>
        </is>
      </c>
      <c r="N504" t="n">
        <v>6</v>
      </c>
    </row>
    <row r="505">
      <c r="A505" t="inlineStr">
        <is>
          <t>S503</t>
        </is>
      </c>
      <c r="B505" t="inlineStr">
        <is>
          <t>2025-2026</t>
        </is>
      </c>
      <c r="C505" t="inlineStr">
        <is>
          <t>3</t>
        </is>
      </c>
      <c r="D505" t="inlineStr">
        <is>
          <t>Soins obstétricaux</t>
        </is>
      </c>
      <c r="E505" t="inlineStr">
        <is>
          <t>L2</t>
        </is>
      </c>
      <c r="F505" t="inlineStr">
        <is>
          <t>S.O</t>
        </is>
      </c>
      <c r="G505" t="inlineStr">
        <is>
          <t>Principes d’accueil, d’orientation et de prise en charge respectueuse et bienveillante de la femme</t>
        </is>
      </c>
      <c r="H505" t="inlineStr"/>
      <c r="I505" t="inlineStr"/>
      <c r="J505" t="inlineStr">
        <is>
          <t>Lundi</t>
        </is>
      </c>
      <c r="K505" t="inlineStr">
        <is>
          <t>8h00</t>
        </is>
      </c>
      <c r="L505" t="inlineStr">
        <is>
          <t>10h00</t>
        </is>
      </c>
      <c r="N505" t="n">
        <v>2</v>
      </c>
    </row>
    <row r="506">
      <c r="A506" t="inlineStr">
        <is>
          <t>S504</t>
        </is>
      </c>
      <c r="B506" t="inlineStr">
        <is>
          <t>2025-2026</t>
        </is>
      </c>
      <c r="C506" t="inlineStr">
        <is>
          <t>3</t>
        </is>
      </c>
      <c r="D506" t="inlineStr">
        <is>
          <t>Soins obstétricaux</t>
        </is>
      </c>
      <c r="E506" t="inlineStr">
        <is>
          <t>L2</t>
        </is>
      </c>
      <c r="F506" t="inlineStr">
        <is>
          <t>S.O</t>
        </is>
      </c>
      <c r="G506" t="inlineStr">
        <is>
          <t>SI Affections Digestifs</t>
        </is>
      </c>
      <c r="H506" t="inlineStr"/>
      <c r="I506" t="inlineStr"/>
      <c r="J506" t="inlineStr">
        <is>
          <t>Lundi</t>
        </is>
      </c>
      <c r="K506" t="inlineStr">
        <is>
          <t>8h00</t>
        </is>
      </c>
      <c r="L506" t="inlineStr">
        <is>
          <t>10h00</t>
        </is>
      </c>
      <c r="N506" t="n">
        <v>2</v>
      </c>
    </row>
    <row r="507">
      <c r="A507" t="inlineStr">
        <is>
          <t>S505</t>
        </is>
      </c>
      <c r="B507" t="inlineStr">
        <is>
          <t>2025-2026</t>
        </is>
      </c>
      <c r="C507" t="inlineStr">
        <is>
          <t>3</t>
        </is>
      </c>
      <c r="D507" t="inlineStr">
        <is>
          <t>Soins obstétricaux</t>
        </is>
      </c>
      <c r="E507" t="inlineStr">
        <is>
          <t>L2</t>
        </is>
      </c>
      <c r="F507" t="inlineStr">
        <is>
          <t>S.O</t>
        </is>
      </c>
      <c r="G507" t="inlineStr">
        <is>
          <t>Santé sexuelle et reproductive et droits connexes</t>
        </is>
      </c>
      <c r="H507" t="inlineStr">
        <is>
          <t>HALIMA ABDALLAH</t>
        </is>
      </c>
      <c r="I507" t="inlineStr"/>
      <c r="J507" t="inlineStr">
        <is>
          <t>Lundi</t>
        </is>
      </c>
      <c r="K507" t="inlineStr">
        <is>
          <t>8h00</t>
        </is>
      </c>
      <c r="L507" t="inlineStr">
        <is>
          <t>10h00</t>
        </is>
      </c>
      <c r="N507" t="n">
        <v>6</v>
      </c>
    </row>
    <row r="508">
      <c r="A508" t="inlineStr">
        <is>
          <t>S506</t>
        </is>
      </c>
      <c r="B508" t="inlineStr">
        <is>
          <t>2025-2026</t>
        </is>
      </c>
      <c r="C508" t="inlineStr">
        <is>
          <t>3</t>
        </is>
      </c>
      <c r="D508" t="inlineStr">
        <is>
          <t>Soins obstétricaux</t>
        </is>
      </c>
      <c r="E508" t="inlineStr">
        <is>
          <t>L2</t>
        </is>
      </c>
      <c r="F508" t="inlineStr">
        <is>
          <t>S.O</t>
        </is>
      </c>
      <c r="G508" t="inlineStr">
        <is>
          <t>Soins en pediatrie</t>
        </is>
      </c>
      <c r="H508" t="inlineStr">
        <is>
          <t>Dr Chamsouddine</t>
        </is>
      </c>
      <c r="I508" t="inlineStr"/>
      <c r="J508" t="inlineStr">
        <is>
          <t>Lundi</t>
        </is>
      </c>
      <c r="K508" t="inlineStr">
        <is>
          <t>8h00</t>
        </is>
      </c>
      <c r="L508" t="inlineStr">
        <is>
          <t>10h00</t>
        </is>
      </c>
      <c r="N508" t="n">
        <v>4</v>
      </c>
    </row>
    <row r="509">
      <c r="A509" t="inlineStr">
        <is>
          <t>S507</t>
        </is>
      </c>
      <c r="B509" t="inlineStr">
        <is>
          <t>2025-2026</t>
        </is>
      </c>
      <c r="C509" t="inlineStr">
        <is>
          <t>3</t>
        </is>
      </c>
      <c r="D509" t="inlineStr">
        <is>
          <t>Soins obstétricaux</t>
        </is>
      </c>
      <c r="E509" t="inlineStr">
        <is>
          <t>L2</t>
        </is>
      </c>
      <c r="F509" t="inlineStr">
        <is>
          <t>S.O</t>
        </is>
      </c>
      <c r="G509" t="inlineStr">
        <is>
          <t>TD Principes d’accueil, d’orientation et de prise en charge respectueuse et bienveillante de la femme</t>
        </is>
      </c>
      <c r="H509" t="inlineStr"/>
      <c r="I509" t="inlineStr"/>
      <c r="J509" t="inlineStr">
        <is>
          <t>Lundi</t>
        </is>
      </c>
      <c r="K509" t="inlineStr">
        <is>
          <t>8h00</t>
        </is>
      </c>
      <c r="L509" t="inlineStr">
        <is>
          <t>10h00</t>
        </is>
      </c>
      <c r="N509" t="n">
        <v>2</v>
      </c>
    </row>
    <row r="510">
      <c r="A510" t="inlineStr">
        <is>
          <t>S508</t>
        </is>
      </c>
      <c r="B510" t="inlineStr">
        <is>
          <t>2025-2026</t>
        </is>
      </c>
      <c r="C510" t="inlineStr">
        <is>
          <t>3</t>
        </is>
      </c>
      <c r="D510" t="inlineStr">
        <is>
          <t>Soins obstétricaux</t>
        </is>
      </c>
      <c r="E510" t="inlineStr">
        <is>
          <t>L2</t>
        </is>
      </c>
      <c r="F510" t="inlineStr">
        <is>
          <t>S.O</t>
        </is>
      </c>
      <c r="G510" t="inlineStr">
        <is>
          <t>Examen physique</t>
        </is>
      </c>
      <c r="H510" t="inlineStr"/>
      <c r="I510" t="inlineStr"/>
      <c r="J510" t="inlineStr">
        <is>
          <t>Mardi</t>
        </is>
      </c>
      <c r="K510" t="inlineStr">
        <is>
          <t>10h05</t>
        </is>
      </c>
      <c r="L510" t="inlineStr">
        <is>
          <t>12h05</t>
        </is>
      </c>
      <c r="N510" t="n">
        <v>2</v>
      </c>
    </row>
    <row r="511">
      <c r="A511" t="inlineStr">
        <is>
          <t>S509</t>
        </is>
      </c>
      <c r="B511" t="inlineStr">
        <is>
          <t>2025-2026</t>
        </is>
      </c>
      <c r="C511" t="inlineStr">
        <is>
          <t>3</t>
        </is>
      </c>
      <c r="D511" t="inlineStr">
        <is>
          <t>Soins obstétricaux</t>
        </is>
      </c>
      <c r="E511" t="inlineStr">
        <is>
          <t>L2</t>
        </is>
      </c>
      <c r="F511" t="inlineStr">
        <is>
          <t>S.O</t>
        </is>
      </c>
      <c r="G511" t="inlineStr">
        <is>
          <t>Patologies orthopédiques et traumatologiqes</t>
        </is>
      </c>
      <c r="H511" t="inlineStr"/>
      <c r="I511" t="inlineStr"/>
      <c r="J511" t="inlineStr">
        <is>
          <t>Mardi</t>
        </is>
      </c>
      <c r="K511" t="inlineStr">
        <is>
          <t>10h05</t>
        </is>
      </c>
      <c r="L511" t="inlineStr">
        <is>
          <t>12h05</t>
        </is>
      </c>
      <c r="N511" t="n">
        <v>4</v>
      </c>
    </row>
    <row r="512">
      <c r="A512" t="inlineStr">
        <is>
          <t>S510</t>
        </is>
      </c>
      <c r="B512" t="inlineStr">
        <is>
          <t>2025-2026</t>
        </is>
      </c>
      <c r="C512" t="inlineStr">
        <is>
          <t>3</t>
        </is>
      </c>
      <c r="D512" t="inlineStr">
        <is>
          <t>Soins obstétricaux</t>
        </is>
      </c>
      <c r="E512" t="inlineStr">
        <is>
          <t>L2</t>
        </is>
      </c>
      <c r="F512" t="inlineStr">
        <is>
          <t>S.O</t>
        </is>
      </c>
      <c r="G512" t="inlineStr">
        <is>
          <t>SI Affections Digestifs</t>
        </is>
      </c>
      <c r="H512" t="inlineStr"/>
      <c r="I512" t="inlineStr"/>
      <c r="J512" t="inlineStr">
        <is>
          <t>Mardi</t>
        </is>
      </c>
      <c r="K512" t="inlineStr">
        <is>
          <t>10h05</t>
        </is>
      </c>
      <c r="L512" t="inlineStr">
        <is>
          <t>12h05</t>
        </is>
      </c>
      <c r="N512" t="n">
        <v>6</v>
      </c>
    </row>
    <row r="513">
      <c r="A513" t="inlineStr">
        <is>
          <t>S511</t>
        </is>
      </c>
      <c r="B513" t="inlineStr">
        <is>
          <t>2025-2026</t>
        </is>
      </c>
      <c r="C513" t="inlineStr">
        <is>
          <t>3</t>
        </is>
      </c>
      <c r="D513" t="inlineStr">
        <is>
          <t>Soins obstétricaux</t>
        </is>
      </c>
      <c r="E513" t="inlineStr">
        <is>
          <t>L2</t>
        </is>
      </c>
      <c r="F513" t="inlineStr">
        <is>
          <t>S.O</t>
        </is>
      </c>
      <c r="G513" t="inlineStr">
        <is>
          <t>Santé sexuelle et reproductive et droits connexes</t>
        </is>
      </c>
      <c r="H513" t="inlineStr">
        <is>
          <t>HALIMA ABDALLAH</t>
        </is>
      </c>
      <c r="I513" t="inlineStr"/>
      <c r="J513" t="inlineStr">
        <is>
          <t>Mardi</t>
        </is>
      </c>
      <c r="K513" t="inlineStr">
        <is>
          <t>10h05</t>
        </is>
      </c>
      <c r="L513" t="inlineStr">
        <is>
          <t>12h05</t>
        </is>
      </c>
      <c r="N513" t="n">
        <v>8</v>
      </c>
    </row>
    <row r="514">
      <c r="A514" t="inlineStr">
        <is>
          <t>S512</t>
        </is>
      </c>
      <c r="B514" t="inlineStr">
        <is>
          <t>2025-2026</t>
        </is>
      </c>
      <c r="C514" t="inlineStr">
        <is>
          <t>3</t>
        </is>
      </c>
      <c r="D514" t="inlineStr">
        <is>
          <t>Soins obstétricaux</t>
        </is>
      </c>
      <c r="E514" t="inlineStr">
        <is>
          <t>L2</t>
        </is>
      </c>
      <c r="F514" t="inlineStr">
        <is>
          <t>S.O</t>
        </is>
      </c>
      <c r="G514" t="inlineStr">
        <is>
          <t>Soins en pediatrie</t>
        </is>
      </c>
      <c r="H514" t="inlineStr">
        <is>
          <t>Dr Chamsouddine</t>
        </is>
      </c>
      <c r="I514" t="inlineStr"/>
      <c r="J514" t="inlineStr">
        <is>
          <t>Mardi</t>
        </is>
      </c>
      <c r="K514" t="inlineStr">
        <is>
          <t>10h05</t>
        </is>
      </c>
      <c r="L514" t="inlineStr">
        <is>
          <t>12h05</t>
        </is>
      </c>
      <c r="N514" t="n">
        <v>6</v>
      </c>
    </row>
    <row r="515">
      <c r="A515" t="inlineStr">
        <is>
          <t>S513</t>
        </is>
      </c>
      <c r="B515" t="inlineStr">
        <is>
          <t>2025-2026</t>
        </is>
      </c>
      <c r="C515" t="inlineStr">
        <is>
          <t>3</t>
        </is>
      </c>
      <c r="D515" t="inlineStr">
        <is>
          <t>Soins obstétricaux</t>
        </is>
      </c>
      <c r="E515" t="inlineStr">
        <is>
          <t>L2</t>
        </is>
      </c>
      <c r="F515" t="inlineStr">
        <is>
          <t>S.O</t>
        </is>
      </c>
      <c r="G515" t="inlineStr">
        <is>
          <t>Stratégies conventionnelles et novatrices de communication</t>
        </is>
      </c>
      <c r="H515" t="inlineStr">
        <is>
          <t>HALIMA ABDALLAH</t>
        </is>
      </c>
      <c r="I515" t="inlineStr"/>
      <c r="J515" t="inlineStr">
        <is>
          <t>Mardi</t>
        </is>
      </c>
      <c r="K515" t="inlineStr">
        <is>
          <t>10h05</t>
        </is>
      </c>
      <c r="L515" t="inlineStr">
        <is>
          <t>12h05</t>
        </is>
      </c>
      <c r="N515" t="n">
        <v>6</v>
      </c>
    </row>
    <row r="516">
      <c r="A516" t="inlineStr">
        <is>
          <t>S514</t>
        </is>
      </c>
      <c r="B516" t="inlineStr">
        <is>
          <t>2025-2026</t>
        </is>
      </c>
      <c r="C516" t="inlineStr">
        <is>
          <t>3</t>
        </is>
      </c>
      <c r="D516" t="inlineStr">
        <is>
          <t>Soins obstétricaux</t>
        </is>
      </c>
      <c r="E516" t="inlineStr">
        <is>
          <t>L2</t>
        </is>
      </c>
      <c r="F516" t="inlineStr">
        <is>
          <t>S.O</t>
        </is>
      </c>
      <c r="G516" t="inlineStr">
        <is>
          <t>Examen physique</t>
        </is>
      </c>
      <c r="H516" t="inlineStr"/>
      <c r="I516" t="inlineStr"/>
      <c r="J516" t="inlineStr">
        <is>
          <t>Mardi</t>
        </is>
      </c>
      <c r="K516" t="inlineStr">
        <is>
          <t>13h00</t>
        </is>
      </c>
      <c r="L516" t="inlineStr">
        <is>
          <t>15h00</t>
        </is>
      </c>
      <c r="N516" t="n">
        <v>4</v>
      </c>
    </row>
    <row r="517">
      <c r="A517" t="inlineStr">
        <is>
          <t>S515</t>
        </is>
      </c>
      <c r="B517" t="inlineStr">
        <is>
          <t>2025-2026</t>
        </is>
      </c>
      <c r="C517" t="inlineStr">
        <is>
          <t>3</t>
        </is>
      </c>
      <c r="D517" t="inlineStr">
        <is>
          <t>Soins obstétricaux</t>
        </is>
      </c>
      <c r="E517" t="inlineStr">
        <is>
          <t>L2</t>
        </is>
      </c>
      <c r="F517" t="inlineStr">
        <is>
          <t>S.O</t>
        </is>
      </c>
      <c r="G517" t="inlineStr">
        <is>
          <t>Gynécologie</t>
        </is>
      </c>
      <c r="H517" t="inlineStr">
        <is>
          <t>Irina Ismaïla Abdou</t>
        </is>
      </c>
      <c r="I517" t="inlineStr"/>
      <c r="J517" t="inlineStr">
        <is>
          <t>Mardi</t>
        </is>
      </c>
      <c r="K517" t="inlineStr">
        <is>
          <t>13h00</t>
        </is>
      </c>
      <c r="L517" t="inlineStr">
        <is>
          <t>15h00</t>
        </is>
      </c>
      <c r="N517" t="n">
        <v>12</v>
      </c>
    </row>
    <row r="518">
      <c r="A518" t="inlineStr">
        <is>
          <t>S516</t>
        </is>
      </c>
      <c r="B518" t="inlineStr">
        <is>
          <t>2025-2026</t>
        </is>
      </c>
      <c r="C518" t="inlineStr">
        <is>
          <t>3</t>
        </is>
      </c>
      <c r="D518" t="inlineStr">
        <is>
          <t>Soins obstétricaux</t>
        </is>
      </c>
      <c r="E518" t="inlineStr">
        <is>
          <t>L2</t>
        </is>
      </c>
      <c r="F518" t="inlineStr">
        <is>
          <t>S.O</t>
        </is>
      </c>
      <c r="G518" t="inlineStr">
        <is>
          <t>Pharmacologie et thérapeutiques spécifiques à la pathologie</t>
        </is>
      </c>
      <c r="H518" t="inlineStr"/>
      <c r="I518" t="inlineStr"/>
      <c r="J518" t="inlineStr">
        <is>
          <t>Mardi</t>
        </is>
      </c>
      <c r="K518" t="inlineStr">
        <is>
          <t>13h00</t>
        </is>
      </c>
      <c r="L518" t="inlineStr">
        <is>
          <t>15h00</t>
        </is>
      </c>
      <c r="N518" t="n">
        <v>16</v>
      </c>
    </row>
    <row r="519">
      <c r="A519" t="inlineStr">
        <is>
          <t>S517</t>
        </is>
      </c>
      <c r="B519" t="inlineStr">
        <is>
          <t>2025-2026</t>
        </is>
      </c>
      <c r="C519" t="inlineStr">
        <is>
          <t>3</t>
        </is>
      </c>
      <c r="D519" t="inlineStr">
        <is>
          <t>Soins obstétricaux</t>
        </is>
      </c>
      <c r="E519" t="inlineStr">
        <is>
          <t>L2</t>
        </is>
      </c>
      <c r="F519" t="inlineStr">
        <is>
          <t>S.O</t>
        </is>
      </c>
      <c r="G519" t="inlineStr">
        <is>
          <t>Kinésithérapie respiratoire chez l'enfant</t>
        </is>
      </c>
      <c r="H519" t="inlineStr"/>
      <c r="I519" t="inlineStr"/>
      <c r="J519" t="inlineStr">
        <is>
          <t>Mardi</t>
        </is>
      </c>
      <c r="K519" t="inlineStr">
        <is>
          <t>15h05</t>
        </is>
      </c>
      <c r="L519" t="inlineStr">
        <is>
          <t>17h05</t>
        </is>
      </c>
      <c r="N519" t="n">
        <v>2</v>
      </c>
    </row>
    <row r="520">
      <c r="A520" t="inlineStr">
        <is>
          <t>S518</t>
        </is>
      </c>
      <c r="B520" t="inlineStr">
        <is>
          <t>2025-2026</t>
        </is>
      </c>
      <c r="C520" t="inlineStr">
        <is>
          <t>3</t>
        </is>
      </c>
      <c r="D520" t="inlineStr">
        <is>
          <t>Soins obstétricaux</t>
        </is>
      </c>
      <c r="E520" t="inlineStr">
        <is>
          <t>L2</t>
        </is>
      </c>
      <c r="F520" t="inlineStr">
        <is>
          <t>S.O</t>
        </is>
      </c>
      <c r="G520" t="inlineStr">
        <is>
          <t>PCIME</t>
        </is>
      </c>
      <c r="H520" t="inlineStr">
        <is>
          <t>Daniel Ali Soumaïla (Chef de département S.I)</t>
        </is>
      </c>
      <c r="I520" t="inlineStr"/>
      <c r="J520" t="inlineStr">
        <is>
          <t>Mardi</t>
        </is>
      </c>
      <c r="K520" t="inlineStr">
        <is>
          <t>15h05</t>
        </is>
      </c>
      <c r="L520" t="inlineStr">
        <is>
          <t>17h05</t>
        </is>
      </c>
      <c r="N520" t="n">
        <v>2</v>
      </c>
    </row>
    <row r="521">
      <c r="A521" t="inlineStr">
        <is>
          <t>S519</t>
        </is>
      </c>
      <c r="B521" t="inlineStr">
        <is>
          <t>2025-2026</t>
        </is>
      </c>
      <c r="C521" t="inlineStr">
        <is>
          <t>3</t>
        </is>
      </c>
      <c r="D521" t="inlineStr">
        <is>
          <t>Soins obstétricaux</t>
        </is>
      </c>
      <c r="E521" t="inlineStr">
        <is>
          <t>L2</t>
        </is>
      </c>
      <c r="F521" t="inlineStr">
        <is>
          <t>S.O</t>
        </is>
      </c>
      <c r="G521" t="inlineStr">
        <is>
          <t>Protocoles de prise en charge de la grossesse normale</t>
        </is>
      </c>
      <c r="H521" t="inlineStr"/>
      <c r="I521" t="inlineStr"/>
      <c r="J521" t="inlineStr">
        <is>
          <t>Mardi</t>
        </is>
      </c>
      <c r="K521" t="inlineStr">
        <is>
          <t>15h05</t>
        </is>
      </c>
      <c r="L521" t="inlineStr">
        <is>
          <t>17h05</t>
        </is>
      </c>
      <c r="N521" t="n">
        <v>4</v>
      </c>
    </row>
    <row r="522">
      <c r="A522" t="inlineStr">
        <is>
          <t>S520</t>
        </is>
      </c>
      <c r="B522" t="inlineStr">
        <is>
          <t>2025-2026</t>
        </is>
      </c>
      <c r="C522" t="inlineStr">
        <is>
          <t>3</t>
        </is>
      </c>
      <c r="D522" t="inlineStr">
        <is>
          <t>Soins obstétricaux</t>
        </is>
      </c>
      <c r="E522" t="inlineStr">
        <is>
          <t>L2</t>
        </is>
      </c>
      <c r="F522" t="inlineStr">
        <is>
          <t>S.O</t>
        </is>
      </c>
      <c r="G522" t="inlineStr">
        <is>
          <t>Protocoles de prise en charge en post partum immédiat et précoce</t>
        </is>
      </c>
      <c r="H522" t="inlineStr">
        <is>
          <t>Soudjay Asnounat</t>
        </is>
      </c>
      <c r="I522" t="inlineStr"/>
      <c r="J522" t="inlineStr">
        <is>
          <t>Mardi</t>
        </is>
      </c>
      <c r="K522" t="inlineStr">
        <is>
          <t>15h05</t>
        </is>
      </c>
      <c r="L522" t="inlineStr">
        <is>
          <t>17h05</t>
        </is>
      </c>
      <c r="N522" t="n">
        <v>2</v>
      </c>
    </row>
    <row r="523">
      <c r="A523" t="inlineStr">
        <is>
          <t>S521</t>
        </is>
      </c>
      <c r="B523" t="inlineStr">
        <is>
          <t>2025-2026</t>
        </is>
      </c>
      <c r="C523" t="inlineStr">
        <is>
          <t>3</t>
        </is>
      </c>
      <c r="D523" t="inlineStr">
        <is>
          <t>Soins obstétricaux</t>
        </is>
      </c>
      <c r="E523" t="inlineStr">
        <is>
          <t>L2</t>
        </is>
      </c>
      <c r="F523" t="inlineStr">
        <is>
          <t>S.O</t>
        </is>
      </c>
      <c r="G523" t="inlineStr">
        <is>
          <t>Préparation à l’accouchement normal</t>
        </is>
      </c>
      <c r="H523" t="inlineStr">
        <is>
          <t>Soudjay Asnounat</t>
        </is>
      </c>
      <c r="I523" t="inlineStr"/>
      <c r="J523" t="inlineStr">
        <is>
          <t>Mardi</t>
        </is>
      </c>
      <c r="K523" t="inlineStr">
        <is>
          <t>15h05</t>
        </is>
      </c>
      <c r="L523" t="inlineStr">
        <is>
          <t>17h05</t>
        </is>
      </c>
      <c r="N523" t="n">
        <v>4</v>
      </c>
    </row>
    <row r="524">
      <c r="A524" t="inlineStr">
        <is>
          <t>S522</t>
        </is>
      </c>
      <c r="B524" t="inlineStr">
        <is>
          <t>2025-2026</t>
        </is>
      </c>
      <c r="C524" t="inlineStr">
        <is>
          <t>3</t>
        </is>
      </c>
      <c r="D524" t="inlineStr">
        <is>
          <t>Soins obstétricaux</t>
        </is>
      </c>
      <c r="E524" t="inlineStr">
        <is>
          <t>L2</t>
        </is>
      </c>
      <c r="F524" t="inlineStr">
        <is>
          <t>S.O</t>
        </is>
      </c>
      <c r="G524" t="inlineStr">
        <is>
          <t>Puériculture</t>
        </is>
      </c>
      <c r="H524" t="inlineStr">
        <is>
          <t>Dr Chamsouddine</t>
        </is>
      </c>
      <c r="I524" t="inlineStr"/>
      <c r="J524" t="inlineStr">
        <is>
          <t>Mardi</t>
        </is>
      </c>
      <c r="K524" t="inlineStr">
        <is>
          <t>15h05</t>
        </is>
      </c>
      <c r="L524" t="inlineStr">
        <is>
          <t>17h05</t>
        </is>
      </c>
      <c r="N524" t="n">
        <v>8</v>
      </c>
    </row>
    <row r="525">
      <c r="A525" t="inlineStr">
        <is>
          <t>S523</t>
        </is>
      </c>
      <c r="B525" t="inlineStr">
        <is>
          <t>2025-2026</t>
        </is>
      </c>
      <c r="C525" t="inlineStr">
        <is>
          <t>3</t>
        </is>
      </c>
      <c r="D525" t="inlineStr">
        <is>
          <t>Soins obstétricaux</t>
        </is>
      </c>
      <c r="E525" t="inlineStr">
        <is>
          <t>L2</t>
        </is>
      </c>
      <c r="F525" t="inlineStr">
        <is>
          <t>S.O</t>
        </is>
      </c>
      <c r="G525" t="inlineStr">
        <is>
          <t>TD Protocoles de prise en charge de la grossesse normale</t>
        </is>
      </c>
      <c r="H525" t="inlineStr"/>
      <c r="I525" t="inlineStr"/>
      <c r="J525" t="inlineStr">
        <is>
          <t>Mardi</t>
        </is>
      </c>
      <c r="K525" t="inlineStr">
        <is>
          <t>15h05</t>
        </is>
      </c>
      <c r="L525" t="inlineStr">
        <is>
          <t>17h05</t>
        </is>
      </c>
      <c r="N525" t="n">
        <v>2</v>
      </c>
    </row>
    <row r="526">
      <c r="A526" t="inlineStr">
        <is>
          <t>S524</t>
        </is>
      </c>
      <c r="B526" t="inlineStr">
        <is>
          <t>2025-2026</t>
        </is>
      </c>
      <c r="C526" t="inlineStr">
        <is>
          <t>3</t>
        </is>
      </c>
      <c r="D526" t="inlineStr">
        <is>
          <t>Soins obstétricaux</t>
        </is>
      </c>
      <c r="E526" t="inlineStr">
        <is>
          <t>L2</t>
        </is>
      </c>
      <c r="F526" t="inlineStr">
        <is>
          <t>S.O</t>
        </is>
      </c>
      <c r="G526" t="inlineStr">
        <is>
          <t>TD Préparation à l’accouchement normal</t>
        </is>
      </c>
      <c r="H526" t="inlineStr"/>
      <c r="I526" t="inlineStr"/>
      <c r="J526" t="inlineStr">
        <is>
          <t>Mardi</t>
        </is>
      </c>
      <c r="K526" t="inlineStr">
        <is>
          <t>15h05</t>
        </is>
      </c>
      <c r="L526" t="inlineStr">
        <is>
          <t>17h05</t>
        </is>
      </c>
      <c r="N526" t="n">
        <v>2</v>
      </c>
    </row>
    <row r="527">
      <c r="A527" t="inlineStr">
        <is>
          <t>S525</t>
        </is>
      </c>
      <c r="B527" t="inlineStr">
        <is>
          <t>2025-2026</t>
        </is>
      </c>
      <c r="C527" t="inlineStr">
        <is>
          <t>3</t>
        </is>
      </c>
      <c r="D527" t="inlineStr">
        <is>
          <t>Soins obstétricaux</t>
        </is>
      </c>
      <c r="E527" t="inlineStr">
        <is>
          <t>L2</t>
        </is>
      </c>
      <c r="F527" t="inlineStr">
        <is>
          <t>S.O</t>
        </is>
      </c>
      <c r="G527" t="inlineStr">
        <is>
          <t>soins infirmiers en orthopédie et truamatologie</t>
        </is>
      </c>
      <c r="H527" t="inlineStr">
        <is>
          <t>Mr AMELDINE DACHIROUDINE</t>
        </is>
      </c>
      <c r="I527" t="inlineStr"/>
      <c r="J527" t="inlineStr">
        <is>
          <t>Mardi</t>
        </is>
      </c>
      <c r="K527" t="inlineStr">
        <is>
          <t>15h05</t>
        </is>
      </c>
      <c r="L527" t="inlineStr">
        <is>
          <t>17h05</t>
        </is>
      </c>
      <c r="N527" t="n">
        <v>6</v>
      </c>
    </row>
    <row r="528">
      <c r="A528" t="inlineStr">
        <is>
          <t>S526</t>
        </is>
      </c>
      <c r="B528" t="inlineStr">
        <is>
          <t>2025-2026</t>
        </is>
      </c>
      <c r="C528" t="inlineStr">
        <is>
          <t>3</t>
        </is>
      </c>
      <c r="D528" t="inlineStr">
        <is>
          <t>Soins obstétricaux</t>
        </is>
      </c>
      <c r="E528" t="inlineStr">
        <is>
          <t>L2</t>
        </is>
      </c>
      <c r="F528" t="inlineStr">
        <is>
          <t>S.O</t>
        </is>
      </c>
      <c r="G528" t="inlineStr">
        <is>
          <t>Examen de santé</t>
        </is>
      </c>
      <c r="H528" t="inlineStr"/>
      <c r="I528" t="inlineStr"/>
      <c r="J528" t="inlineStr">
        <is>
          <t>Mardi</t>
        </is>
      </c>
      <c r="K528" t="inlineStr">
        <is>
          <t>8h00</t>
        </is>
      </c>
      <c r="L528" t="inlineStr">
        <is>
          <t>10h00</t>
        </is>
      </c>
      <c r="N528" t="n">
        <v>16</v>
      </c>
    </row>
    <row r="529">
      <c r="A529" t="inlineStr">
        <is>
          <t>S527</t>
        </is>
      </c>
      <c r="B529" t="inlineStr">
        <is>
          <t>2025-2026</t>
        </is>
      </c>
      <c r="C529" t="inlineStr">
        <is>
          <t>3</t>
        </is>
      </c>
      <c r="D529" t="inlineStr">
        <is>
          <t>Soins obstétricaux</t>
        </is>
      </c>
      <c r="E529" t="inlineStr">
        <is>
          <t>L2</t>
        </is>
      </c>
      <c r="F529" t="inlineStr">
        <is>
          <t>S.O</t>
        </is>
      </c>
      <c r="G529" t="inlineStr">
        <is>
          <t>PEC psychologique des enfants ou couple  victimes ou de tentatifes d'agression</t>
        </is>
      </c>
      <c r="H529" t="inlineStr"/>
      <c r="I529" t="inlineStr"/>
      <c r="J529" t="inlineStr">
        <is>
          <t>Mardi</t>
        </is>
      </c>
      <c r="K529" t="inlineStr">
        <is>
          <t>8h00</t>
        </is>
      </c>
      <c r="L529" t="inlineStr">
        <is>
          <t>10h00</t>
        </is>
      </c>
      <c r="N529" t="n">
        <v>2</v>
      </c>
    </row>
    <row r="530">
      <c r="A530" t="inlineStr">
        <is>
          <t>S528</t>
        </is>
      </c>
      <c r="B530" t="inlineStr">
        <is>
          <t>2025-2026</t>
        </is>
      </c>
      <c r="C530" t="inlineStr">
        <is>
          <t>3</t>
        </is>
      </c>
      <c r="D530" t="inlineStr">
        <is>
          <t>Soins obstétricaux</t>
        </is>
      </c>
      <c r="E530" t="inlineStr">
        <is>
          <t>L2</t>
        </is>
      </c>
      <c r="F530" t="inlineStr">
        <is>
          <t>S.O</t>
        </is>
      </c>
      <c r="G530" t="inlineStr">
        <is>
          <t>Pathologie chirurgicale pédiatrique</t>
        </is>
      </c>
      <c r="H530" t="inlineStr"/>
      <c r="I530" t="inlineStr"/>
      <c r="J530" t="inlineStr">
        <is>
          <t>Mardi</t>
        </is>
      </c>
      <c r="K530" t="inlineStr">
        <is>
          <t>8h00</t>
        </is>
      </c>
      <c r="L530" t="inlineStr">
        <is>
          <t>10h00</t>
        </is>
      </c>
      <c r="N530" t="n">
        <v>8</v>
      </c>
    </row>
    <row r="531">
      <c r="A531" t="inlineStr">
        <is>
          <t>S529</t>
        </is>
      </c>
      <c r="B531" t="inlineStr">
        <is>
          <t>2025-2026</t>
        </is>
      </c>
      <c r="C531" t="inlineStr">
        <is>
          <t>3</t>
        </is>
      </c>
      <c r="D531" t="inlineStr">
        <is>
          <t>Soins obstétricaux</t>
        </is>
      </c>
      <c r="E531" t="inlineStr">
        <is>
          <t>L2</t>
        </is>
      </c>
      <c r="F531" t="inlineStr">
        <is>
          <t>S.O</t>
        </is>
      </c>
      <c r="G531" t="inlineStr">
        <is>
          <t>SI Affections Digestifs</t>
        </is>
      </c>
      <c r="H531" t="inlineStr"/>
      <c r="I531" t="inlineStr"/>
      <c r="J531" t="inlineStr">
        <is>
          <t>Mardi</t>
        </is>
      </c>
      <c r="K531" t="inlineStr">
        <is>
          <t>8h00</t>
        </is>
      </c>
      <c r="L531" t="inlineStr">
        <is>
          <t>10h00</t>
        </is>
      </c>
      <c r="N531" t="n">
        <v>2</v>
      </c>
    </row>
    <row r="532">
      <c r="A532" t="inlineStr">
        <is>
          <t>S530</t>
        </is>
      </c>
      <c r="B532" t="inlineStr">
        <is>
          <t>2025-2026</t>
        </is>
      </c>
      <c r="C532" t="inlineStr">
        <is>
          <t>3</t>
        </is>
      </c>
      <c r="D532" t="inlineStr">
        <is>
          <t>Soins obstétricaux</t>
        </is>
      </c>
      <c r="E532" t="inlineStr">
        <is>
          <t>L2</t>
        </is>
      </c>
      <c r="F532" t="inlineStr">
        <is>
          <t>S.O</t>
        </is>
      </c>
      <c r="G532" t="inlineStr">
        <is>
          <t>TD Examen de santé</t>
        </is>
      </c>
      <c r="H532" t="inlineStr"/>
      <c r="I532" t="inlineStr"/>
      <c r="J532" t="inlineStr">
        <is>
          <t>Mardi</t>
        </is>
      </c>
      <c r="K532" t="inlineStr">
        <is>
          <t>8h00</t>
        </is>
      </c>
      <c r="L532" t="inlineStr">
        <is>
          <t>10h00</t>
        </is>
      </c>
      <c r="N532" t="n">
        <v>2</v>
      </c>
    </row>
    <row r="533">
      <c r="A533" t="inlineStr">
        <is>
          <t>S531</t>
        </is>
      </c>
      <c r="B533" t="inlineStr">
        <is>
          <t>2025-2026</t>
        </is>
      </c>
      <c r="C533" t="inlineStr">
        <is>
          <t>3</t>
        </is>
      </c>
      <c r="D533" t="inlineStr">
        <is>
          <t>Soins obstétricaux</t>
        </is>
      </c>
      <c r="E533" t="inlineStr">
        <is>
          <t>L2</t>
        </is>
      </c>
      <c r="F533" t="inlineStr">
        <is>
          <t>S.O</t>
        </is>
      </c>
      <c r="G533" t="inlineStr">
        <is>
          <t>TD Psychologie de l'enfant</t>
        </is>
      </c>
      <c r="H533" t="inlineStr"/>
      <c r="I533" t="inlineStr"/>
      <c r="J533" t="inlineStr">
        <is>
          <t>Mardi</t>
        </is>
      </c>
      <c r="K533" t="inlineStr">
        <is>
          <t>8h00</t>
        </is>
      </c>
      <c r="L533" t="inlineStr">
        <is>
          <t>10h00</t>
        </is>
      </c>
      <c r="N533" t="n">
        <v>2</v>
      </c>
    </row>
    <row r="534">
      <c r="A534" t="inlineStr">
        <is>
          <t>S532</t>
        </is>
      </c>
      <c r="B534" t="inlineStr">
        <is>
          <t>2025-2026</t>
        </is>
      </c>
      <c r="C534" t="inlineStr">
        <is>
          <t>3</t>
        </is>
      </c>
      <c r="D534" t="inlineStr">
        <is>
          <t>Soins obstétricaux</t>
        </is>
      </c>
      <c r="E534" t="inlineStr">
        <is>
          <t>L2</t>
        </is>
      </c>
      <c r="F534" t="inlineStr">
        <is>
          <t>S.O</t>
        </is>
      </c>
      <c r="G534" t="inlineStr">
        <is>
          <t>Kinésithérapie respiratoire chez l'enfant</t>
        </is>
      </c>
      <c r="H534" t="inlineStr"/>
      <c r="I534" t="inlineStr"/>
      <c r="J534" t="inlineStr">
        <is>
          <t>Mercredi</t>
        </is>
      </c>
      <c r="K534" t="inlineStr">
        <is>
          <t>10h05</t>
        </is>
      </c>
      <c r="L534" t="inlineStr">
        <is>
          <t>12h05</t>
        </is>
      </c>
      <c r="N534" t="n">
        <v>2</v>
      </c>
    </row>
    <row r="535">
      <c r="A535" t="inlineStr">
        <is>
          <t>S533</t>
        </is>
      </c>
      <c r="B535" t="inlineStr">
        <is>
          <t>2025-2026</t>
        </is>
      </c>
      <c r="C535" t="inlineStr">
        <is>
          <t>3</t>
        </is>
      </c>
      <c r="D535" t="inlineStr">
        <is>
          <t>Soins obstétricaux</t>
        </is>
      </c>
      <c r="E535" t="inlineStr">
        <is>
          <t>L2</t>
        </is>
      </c>
      <c r="F535" t="inlineStr">
        <is>
          <t>S.O</t>
        </is>
      </c>
      <c r="G535" t="inlineStr">
        <is>
          <t>Obstétrique Normale</t>
        </is>
      </c>
      <c r="H535" t="inlineStr">
        <is>
          <t>Adamou Hamada Jean Alain</t>
        </is>
      </c>
      <c r="I535" t="inlineStr"/>
      <c r="J535" t="inlineStr">
        <is>
          <t>Mercredi</t>
        </is>
      </c>
      <c r="K535" t="inlineStr">
        <is>
          <t>10h05</t>
        </is>
      </c>
      <c r="L535" t="inlineStr">
        <is>
          <t>12h05</t>
        </is>
      </c>
      <c r="N535" t="n">
        <v>22</v>
      </c>
    </row>
    <row r="536">
      <c r="A536" t="inlineStr">
        <is>
          <t>S534</t>
        </is>
      </c>
      <c r="B536" t="inlineStr">
        <is>
          <t>2025-2026</t>
        </is>
      </c>
      <c r="C536" t="inlineStr">
        <is>
          <t>3</t>
        </is>
      </c>
      <c r="D536" t="inlineStr">
        <is>
          <t>Soins obstétricaux</t>
        </is>
      </c>
      <c r="E536" t="inlineStr">
        <is>
          <t>L2</t>
        </is>
      </c>
      <c r="F536" t="inlineStr">
        <is>
          <t>S.O</t>
        </is>
      </c>
      <c r="G536" t="inlineStr">
        <is>
          <t>Patologies orthopédiques et traumatologiqes</t>
        </is>
      </c>
      <c r="H536" t="inlineStr"/>
      <c r="I536" t="inlineStr"/>
      <c r="J536" t="inlineStr">
        <is>
          <t>Mercredi</t>
        </is>
      </c>
      <c r="K536" t="inlineStr">
        <is>
          <t>10h05</t>
        </is>
      </c>
      <c r="L536" t="inlineStr">
        <is>
          <t>12h05</t>
        </is>
      </c>
      <c r="N536" t="n">
        <v>2</v>
      </c>
    </row>
    <row r="537">
      <c r="A537" t="inlineStr">
        <is>
          <t>S535</t>
        </is>
      </c>
      <c r="B537" t="inlineStr">
        <is>
          <t>2025-2026</t>
        </is>
      </c>
      <c r="C537" t="inlineStr">
        <is>
          <t>3</t>
        </is>
      </c>
      <c r="D537" t="inlineStr">
        <is>
          <t>Soins obstétricaux</t>
        </is>
      </c>
      <c r="E537" t="inlineStr">
        <is>
          <t>L2</t>
        </is>
      </c>
      <c r="F537" t="inlineStr">
        <is>
          <t>S.O</t>
        </is>
      </c>
      <c r="G537" t="inlineStr">
        <is>
          <t>SI Affections Digestifs</t>
        </is>
      </c>
      <c r="H537" t="inlineStr"/>
      <c r="I537" t="inlineStr"/>
      <c r="J537" t="inlineStr">
        <is>
          <t>Mercredi</t>
        </is>
      </c>
      <c r="K537" t="inlineStr">
        <is>
          <t>10h05</t>
        </is>
      </c>
      <c r="L537" t="inlineStr">
        <is>
          <t>12h05</t>
        </is>
      </c>
      <c r="N537" t="n">
        <v>2</v>
      </c>
    </row>
    <row r="538">
      <c r="A538" t="inlineStr">
        <is>
          <t>S536</t>
        </is>
      </c>
      <c r="B538" t="inlineStr">
        <is>
          <t>2025-2026</t>
        </is>
      </c>
      <c r="C538" t="inlineStr">
        <is>
          <t>3</t>
        </is>
      </c>
      <c r="D538" t="inlineStr">
        <is>
          <t>Soins obstétricaux</t>
        </is>
      </c>
      <c r="E538" t="inlineStr">
        <is>
          <t>L2</t>
        </is>
      </c>
      <c r="F538" t="inlineStr">
        <is>
          <t>S.O</t>
        </is>
      </c>
      <c r="G538" t="inlineStr">
        <is>
          <t>soins infirmiers en orthopédie et truamatologie</t>
        </is>
      </c>
      <c r="H538" t="inlineStr">
        <is>
          <t>Mr AMELDINE DACHIROUDINE</t>
        </is>
      </c>
      <c r="I538" t="inlineStr"/>
      <c r="J538" t="inlineStr">
        <is>
          <t>Mercredi</t>
        </is>
      </c>
      <c r="K538" t="inlineStr">
        <is>
          <t>10h05</t>
        </is>
      </c>
      <c r="L538" t="inlineStr">
        <is>
          <t>12h05</t>
        </is>
      </c>
      <c r="N538" t="n">
        <v>4</v>
      </c>
    </row>
    <row r="539">
      <c r="A539" t="inlineStr">
        <is>
          <t>S537</t>
        </is>
      </c>
      <c r="B539" t="inlineStr">
        <is>
          <t>2025-2026</t>
        </is>
      </c>
      <c r="C539" t="inlineStr">
        <is>
          <t>3</t>
        </is>
      </c>
      <c r="D539" t="inlineStr">
        <is>
          <t>Soins obstétricaux</t>
        </is>
      </c>
      <c r="E539" t="inlineStr">
        <is>
          <t>L2</t>
        </is>
      </c>
      <c r="F539" t="inlineStr">
        <is>
          <t>S.O</t>
        </is>
      </c>
      <c r="G539" t="inlineStr">
        <is>
          <t>Examen physique</t>
        </is>
      </c>
      <c r="H539" t="inlineStr"/>
      <c r="I539" t="inlineStr"/>
      <c r="J539" t="inlineStr">
        <is>
          <t>Mercredi</t>
        </is>
      </c>
      <c r="K539" t="inlineStr">
        <is>
          <t>13h00</t>
        </is>
      </c>
      <c r="L539" t="inlineStr">
        <is>
          <t>15h00</t>
        </is>
      </c>
      <c r="N539" t="n">
        <v>2</v>
      </c>
    </row>
    <row r="540">
      <c r="A540" t="inlineStr">
        <is>
          <t>S538</t>
        </is>
      </c>
      <c r="B540" t="inlineStr">
        <is>
          <t>2025-2026</t>
        </is>
      </c>
      <c r="C540" t="inlineStr">
        <is>
          <t>3</t>
        </is>
      </c>
      <c r="D540" t="inlineStr">
        <is>
          <t>Soins obstétricaux</t>
        </is>
      </c>
      <c r="E540" t="inlineStr">
        <is>
          <t>L2</t>
        </is>
      </c>
      <c r="F540" t="inlineStr">
        <is>
          <t>S.O</t>
        </is>
      </c>
      <c r="G540" t="inlineStr">
        <is>
          <t>Psychologie de l'enfant</t>
        </is>
      </c>
      <c r="H540" t="inlineStr"/>
      <c r="I540" t="inlineStr"/>
      <c r="J540" t="inlineStr">
        <is>
          <t>Mercredi</t>
        </is>
      </c>
      <c r="K540" t="inlineStr">
        <is>
          <t>13h00</t>
        </is>
      </c>
      <c r="L540" t="inlineStr">
        <is>
          <t>15h00</t>
        </is>
      </c>
      <c r="N540" t="n">
        <v>4</v>
      </c>
    </row>
    <row r="541">
      <c r="A541" t="inlineStr">
        <is>
          <t>S539</t>
        </is>
      </c>
      <c r="B541" t="inlineStr">
        <is>
          <t>2025-2026</t>
        </is>
      </c>
      <c r="C541" t="inlineStr">
        <is>
          <t>3</t>
        </is>
      </c>
      <c r="D541" t="inlineStr">
        <is>
          <t>Soins obstétricaux</t>
        </is>
      </c>
      <c r="E541" t="inlineStr">
        <is>
          <t>L2</t>
        </is>
      </c>
      <c r="F541" t="inlineStr">
        <is>
          <t>S.O</t>
        </is>
      </c>
      <c r="G541" t="inlineStr">
        <is>
          <t>Pédiatrie &amp; pédopsychiatrie</t>
        </is>
      </c>
      <c r="H541" t="inlineStr"/>
      <c r="I541" t="inlineStr"/>
      <c r="J541" t="inlineStr">
        <is>
          <t>Mercredi</t>
        </is>
      </c>
      <c r="K541" t="inlineStr">
        <is>
          <t>13h00</t>
        </is>
      </c>
      <c r="L541" t="inlineStr">
        <is>
          <t>15h00</t>
        </is>
      </c>
      <c r="N541" t="n">
        <v>18</v>
      </c>
    </row>
    <row r="542">
      <c r="A542" t="inlineStr">
        <is>
          <t>S540</t>
        </is>
      </c>
      <c r="B542" t="inlineStr">
        <is>
          <t>2025-2026</t>
        </is>
      </c>
      <c r="C542" t="inlineStr">
        <is>
          <t>3</t>
        </is>
      </c>
      <c r="D542" t="inlineStr">
        <is>
          <t>Soins obstétricaux</t>
        </is>
      </c>
      <c r="E542" t="inlineStr">
        <is>
          <t>L2</t>
        </is>
      </c>
      <c r="F542" t="inlineStr">
        <is>
          <t>S.O</t>
        </is>
      </c>
      <c r="G542" t="inlineStr">
        <is>
          <t>Santé sexuelle et reproductive et droits connexes</t>
        </is>
      </c>
      <c r="H542" t="inlineStr">
        <is>
          <t>HALIMA ABDALLAH</t>
        </is>
      </c>
      <c r="I542" t="inlineStr"/>
      <c r="J542" t="inlineStr">
        <is>
          <t>Mercredi</t>
        </is>
      </c>
      <c r="K542" t="inlineStr">
        <is>
          <t>13h00</t>
        </is>
      </c>
      <c r="L542" t="inlineStr">
        <is>
          <t>15h00</t>
        </is>
      </c>
      <c r="N542" t="n">
        <v>4</v>
      </c>
    </row>
    <row r="543">
      <c r="A543" t="inlineStr">
        <is>
          <t>S541</t>
        </is>
      </c>
      <c r="B543" t="inlineStr">
        <is>
          <t>2025-2026</t>
        </is>
      </c>
      <c r="C543" t="inlineStr">
        <is>
          <t>3</t>
        </is>
      </c>
      <c r="D543" t="inlineStr">
        <is>
          <t>Soins obstétricaux</t>
        </is>
      </c>
      <c r="E543" t="inlineStr">
        <is>
          <t>L2</t>
        </is>
      </c>
      <c r="F543" t="inlineStr">
        <is>
          <t>S.O</t>
        </is>
      </c>
      <c r="G543" t="inlineStr">
        <is>
          <t>TD Examen physique</t>
        </is>
      </c>
      <c r="H543" t="inlineStr"/>
      <c r="I543" t="inlineStr"/>
      <c r="J543" t="inlineStr">
        <is>
          <t>Mercredi</t>
        </is>
      </c>
      <c r="K543" t="inlineStr">
        <is>
          <t>13h00</t>
        </is>
      </c>
      <c r="L543" t="inlineStr">
        <is>
          <t>15h00</t>
        </is>
      </c>
      <c r="N543" t="n">
        <v>2</v>
      </c>
    </row>
    <row r="544">
      <c r="A544" t="inlineStr">
        <is>
          <t>S542</t>
        </is>
      </c>
      <c r="B544" t="inlineStr">
        <is>
          <t>2025-2026</t>
        </is>
      </c>
      <c r="C544" t="inlineStr">
        <is>
          <t>3</t>
        </is>
      </c>
      <c r="D544" t="inlineStr">
        <is>
          <t>Soins obstétricaux</t>
        </is>
      </c>
      <c r="E544" t="inlineStr">
        <is>
          <t>L2</t>
        </is>
      </c>
      <c r="F544" t="inlineStr">
        <is>
          <t>S.O</t>
        </is>
      </c>
      <c r="G544" t="inlineStr">
        <is>
          <t>TD Santé sexuelle et reproductive et droits connexes</t>
        </is>
      </c>
      <c r="H544" t="inlineStr"/>
      <c r="I544" t="inlineStr"/>
      <c r="J544" t="inlineStr">
        <is>
          <t>Mercredi</t>
        </is>
      </c>
      <c r="K544" t="inlineStr">
        <is>
          <t>13h00</t>
        </is>
      </c>
      <c r="L544" t="inlineStr">
        <is>
          <t>15h00</t>
        </is>
      </c>
      <c r="N544" t="n">
        <v>2</v>
      </c>
    </row>
    <row r="545">
      <c r="A545" t="inlineStr">
        <is>
          <t>S543</t>
        </is>
      </c>
      <c r="B545" t="inlineStr">
        <is>
          <t>2025-2026</t>
        </is>
      </c>
      <c r="C545" t="inlineStr">
        <is>
          <t>3</t>
        </is>
      </c>
      <c r="D545" t="inlineStr">
        <is>
          <t>Soins obstétricaux</t>
        </is>
      </c>
      <c r="E545" t="inlineStr">
        <is>
          <t>L2</t>
        </is>
      </c>
      <c r="F545" t="inlineStr">
        <is>
          <t>S.O</t>
        </is>
      </c>
      <c r="G545" t="inlineStr">
        <is>
          <t>Examen de santé</t>
        </is>
      </c>
      <c r="H545" t="inlineStr"/>
      <c r="I545" t="inlineStr"/>
      <c r="J545" t="inlineStr">
        <is>
          <t>Mercredi</t>
        </is>
      </c>
      <c r="K545" t="inlineStr">
        <is>
          <t>15h05</t>
        </is>
      </c>
      <c r="L545" t="inlineStr">
        <is>
          <t>17h05</t>
        </is>
      </c>
      <c r="N545" t="n">
        <v>16</v>
      </c>
    </row>
    <row r="546">
      <c r="A546" t="inlineStr">
        <is>
          <t>S544</t>
        </is>
      </c>
      <c r="B546" t="inlineStr">
        <is>
          <t>2025-2026</t>
        </is>
      </c>
      <c r="C546" t="inlineStr">
        <is>
          <t>3</t>
        </is>
      </c>
      <c r="D546" t="inlineStr">
        <is>
          <t>Soins obstétricaux</t>
        </is>
      </c>
      <c r="E546" t="inlineStr">
        <is>
          <t>L2</t>
        </is>
      </c>
      <c r="F546" t="inlineStr">
        <is>
          <t>S.O</t>
        </is>
      </c>
      <c r="G546" t="inlineStr">
        <is>
          <t>Kinésithérapie respiratoire chez l'enfant</t>
        </is>
      </c>
      <c r="H546" t="inlineStr"/>
      <c r="I546" t="inlineStr"/>
      <c r="J546" t="inlineStr">
        <is>
          <t>Mercredi</t>
        </is>
      </c>
      <c r="K546" t="inlineStr">
        <is>
          <t>15h05</t>
        </is>
      </c>
      <c r="L546" t="inlineStr">
        <is>
          <t>17h05</t>
        </is>
      </c>
      <c r="N546" t="n">
        <v>2</v>
      </c>
    </row>
    <row r="547">
      <c r="A547" t="inlineStr">
        <is>
          <t>S545</t>
        </is>
      </c>
      <c r="B547" t="inlineStr">
        <is>
          <t>2025-2026</t>
        </is>
      </c>
      <c r="C547" t="inlineStr">
        <is>
          <t>3</t>
        </is>
      </c>
      <c r="D547" t="inlineStr">
        <is>
          <t>Soins obstétricaux</t>
        </is>
      </c>
      <c r="E547" t="inlineStr">
        <is>
          <t>L2</t>
        </is>
      </c>
      <c r="F547" t="inlineStr">
        <is>
          <t>S.O</t>
        </is>
      </c>
      <c r="G547" t="inlineStr">
        <is>
          <t>PTD EC psychologique des enfants victimes ou de tentatifes d'agression</t>
        </is>
      </c>
      <c r="H547" t="inlineStr"/>
      <c r="I547" t="inlineStr"/>
      <c r="J547" t="inlineStr">
        <is>
          <t>Mercredi</t>
        </is>
      </c>
      <c r="K547" t="inlineStr">
        <is>
          <t>15h05</t>
        </is>
      </c>
      <c r="L547" t="inlineStr">
        <is>
          <t>17h05</t>
        </is>
      </c>
      <c r="N547" t="n">
        <v>2</v>
      </c>
    </row>
    <row r="548">
      <c r="A548" t="inlineStr">
        <is>
          <t>S546</t>
        </is>
      </c>
      <c r="B548" t="inlineStr">
        <is>
          <t>2025-2026</t>
        </is>
      </c>
      <c r="C548" t="inlineStr">
        <is>
          <t>3</t>
        </is>
      </c>
      <c r="D548" t="inlineStr">
        <is>
          <t>Soins obstétricaux</t>
        </is>
      </c>
      <c r="E548" t="inlineStr">
        <is>
          <t>L2</t>
        </is>
      </c>
      <c r="F548" t="inlineStr">
        <is>
          <t>S.O</t>
        </is>
      </c>
      <c r="G548" t="inlineStr">
        <is>
          <t>Pharmacologie et thérapeutiques spécifiques à la pathologie</t>
        </is>
      </c>
      <c r="H548" t="inlineStr"/>
      <c r="I548" t="inlineStr"/>
      <c r="J548" t="inlineStr">
        <is>
          <t>Mercredi</t>
        </is>
      </c>
      <c r="K548" t="inlineStr">
        <is>
          <t>15h05</t>
        </is>
      </c>
      <c r="L548" t="inlineStr">
        <is>
          <t>17h05</t>
        </is>
      </c>
      <c r="N548" t="n">
        <v>12</v>
      </c>
    </row>
    <row r="549">
      <c r="A549" t="inlineStr">
        <is>
          <t>S547</t>
        </is>
      </c>
      <c r="B549" t="inlineStr">
        <is>
          <t>2025-2026</t>
        </is>
      </c>
      <c r="C549" t="inlineStr">
        <is>
          <t>3</t>
        </is>
      </c>
      <c r="D549" t="inlineStr">
        <is>
          <t>Soins obstétricaux</t>
        </is>
      </c>
      <c r="E549" t="inlineStr">
        <is>
          <t>L2</t>
        </is>
      </c>
      <c r="F549" t="inlineStr">
        <is>
          <t>S.O</t>
        </is>
      </c>
      <c r="G549" t="inlineStr">
        <is>
          <t>Examen physique</t>
        </is>
      </c>
      <c r="H549" t="inlineStr"/>
      <c r="I549" t="inlineStr"/>
      <c r="J549" t="inlineStr">
        <is>
          <t>Mercredi</t>
        </is>
      </c>
      <c r="K549" t="inlineStr">
        <is>
          <t>8h00</t>
        </is>
      </c>
      <c r="L549" t="inlineStr">
        <is>
          <t>10h00</t>
        </is>
      </c>
      <c r="N549" t="n">
        <v>2</v>
      </c>
    </row>
    <row r="550">
      <c r="A550" t="inlineStr">
        <is>
          <t>S548</t>
        </is>
      </c>
      <c r="B550" t="inlineStr">
        <is>
          <t>2025-2026</t>
        </is>
      </c>
      <c r="C550" t="inlineStr">
        <is>
          <t>3</t>
        </is>
      </c>
      <c r="D550" t="inlineStr">
        <is>
          <t>Soins obstétricaux</t>
        </is>
      </c>
      <c r="E550" t="inlineStr">
        <is>
          <t>L2</t>
        </is>
      </c>
      <c r="F550" t="inlineStr">
        <is>
          <t>S.O</t>
        </is>
      </c>
      <c r="G550" t="inlineStr">
        <is>
          <t>Gynécologie</t>
        </is>
      </c>
      <c r="H550" t="inlineStr">
        <is>
          <t>Irina Ismaïla Abdou</t>
        </is>
      </c>
      <c r="I550" t="inlineStr"/>
      <c r="J550" t="inlineStr">
        <is>
          <t>Mercredi</t>
        </is>
      </c>
      <c r="K550" t="inlineStr">
        <is>
          <t>8h00</t>
        </is>
      </c>
      <c r="L550" t="inlineStr">
        <is>
          <t>10h00</t>
        </is>
      </c>
      <c r="N550" t="n">
        <v>10</v>
      </c>
    </row>
    <row r="551">
      <c r="A551" t="inlineStr">
        <is>
          <t>S549</t>
        </is>
      </c>
      <c r="B551" t="inlineStr">
        <is>
          <t>2025-2026</t>
        </is>
      </c>
      <c r="C551" t="inlineStr">
        <is>
          <t>3</t>
        </is>
      </c>
      <c r="D551" t="inlineStr">
        <is>
          <t>Soins obstétricaux</t>
        </is>
      </c>
      <c r="E551" t="inlineStr">
        <is>
          <t>L2</t>
        </is>
      </c>
      <c r="F551" t="inlineStr">
        <is>
          <t>S.O</t>
        </is>
      </c>
      <c r="G551" t="inlineStr">
        <is>
          <t>Patologies orthopédiques et traumatologiqes</t>
        </is>
      </c>
      <c r="H551" t="inlineStr"/>
      <c r="I551" t="inlineStr"/>
      <c r="J551" t="inlineStr">
        <is>
          <t>Mercredi</t>
        </is>
      </c>
      <c r="K551" t="inlineStr">
        <is>
          <t>8h00</t>
        </is>
      </c>
      <c r="L551" t="inlineStr">
        <is>
          <t>10h00</t>
        </is>
      </c>
      <c r="N551" t="n">
        <v>6</v>
      </c>
    </row>
    <row r="552">
      <c r="A552" t="inlineStr">
        <is>
          <t>S550</t>
        </is>
      </c>
      <c r="B552" t="inlineStr">
        <is>
          <t>2025-2026</t>
        </is>
      </c>
      <c r="C552" t="inlineStr">
        <is>
          <t>3</t>
        </is>
      </c>
      <c r="D552" t="inlineStr">
        <is>
          <t>Soins obstétricaux</t>
        </is>
      </c>
      <c r="E552" t="inlineStr">
        <is>
          <t>L2</t>
        </is>
      </c>
      <c r="F552" t="inlineStr">
        <is>
          <t>S.O</t>
        </is>
      </c>
      <c r="G552" t="inlineStr">
        <is>
          <t>Pharmacologie et thérapeutiques spécifiques à la pathologie</t>
        </is>
      </c>
      <c r="H552" t="inlineStr"/>
      <c r="I552" t="inlineStr"/>
      <c r="J552" t="inlineStr">
        <is>
          <t>Mercredi</t>
        </is>
      </c>
      <c r="K552" t="inlineStr">
        <is>
          <t>8h00</t>
        </is>
      </c>
      <c r="L552" t="inlineStr">
        <is>
          <t>10h00</t>
        </is>
      </c>
      <c r="N552" t="n">
        <v>4</v>
      </c>
    </row>
    <row r="553">
      <c r="A553" t="inlineStr">
        <is>
          <t>S551</t>
        </is>
      </c>
      <c r="B553" t="inlineStr">
        <is>
          <t>2025-2026</t>
        </is>
      </c>
      <c r="C553" t="inlineStr">
        <is>
          <t>3</t>
        </is>
      </c>
      <c r="D553" t="inlineStr">
        <is>
          <t>Soins obstétricaux</t>
        </is>
      </c>
      <c r="E553" t="inlineStr">
        <is>
          <t>L2</t>
        </is>
      </c>
      <c r="F553" t="inlineStr">
        <is>
          <t>S.O</t>
        </is>
      </c>
      <c r="G553" t="inlineStr">
        <is>
          <t>Soins en pediatrie</t>
        </is>
      </c>
      <c r="H553" t="inlineStr">
        <is>
          <t>Dr Chamsouddine</t>
        </is>
      </c>
      <c r="I553" t="inlineStr"/>
      <c r="J553" t="inlineStr">
        <is>
          <t>Mercredi</t>
        </is>
      </c>
      <c r="K553" t="inlineStr">
        <is>
          <t>8h00</t>
        </is>
      </c>
      <c r="L553" t="inlineStr">
        <is>
          <t>10h00</t>
        </is>
      </c>
      <c r="N553" t="n">
        <v>4</v>
      </c>
    </row>
    <row r="554">
      <c r="A554" t="inlineStr">
        <is>
          <t>S552</t>
        </is>
      </c>
      <c r="B554" t="inlineStr">
        <is>
          <t>2025-2026</t>
        </is>
      </c>
      <c r="C554" t="inlineStr">
        <is>
          <t>3</t>
        </is>
      </c>
      <c r="D554" t="inlineStr">
        <is>
          <t>Soins obstétricaux</t>
        </is>
      </c>
      <c r="E554" t="inlineStr">
        <is>
          <t>L2</t>
        </is>
      </c>
      <c r="F554" t="inlineStr">
        <is>
          <t>S.O</t>
        </is>
      </c>
      <c r="G554" t="inlineStr">
        <is>
          <t>TD Gynécologie</t>
        </is>
      </c>
      <c r="H554" t="inlineStr"/>
      <c r="I554" t="inlineStr"/>
      <c r="J554" t="inlineStr">
        <is>
          <t>Mercredi</t>
        </is>
      </c>
      <c r="K554" t="inlineStr">
        <is>
          <t>8h00</t>
        </is>
      </c>
      <c r="L554" t="inlineStr">
        <is>
          <t>10h00</t>
        </is>
      </c>
      <c r="N554" t="n">
        <v>2</v>
      </c>
    </row>
    <row r="555">
      <c r="A555" t="inlineStr">
        <is>
          <t>S553</t>
        </is>
      </c>
      <c r="B555" t="inlineStr">
        <is>
          <t>2025-2026</t>
        </is>
      </c>
      <c r="C555" t="inlineStr">
        <is>
          <t>3</t>
        </is>
      </c>
      <c r="D555" t="inlineStr">
        <is>
          <t>Soins obstétricaux</t>
        </is>
      </c>
      <c r="E555" t="inlineStr">
        <is>
          <t>L2</t>
        </is>
      </c>
      <c r="F555" t="inlineStr">
        <is>
          <t>S.O</t>
        </is>
      </c>
      <c r="G555" t="inlineStr">
        <is>
          <t>TD Soins en pediatrie</t>
        </is>
      </c>
      <c r="H555" t="inlineStr"/>
      <c r="I555" t="inlineStr"/>
      <c r="J555" t="inlineStr">
        <is>
          <t>Mercredi</t>
        </is>
      </c>
      <c r="K555" t="inlineStr">
        <is>
          <t>8h00</t>
        </is>
      </c>
      <c r="L555" t="inlineStr">
        <is>
          <t>10h00</t>
        </is>
      </c>
      <c r="N555" t="n">
        <v>2</v>
      </c>
    </row>
    <row r="556">
      <c r="A556" t="inlineStr">
        <is>
          <t>S554</t>
        </is>
      </c>
      <c r="B556" t="inlineStr">
        <is>
          <t>2025-2026</t>
        </is>
      </c>
      <c r="C556" t="inlineStr">
        <is>
          <t>3</t>
        </is>
      </c>
      <c r="D556" t="inlineStr">
        <is>
          <t>Soins obstétricaux</t>
        </is>
      </c>
      <c r="E556" t="inlineStr">
        <is>
          <t>L2</t>
        </is>
      </c>
      <c r="F556" t="inlineStr">
        <is>
          <t>S.O</t>
        </is>
      </c>
      <c r="G556" t="inlineStr">
        <is>
          <t>soins infirmiers en orthopédie et truamatologie</t>
        </is>
      </c>
      <c r="H556" t="inlineStr">
        <is>
          <t>Mr AMELDINE DACHIROUDINE</t>
        </is>
      </c>
      <c r="I556" t="inlineStr"/>
      <c r="J556" t="inlineStr">
        <is>
          <t>Mercredi</t>
        </is>
      </c>
      <c r="K556" t="inlineStr">
        <is>
          <t>8h00</t>
        </is>
      </c>
      <c r="L556" t="inlineStr">
        <is>
          <t>10h00</t>
        </is>
      </c>
      <c r="N556" t="n">
        <v>2</v>
      </c>
    </row>
    <row r="557">
      <c r="A557" t="inlineStr">
        <is>
          <t>S555</t>
        </is>
      </c>
      <c r="B557" t="inlineStr">
        <is>
          <t>2025-2026</t>
        </is>
      </c>
      <c r="C557" t="inlineStr">
        <is>
          <t>5</t>
        </is>
      </c>
      <c r="D557" t="inlineStr">
        <is>
          <t>Soins obstétricaux</t>
        </is>
      </c>
      <c r="E557" t="inlineStr">
        <is>
          <t>L3</t>
        </is>
      </c>
      <c r="F557" t="inlineStr">
        <is>
          <t>S.O</t>
        </is>
      </c>
      <c r="G557" t="inlineStr">
        <is>
          <t>Démographie en SRMNIA</t>
        </is>
      </c>
      <c r="H557" t="inlineStr">
        <is>
          <t>HALIMA ABDALLAH</t>
        </is>
      </c>
      <c r="I557" t="inlineStr"/>
      <c r="J557" t="inlineStr">
        <is>
          <t>Jeudi</t>
        </is>
      </c>
      <c r="K557" t="inlineStr">
        <is>
          <t>10h05</t>
        </is>
      </c>
      <c r="L557" t="inlineStr">
        <is>
          <t>12h05</t>
        </is>
      </c>
      <c r="N557" t="n">
        <v>2</v>
      </c>
    </row>
    <row r="558">
      <c r="A558" t="inlineStr">
        <is>
          <t>S556</t>
        </is>
      </c>
      <c r="B558" t="inlineStr">
        <is>
          <t>2025-2026</t>
        </is>
      </c>
      <c r="C558" t="inlineStr">
        <is>
          <t>5</t>
        </is>
      </c>
      <c r="D558" t="inlineStr">
        <is>
          <t>Soins obstétricaux</t>
        </is>
      </c>
      <c r="E558" t="inlineStr">
        <is>
          <t>L3</t>
        </is>
      </c>
      <c r="F558" t="inlineStr">
        <is>
          <t>S.O</t>
        </is>
      </c>
      <c r="G558" t="inlineStr">
        <is>
          <t>Gestion des services de santé</t>
        </is>
      </c>
      <c r="H558" t="inlineStr">
        <is>
          <t>HALIMA ABDALLAH</t>
        </is>
      </c>
      <c r="I558" t="inlineStr"/>
      <c r="J558" t="inlineStr">
        <is>
          <t>Jeudi</t>
        </is>
      </c>
      <c r="K558" t="inlineStr">
        <is>
          <t>10h05</t>
        </is>
      </c>
      <c r="L558" t="inlineStr">
        <is>
          <t>12h05</t>
        </is>
      </c>
      <c r="N558" t="n">
        <v>8</v>
      </c>
    </row>
    <row r="559">
      <c r="A559" t="inlineStr">
        <is>
          <t>S557</t>
        </is>
      </c>
      <c r="B559" t="inlineStr">
        <is>
          <t>2025-2026</t>
        </is>
      </c>
      <c r="C559" t="inlineStr">
        <is>
          <t>5</t>
        </is>
      </c>
      <c r="D559" t="inlineStr">
        <is>
          <t>Soins obstétricaux</t>
        </is>
      </c>
      <c r="E559" t="inlineStr">
        <is>
          <t>L3</t>
        </is>
      </c>
      <c r="F559" t="inlineStr">
        <is>
          <t>S.O</t>
        </is>
      </c>
      <c r="G559" t="inlineStr">
        <is>
          <t>S.I Stomatologies</t>
        </is>
      </c>
      <c r="H559" t="inlineStr">
        <is>
          <t>HALIMA ABDALLAH</t>
        </is>
      </c>
      <c r="I559" t="inlineStr"/>
      <c r="J559" t="inlineStr">
        <is>
          <t>Jeudi</t>
        </is>
      </c>
      <c r="K559" t="inlineStr">
        <is>
          <t>10h05</t>
        </is>
      </c>
      <c r="L559" t="inlineStr">
        <is>
          <t>12h05</t>
        </is>
      </c>
      <c r="N559" t="n">
        <v>2</v>
      </c>
    </row>
    <row r="560">
      <c r="A560" t="inlineStr">
        <is>
          <t>S558</t>
        </is>
      </c>
      <c r="B560" t="inlineStr">
        <is>
          <t>2025-2026</t>
        </is>
      </c>
      <c r="C560" t="inlineStr">
        <is>
          <t>5</t>
        </is>
      </c>
      <c r="D560" t="inlineStr">
        <is>
          <t>Soins obstétricaux</t>
        </is>
      </c>
      <c r="E560" t="inlineStr">
        <is>
          <t>L3</t>
        </is>
      </c>
      <c r="F560" t="inlineStr">
        <is>
          <t>S.O</t>
        </is>
      </c>
      <c r="G560" t="inlineStr">
        <is>
          <t>S.I en oncologies</t>
        </is>
      </c>
      <c r="H560" t="inlineStr"/>
      <c r="I560" t="inlineStr"/>
      <c r="J560" t="inlineStr">
        <is>
          <t>Jeudi</t>
        </is>
      </c>
      <c r="K560" t="inlineStr">
        <is>
          <t>10h05</t>
        </is>
      </c>
      <c r="L560" t="inlineStr">
        <is>
          <t>12h05</t>
        </is>
      </c>
      <c r="N560" t="n">
        <v>2</v>
      </c>
    </row>
    <row r="561">
      <c r="A561" t="inlineStr">
        <is>
          <t>S559</t>
        </is>
      </c>
      <c r="B561" t="inlineStr">
        <is>
          <t>2025-2026</t>
        </is>
      </c>
      <c r="C561" t="inlineStr">
        <is>
          <t>5</t>
        </is>
      </c>
      <c r="D561" t="inlineStr">
        <is>
          <t>Soins obstétricaux</t>
        </is>
      </c>
      <c r="E561" t="inlineStr">
        <is>
          <t>L3</t>
        </is>
      </c>
      <c r="F561" t="inlineStr">
        <is>
          <t>S.O</t>
        </is>
      </c>
      <c r="G561" t="inlineStr">
        <is>
          <t>TD Compétences pratiques</t>
        </is>
      </c>
      <c r="H561" t="inlineStr"/>
      <c r="I561" t="inlineStr"/>
      <c r="J561" t="inlineStr">
        <is>
          <t>Jeudi</t>
        </is>
      </c>
      <c r="K561" t="inlineStr">
        <is>
          <t>10h05</t>
        </is>
      </c>
      <c r="L561" t="inlineStr">
        <is>
          <t>12h05</t>
        </is>
      </c>
      <c r="N561" t="n">
        <v>2</v>
      </c>
    </row>
    <row r="562">
      <c r="A562" t="inlineStr">
        <is>
          <t>S560</t>
        </is>
      </c>
      <c r="B562" t="inlineStr">
        <is>
          <t>2025-2026</t>
        </is>
      </c>
      <c r="C562" t="inlineStr">
        <is>
          <t>5</t>
        </is>
      </c>
      <c r="D562" t="inlineStr">
        <is>
          <t>Soins obstétricaux</t>
        </is>
      </c>
      <c r="E562" t="inlineStr">
        <is>
          <t>L3</t>
        </is>
      </c>
      <c r="F562" t="inlineStr">
        <is>
          <t>S.O</t>
        </is>
      </c>
      <c r="G562" t="inlineStr">
        <is>
          <t>Urgences obstétricales</t>
        </is>
      </c>
      <c r="H562" t="inlineStr"/>
      <c r="I562" t="inlineStr"/>
      <c r="J562" t="inlineStr">
        <is>
          <t>Jeudi</t>
        </is>
      </c>
      <c r="K562" t="inlineStr">
        <is>
          <t>10h05</t>
        </is>
      </c>
      <c r="L562" t="inlineStr">
        <is>
          <t>12h05</t>
        </is>
      </c>
      <c r="N562" t="n">
        <v>12</v>
      </c>
    </row>
    <row r="563">
      <c r="A563" t="inlineStr">
        <is>
          <t>S561</t>
        </is>
      </c>
      <c r="B563" t="inlineStr">
        <is>
          <t>2025-2026</t>
        </is>
      </c>
      <c r="C563" t="inlineStr">
        <is>
          <t>5</t>
        </is>
      </c>
      <c r="D563" t="inlineStr">
        <is>
          <t>Soins obstétricaux</t>
        </is>
      </c>
      <c r="E563" t="inlineStr">
        <is>
          <t>L3</t>
        </is>
      </c>
      <c r="F563" t="inlineStr">
        <is>
          <t>S.O</t>
        </is>
      </c>
      <c r="G563" t="inlineStr">
        <is>
          <t>Démographie en SRMNIA</t>
        </is>
      </c>
      <c r="H563" t="inlineStr">
        <is>
          <t>HALIMA ABDALLAH</t>
        </is>
      </c>
      <c r="I563" t="inlineStr"/>
      <c r="J563" t="inlineStr">
        <is>
          <t>Jeudi</t>
        </is>
      </c>
      <c r="K563" t="inlineStr">
        <is>
          <t>13h00</t>
        </is>
      </c>
      <c r="L563" t="inlineStr">
        <is>
          <t>15h00</t>
        </is>
      </c>
      <c r="N563" t="n">
        <v>2</v>
      </c>
    </row>
    <row r="564">
      <c r="A564" t="inlineStr">
        <is>
          <t>S562</t>
        </is>
      </c>
      <c r="B564" t="inlineStr">
        <is>
          <t>2025-2026</t>
        </is>
      </c>
      <c r="C564" t="inlineStr">
        <is>
          <t>5</t>
        </is>
      </c>
      <c r="D564" t="inlineStr">
        <is>
          <t>Soins obstétricaux</t>
        </is>
      </c>
      <c r="E564" t="inlineStr">
        <is>
          <t>L3</t>
        </is>
      </c>
      <c r="F564" t="inlineStr">
        <is>
          <t>S.O</t>
        </is>
      </c>
      <c r="G564" t="inlineStr">
        <is>
          <t>Initiation à la recherche en sciences infirmière</t>
        </is>
      </c>
      <c r="H564" t="inlineStr"/>
      <c r="I564" t="inlineStr"/>
      <c r="J564" t="inlineStr">
        <is>
          <t>Jeudi</t>
        </is>
      </c>
      <c r="K564" t="inlineStr">
        <is>
          <t>13h00</t>
        </is>
      </c>
      <c r="L564" t="inlineStr">
        <is>
          <t>15h00</t>
        </is>
      </c>
      <c r="N564" t="n">
        <v>10</v>
      </c>
    </row>
    <row r="565">
      <c r="A565" t="inlineStr">
        <is>
          <t>S563</t>
        </is>
      </c>
      <c r="B565" t="inlineStr">
        <is>
          <t>2025-2026</t>
        </is>
      </c>
      <c r="C565" t="inlineStr">
        <is>
          <t>5</t>
        </is>
      </c>
      <c r="D565" t="inlineStr">
        <is>
          <t>Soins obstétricaux</t>
        </is>
      </c>
      <c r="E565" t="inlineStr">
        <is>
          <t>L3</t>
        </is>
      </c>
      <c r="F565" t="inlineStr">
        <is>
          <t>S.O</t>
        </is>
      </c>
      <c r="G565" t="inlineStr">
        <is>
          <t>S.I Stomatologies</t>
        </is>
      </c>
      <c r="H565" t="inlineStr">
        <is>
          <t>HALIMA ABDALLAH</t>
        </is>
      </c>
      <c r="I565" t="inlineStr"/>
      <c r="J565" t="inlineStr">
        <is>
          <t>Jeudi</t>
        </is>
      </c>
      <c r="K565" t="inlineStr">
        <is>
          <t>13h00</t>
        </is>
      </c>
      <c r="L565" t="inlineStr">
        <is>
          <t>15h00</t>
        </is>
      </c>
      <c r="N565" t="n">
        <v>2</v>
      </c>
    </row>
    <row r="566">
      <c r="A566" t="inlineStr">
        <is>
          <t>S564</t>
        </is>
      </c>
      <c r="B566" t="inlineStr">
        <is>
          <t>2025-2026</t>
        </is>
      </c>
      <c r="C566" t="inlineStr">
        <is>
          <t>5</t>
        </is>
      </c>
      <c r="D566" t="inlineStr">
        <is>
          <t>Soins obstétricaux</t>
        </is>
      </c>
      <c r="E566" t="inlineStr">
        <is>
          <t>L3</t>
        </is>
      </c>
      <c r="F566" t="inlineStr">
        <is>
          <t>S.O</t>
        </is>
      </c>
      <c r="G566" t="inlineStr">
        <is>
          <t>S.I en ORL</t>
        </is>
      </c>
      <c r="H566" t="inlineStr"/>
      <c r="I566" t="inlineStr"/>
      <c r="J566" t="inlineStr">
        <is>
          <t>Jeudi</t>
        </is>
      </c>
      <c r="K566" t="inlineStr">
        <is>
          <t>13h00</t>
        </is>
      </c>
      <c r="L566" t="inlineStr">
        <is>
          <t>15h00</t>
        </is>
      </c>
      <c r="N566" t="n">
        <v>4</v>
      </c>
    </row>
    <row r="567">
      <c r="A567" t="inlineStr">
        <is>
          <t>S565</t>
        </is>
      </c>
      <c r="B567" t="inlineStr">
        <is>
          <t>2025-2026</t>
        </is>
      </c>
      <c r="C567" t="inlineStr">
        <is>
          <t>5</t>
        </is>
      </c>
      <c r="D567" t="inlineStr">
        <is>
          <t>Soins obstétricaux</t>
        </is>
      </c>
      <c r="E567" t="inlineStr">
        <is>
          <t>L3</t>
        </is>
      </c>
      <c r="F567" t="inlineStr">
        <is>
          <t>S.O</t>
        </is>
      </c>
      <c r="G567" t="inlineStr">
        <is>
          <t>S.I endocrinilogie</t>
        </is>
      </c>
      <c r="H567" t="inlineStr"/>
      <c r="I567" t="inlineStr"/>
      <c r="J567" t="inlineStr">
        <is>
          <t>Jeudi</t>
        </is>
      </c>
      <c r="K567" t="inlineStr">
        <is>
          <t>13h00</t>
        </is>
      </c>
      <c r="L567" t="inlineStr">
        <is>
          <t>15h00</t>
        </is>
      </c>
      <c r="N567" t="n">
        <v>2</v>
      </c>
    </row>
    <row r="568">
      <c r="A568" t="inlineStr">
        <is>
          <t>S566</t>
        </is>
      </c>
      <c r="B568" t="inlineStr">
        <is>
          <t>2025-2026</t>
        </is>
      </c>
      <c r="C568" t="inlineStr">
        <is>
          <t>5</t>
        </is>
      </c>
      <c r="D568" t="inlineStr">
        <is>
          <t>Soins obstétricaux</t>
        </is>
      </c>
      <c r="E568" t="inlineStr">
        <is>
          <t>L3</t>
        </is>
      </c>
      <c r="F568" t="inlineStr">
        <is>
          <t>S.O</t>
        </is>
      </c>
      <c r="G568" t="inlineStr">
        <is>
          <t>TD Initiation à la recherche en sciences infirmière</t>
        </is>
      </c>
      <c r="H568" t="inlineStr"/>
      <c r="I568" t="inlineStr"/>
      <c r="J568" t="inlineStr">
        <is>
          <t>Jeudi</t>
        </is>
      </c>
      <c r="K568" t="inlineStr">
        <is>
          <t>13h00</t>
        </is>
      </c>
      <c r="L568" t="inlineStr">
        <is>
          <t>15h00</t>
        </is>
      </c>
      <c r="N568" t="n">
        <v>6</v>
      </c>
    </row>
    <row r="569">
      <c r="A569" t="inlineStr">
        <is>
          <t>S567</t>
        </is>
      </c>
      <c r="B569" t="inlineStr">
        <is>
          <t>2025-2026</t>
        </is>
      </c>
      <c r="C569" t="inlineStr">
        <is>
          <t>5</t>
        </is>
      </c>
      <c r="D569" t="inlineStr">
        <is>
          <t>Soins obstétricaux</t>
        </is>
      </c>
      <c r="E569" t="inlineStr">
        <is>
          <t>L3</t>
        </is>
      </c>
      <c r="F569" t="inlineStr">
        <is>
          <t>S.O</t>
        </is>
      </c>
      <c r="G569" t="inlineStr">
        <is>
          <t>TD Pharmacologie et thérapeutiques des pathologies spéciales</t>
        </is>
      </c>
      <c r="H569" t="inlineStr"/>
      <c r="I569" t="inlineStr"/>
      <c r="J569" t="inlineStr">
        <is>
          <t>Jeudi</t>
        </is>
      </c>
      <c r="K569" t="inlineStr">
        <is>
          <t>13h00</t>
        </is>
      </c>
      <c r="L569" t="inlineStr">
        <is>
          <t>15h00</t>
        </is>
      </c>
      <c r="N569" t="n">
        <v>2</v>
      </c>
    </row>
    <row r="570">
      <c r="A570" t="inlineStr">
        <is>
          <t>S568</t>
        </is>
      </c>
      <c r="B570" t="inlineStr">
        <is>
          <t>2025-2026</t>
        </is>
      </c>
      <c r="C570" t="inlineStr">
        <is>
          <t>5</t>
        </is>
      </c>
      <c r="D570" t="inlineStr">
        <is>
          <t>Soins obstétricaux</t>
        </is>
      </c>
      <c r="E570" t="inlineStr">
        <is>
          <t>L3</t>
        </is>
      </c>
      <c r="F570" t="inlineStr">
        <is>
          <t>S.O</t>
        </is>
      </c>
      <c r="G570" t="inlineStr">
        <is>
          <t>Pharmacologie et thérapeutiques des pathologies spéciales</t>
        </is>
      </c>
      <c r="H570" t="inlineStr">
        <is>
          <t>Dr Youssouf Mahamoudou</t>
        </is>
      </c>
      <c r="I570" t="inlineStr"/>
      <c r="J570" t="inlineStr">
        <is>
          <t>Jeudi</t>
        </is>
      </c>
      <c r="K570" t="inlineStr">
        <is>
          <t>15h05</t>
        </is>
      </c>
      <c r="L570" t="inlineStr">
        <is>
          <t>17h05</t>
        </is>
      </c>
      <c r="N570" t="n">
        <v>14</v>
      </c>
    </row>
    <row r="571">
      <c r="A571" t="inlineStr">
        <is>
          <t>S569</t>
        </is>
      </c>
      <c r="B571" t="inlineStr">
        <is>
          <t>2025-2026</t>
        </is>
      </c>
      <c r="C571" t="inlineStr">
        <is>
          <t>5</t>
        </is>
      </c>
      <c r="D571" t="inlineStr">
        <is>
          <t>Soins obstétricaux</t>
        </is>
      </c>
      <c r="E571" t="inlineStr">
        <is>
          <t>L3</t>
        </is>
      </c>
      <c r="F571" t="inlineStr">
        <is>
          <t>S.O</t>
        </is>
      </c>
      <c r="G571" t="inlineStr">
        <is>
          <t>SONUB</t>
        </is>
      </c>
      <c r="H571" t="inlineStr">
        <is>
          <t>Dr Soumayat</t>
        </is>
      </c>
      <c r="I571" t="inlineStr"/>
      <c r="J571" t="inlineStr">
        <is>
          <t>Jeudi</t>
        </is>
      </c>
      <c r="K571" t="inlineStr">
        <is>
          <t>15h05</t>
        </is>
      </c>
      <c r="L571" t="inlineStr">
        <is>
          <t>17h05</t>
        </is>
      </c>
      <c r="N571" t="n">
        <v>14</v>
      </c>
    </row>
    <row r="572">
      <c r="A572" t="inlineStr">
        <is>
          <t>S570</t>
        </is>
      </c>
      <c r="B572" t="inlineStr">
        <is>
          <t>2025-2026</t>
        </is>
      </c>
      <c r="C572" t="inlineStr">
        <is>
          <t>5</t>
        </is>
      </c>
      <c r="D572" t="inlineStr">
        <is>
          <t>Soins obstétricaux</t>
        </is>
      </c>
      <c r="E572" t="inlineStr">
        <is>
          <t>L3</t>
        </is>
      </c>
      <c r="F572" t="inlineStr">
        <is>
          <t>S.O</t>
        </is>
      </c>
      <c r="G572" t="inlineStr">
        <is>
          <t>Compétences pratiques</t>
        </is>
      </c>
      <c r="H572" t="inlineStr"/>
      <c r="I572" t="inlineStr"/>
      <c r="J572" t="inlineStr">
        <is>
          <t>Jeudi</t>
        </is>
      </c>
      <c r="K572" t="inlineStr">
        <is>
          <t>8h00</t>
        </is>
      </c>
      <c r="L572" t="inlineStr">
        <is>
          <t>10h00</t>
        </is>
      </c>
      <c r="N572" t="n">
        <v>2</v>
      </c>
    </row>
    <row r="573">
      <c r="A573" t="inlineStr">
        <is>
          <t>S571</t>
        </is>
      </c>
      <c r="B573" t="inlineStr">
        <is>
          <t>2025-2026</t>
        </is>
      </c>
      <c r="C573" t="inlineStr">
        <is>
          <t>5</t>
        </is>
      </c>
      <c r="D573" t="inlineStr">
        <is>
          <t>Soins obstétricaux</t>
        </is>
      </c>
      <c r="E573" t="inlineStr">
        <is>
          <t>L3</t>
        </is>
      </c>
      <c r="F573" t="inlineStr">
        <is>
          <t>S.O</t>
        </is>
      </c>
      <c r="G573" t="inlineStr">
        <is>
          <t>Contrôle Santé sexuelle et reproductive et droit connexes</t>
        </is>
      </c>
      <c r="H573" t="inlineStr"/>
      <c r="I573" t="inlineStr"/>
      <c r="J573" t="inlineStr">
        <is>
          <t>Jeudi</t>
        </is>
      </c>
      <c r="K573" t="inlineStr">
        <is>
          <t>8h00</t>
        </is>
      </c>
      <c r="L573" t="inlineStr">
        <is>
          <t>10h00</t>
        </is>
      </c>
      <c r="N573" t="n">
        <v>2</v>
      </c>
    </row>
    <row r="574">
      <c r="A574" t="inlineStr">
        <is>
          <t>S572</t>
        </is>
      </c>
      <c r="B574" t="inlineStr">
        <is>
          <t>2025-2026</t>
        </is>
      </c>
      <c r="C574" t="inlineStr">
        <is>
          <t>5</t>
        </is>
      </c>
      <c r="D574" t="inlineStr">
        <is>
          <t>Soins obstétricaux</t>
        </is>
      </c>
      <c r="E574" t="inlineStr">
        <is>
          <t>L3</t>
        </is>
      </c>
      <c r="F574" t="inlineStr">
        <is>
          <t>S.O</t>
        </is>
      </c>
      <c r="G574" t="inlineStr">
        <is>
          <t>Maladies et problèmes communs liés à la santé sexuelle et reproductive</t>
        </is>
      </c>
      <c r="H574" t="inlineStr"/>
      <c r="I574" t="inlineStr"/>
      <c r="J574" t="inlineStr">
        <is>
          <t>Jeudi</t>
        </is>
      </c>
      <c r="K574" t="inlineStr">
        <is>
          <t>8h00</t>
        </is>
      </c>
      <c r="L574" t="inlineStr">
        <is>
          <t>10h00</t>
        </is>
      </c>
      <c r="N574" t="n">
        <v>2</v>
      </c>
    </row>
    <row r="575">
      <c r="A575" t="inlineStr">
        <is>
          <t>S573</t>
        </is>
      </c>
      <c r="B575" t="inlineStr">
        <is>
          <t>2025-2026</t>
        </is>
      </c>
      <c r="C575" t="inlineStr">
        <is>
          <t>5</t>
        </is>
      </c>
      <c r="D575" t="inlineStr">
        <is>
          <t>Soins obstétricaux</t>
        </is>
      </c>
      <c r="E575" t="inlineStr">
        <is>
          <t>L3</t>
        </is>
      </c>
      <c r="F575" t="inlineStr">
        <is>
          <t>S.O</t>
        </is>
      </c>
      <c r="G575" t="inlineStr">
        <is>
          <t>Pathologies ORL</t>
        </is>
      </c>
      <c r="H575" t="inlineStr"/>
      <c r="I575" t="inlineStr"/>
      <c r="J575" t="inlineStr">
        <is>
          <t>Jeudi</t>
        </is>
      </c>
      <c r="K575" t="inlineStr">
        <is>
          <t>8h00</t>
        </is>
      </c>
      <c r="L575" t="inlineStr">
        <is>
          <t>10h00</t>
        </is>
      </c>
      <c r="N575" t="n">
        <v>2</v>
      </c>
    </row>
    <row r="576">
      <c r="A576" t="inlineStr">
        <is>
          <t>S574</t>
        </is>
      </c>
      <c r="B576" t="inlineStr">
        <is>
          <t>2025-2026</t>
        </is>
      </c>
      <c r="C576" t="inlineStr">
        <is>
          <t>5</t>
        </is>
      </c>
      <c r="D576" t="inlineStr">
        <is>
          <t>Soins obstétricaux</t>
        </is>
      </c>
      <c r="E576" t="inlineStr">
        <is>
          <t>L3</t>
        </is>
      </c>
      <c r="F576" t="inlineStr">
        <is>
          <t>S.O</t>
        </is>
      </c>
      <c r="G576" t="inlineStr">
        <is>
          <t>Pathologies ophtalmologiques</t>
        </is>
      </c>
      <c r="H576" t="inlineStr">
        <is>
          <t>Dr Mohamed Chanfi</t>
        </is>
      </c>
      <c r="I576" t="inlineStr"/>
      <c r="J576" t="inlineStr">
        <is>
          <t>Jeudi</t>
        </is>
      </c>
      <c r="K576" t="inlineStr">
        <is>
          <t>8h00</t>
        </is>
      </c>
      <c r="L576" t="inlineStr">
        <is>
          <t>10h00</t>
        </is>
      </c>
      <c r="N576" t="n">
        <v>8</v>
      </c>
    </row>
    <row r="577">
      <c r="A577" t="inlineStr">
        <is>
          <t>S575</t>
        </is>
      </c>
      <c r="B577" t="inlineStr">
        <is>
          <t>2025-2026</t>
        </is>
      </c>
      <c r="C577" t="inlineStr">
        <is>
          <t>5</t>
        </is>
      </c>
      <c r="D577" t="inlineStr">
        <is>
          <t>Soins obstétricaux</t>
        </is>
      </c>
      <c r="E577" t="inlineStr">
        <is>
          <t>L3</t>
        </is>
      </c>
      <c r="F577" t="inlineStr">
        <is>
          <t>S.O</t>
        </is>
      </c>
      <c r="G577" t="inlineStr">
        <is>
          <t>S.I en ORL</t>
        </is>
      </c>
      <c r="H577" t="inlineStr"/>
      <c r="I577" t="inlineStr"/>
      <c r="J577" t="inlineStr">
        <is>
          <t>Jeudi</t>
        </is>
      </c>
      <c r="K577" t="inlineStr">
        <is>
          <t>8h00</t>
        </is>
      </c>
      <c r="L577" t="inlineStr">
        <is>
          <t>10h00</t>
        </is>
      </c>
      <c r="N577" t="n">
        <v>2</v>
      </c>
    </row>
    <row r="578">
      <c r="A578" t="inlineStr">
        <is>
          <t>S576</t>
        </is>
      </c>
      <c r="B578" t="inlineStr">
        <is>
          <t>2025-2026</t>
        </is>
      </c>
      <c r="C578" t="inlineStr">
        <is>
          <t>5</t>
        </is>
      </c>
      <c r="D578" t="inlineStr">
        <is>
          <t>Soins obstétricaux</t>
        </is>
      </c>
      <c r="E578" t="inlineStr">
        <is>
          <t>L3</t>
        </is>
      </c>
      <c r="F578" t="inlineStr">
        <is>
          <t>S.O</t>
        </is>
      </c>
      <c r="G578" t="inlineStr">
        <is>
          <t>S.I en oncologies</t>
        </is>
      </c>
      <c r="H578" t="inlineStr"/>
      <c r="I578" t="inlineStr"/>
      <c r="J578" t="inlineStr">
        <is>
          <t>Jeudi</t>
        </is>
      </c>
      <c r="K578" t="inlineStr">
        <is>
          <t>8h00</t>
        </is>
      </c>
      <c r="L578" t="inlineStr">
        <is>
          <t>10h00</t>
        </is>
      </c>
      <c r="N578" t="n">
        <v>4</v>
      </c>
    </row>
    <row r="579">
      <c r="A579" t="inlineStr">
        <is>
          <t>S577</t>
        </is>
      </c>
      <c r="B579" t="inlineStr">
        <is>
          <t>2025-2026</t>
        </is>
      </c>
      <c r="C579" t="inlineStr">
        <is>
          <t>5</t>
        </is>
      </c>
      <c r="D579" t="inlineStr">
        <is>
          <t>Soins obstétricaux</t>
        </is>
      </c>
      <c r="E579" t="inlineStr">
        <is>
          <t>L3</t>
        </is>
      </c>
      <c r="F579" t="inlineStr">
        <is>
          <t>S.O</t>
        </is>
      </c>
      <c r="G579" t="inlineStr">
        <is>
          <t>Santé sexuelle et reproductive et droit connexes</t>
        </is>
      </c>
      <c r="H579" t="inlineStr"/>
      <c r="I579" t="inlineStr"/>
      <c r="J579" t="inlineStr">
        <is>
          <t>Jeudi</t>
        </is>
      </c>
      <c r="K579" t="inlineStr">
        <is>
          <t>8h00</t>
        </is>
      </c>
      <c r="L579" t="inlineStr">
        <is>
          <t>10h00</t>
        </is>
      </c>
      <c r="N579" t="n">
        <v>4</v>
      </c>
    </row>
    <row r="580">
      <c r="A580" t="inlineStr">
        <is>
          <t>S578</t>
        </is>
      </c>
      <c r="B580" t="inlineStr">
        <is>
          <t>2025-2026</t>
        </is>
      </c>
      <c r="C580" t="inlineStr">
        <is>
          <t>5</t>
        </is>
      </c>
      <c r="D580" t="inlineStr">
        <is>
          <t>Soins obstétricaux</t>
        </is>
      </c>
      <c r="E580" t="inlineStr">
        <is>
          <t>L3</t>
        </is>
      </c>
      <c r="F580" t="inlineStr">
        <is>
          <t>S.O</t>
        </is>
      </c>
      <c r="G580" t="inlineStr">
        <is>
          <t>TD Psychologie</t>
        </is>
      </c>
      <c r="H580" t="inlineStr"/>
      <c r="I580" t="inlineStr"/>
      <c r="J580" t="inlineStr">
        <is>
          <t>Jeudi</t>
        </is>
      </c>
      <c r="K580" t="inlineStr">
        <is>
          <t>8h00</t>
        </is>
      </c>
      <c r="L580" t="inlineStr">
        <is>
          <t>10h00</t>
        </is>
      </c>
      <c r="N580" t="n">
        <v>2</v>
      </c>
    </row>
    <row r="581">
      <c r="A581" t="inlineStr">
        <is>
          <t>S579</t>
        </is>
      </c>
      <c r="B581" t="inlineStr">
        <is>
          <t>2025-2026</t>
        </is>
      </c>
      <c r="C581" t="inlineStr">
        <is>
          <t>5</t>
        </is>
      </c>
      <c r="D581" t="inlineStr">
        <is>
          <t>Soins obstétricaux</t>
        </is>
      </c>
      <c r="E581" t="inlineStr">
        <is>
          <t>L3</t>
        </is>
      </c>
      <c r="F581" t="inlineStr">
        <is>
          <t>S.O</t>
        </is>
      </c>
      <c r="G581" t="inlineStr">
        <is>
          <t>Compétences pratiques</t>
        </is>
      </c>
      <c r="H581" t="inlineStr"/>
      <c r="I581" t="inlineStr"/>
      <c r="J581" t="inlineStr">
        <is>
          <t>Lundi</t>
        </is>
      </c>
      <c r="K581" t="inlineStr">
        <is>
          <t>10h05</t>
        </is>
      </c>
      <c r="L581" t="inlineStr">
        <is>
          <t>12h05</t>
        </is>
      </c>
      <c r="N581" t="n">
        <v>4</v>
      </c>
    </row>
    <row r="582">
      <c r="A582" t="inlineStr">
        <is>
          <t>S580</t>
        </is>
      </c>
      <c r="B582" t="inlineStr">
        <is>
          <t>2025-2026</t>
        </is>
      </c>
      <c r="C582" t="inlineStr">
        <is>
          <t>5</t>
        </is>
      </c>
      <c r="D582" t="inlineStr">
        <is>
          <t>Soins obstétricaux</t>
        </is>
      </c>
      <c r="E582" t="inlineStr">
        <is>
          <t>L3</t>
        </is>
      </c>
      <c r="F582" t="inlineStr">
        <is>
          <t>S.O</t>
        </is>
      </c>
      <c r="G582" t="inlineStr">
        <is>
          <t>Gestion des services de santé</t>
        </is>
      </c>
      <c r="H582" t="inlineStr">
        <is>
          <t>HALIMA ABDALLAH</t>
        </is>
      </c>
      <c r="I582" t="inlineStr"/>
      <c r="J582" t="inlineStr">
        <is>
          <t>Lundi</t>
        </is>
      </c>
      <c r="K582" t="inlineStr">
        <is>
          <t>10h05</t>
        </is>
      </c>
      <c r="L582" t="inlineStr">
        <is>
          <t>12h05</t>
        </is>
      </c>
      <c r="N582" t="n">
        <v>2</v>
      </c>
    </row>
    <row r="583">
      <c r="A583" t="inlineStr">
        <is>
          <t>S581</t>
        </is>
      </c>
      <c r="B583" t="inlineStr">
        <is>
          <t>2025-2026</t>
        </is>
      </c>
      <c r="C583" t="inlineStr">
        <is>
          <t>5</t>
        </is>
      </c>
      <c r="D583" t="inlineStr">
        <is>
          <t>Soins obstétricaux</t>
        </is>
      </c>
      <c r="E583" t="inlineStr">
        <is>
          <t>L3</t>
        </is>
      </c>
      <c r="F583" t="inlineStr">
        <is>
          <t>S.O</t>
        </is>
      </c>
      <c r="G583" t="inlineStr">
        <is>
          <t>Maladies et problèmes communs liés à la santé sexuelle et reproductive</t>
        </is>
      </c>
      <c r="H583" t="inlineStr"/>
      <c r="I583" t="inlineStr"/>
      <c r="J583" t="inlineStr">
        <is>
          <t>Lundi</t>
        </is>
      </c>
      <c r="K583" t="inlineStr">
        <is>
          <t>10h05</t>
        </is>
      </c>
      <c r="L583" t="inlineStr">
        <is>
          <t>12h05</t>
        </is>
      </c>
      <c r="N583" t="n">
        <v>4</v>
      </c>
    </row>
    <row r="584">
      <c r="A584" t="inlineStr">
        <is>
          <t>S582</t>
        </is>
      </c>
      <c r="B584" t="inlineStr">
        <is>
          <t>2025-2026</t>
        </is>
      </c>
      <c r="C584" t="inlineStr">
        <is>
          <t>5</t>
        </is>
      </c>
      <c r="D584" t="inlineStr">
        <is>
          <t>Soins obstétricaux</t>
        </is>
      </c>
      <c r="E584" t="inlineStr">
        <is>
          <t>L3</t>
        </is>
      </c>
      <c r="F584" t="inlineStr">
        <is>
          <t>S.O</t>
        </is>
      </c>
      <c r="G584" t="inlineStr">
        <is>
          <t>Pharmacologie et thérapeutiques des pathologies spéciales</t>
        </is>
      </c>
      <c r="H584" t="inlineStr">
        <is>
          <t>Dr Youssouf Mahamoudou</t>
        </is>
      </c>
      <c r="I584" t="inlineStr"/>
      <c r="J584" t="inlineStr">
        <is>
          <t>Lundi</t>
        </is>
      </c>
      <c r="K584" t="inlineStr">
        <is>
          <t>10h05</t>
        </is>
      </c>
      <c r="L584" t="inlineStr">
        <is>
          <t>12h05</t>
        </is>
      </c>
      <c r="N584" t="n">
        <v>2</v>
      </c>
    </row>
    <row r="585">
      <c r="A585" t="inlineStr">
        <is>
          <t>S583</t>
        </is>
      </c>
      <c r="B585" t="inlineStr">
        <is>
          <t>2025-2026</t>
        </is>
      </c>
      <c r="C585" t="inlineStr">
        <is>
          <t>5</t>
        </is>
      </c>
      <c r="D585" t="inlineStr">
        <is>
          <t>Soins obstétricaux</t>
        </is>
      </c>
      <c r="E585" t="inlineStr">
        <is>
          <t>L3</t>
        </is>
      </c>
      <c r="F585" t="inlineStr">
        <is>
          <t>S.O</t>
        </is>
      </c>
      <c r="G585" t="inlineStr">
        <is>
          <t>S.I en ORL</t>
        </is>
      </c>
      <c r="H585" t="inlineStr"/>
      <c r="I585" t="inlineStr"/>
      <c r="J585" t="inlineStr">
        <is>
          <t>Lundi</t>
        </is>
      </c>
      <c r="K585" t="inlineStr">
        <is>
          <t>10h05</t>
        </is>
      </c>
      <c r="L585" t="inlineStr">
        <is>
          <t>12h05</t>
        </is>
      </c>
      <c r="N585" t="n">
        <v>10</v>
      </c>
    </row>
    <row r="586">
      <c r="A586" t="inlineStr">
        <is>
          <t>S584</t>
        </is>
      </c>
      <c r="B586" t="inlineStr">
        <is>
          <t>2025-2026</t>
        </is>
      </c>
      <c r="C586" t="inlineStr">
        <is>
          <t>5</t>
        </is>
      </c>
      <c r="D586" t="inlineStr">
        <is>
          <t>Soins obstétricaux</t>
        </is>
      </c>
      <c r="E586" t="inlineStr">
        <is>
          <t>L3</t>
        </is>
      </c>
      <c r="F586" t="inlineStr">
        <is>
          <t>S.O</t>
        </is>
      </c>
      <c r="G586" t="inlineStr">
        <is>
          <t>Santé sexuelle et reproductive et droit connexes</t>
        </is>
      </c>
      <c r="H586" t="inlineStr"/>
      <c r="I586" t="inlineStr"/>
      <c r="J586" t="inlineStr">
        <is>
          <t>Lundi</t>
        </is>
      </c>
      <c r="K586" t="inlineStr">
        <is>
          <t>10h05</t>
        </is>
      </c>
      <c r="L586" t="inlineStr">
        <is>
          <t>12h05</t>
        </is>
      </c>
      <c r="N586" t="n">
        <v>6</v>
      </c>
    </row>
    <row r="587">
      <c r="A587" t="inlineStr">
        <is>
          <t>S585</t>
        </is>
      </c>
      <c r="B587" t="inlineStr">
        <is>
          <t>2025-2026</t>
        </is>
      </c>
      <c r="C587" t="inlineStr">
        <is>
          <t>5</t>
        </is>
      </c>
      <c r="D587" t="inlineStr">
        <is>
          <t>Soins obstétricaux</t>
        </is>
      </c>
      <c r="E587" t="inlineStr">
        <is>
          <t>L3</t>
        </is>
      </c>
      <c r="F587" t="inlineStr">
        <is>
          <t>S.O</t>
        </is>
      </c>
      <c r="G587" t="inlineStr">
        <is>
          <t>Pharmacologie et thérapeutiques des pathologies spéciales</t>
        </is>
      </c>
      <c r="H587" t="inlineStr">
        <is>
          <t>Dr Youssouf Mahamoudou</t>
        </is>
      </c>
      <c r="I587" t="inlineStr"/>
      <c r="J587" t="inlineStr">
        <is>
          <t>Lundi</t>
        </is>
      </c>
      <c r="K587" t="inlineStr">
        <is>
          <t>13h00</t>
        </is>
      </c>
      <c r="L587" t="inlineStr">
        <is>
          <t>15h00</t>
        </is>
      </c>
      <c r="N587" t="n">
        <v>14</v>
      </c>
    </row>
    <row r="588">
      <c r="A588" t="inlineStr">
        <is>
          <t>S586</t>
        </is>
      </c>
      <c r="B588" t="inlineStr">
        <is>
          <t>2025-2026</t>
        </is>
      </c>
      <c r="C588" t="inlineStr">
        <is>
          <t>5</t>
        </is>
      </c>
      <c r="D588" t="inlineStr">
        <is>
          <t>Soins obstétricaux</t>
        </is>
      </c>
      <c r="E588" t="inlineStr">
        <is>
          <t>L3</t>
        </is>
      </c>
      <c r="F588" t="inlineStr">
        <is>
          <t>S.O</t>
        </is>
      </c>
      <c r="G588" t="inlineStr">
        <is>
          <t>S.I en oncologies</t>
        </is>
      </c>
      <c r="H588" t="inlineStr"/>
      <c r="I588" t="inlineStr"/>
      <c r="J588" t="inlineStr">
        <is>
          <t>Lundi</t>
        </is>
      </c>
      <c r="K588" t="inlineStr">
        <is>
          <t>13h00</t>
        </is>
      </c>
      <c r="L588" t="inlineStr">
        <is>
          <t>15h00</t>
        </is>
      </c>
      <c r="N588" t="n">
        <v>2</v>
      </c>
    </row>
    <row r="589">
      <c r="A589" t="inlineStr">
        <is>
          <t>S587</t>
        </is>
      </c>
      <c r="B589" t="inlineStr">
        <is>
          <t>2025-2026</t>
        </is>
      </c>
      <c r="C589" t="inlineStr">
        <is>
          <t>5</t>
        </is>
      </c>
      <c r="D589" t="inlineStr">
        <is>
          <t>Soins obstétricaux</t>
        </is>
      </c>
      <c r="E589" t="inlineStr">
        <is>
          <t>L3</t>
        </is>
      </c>
      <c r="F589" t="inlineStr">
        <is>
          <t>S.O</t>
        </is>
      </c>
      <c r="G589" t="inlineStr">
        <is>
          <t>S.I endocrinilogie</t>
        </is>
      </c>
      <c r="H589" t="inlineStr"/>
      <c r="I589" t="inlineStr"/>
      <c r="J589" t="inlineStr">
        <is>
          <t>Lundi</t>
        </is>
      </c>
      <c r="K589" t="inlineStr">
        <is>
          <t>13h00</t>
        </is>
      </c>
      <c r="L589" t="inlineStr">
        <is>
          <t>15h00</t>
        </is>
      </c>
      <c r="N589" t="n">
        <v>4</v>
      </c>
    </row>
    <row r="590">
      <c r="A590" t="inlineStr">
        <is>
          <t>S588</t>
        </is>
      </c>
      <c r="B590" t="inlineStr">
        <is>
          <t>2025-2026</t>
        </is>
      </c>
      <c r="C590" t="inlineStr">
        <is>
          <t>5</t>
        </is>
      </c>
      <c r="D590" t="inlineStr">
        <is>
          <t>Soins obstétricaux</t>
        </is>
      </c>
      <c r="E590" t="inlineStr">
        <is>
          <t>L3</t>
        </is>
      </c>
      <c r="F590" t="inlineStr">
        <is>
          <t>S.O</t>
        </is>
      </c>
      <c r="G590" t="inlineStr">
        <is>
          <t>Stomatologie</t>
        </is>
      </c>
      <c r="H590" t="inlineStr"/>
      <c r="I590" t="inlineStr"/>
      <c r="J590" t="inlineStr">
        <is>
          <t>Lundi</t>
        </is>
      </c>
      <c r="K590" t="inlineStr">
        <is>
          <t>13h00</t>
        </is>
      </c>
      <c r="L590" t="inlineStr">
        <is>
          <t>15h00</t>
        </is>
      </c>
      <c r="N590" t="n">
        <v>8</v>
      </c>
    </row>
    <row r="591">
      <c r="A591" t="inlineStr">
        <is>
          <t>S589</t>
        </is>
      </c>
      <c r="B591" t="inlineStr">
        <is>
          <t>2025-2026</t>
        </is>
      </c>
      <c r="C591" t="inlineStr">
        <is>
          <t>5</t>
        </is>
      </c>
      <c r="D591" t="inlineStr">
        <is>
          <t>Soins obstétricaux</t>
        </is>
      </c>
      <c r="E591" t="inlineStr">
        <is>
          <t>L3</t>
        </is>
      </c>
      <c r="F591" t="inlineStr">
        <is>
          <t>S.O</t>
        </is>
      </c>
      <c r="G591" t="inlineStr">
        <is>
          <t>Cancerologie</t>
        </is>
      </c>
      <c r="H591" t="inlineStr">
        <is>
          <t>Dr Ahamada Widade</t>
        </is>
      </c>
      <c r="I591" t="inlineStr"/>
      <c r="J591" t="inlineStr">
        <is>
          <t>Lundi</t>
        </is>
      </c>
      <c r="K591" t="inlineStr">
        <is>
          <t>15h05</t>
        </is>
      </c>
      <c r="L591" t="inlineStr">
        <is>
          <t>17h05</t>
        </is>
      </c>
      <c r="N591" t="n">
        <v>8</v>
      </c>
    </row>
    <row r="592">
      <c r="A592" t="inlineStr">
        <is>
          <t>S590</t>
        </is>
      </c>
      <c r="B592" t="inlineStr">
        <is>
          <t>2025-2026</t>
        </is>
      </c>
      <c r="C592" t="inlineStr">
        <is>
          <t>5</t>
        </is>
      </c>
      <c r="D592" t="inlineStr">
        <is>
          <t>Soins obstétricaux</t>
        </is>
      </c>
      <c r="E592" t="inlineStr">
        <is>
          <t>L3</t>
        </is>
      </c>
      <c r="F592" t="inlineStr">
        <is>
          <t>S.O</t>
        </is>
      </c>
      <c r="G592" t="inlineStr">
        <is>
          <t>Gestion des catastrophes/Fléaux sociaux</t>
        </is>
      </c>
      <c r="H592" t="inlineStr">
        <is>
          <t>Daniel Ali Soumaïla (Chef de département S.I)</t>
        </is>
      </c>
      <c r="I592" t="inlineStr"/>
      <c r="J592" t="inlineStr">
        <is>
          <t>Lundi</t>
        </is>
      </c>
      <c r="K592" t="inlineStr">
        <is>
          <t>15h05</t>
        </is>
      </c>
      <c r="L592" t="inlineStr">
        <is>
          <t>17h05</t>
        </is>
      </c>
      <c r="N592" t="n">
        <v>4</v>
      </c>
    </row>
    <row r="593">
      <c r="A593" t="inlineStr">
        <is>
          <t>S591</t>
        </is>
      </c>
      <c r="B593" t="inlineStr">
        <is>
          <t>2025-2026</t>
        </is>
      </c>
      <c r="C593" t="inlineStr">
        <is>
          <t>5</t>
        </is>
      </c>
      <c r="D593" t="inlineStr">
        <is>
          <t>Soins obstétricaux</t>
        </is>
      </c>
      <c r="E593" t="inlineStr">
        <is>
          <t>L3</t>
        </is>
      </c>
      <c r="F593" t="inlineStr">
        <is>
          <t>S.O</t>
        </is>
      </c>
      <c r="G593" t="inlineStr">
        <is>
          <t>SONUB</t>
        </is>
      </c>
      <c r="H593" t="inlineStr">
        <is>
          <t>Dr Soumayat</t>
        </is>
      </c>
      <c r="I593" t="inlineStr"/>
      <c r="J593" t="inlineStr">
        <is>
          <t>Lundi</t>
        </is>
      </c>
      <c r="K593" t="inlineStr">
        <is>
          <t>15h05</t>
        </is>
      </c>
      <c r="L593" t="inlineStr">
        <is>
          <t>17h05</t>
        </is>
      </c>
      <c r="N593" t="n">
        <v>14</v>
      </c>
    </row>
    <row r="594">
      <c r="A594" t="inlineStr">
        <is>
          <t>S592</t>
        </is>
      </c>
      <c r="B594" t="inlineStr">
        <is>
          <t>2025-2026</t>
        </is>
      </c>
      <c r="C594" t="inlineStr">
        <is>
          <t>5</t>
        </is>
      </c>
      <c r="D594" t="inlineStr">
        <is>
          <t>Soins obstétricaux</t>
        </is>
      </c>
      <c r="E594" t="inlineStr">
        <is>
          <t>L3</t>
        </is>
      </c>
      <c r="F594" t="inlineStr">
        <is>
          <t>S.O</t>
        </is>
      </c>
      <c r="G594" t="inlineStr">
        <is>
          <t>TD Gestion des catastrophes/Fléaux sociaux</t>
        </is>
      </c>
      <c r="H594" t="inlineStr"/>
      <c r="I594" t="inlineStr"/>
      <c r="J594" t="inlineStr">
        <is>
          <t>Lundi</t>
        </is>
      </c>
      <c r="K594" t="inlineStr">
        <is>
          <t>15h05</t>
        </is>
      </c>
      <c r="L594" t="inlineStr">
        <is>
          <t>17h05</t>
        </is>
      </c>
      <c r="N594" t="n">
        <v>2</v>
      </c>
    </row>
    <row r="595">
      <c r="A595" t="inlineStr">
        <is>
          <t>S593</t>
        </is>
      </c>
      <c r="B595" t="inlineStr">
        <is>
          <t>2025-2026</t>
        </is>
      </c>
      <c r="C595" t="inlineStr">
        <is>
          <t>5</t>
        </is>
      </c>
      <c r="D595" t="inlineStr">
        <is>
          <t>Soins obstétricaux</t>
        </is>
      </c>
      <c r="E595" t="inlineStr">
        <is>
          <t>L3</t>
        </is>
      </c>
      <c r="F595" t="inlineStr">
        <is>
          <t>S.O</t>
        </is>
      </c>
      <c r="G595" t="inlineStr">
        <is>
          <t>Gestion des services de santé</t>
        </is>
      </c>
      <c r="H595" t="inlineStr">
        <is>
          <t>HALIMA ABDALLAH</t>
        </is>
      </c>
      <c r="I595" t="inlineStr"/>
      <c r="J595" t="inlineStr">
        <is>
          <t>Lundi</t>
        </is>
      </c>
      <c r="K595" t="inlineStr">
        <is>
          <t>8h00</t>
        </is>
      </c>
      <c r="L595" t="inlineStr">
        <is>
          <t>10h00</t>
        </is>
      </c>
      <c r="N595" t="n">
        <v>8</v>
      </c>
    </row>
    <row r="596">
      <c r="A596" t="inlineStr">
        <is>
          <t>S594</t>
        </is>
      </c>
      <c r="B596" t="inlineStr">
        <is>
          <t>2025-2026</t>
        </is>
      </c>
      <c r="C596" t="inlineStr">
        <is>
          <t>5</t>
        </is>
      </c>
      <c r="D596" t="inlineStr">
        <is>
          <t>Soins obstétricaux</t>
        </is>
      </c>
      <c r="E596" t="inlineStr">
        <is>
          <t>L3</t>
        </is>
      </c>
      <c r="F596" t="inlineStr">
        <is>
          <t>S.O</t>
        </is>
      </c>
      <c r="G596" t="inlineStr">
        <is>
          <t>S.I en oncologies</t>
        </is>
      </c>
      <c r="H596" t="inlineStr"/>
      <c r="I596" t="inlineStr"/>
      <c r="J596" t="inlineStr">
        <is>
          <t>Lundi</t>
        </is>
      </c>
      <c r="K596" t="inlineStr">
        <is>
          <t>8h00</t>
        </is>
      </c>
      <c r="L596" t="inlineStr">
        <is>
          <t>10h00</t>
        </is>
      </c>
      <c r="N596" t="n">
        <v>4</v>
      </c>
    </row>
    <row r="597">
      <c r="A597" t="inlineStr">
        <is>
          <t>S595</t>
        </is>
      </c>
      <c r="B597" t="inlineStr">
        <is>
          <t>2025-2026</t>
        </is>
      </c>
      <c r="C597" t="inlineStr">
        <is>
          <t>5</t>
        </is>
      </c>
      <c r="D597" t="inlineStr">
        <is>
          <t>Soins obstétricaux</t>
        </is>
      </c>
      <c r="E597" t="inlineStr">
        <is>
          <t>L3</t>
        </is>
      </c>
      <c r="F597" t="inlineStr">
        <is>
          <t>S.O</t>
        </is>
      </c>
      <c r="G597" t="inlineStr">
        <is>
          <t>TD Urgences obstétricales</t>
        </is>
      </c>
      <c r="H597" t="inlineStr"/>
      <c r="I597" t="inlineStr"/>
      <c r="J597" t="inlineStr">
        <is>
          <t>Lundi</t>
        </is>
      </c>
      <c r="K597" t="inlineStr">
        <is>
          <t>8h00</t>
        </is>
      </c>
      <c r="L597" t="inlineStr">
        <is>
          <t>10h00</t>
        </is>
      </c>
      <c r="N597" t="n">
        <v>2</v>
      </c>
    </row>
    <row r="598">
      <c r="A598" t="inlineStr">
        <is>
          <t>S596</t>
        </is>
      </c>
      <c r="B598" t="inlineStr">
        <is>
          <t>2025-2026</t>
        </is>
      </c>
      <c r="C598" t="inlineStr">
        <is>
          <t>5</t>
        </is>
      </c>
      <c r="D598" t="inlineStr">
        <is>
          <t>Soins obstétricaux</t>
        </is>
      </c>
      <c r="E598" t="inlineStr">
        <is>
          <t>L3</t>
        </is>
      </c>
      <c r="F598" t="inlineStr">
        <is>
          <t>S.O</t>
        </is>
      </c>
      <c r="G598" t="inlineStr">
        <is>
          <t>Urgences obstétricales</t>
        </is>
      </c>
      <c r="H598" t="inlineStr"/>
      <c r="I598" t="inlineStr"/>
      <c r="J598" t="inlineStr">
        <is>
          <t>Lundi</t>
        </is>
      </c>
      <c r="K598" t="inlineStr">
        <is>
          <t>8h00</t>
        </is>
      </c>
      <c r="L598" t="inlineStr">
        <is>
          <t>10h00</t>
        </is>
      </c>
      <c r="N598" t="n">
        <v>14</v>
      </c>
    </row>
    <row r="599">
      <c r="A599" t="inlineStr">
        <is>
          <t>S597</t>
        </is>
      </c>
      <c r="B599" t="inlineStr">
        <is>
          <t>2025-2026</t>
        </is>
      </c>
      <c r="C599" t="inlineStr">
        <is>
          <t>5</t>
        </is>
      </c>
      <c r="D599" t="inlineStr">
        <is>
          <t>Soins obstétricaux</t>
        </is>
      </c>
      <c r="E599" t="inlineStr">
        <is>
          <t>L3</t>
        </is>
      </c>
      <c r="F599" t="inlineStr">
        <is>
          <t>S.O</t>
        </is>
      </c>
      <c r="G599" t="inlineStr">
        <is>
          <t>Compétences pratiques</t>
        </is>
      </c>
      <c r="H599" t="inlineStr"/>
      <c r="I599" t="inlineStr"/>
      <c r="J599" t="inlineStr">
        <is>
          <t>Mardi</t>
        </is>
      </c>
      <c r="K599" t="inlineStr">
        <is>
          <t>10h05</t>
        </is>
      </c>
      <c r="L599" t="inlineStr">
        <is>
          <t>12h05</t>
        </is>
      </c>
      <c r="N599" t="n">
        <v>4</v>
      </c>
    </row>
    <row r="600">
      <c r="A600" t="inlineStr">
        <is>
          <t>S598</t>
        </is>
      </c>
      <c r="B600" t="inlineStr">
        <is>
          <t>2025-2026</t>
        </is>
      </c>
      <c r="C600" t="inlineStr">
        <is>
          <t>5</t>
        </is>
      </c>
      <c r="D600" t="inlineStr">
        <is>
          <t>Soins obstétricaux</t>
        </is>
      </c>
      <c r="E600" t="inlineStr">
        <is>
          <t>L3</t>
        </is>
      </c>
      <c r="F600" t="inlineStr">
        <is>
          <t>S.O</t>
        </is>
      </c>
      <c r="G600" t="inlineStr">
        <is>
          <t>Gestion des services de santé</t>
        </is>
      </c>
      <c r="H600" t="inlineStr">
        <is>
          <t>HALIMA ABDALLAH</t>
        </is>
      </c>
      <c r="I600" t="inlineStr"/>
      <c r="J600" t="inlineStr">
        <is>
          <t>Mardi</t>
        </is>
      </c>
      <c r="K600" t="inlineStr">
        <is>
          <t>10h05</t>
        </is>
      </c>
      <c r="L600" t="inlineStr">
        <is>
          <t>12h05</t>
        </is>
      </c>
      <c r="N600" t="n">
        <v>2</v>
      </c>
    </row>
    <row r="601">
      <c r="A601" t="inlineStr">
        <is>
          <t>S599</t>
        </is>
      </c>
      <c r="B601" t="inlineStr">
        <is>
          <t>2025-2026</t>
        </is>
      </c>
      <c r="C601" t="inlineStr">
        <is>
          <t>5</t>
        </is>
      </c>
      <c r="D601" t="inlineStr">
        <is>
          <t>Soins obstétricaux</t>
        </is>
      </c>
      <c r="E601" t="inlineStr">
        <is>
          <t>L3</t>
        </is>
      </c>
      <c r="F601" t="inlineStr">
        <is>
          <t>S.O</t>
        </is>
      </c>
      <c r="G601" t="inlineStr">
        <is>
          <t>Pathologies ORL</t>
        </is>
      </c>
      <c r="H601" t="inlineStr"/>
      <c r="I601" t="inlineStr"/>
      <c r="J601" t="inlineStr">
        <is>
          <t>Mardi</t>
        </is>
      </c>
      <c r="K601" t="inlineStr">
        <is>
          <t>10h05</t>
        </is>
      </c>
      <c r="L601" t="inlineStr">
        <is>
          <t>12h05</t>
        </is>
      </c>
      <c r="N601" t="n">
        <v>8</v>
      </c>
    </row>
    <row r="602">
      <c r="A602" t="inlineStr">
        <is>
          <t>S600</t>
        </is>
      </c>
      <c r="B602" t="inlineStr">
        <is>
          <t>2025-2026</t>
        </is>
      </c>
      <c r="C602" t="inlineStr">
        <is>
          <t>5</t>
        </is>
      </c>
      <c r="D602" t="inlineStr">
        <is>
          <t>Soins obstétricaux</t>
        </is>
      </c>
      <c r="E602" t="inlineStr">
        <is>
          <t>L3</t>
        </is>
      </c>
      <c r="F602" t="inlineStr">
        <is>
          <t>S.O</t>
        </is>
      </c>
      <c r="G602" t="inlineStr">
        <is>
          <t>Psychologie</t>
        </is>
      </c>
      <c r="H602" t="inlineStr">
        <is>
          <t>Mme Houzaimata Ahamada</t>
        </is>
      </c>
      <c r="I602" t="inlineStr"/>
      <c r="J602" t="inlineStr">
        <is>
          <t>Mardi</t>
        </is>
      </c>
      <c r="K602" t="inlineStr">
        <is>
          <t>10h05</t>
        </is>
      </c>
      <c r="L602" t="inlineStr">
        <is>
          <t>12h05</t>
        </is>
      </c>
      <c r="N602" t="n">
        <v>4</v>
      </c>
    </row>
    <row r="603">
      <c r="A603" t="inlineStr">
        <is>
          <t>S601</t>
        </is>
      </c>
      <c r="B603" t="inlineStr">
        <is>
          <t>2025-2026</t>
        </is>
      </c>
      <c r="C603" t="inlineStr">
        <is>
          <t>5</t>
        </is>
      </c>
      <c r="D603" t="inlineStr">
        <is>
          <t>Soins obstétricaux</t>
        </is>
      </c>
      <c r="E603" t="inlineStr">
        <is>
          <t>L3</t>
        </is>
      </c>
      <c r="F603" t="inlineStr">
        <is>
          <t>S.O</t>
        </is>
      </c>
      <c r="G603" t="inlineStr">
        <is>
          <t>S.I Stomatologies</t>
        </is>
      </c>
      <c r="H603" t="inlineStr">
        <is>
          <t>HALIMA ABDALLAH</t>
        </is>
      </c>
      <c r="I603" t="inlineStr"/>
      <c r="J603" t="inlineStr">
        <is>
          <t>Mardi</t>
        </is>
      </c>
      <c r="K603" t="inlineStr">
        <is>
          <t>10h05</t>
        </is>
      </c>
      <c r="L603" t="inlineStr">
        <is>
          <t>12h05</t>
        </is>
      </c>
      <c r="N603" t="n">
        <v>2</v>
      </c>
    </row>
    <row r="604">
      <c r="A604" t="inlineStr">
        <is>
          <t>S602</t>
        </is>
      </c>
      <c r="B604" t="inlineStr">
        <is>
          <t>2025-2026</t>
        </is>
      </c>
      <c r="C604" t="inlineStr">
        <is>
          <t>5</t>
        </is>
      </c>
      <c r="D604" t="inlineStr">
        <is>
          <t>Soins obstétricaux</t>
        </is>
      </c>
      <c r="E604" t="inlineStr">
        <is>
          <t>L3</t>
        </is>
      </c>
      <c r="F604" t="inlineStr">
        <is>
          <t>S.O</t>
        </is>
      </c>
      <c r="G604" t="inlineStr">
        <is>
          <t>S.I en oncologies</t>
        </is>
      </c>
      <c r="H604" t="inlineStr"/>
      <c r="I604" t="inlineStr"/>
      <c r="J604" t="inlineStr">
        <is>
          <t>Mardi</t>
        </is>
      </c>
      <c r="K604" t="inlineStr">
        <is>
          <t>10h05</t>
        </is>
      </c>
      <c r="L604" t="inlineStr">
        <is>
          <t>12h05</t>
        </is>
      </c>
      <c r="N604" t="n">
        <v>2</v>
      </c>
    </row>
    <row r="605">
      <c r="A605" t="inlineStr">
        <is>
          <t>S603</t>
        </is>
      </c>
      <c r="B605" t="inlineStr">
        <is>
          <t>2025-2026</t>
        </is>
      </c>
      <c r="C605" t="inlineStr">
        <is>
          <t>5</t>
        </is>
      </c>
      <c r="D605" t="inlineStr">
        <is>
          <t>Soins obstétricaux</t>
        </is>
      </c>
      <c r="E605" t="inlineStr">
        <is>
          <t>L3</t>
        </is>
      </c>
      <c r="F605" t="inlineStr">
        <is>
          <t>S.O</t>
        </is>
      </c>
      <c r="G605" t="inlineStr">
        <is>
          <t>Sociologie &amp; Athropologie</t>
        </is>
      </c>
      <c r="H605" t="inlineStr"/>
      <c r="I605" t="inlineStr"/>
      <c r="J605" t="inlineStr">
        <is>
          <t>Mardi</t>
        </is>
      </c>
      <c r="K605" t="inlineStr">
        <is>
          <t>10h05</t>
        </is>
      </c>
      <c r="L605" t="inlineStr">
        <is>
          <t>12h05</t>
        </is>
      </c>
      <c r="N605" t="n">
        <v>6</v>
      </c>
    </row>
    <row r="606">
      <c r="A606" t="inlineStr">
        <is>
          <t>S604</t>
        </is>
      </c>
      <c r="B606" t="inlineStr">
        <is>
          <t>2025-2026</t>
        </is>
      </c>
      <c r="C606" t="inlineStr">
        <is>
          <t>5</t>
        </is>
      </c>
      <c r="D606" t="inlineStr">
        <is>
          <t>Soins obstétricaux</t>
        </is>
      </c>
      <c r="E606" t="inlineStr">
        <is>
          <t>L3</t>
        </is>
      </c>
      <c r="F606" t="inlineStr">
        <is>
          <t>S.O</t>
        </is>
      </c>
      <c r="G606" t="inlineStr">
        <is>
          <t>Gestion des services de santé</t>
        </is>
      </c>
      <c r="H606" t="inlineStr">
        <is>
          <t>HALIMA ABDALLAH</t>
        </is>
      </c>
      <c r="I606" t="inlineStr"/>
      <c r="J606" t="inlineStr">
        <is>
          <t>Mardi</t>
        </is>
      </c>
      <c r="K606" t="inlineStr">
        <is>
          <t>13h00</t>
        </is>
      </c>
      <c r="L606" t="inlineStr">
        <is>
          <t>15h00</t>
        </is>
      </c>
      <c r="N606" t="n">
        <v>2</v>
      </c>
    </row>
    <row r="607">
      <c r="A607" t="inlineStr">
        <is>
          <t>S605</t>
        </is>
      </c>
      <c r="B607" t="inlineStr">
        <is>
          <t>2025-2026</t>
        </is>
      </c>
      <c r="C607" t="inlineStr">
        <is>
          <t>5</t>
        </is>
      </c>
      <c r="D607" t="inlineStr">
        <is>
          <t>Soins obstétricaux</t>
        </is>
      </c>
      <c r="E607" t="inlineStr">
        <is>
          <t>L3</t>
        </is>
      </c>
      <c r="F607" t="inlineStr">
        <is>
          <t>S.O</t>
        </is>
      </c>
      <c r="G607" t="inlineStr">
        <is>
          <t>Initiation à la recherche en sciences infirmière</t>
        </is>
      </c>
      <c r="H607" t="inlineStr"/>
      <c r="I607" t="inlineStr"/>
      <c r="J607" t="inlineStr">
        <is>
          <t>Mardi</t>
        </is>
      </c>
      <c r="K607" t="inlineStr">
        <is>
          <t>13h00</t>
        </is>
      </c>
      <c r="L607" t="inlineStr">
        <is>
          <t>15h00</t>
        </is>
      </c>
      <c r="N607" t="n">
        <v>10</v>
      </c>
    </row>
    <row r="608">
      <c r="A608" t="inlineStr">
        <is>
          <t>S606</t>
        </is>
      </c>
      <c r="B608" t="inlineStr">
        <is>
          <t>2025-2026</t>
        </is>
      </c>
      <c r="C608" t="inlineStr">
        <is>
          <t>5</t>
        </is>
      </c>
      <c r="D608" t="inlineStr">
        <is>
          <t>Soins obstétricaux</t>
        </is>
      </c>
      <c r="E608" t="inlineStr">
        <is>
          <t>L3</t>
        </is>
      </c>
      <c r="F608" t="inlineStr">
        <is>
          <t>S.O</t>
        </is>
      </c>
      <c r="G608" t="inlineStr">
        <is>
          <t>S.I Stomatologies</t>
        </is>
      </c>
      <c r="H608" t="inlineStr">
        <is>
          <t>HALIMA ABDALLAH</t>
        </is>
      </c>
      <c r="I608" t="inlineStr"/>
      <c r="J608" t="inlineStr">
        <is>
          <t>Mardi</t>
        </is>
      </c>
      <c r="K608" t="inlineStr">
        <is>
          <t>13h00</t>
        </is>
      </c>
      <c r="L608" t="inlineStr">
        <is>
          <t>15h00</t>
        </is>
      </c>
      <c r="N608" t="n">
        <v>2</v>
      </c>
    </row>
    <row r="609">
      <c r="A609" t="inlineStr">
        <is>
          <t>S607</t>
        </is>
      </c>
      <c r="B609" t="inlineStr">
        <is>
          <t>2025-2026</t>
        </is>
      </c>
      <c r="C609" t="inlineStr">
        <is>
          <t>5</t>
        </is>
      </c>
      <c r="D609" t="inlineStr">
        <is>
          <t>Soins obstétricaux</t>
        </is>
      </c>
      <c r="E609" t="inlineStr">
        <is>
          <t>L3</t>
        </is>
      </c>
      <c r="F609" t="inlineStr">
        <is>
          <t>S.O</t>
        </is>
      </c>
      <c r="G609" t="inlineStr">
        <is>
          <t>S.I en oncologies</t>
        </is>
      </c>
      <c r="H609" t="inlineStr"/>
      <c r="I609" t="inlineStr"/>
      <c r="J609" t="inlineStr">
        <is>
          <t>Mardi</t>
        </is>
      </c>
      <c r="K609" t="inlineStr">
        <is>
          <t>13h00</t>
        </is>
      </c>
      <c r="L609" t="inlineStr">
        <is>
          <t>15h00</t>
        </is>
      </c>
      <c r="N609" t="n">
        <v>4</v>
      </c>
    </row>
    <row r="610">
      <c r="A610" t="inlineStr">
        <is>
          <t>S608</t>
        </is>
      </c>
      <c r="B610" t="inlineStr">
        <is>
          <t>2025-2026</t>
        </is>
      </c>
      <c r="C610" t="inlineStr">
        <is>
          <t>5</t>
        </is>
      </c>
      <c r="D610" t="inlineStr">
        <is>
          <t>Soins obstétricaux</t>
        </is>
      </c>
      <c r="E610" t="inlineStr">
        <is>
          <t>L3</t>
        </is>
      </c>
      <c r="F610" t="inlineStr">
        <is>
          <t>S.O</t>
        </is>
      </c>
      <c r="G610" t="inlineStr">
        <is>
          <t>Stomatologie</t>
        </is>
      </c>
      <c r="H610" t="inlineStr"/>
      <c r="I610" t="inlineStr"/>
      <c r="J610" t="inlineStr">
        <is>
          <t>Mardi</t>
        </is>
      </c>
      <c r="K610" t="inlineStr">
        <is>
          <t>13h00</t>
        </is>
      </c>
      <c r="L610" t="inlineStr">
        <is>
          <t>15h00</t>
        </is>
      </c>
      <c r="N610" t="n">
        <v>6</v>
      </c>
    </row>
    <row r="611">
      <c r="A611" t="inlineStr">
        <is>
          <t>S609</t>
        </is>
      </c>
      <c r="B611" t="inlineStr">
        <is>
          <t>2025-2026</t>
        </is>
      </c>
      <c r="C611" t="inlineStr">
        <is>
          <t>5</t>
        </is>
      </c>
      <c r="D611" t="inlineStr">
        <is>
          <t>Soins obstétricaux</t>
        </is>
      </c>
      <c r="E611" t="inlineStr">
        <is>
          <t>L3</t>
        </is>
      </c>
      <c r="F611" t="inlineStr">
        <is>
          <t>S.O</t>
        </is>
      </c>
      <c r="G611" t="inlineStr">
        <is>
          <t>TD Initiation à la recherche en sciences infirmière</t>
        </is>
      </c>
      <c r="H611" t="inlineStr"/>
      <c r="I611" t="inlineStr"/>
      <c r="J611" t="inlineStr">
        <is>
          <t>Mardi</t>
        </is>
      </c>
      <c r="K611" t="inlineStr">
        <is>
          <t>13h00</t>
        </is>
      </c>
      <c r="L611" t="inlineStr">
        <is>
          <t>15h00</t>
        </is>
      </c>
      <c r="N611" t="n">
        <v>4</v>
      </c>
    </row>
    <row r="612">
      <c r="A612" t="inlineStr">
        <is>
          <t>S610</t>
        </is>
      </c>
      <c r="B612" t="inlineStr">
        <is>
          <t>2025-2026</t>
        </is>
      </c>
      <c r="C612" t="inlineStr">
        <is>
          <t>5</t>
        </is>
      </c>
      <c r="D612" t="inlineStr">
        <is>
          <t>Soins obstétricaux</t>
        </is>
      </c>
      <c r="E612" t="inlineStr">
        <is>
          <t>L3</t>
        </is>
      </c>
      <c r="F612" t="inlineStr">
        <is>
          <t>S.O</t>
        </is>
      </c>
      <c r="G612" t="inlineStr">
        <is>
          <t>Cancerologie</t>
        </is>
      </c>
      <c r="H612" t="inlineStr">
        <is>
          <t>Dr Ahamada Widade</t>
        </is>
      </c>
      <c r="I612" t="inlineStr"/>
      <c r="J612" t="inlineStr">
        <is>
          <t>Mardi</t>
        </is>
      </c>
      <c r="K612" t="inlineStr">
        <is>
          <t>15h05</t>
        </is>
      </c>
      <c r="L612" t="inlineStr">
        <is>
          <t>17h05</t>
        </is>
      </c>
      <c r="N612" t="n">
        <v>8</v>
      </c>
    </row>
    <row r="613">
      <c r="A613" t="inlineStr">
        <is>
          <t>S611</t>
        </is>
      </c>
      <c r="B613" t="inlineStr">
        <is>
          <t>2025-2026</t>
        </is>
      </c>
      <c r="C613" t="inlineStr">
        <is>
          <t>5</t>
        </is>
      </c>
      <c r="D613" t="inlineStr">
        <is>
          <t>Soins obstétricaux</t>
        </is>
      </c>
      <c r="E613" t="inlineStr">
        <is>
          <t>L3</t>
        </is>
      </c>
      <c r="F613" t="inlineStr">
        <is>
          <t>S.O</t>
        </is>
      </c>
      <c r="G613" t="inlineStr">
        <is>
          <t>Gestion des catastrophes/Fléaux sociaux</t>
        </is>
      </c>
      <c r="H613" t="inlineStr">
        <is>
          <t>Daniel Ali Soumaïla (Chef de département S.I)</t>
        </is>
      </c>
      <c r="I613" t="inlineStr"/>
      <c r="J613" t="inlineStr">
        <is>
          <t>Mardi</t>
        </is>
      </c>
      <c r="K613" t="inlineStr">
        <is>
          <t>15h05</t>
        </is>
      </c>
      <c r="L613" t="inlineStr">
        <is>
          <t>17h05</t>
        </is>
      </c>
      <c r="N613" t="n">
        <v>4</v>
      </c>
    </row>
    <row r="614">
      <c r="A614" t="inlineStr">
        <is>
          <t>S612</t>
        </is>
      </c>
      <c r="B614" t="inlineStr">
        <is>
          <t>2025-2026</t>
        </is>
      </c>
      <c r="C614" t="inlineStr">
        <is>
          <t>5</t>
        </is>
      </c>
      <c r="D614" t="inlineStr">
        <is>
          <t>Soins obstétricaux</t>
        </is>
      </c>
      <c r="E614" t="inlineStr">
        <is>
          <t>L3</t>
        </is>
      </c>
      <c r="F614" t="inlineStr">
        <is>
          <t>S.O</t>
        </is>
      </c>
      <c r="G614" t="inlineStr">
        <is>
          <t>Imagerie médicale</t>
        </is>
      </c>
      <c r="H614" t="inlineStr"/>
      <c r="I614" t="inlineStr"/>
      <c r="J614" t="inlineStr">
        <is>
          <t>Mardi</t>
        </is>
      </c>
      <c r="K614" t="inlineStr">
        <is>
          <t>15h05</t>
        </is>
      </c>
      <c r="L614" t="inlineStr">
        <is>
          <t>17h05</t>
        </is>
      </c>
      <c r="N614" t="n">
        <v>12</v>
      </c>
    </row>
    <row r="615">
      <c r="A615" t="inlineStr">
        <is>
          <t>S613</t>
        </is>
      </c>
      <c r="B615" t="inlineStr">
        <is>
          <t>2025-2026</t>
        </is>
      </c>
      <c r="C615" t="inlineStr">
        <is>
          <t>5</t>
        </is>
      </c>
      <c r="D615" t="inlineStr">
        <is>
          <t>Soins obstétricaux</t>
        </is>
      </c>
      <c r="E615" t="inlineStr">
        <is>
          <t>L3</t>
        </is>
      </c>
      <c r="F615" t="inlineStr">
        <is>
          <t>S.O</t>
        </is>
      </c>
      <c r="G615" t="inlineStr">
        <is>
          <t>Pharmacologie et thérapeutiques des pathologies spéciales</t>
        </is>
      </c>
      <c r="H615" t="inlineStr">
        <is>
          <t>Dr Youssouf Mahamoudou</t>
        </is>
      </c>
      <c r="I615" t="inlineStr"/>
      <c r="J615" t="inlineStr">
        <is>
          <t>Mardi</t>
        </is>
      </c>
      <c r="K615" t="inlineStr">
        <is>
          <t>15h05</t>
        </is>
      </c>
      <c r="L615" t="inlineStr">
        <is>
          <t>17h05</t>
        </is>
      </c>
      <c r="N615" t="n">
        <v>2</v>
      </c>
    </row>
    <row r="616">
      <c r="A616" t="inlineStr">
        <is>
          <t>S614</t>
        </is>
      </c>
      <c r="B616" t="inlineStr">
        <is>
          <t>2025-2026</t>
        </is>
      </c>
      <c r="C616" t="inlineStr">
        <is>
          <t>5</t>
        </is>
      </c>
      <c r="D616" t="inlineStr">
        <is>
          <t>Soins obstétricaux</t>
        </is>
      </c>
      <c r="E616" t="inlineStr">
        <is>
          <t>L3</t>
        </is>
      </c>
      <c r="F616" t="inlineStr">
        <is>
          <t>S.O</t>
        </is>
      </c>
      <c r="G616" t="inlineStr">
        <is>
          <t>Psychologie</t>
        </is>
      </c>
      <c r="H616" t="inlineStr">
        <is>
          <t>Mme Houzaimata Ahamada</t>
        </is>
      </c>
      <c r="I616" t="inlineStr"/>
      <c r="J616" t="inlineStr">
        <is>
          <t>Mardi</t>
        </is>
      </c>
      <c r="K616" t="inlineStr">
        <is>
          <t>15h05</t>
        </is>
      </c>
      <c r="L616" t="inlineStr">
        <is>
          <t>17h05</t>
        </is>
      </c>
      <c r="N616" t="n">
        <v>2</v>
      </c>
    </row>
    <row r="617">
      <c r="A617" t="inlineStr">
        <is>
          <t>S615</t>
        </is>
      </c>
      <c r="B617" t="inlineStr">
        <is>
          <t>2025-2026</t>
        </is>
      </c>
      <c r="C617" t="inlineStr">
        <is>
          <t>5</t>
        </is>
      </c>
      <c r="D617" t="inlineStr">
        <is>
          <t>Soins obstétricaux</t>
        </is>
      </c>
      <c r="E617" t="inlineStr">
        <is>
          <t>L3</t>
        </is>
      </c>
      <c r="F617" t="inlineStr">
        <is>
          <t>S.O</t>
        </is>
      </c>
      <c r="G617" t="inlineStr">
        <is>
          <t>Maladies et problèmes communs liés à la santé sexuelle et reproductive</t>
        </is>
      </c>
      <c r="H617" t="inlineStr"/>
      <c r="I617" t="inlineStr"/>
      <c r="J617" t="inlineStr">
        <is>
          <t>Mardi</t>
        </is>
      </c>
      <c r="K617" t="inlineStr">
        <is>
          <t>8h00</t>
        </is>
      </c>
      <c r="L617" t="inlineStr">
        <is>
          <t>10h00</t>
        </is>
      </c>
      <c r="N617" t="n">
        <v>2</v>
      </c>
    </row>
    <row r="618">
      <c r="A618" t="inlineStr">
        <is>
          <t>S616</t>
        </is>
      </c>
      <c r="B618" t="inlineStr">
        <is>
          <t>2025-2026</t>
        </is>
      </c>
      <c r="C618" t="inlineStr">
        <is>
          <t>5</t>
        </is>
      </c>
      <c r="D618" t="inlineStr">
        <is>
          <t>Soins obstétricaux</t>
        </is>
      </c>
      <c r="E618" t="inlineStr">
        <is>
          <t>L3</t>
        </is>
      </c>
      <c r="F618" t="inlineStr">
        <is>
          <t>S.O</t>
        </is>
      </c>
      <c r="G618" t="inlineStr">
        <is>
          <t>Pathologies ophtalmologiques</t>
        </is>
      </c>
      <c r="H618" t="inlineStr">
        <is>
          <t>Dr Mohamed Chanfi</t>
        </is>
      </c>
      <c r="I618" t="inlineStr"/>
      <c r="J618" t="inlineStr">
        <is>
          <t>Mardi</t>
        </is>
      </c>
      <c r="K618" t="inlineStr">
        <is>
          <t>8h00</t>
        </is>
      </c>
      <c r="L618" t="inlineStr">
        <is>
          <t>10h00</t>
        </is>
      </c>
      <c r="N618" t="n">
        <v>10</v>
      </c>
    </row>
    <row r="619">
      <c r="A619" t="inlineStr">
        <is>
          <t>S617</t>
        </is>
      </c>
      <c r="B619" t="inlineStr">
        <is>
          <t>2025-2026</t>
        </is>
      </c>
      <c r="C619" t="inlineStr">
        <is>
          <t>5</t>
        </is>
      </c>
      <c r="D619" t="inlineStr">
        <is>
          <t>Soins obstétricaux</t>
        </is>
      </c>
      <c r="E619" t="inlineStr">
        <is>
          <t>L3</t>
        </is>
      </c>
      <c r="F619" t="inlineStr">
        <is>
          <t>S.O</t>
        </is>
      </c>
      <c r="G619" t="inlineStr">
        <is>
          <t>S.I endocrinilogie</t>
        </is>
      </c>
      <c r="H619" t="inlineStr"/>
      <c r="I619" t="inlineStr"/>
      <c r="J619" t="inlineStr">
        <is>
          <t>Mardi</t>
        </is>
      </c>
      <c r="K619" t="inlineStr">
        <is>
          <t>8h00</t>
        </is>
      </c>
      <c r="L619" t="inlineStr">
        <is>
          <t>10h00</t>
        </is>
      </c>
      <c r="N619" t="n">
        <v>4</v>
      </c>
    </row>
    <row r="620">
      <c r="A620" t="inlineStr">
        <is>
          <t>S618</t>
        </is>
      </c>
      <c r="B620" t="inlineStr">
        <is>
          <t>2025-2026</t>
        </is>
      </c>
      <c r="C620" t="inlineStr">
        <is>
          <t>5</t>
        </is>
      </c>
      <c r="D620" t="inlineStr">
        <is>
          <t>Soins obstétricaux</t>
        </is>
      </c>
      <c r="E620" t="inlineStr">
        <is>
          <t>L3</t>
        </is>
      </c>
      <c r="F620" t="inlineStr">
        <is>
          <t>S.O</t>
        </is>
      </c>
      <c r="G620" t="inlineStr">
        <is>
          <t>Santé sexuelle et reproductive et droit connexes</t>
        </is>
      </c>
      <c r="H620" t="inlineStr"/>
      <c r="I620" t="inlineStr"/>
      <c r="J620" t="inlineStr">
        <is>
          <t>Mardi</t>
        </is>
      </c>
      <c r="K620" t="inlineStr">
        <is>
          <t>8h00</t>
        </is>
      </c>
      <c r="L620" t="inlineStr">
        <is>
          <t>10h00</t>
        </is>
      </c>
      <c r="N620" t="n">
        <v>4</v>
      </c>
    </row>
    <row r="621">
      <c r="A621" t="inlineStr">
        <is>
          <t>S619</t>
        </is>
      </c>
      <c r="B621" t="inlineStr">
        <is>
          <t>2025-2026</t>
        </is>
      </c>
      <c r="C621" t="inlineStr">
        <is>
          <t>5</t>
        </is>
      </c>
      <c r="D621" t="inlineStr">
        <is>
          <t>Soins obstétricaux</t>
        </is>
      </c>
      <c r="E621" t="inlineStr">
        <is>
          <t>L3</t>
        </is>
      </c>
      <c r="F621" t="inlineStr">
        <is>
          <t>S.O</t>
        </is>
      </c>
      <c r="G621" t="inlineStr">
        <is>
          <t>TD Maladies et problèmes communs liés à la santé sexuelle et reproductive</t>
        </is>
      </c>
      <c r="H621" t="inlineStr"/>
      <c r="I621" t="inlineStr"/>
      <c r="J621" t="inlineStr">
        <is>
          <t>Mardi</t>
        </is>
      </c>
      <c r="K621" t="inlineStr">
        <is>
          <t>8h00</t>
        </is>
      </c>
      <c r="L621" t="inlineStr">
        <is>
          <t>10h00</t>
        </is>
      </c>
      <c r="N621" t="n">
        <v>2</v>
      </c>
    </row>
    <row r="622">
      <c r="A622" t="inlineStr">
        <is>
          <t>S620</t>
        </is>
      </c>
      <c r="B622" t="inlineStr">
        <is>
          <t>2025-2026</t>
        </is>
      </c>
      <c r="C622" t="inlineStr">
        <is>
          <t>5</t>
        </is>
      </c>
      <c r="D622" t="inlineStr">
        <is>
          <t>Soins obstétricaux</t>
        </is>
      </c>
      <c r="E622" t="inlineStr">
        <is>
          <t>L3</t>
        </is>
      </c>
      <c r="F622" t="inlineStr">
        <is>
          <t>S.O</t>
        </is>
      </c>
      <c r="G622" t="inlineStr">
        <is>
          <t>TD Pathologies ORL</t>
        </is>
      </c>
      <c r="H622" t="inlineStr"/>
      <c r="I622" t="inlineStr"/>
      <c r="J622" t="inlineStr">
        <is>
          <t>Mardi</t>
        </is>
      </c>
      <c r="K622" t="inlineStr">
        <is>
          <t>8h00</t>
        </is>
      </c>
      <c r="L622" t="inlineStr">
        <is>
          <t>10h00</t>
        </is>
      </c>
      <c r="N622" t="n">
        <v>2</v>
      </c>
    </row>
    <row r="623">
      <c r="A623" t="inlineStr">
        <is>
          <t>S621</t>
        </is>
      </c>
      <c r="B623" t="inlineStr">
        <is>
          <t>2025-2026</t>
        </is>
      </c>
      <c r="C623" t="inlineStr">
        <is>
          <t>5</t>
        </is>
      </c>
      <c r="D623" t="inlineStr">
        <is>
          <t>Soins obstétricaux</t>
        </is>
      </c>
      <c r="E623" t="inlineStr">
        <is>
          <t>L3</t>
        </is>
      </c>
      <c r="F623" t="inlineStr">
        <is>
          <t>S.O</t>
        </is>
      </c>
      <c r="G623" t="inlineStr">
        <is>
          <t>TD Pathologies ophtalmologiques</t>
        </is>
      </c>
      <c r="H623" t="inlineStr"/>
      <c r="I623" t="inlineStr"/>
      <c r="J623" t="inlineStr">
        <is>
          <t>Mardi</t>
        </is>
      </c>
      <c r="K623" t="inlineStr">
        <is>
          <t>8h00</t>
        </is>
      </c>
      <c r="L623" t="inlineStr">
        <is>
          <t>10h00</t>
        </is>
      </c>
      <c r="N623" t="n">
        <v>2</v>
      </c>
    </row>
    <row r="624">
      <c r="A624" t="inlineStr">
        <is>
          <t>S622</t>
        </is>
      </c>
      <c r="B624" t="inlineStr">
        <is>
          <t>2025-2026</t>
        </is>
      </c>
      <c r="C624" t="inlineStr">
        <is>
          <t>5</t>
        </is>
      </c>
      <c r="D624" t="inlineStr">
        <is>
          <t>Soins obstétricaux</t>
        </is>
      </c>
      <c r="E624" t="inlineStr">
        <is>
          <t>L3</t>
        </is>
      </c>
      <c r="F624" t="inlineStr">
        <is>
          <t>S.O</t>
        </is>
      </c>
      <c r="G624" t="inlineStr">
        <is>
          <t>TD Santé sexuelle et reproductive et droit connexes</t>
        </is>
      </c>
      <c r="H624" t="inlineStr"/>
      <c r="I624" t="inlineStr"/>
      <c r="J624" t="inlineStr">
        <is>
          <t>Mardi</t>
        </is>
      </c>
      <c r="K624" t="inlineStr">
        <is>
          <t>8h00</t>
        </is>
      </c>
      <c r="L624" t="inlineStr">
        <is>
          <t>10h00</t>
        </is>
      </c>
      <c r="N624" t="n">
        <v>2</v>
      </c>
    </row>
    <row r="625">
      <c r="A625" t="inlineStr">
        <is>
          <t>S623</t>
        </is>
      </c>
      <c r="B625" t="inlineStr">
        <is>
          <t>2025-2026</t>
        </is>
      </c>
      <c r="C625" t="inlineStr">
        <is>
          <t>5</t>
        </is>
      </c>
      <c r="D625" t="inlineStr">
        <is>
          <t>Soins obstétricaux</t>
        </is>
      </c>
      <c r="E625" t="inlineStr">
        <is>
          <t>L3</t>
        </is>
      </c>
      <c r="F625" t="inlineStr">
        <is>
          <t>S.O</t>
        </is>
      </c>
      <c r="G625" t="inlineStr">
        <is>
          <t>Compétences pratiques</t>
        </is>
      </c>
      <c r="H625" t="inlineStr"/>
      <c r="I625" t="inlineStr"/>
      <c r="J625" t="inlineStr">
        <is>
          <t>Mercredi</t>
        </is>
      </c>
      <c r="K625" t="inlineStr">
        <is>
          <t>10h05</t>
        </is>
      </c>
      <c r="L625" t="inlineStr">
        <is>
          <t>12h05</t>
        </is>
      </c>
      <c r="N625" t="n">
        <v>6</v>
      </c>
    </row>
    <row r="626">
      <c r="A626" t="inlineStr">
        <is>
          <t>S624</t>
        </is>
      </c>
      <c r="B626" t="inlineStr">
        <is>
          <t>2025-2026</t>
        </is>
      </c>
      <c r="C626" t="inlineStr">
        <is>
          <t>5</t>
        </is>
      </c>
      <c r="D626" t="inlineStr">
        <is>
          <t>Soins obstétricaux</t>
        </is>
      </c>
      <c r="E626" t="inlineStr">
        <is>
          <t>L3</t>
        </is>
      </c>
      <c r="F626" t="inlineStr">
        <is>
          <t>S.O</t>
        </is>
      </c>
      <c r="G626" t="inlineStr">
        <is>
          <t>Démographie en SRMNIA</t>
        </is>
      </c>
      <c r="H626" t="inlineStr">
        <is>
          <t>HALIMA ABDALLAH</t>
        </is>
      </c>
      <c r="I626" t="inlineStr"/>
      <c r="J626" t="inlineStr">
        <is>
          <t>Mercredi</t>
        </is>
      </c>
      <c r="K626" t="inlineStr">
        <is>
          <t>10h05</t>
        </is>
      </c>
      <c r="L626" t="inlineStr">
        <is>
          <t>12h05</t>
        </is>
      </c>
      <c r="N626" t="n">
        <v>2</v>
      </c>
    </row>
    <row r="627">
      <c r="A627" t="inlineStr">
        <is>
          <t>S625</t>
        </is>
      </c>
      <c r="B627" t="inlineStr">
        <is>
          <t>2025-2026</t>
        </is>
      </c>
      <c r="C627" t="inlineStr">
        <is>
          <t>5</t>
        </is>
      </c>
      <c r="D627" t="inlineStr">
        <is>
          <t>Soins obstétricaux</t>
        </is>
      </c>
      <c r="E627" t="inlineStr">
        <is>
          <t>L3</t>
        </is>
      </c>
      <c r="F627" t="inlineStr">
        <is>
          <t>S.O</t>
        </is>
      </c>
      <c r="G627" t="inlineStr">
        <is>
          <t>Gestion des services de santé</t>
        </is>
      </c>
      <c r="H627" t="inlineStr">
        <is>
          <t>HALIMA ABDALLAH</t>
        </is>
      </c>
      <c r="I627" t="inlineStr"/>
      <c r="J627" t="inlineStr">
        <is>
          <t>Mercredi</t>
        </is>
      </c>
      <c r="K627" t="inlineStr">
        <is>
          <t>10h05</t>
        </is>
      </c>
      <c r="L627" t="inlineStr">
        <is>
          <t>12h05</t>
        </is>
      </c>
      <c r="N627" t="n">
        <v>4</v>
      </c>
    </row>
    <row r="628">
      <c r="A628" t="inlineStr">
        <is>
          <t>S626</t>
        </is>
      </c>
      <c r="B628" t="inlineStr">
        <is>
          <t>2025-2026</t>
        </is>
      </c>
      <c r="C628" t="inlineStr">
        <is>
          <t>5</t>
        </is>
      </c>
      <c r="D628" t="inlineStr">
        <is>
          <t>Soins obstétricaux</t>
        </is>
      </c>
      <c r="E628" t="inlineStr">
        <is>
          <t>L3</t>
        </is>
      </c>
      <c r="F628" t="inlineStr">
        <is>
          <t>S.O</t>
        </is>
      </c>
      <c r="G628" t="inlineStr">
        <is>
          <t>Maladies et problèmes communs liés à la santé sexuelle et reproductive</t>
        </is>
      </c>
      <c r="H628" t="inlineStr"/>
      <c r="I628" t="inlineStr"/>
      <c r="J628" t="inlineStr">
        <is>
          <t>Mercredi</t>
        </is>
      </c>
      <c r="K628" t="inlineStr">
        <is>
          <t>10h05</t>
        </is>
      </c>
      <c r="L628" t="inlineStr">
        <is>
          <t>12h05</t>
        </is>
      </c>
      <c r="N628" t="n">
        <v>6</v>
      </c>
    </row>
    <row r="629">
      <c r="A629" t="inlineStr">
        <is>
          <t>S627</t>
        </is>
      </c>
      <c r="B629" t="inlineStr">
        <is>
          <t>2025-2026</t>
        </is>
      </c>
      <c r="C629" t="inlineStr">
        <is>
          <t>5</t>
        </is>
      </c>
      <c r="D629" t="inlineStr">
        <is>
          <t>Soins obstétricaux</t>
        </is>
      </c>
      <c r="E629" t="inlineStr">
        <is>
          <t>L3</t>
        </is>
      </c>
      <c r="F629" t="inlineStr">
        <is>
          <t>S.O</t>
        </is>
      </c>
      <c r="G629" t="inlineStr">
        <is>
          <t>S.I Stomatologies</t>
        </is>
      </c>
      <c r="H629" t="inlineStr">
        <is>
          <t>HALIMA ABDALLAH</t>
        </is>
      </c>
      <c r="I629" t="inlineStr"/>
      <c r="J629" t="inlineStr">
        <is>
          <t>Mercredi</t>
        </is>
      </c>
      <c r="K629" t="inlineStr">
        <is>
          <t>10h05</t>
        </is>
      </c>
      <c r="L629" t="inlineStr">
        <is>
          <t>12h05</t>
        </is>
      </c>
      <c r="N629" t="n">
        <v>2</v>
      </c>
    </row>
    <row r="630">
      <c r="A630" t="inlineStr">
        <is>
          <t>S628</t>
        </is>
      </c>
      <c r="B630" t="inlineStr">
        <is>
          <t>2025-2026</t>
        </is>
      </c>
      <c r="C630" t="inlineStr">
        <is>
          <t>5</t>
        </is>
      </c>
      <c r="D630" t="inlineStr">
        <is>
          <t>Soins obstétricaux</t>
        </is>
      </c>
      <c r="E630" t="inlineStr">
        <is>
          <t>L3</t>
        </is>
      </c>
      <c r="F630" t="inlineStr">
        <is>
          <t>S.O</t>
        </is>
      </c>
      <c r="G630" t="inlineStr">
        <is>
          <t>S.I en ORL</t>
        </is>
      </c>
      <c r="H630" t="inlineStr"/>
      <c r="I630" t="inlineStr"/>
      <c r="J630" t="inlineStr">
        <is>
          <t>Mercredi</t>
        </is>
      </c>
      <c r="K630" t="inlineStr">
        <is>
          <t>10h05</t>
        </is>
      </c>
      <c r="L630" t="inlineStr">
        <is>
          <t>12h05</t>
        </is>
      </c>
      <c r="N630" t="n">
        <v>2</v>
      </c>
    </row>
    <row r="631">
      <c r="A631" t="inlineStr">
        <is>
          <t>S629</t>
        </is>
      </c>
      <c r="B631" t="inlineStr">
        <is>
          <t>2025-2026</t>
        </is>
      </c>
      <c r="C631" t="inlineStr">
        <is>
          <t>5</t>
        </is>
      </c>
      <c r="D631" t="inlineStr">
        <is>
          <t>Soins obstétricaux</t>
        </is>
      </c>
      <c r="E631" t="inlineStr">
        <is>
          <t>L3</t>
        </is>
      </c>
      <c r="F631" t="inlineStr">
        <is>
          <t>S.O</t>
        </is>
      </c>
      <c r="G631" t="inlineStr">
        <is>
          <t>Santé sexuelle et reproductive et droit connexes</t>
        </is>
      </c>
      <c r="H631" t="inlineStr"/>
      <c r="I631" t="inlineStr"/>
      <c r="J631" t="inlineStr">
        <is>
          <t>Mercredi</t>
        </is>
      </c>
      <c r="K631" t="inlineStr">
        <is>
          <t>10h05</t>
        </is>
      </c>
      <c r="L631" t="inlineStr">
        <is>
          <t>12h05</t>
        </is>
      </c>
      <c r="N631" t="n">
        <v>4</v>
      </c>
    </row>
    <row r="632">
      <c r="A632" t="inlineStr">
        <is>
          <t>S630</t>
        </is>
      </c>
      <c r="B632" t="inlineStr">
        <is>
          <t>2025-2026</t>
        </is>
      </c>
      <c r="C632" t="inlineStr">
        <is>
          <t>5</t>
        </is>
      </c>
      <c r="D632" t="inlineStr">
        <is>
          <t>Soins obstétricaux</t>
        </is>
      </c>
      <c r="E632" t="inlineStr">
        <is>
          <t>L3</t>
        </is>
      </c>
      <c r="F632" t="inlineStr">
        <is>
          <t>S.O</t>
        </is>
      </c>
      <c r="G632" t="inlineStr">
        <is>
          <t>Urgences obstétricales</t>
        </is>
      </c>
      <c r="H632" t="inlineStr"/>
      <c r="I632" t="inlineStr"/>
      <c r="J632" t="inlineStr">
        <is>
          <t>Mercredi</t>
        </is>
      </c>
      <c r="K632" t="inlineStr">
        <is>
          <t>10h05</t>
        </is>
      </c>
      <c r="L632" t="inlineStr">
        <is>
          <t>12h05</t>
        </is>
      </c>
      <c r="N632" t="n">
        <v>2</v>
      </c>
    </row>
    <row r="633">
      <c r="A633" t="inlineStr">
        <is>
          <t>S631</t>
        </is>
      </c>
      <c r="B633" t="inlineStr">
        <is>
          <t>2025-2026</t>
        </is>
      </c>
      <c r="C633" t="inlineStr">
        <is>
          <t>5</t>
        </is>
      </c>
      <c r="D633" t="inlineStr">
        <is>
          <t>Soins obstétricaux</t>
        </is>
      </c>
      <c r="E633" t="inlineStr">
        <is>
          <t>L3</t>
        </is>
      </c>
      <c r="F633" t="inlineStr">
        <is>
          <t>S.O</t>
        </is>
      </c>
      <c r="G633" t="inlineStr">
        <is>
          <t>Cancerologie</t>
        </is>
      </c>
      <c r="H633" t="inlineStr">
        <is>
          <t>Dr Ahamada Widade</t>
        </is>
      </c>
      <c r="I633" t="inlineStr"/>
      <c r="J633" t="inlineStr">
        <is>
          <t>Mercredi</t>
        </is>
      </c>
      <c r="K633" t="inlineStr">
        <is>
          <t>13h00</t>
        </is>
      </c>
      <c r="L633" t="inlineStr">
        <is>
          <t>15h00</t>
        </is>
      </c>
      <c r="N633" t="n">
        <v>2</v>
      </c>
    </row>
    <row r="634">
      <c r="A634" t="inlineStr">
        <is>
          <t>S632</t>
        </is>
      </c>
      <c r="B634" t="inlineStr">
        <is>
          <t>2025-2026</t>
        </is>
      </c>
      <c r="C634" t="inlineStr">
        <is>
          <t>5</t>
        </is>
      </c>
      <c r="D634" t="inlineStr">
        <is>
          <t>Soins obstétricaux</t>
        </is>
      </c>
      <c r="E634" t="inlineStr">
        <is>
          <t>L3</t>
        </is>
      </c>
      <c r="F634" t="inlineStr">
        <is>
          <t>S.O</t>
        </is>
      </c>
      <c r="G634" t="inlineStr">
        <is>
          <t>Gestion des services de santé</t>
        </is>
      </c>
      <c r="H634" t="inlineStr">
        <is>
          <t>HALIMA ABDALLAH</t>
        </is>
      </c>
      <c r="I634" t="inlineStr"/>
      <c r="J634" t="inlineStr">
        <is>
          <t>Mercredi</t>
        </is>
      </c>
      <c r="K634" t="inlineStr">
        <is>
          <t>13h00</t>
        </is>
      </c>
      <c r="L634" t="inlineStr">
        <is>
          <t>15h00</t>
        </is>
      </c>
      <c r="N634" t="n">
        <v>2</v>
      </c>
    </row>
    <row r="635">
      <c r="A635" t="inlineStr">
        <is>
          <t>S633</t>
        </is>
      </c>
      <c r="B635" t="inlineStr">
        <is>
          <t>2025-2026</t>
        </is>
      </c>
      <c r="C635" t="inlineStr">
        <is>
          <t>5</t>
        </is>
      </c>
      <c r="D635" t="inlineStr">
        <is>
          <t>Soins obstétricaux</t>
        </is>
      </c>
      <c r="E635" t="inlineStr">
        <is>
          <t>L3</t>
        </is>
      </c>
      <c r="F635" t="inlineStr">
        <is>
          <t>S.O</t>
        </is>
      </c>
      <c r="G635" t="inlineStr">
        <is>
          <t>Psychologie</t>
        </is>
      </c>
      <c r="H635" t="inlineStr">
        <is>
          <t>Mme Houzaimata Ahamada</t>
        </is>
      </c>
      <c r="I635" t="inlineStr"/>
      <c r="J635" t="inlineStr">
        <is>
          <t>Mercredi</t>
        </is>
      </c>
      <c r="K635" t="inlineStr">
        <is>
          <t>13h00</t>
        </is>
      </c>
      <c r="L635" t="inlineStr">
        <is>
          <t>15h00</t>
        </is>
      </c>
      <c r="N635" t="n">
        <v>4</v>
      </c>
    </row>
    <row r="636">
      <c r="A636" t="inlineStr">
        <is>
          <t>S634</t>
        </is>
      </c>
      <c r="B636" t="inlineStr">
        <is>
          <t>2025-2026</t>
        </is>
      </c>
      <c r="C636" t="inlineStr">
        <is>
          <t>5</t>
        </is>
      </c>
      <c r="D636" t="inlineStr">
        <is>
          <t>Soins obstétricaux</t>
        </is>
      </c>
      <c r="E636" t="inlineStr">
        <is>
          <t>L3</t>
        </is>
      </c>
      <c r="F636" t="inlineStr">
        <is>
          <t>S.O</t>
        </is>
      </c>
      <c r="G636" t="inlineStr">
        <is>
          <t>S.I en oncologies</t>
        </is>
      </c>
      <c r="H636" t="inlineStr"/>
      <c r="I636" t="inlineStr"/>
      <c r="J636" t="inlineStr">
        <is>
          <t>Mercredi</t>
        </is>
      </c>
      <c r="K636" t="inlineStr">
        <is>
          <t>13h00</t>
        </is>
      </c>
      <c r="L636" t="inlineStr">
        <is>
          <t>15h00</t>
        </is>
      </c>
      <c r="N636" t="n">
        <v>2</v>
      </c>
    </row>
    <row r="637">
      <c r="A637" t="inlineStr">
        <is>
          <t>S635</t>
        </is>
      </c>
      <c r="B637" t="inlineStr">
        <is>
          <t>2025-2026</t>
        </is>
      </c>
      <c r="C637" t="inlineStr">
        <is>
          <t>5</t>
        </is>
      </c>
      <c r="D637" t="inlineStr">
        <is>
          <t>Soins obstétricaux</t>
        </is>
      </c>
      <c r="E637" t="inlineStr">
        <is>
          <t>L3</t>
        </is>
      </c>
      <c r="F637" t="inlineStr">
        <is>
          <t>S.O</t>
        </is>
      </c>
      <c r="G637" t="inlineStr">
        <is>
          <t>S.I endocrinilogie</t>
        </is>
      </c>
      <c r="H637" t="inlineStr"/>
      <c r="I637" t="inlineStr"/>
      <c r="J637" t="inlineStr">
        <is>
          <t>Mercredi</t>
        </is>
      </c>
      <c r="K637" t="inlineStr">
        <is>
          <t>13h00</t>
        </is>
      </c>
      <c r="L637" t="inlineStr">
        <is>
          <t>15h00</t>
        </is>
      </c>
      <c r="N637" t="n">
        <v>4</v>
      </c>
    </row>
    <row r="638">
      <c r="A638" t="inlineStr">
        <is>
          <t>S636</t>
        </is>
      </c>
      <c r="B638" t="inlineStr">
        <is>
          <t>2025-2026</t>
        </is>
      </c>
      <c r="C638" t="inlineStr">
        <is>
          <t>5</t>
        </is>
      </c>
      <c r="D638" t="inlineStr">
        <is>
          <t>Soins obstétricaux</t>
        </is>
      </c>
      <c r="E638" t="inlineStr">
        <is>
          <t>L3</t>
        </is>
      </c>
      <c r="F638" t="inlineStr">
        <is>
          <t>S.O</t>
        </is>
      </c>
      <c r="G638" t="inlineStr">
        <is>
          <t>Sociologie &amp; Athropologie</t>
        </is>
      </c>
      <c r="H638" t="inlineStr"/>
      <c r="I638" t="inlineStr"/>
      <c r="J638" t="inlineStr">
        <is>
          <t>Mercredi</t>
        </is>
      </c>
      <c r="K638" t="inlineStr">
        <is>
          <t>13h00</t>
        </is>
      </c>
      <c r="L638" t="inlineStr">
        <is>
          <t>15h00</t>
        </is>
      </c>
      <c r="N638" t="n">
        <v>4</v>
      </c>
    </row>
    <row r="639">
      <c r="A639" t="inlineStr">
        <is>
          <t>S637</t>
        </is>
      </c>
      <c r="B639" t="inlineStr">
        <is>
          <t>2025-2026</t>
        </is>
      </c>
      <c r="C639" t="inlineStr">
        <is>
          <t>5</t>
        </is>
      </c>
      <c r="D639" t="inlineStr">
        <is>
          <t>Soins obstétricaux</t>
        </is>
      </c>
      <c r="E639" t="inlineStr">
        <is>
          <t>L3</t>
        </is>
      </c>
      <c r="F639" t="inlineStr">
        <is>
          <t>S.O</t>
        </is>
      </c>
      <c r="G639" t="inlineStr">
        <is>
          <t>Stomatologie</t>
        </is>
      </c>
      <c r="H639" t="inlineStr"/>
      <c r="I639" t="inlineStr"/>
      <c r="J639" t="inlineStr">
        <is>
          <t>Mercredi</t>
        </is>
      </c>
      <c r="K639" t="inlineStr">
        <is>
          <t>13h00</t>
        </is>
      </c>
      <c r="L639" t="inlineStr">
        <is>
          <t>15h00</t>
        </is>
      </c>
      <c r="N639" t="n">
        <v>4</v>
      </c>
    </row>
    <row r="640">
      <c r="A640" t="inlineStr">
        <is>
          <t>S638</t>
        </is>
      </c>
      <c r="B640" t="inlineStr">
        <is>
          <t>2025-2026</t>
        </is>
      </c>
      <c r="C640" t="inlineStr">
        <is>
          <t>5</t>
        </is>
      </c>
      <c r="D640" t="inlineStr">
        <is>
          <t>Soins obstétricaux</t>
        </is>
      </c>
      <c r="E640" t="inlineStr">
        <is>
          <t>L3</t>
        </is>
      </c>
      <c r="F640" t="inlineStr">
        <is>
          <t>S.O</t>
        </is>
      </c>
      <c r="G640" t="inlineStr">
        <is>
          <t>TD Cancerologie</t>
        </is>
      </c>
      <c r="H640" t="inlineStr"/>
      <c r="I640" t="inlineStr"/>
      <c r="J640" t="inlineStr">
        <is>
          <t>Mercredi</t>
        </is>
      </c>
      <c r="K640" t="inlineStr">
        <is>
          <t>13h00</t>
        </is>
      </c>
      <c r="L640" t="inlineStr">
        <is>
          <t>15h00</t>
        </is>
      </c>
      <c r="N640" t="n">
        <v>2</v>
      </c>
    </row>
    <row r="641">
      <c r="A641" t="inlineStr">
        <is>
          <t>S639</t>
        </is>
      </c>
      <c r="B641" t="inlineStr">
        <is>
          <t>2025-2026</t>
        </is>
      </c>
      <c r="C641" t="inlineStr">
        <is>
          <t>5</t>
        </is>
      </c>
      <c r="D641" t="inlineStr">
        <is>
          <t>Soins obstétricaux</t>
        </is>
      </c>
      <c r="E641" t="inlineStr">
        <is>
          <t>L3</t>
        </is>
      </c>
      <c r="F641" t="inlineStr">
        <is>
          <t>S.O</t>
        </is>
      </c>
      <c r="G641" t="inlineStr">
        <is>
          <t>TD Sociologie &amp; Athropologie</t>
        </is>
      </c>
      <c r="H641" t="inlineStr"/>
      <c r="I641" t="inlineStr"/>
      <c r="J641" t="inlineStr">
        <is>
          <t>Mercredi</t>
        </is>
      </c>
      <c r="K641" t="inlineStr">
        <is>
          <t>13h00</t>
        </is>
      </c>
      <c r="L641" t="inlineStr">
        <is>
          <t>15h00</t>
        </is>
      </c>
      <c r="N641" t="n">
        <v>2</v>
      </c>
    </row>
    <row r="642">
      <c r="A642" t="inlineStr">
        <is>
          <t>S640</t>
        </is>
      </c>
      <c r="B642" t="inlineStr">
        <is>
          <t>2025-2026</t>
        </is>
      </c>
      <c r="C642" t="inlineStr">
        <is>
          <t>5</t>
        </is>
      </c>
      <c r="D642" t="inlineStr">
        <is>
          <t>Soins obstétricaux</t>
        </is>
      </c>
      <c r="E642" t="inlineStr">
        <is>
          <t>L3</t>
        </is>
      </c>
      <c r="F642" t="inlineStr">
        <is>
          <t>S.O</t>
        </is>
      </c>
      <c r="G642" t="inlineStr">
        <is>
          <t>TD Stomatologie</t>
        </is>
      </c>
      <c r="H642" t="inlineStr"/>
      <c r="I642" t="inlineStr"/>
      <c r="J642" t="inlineStr">
        <is>
          <t>Mercredi</t>
        </is>
      </c>
      <c r="K642" t="inlineStr">
        <is>
          <t>13h00</t>
        </is>
      </c>
      <c r="L642" t="inlineStr">
        <is>
          <t>15h00</t>
        </is>
      </c>
      <c r="N642" t="n">
        <v>2</v>
      </c>
    </row>
    <row r="643">
      <c r="A643" t="inlineStr">
        <is>
          <t>S641</t>
        </is>
      </c>
      <c r="B643" t="inlineStr">
        <is>
          <t>2025-2026</t>
        </is>
      </c>
      <c r="C643" t="inlineStr">
        <is>
          <t>5</t>
        </is>
      </c>
      <c r="D643" t="inlineStr">
        <is>
          <t>Soins obstétricaux</t>
        </is>
      </c>
      <c r="E643" t="inlineStr">
        <is>
          <t>L3</t>
        </is>
      </c>
      <c r="F643" t="inlineStr">
        <is>
          <t>S.O</t>
        </is>
      </c>
      <c r="G643" t="inlineStr">
        <is>
          <t>Imagerie médicale</t>
        </is>
      </c>
      <c r="H643" t="inlineStr"/>
      <c r="I643" t="inlineStr"/>
      <c r="J643" t="inlineStr">
        <is>
          <t>Mercredi</t>
        </is>
      </c>
      <c r="K643" t="inlineStr">
        <is>
          <t>15h05</t>
        </is>
      </c>
      <c r="L643" t="inlineStr">
        <is>
          <t>17h05</t>
        </is>
      </c>
      <c r="N643" t="n">
        <v>10</v>
      </c>
    </row>
    <row r="644">
      <c r="A644" t="inlineStr">
        <is>
          <t>S642</t>
        </is>
      </c>
      <c r="B644" t="inlineStr">
        <is>
          <t>2025-2026</t>
        </is>
      </c>
      <c r="C644" t="inlineStr">
        <is>
          <t>5</t>
        </is>
      </c>
      <c r="D644" t="inlineStr">
        <is>
          <t>Soins obstétricaux</t>
        </is>
      </c>
      <c r="E644" t="inlineStr">
        <is>
          <t>L3</t>
        </is>
      </c>
      <c r="F644" t="inlineStr">
        <is>
          <t>S.O</t>
        </is>
      </c>
      <c r="G644" t="inlineStr">
        <is>
          <t>Pharmacologie et thérapeutiques des pathologies spéciales</t>
        </is>
      </c>
      <c r="H644" t="inlineStr">
        <is>
          <t>Dr Youssouf Mahamoudou</t>
        </is>
      </c>
      <c r="I644" t="inlineStr"/>
      <c r="J644" t="inlineStr">
        <is>
          <t>Mercredi</t>
        </is>
      </c>
      <c r="K644" t="inlineStr">
        <is>
          <t>15h05</t>
        </is>
      </c>
      <c r="L644" t="inlineStr">
        <is>
          <t>17h05</t>
        </is>
      </c>
      <c r="N644" t="n">
        <v>18</v>
      </c>
    </row>
    <row r="645">
      <c r="A645" t="inlineStr">
        <is>
          <t>S643</t>
        </is>
      </c>
      <c r="B645" t="inlineStr">
        <is>
          <t>2025-2026</t>
        </is>
      </c>
      <c r="C645" t="inlineStr">
        <is>
          <t>5</t>
        </is>
      </c>
      <c r="D645" t="inlineStr">
        <is>
          <t>Soins obstétricaux</t>
        </is>
      </c>
      <c r="E645" t="inlineStr">
        <is>
          <t>L3</t>
        </is>
      </c>
      <c r="F645" t="inlineStr">
        <is>
          <t>S.O</t>
        </is>
      </c>
      <c r="G645" t="inlineStr">
        <is>
          <t>Pathologies ORL</t>
        </is>
      </c>
      <c r="H645" t="inlineStr"/>
      <c r="I645" t="inlineStr"/>
      <c r="J645" t="inlineStr">
        <is>
          <t>Mercredi</t>
        </is>
      </c>
      <c r="K645" t="inlineStr">
        <is>
          <t>8h00</t>
        </is>
      </c>
      <c r="L645" t="inlineStr">
        <is>
          <t>10h00</t>
        </is>
      </c>
      <c r="N645" t="n">
        <v>10</v>
      </c>
    </row>
    <row r="646">
      <c r="A646" t="inlineStr">
        <is>
          <t>S644</t>
        </is>
      </c>
      <c r="B646" t="inlineStr">
        <is>
          <t>2025-2026</t>
        </is>
      </c>
      <c r="C646" t="inlineStr">
        <is>
          <t>5</t>
        </is>
      </c>
      <c r="D646" t="inlineStr">
        <is>
          <t>Soins obstétricaux</t>
        </is>
      </c>
      <c r="E646" t="inlineStr">
        <is>
          <t>L3</t>
        </is>
      </c>
      <c r="F646" t="inlineStr">
        <is>
          <t>S.O</t>
        </is>
      </c>
      <c r="G646" t="inlineStr">
        <is>
          <t>S.I en ORL</t>
        </is>
      </c>
      <c r="H646" t="inlineStr"/>
      <c r="I646" t="inlineStr"/>
      <c r="J646" t="inlineStr">
        <is>
          <t>Mercredi</t>
        </is>
      </c>
      <c r="K646" t="inlineStr">
        <is>
          <t>8h00</t>
        </is>
      </c>
      <c r="L646" t="inlineStr">
        <is>
          <t>10h00</t>
        </is>
      </c>
      <c r="N646" t="n">
        <v>4</v>
      </c>
    </row>
    <row r="647">
      <c r="A647" t="inlineStr">
        <is>
          <t>S645</t>
        </is>
      </c>
      <c r="B647" t="inlineStr">
        <is>
          <t>2025-2026</t>
        </is>
      </c>
      <c r="C647" t="inlineStr">
        <is>
          <t>5</t>
        </is>
      </c>
      <c r="D647" t="inlineStr">
        <is>
          <t>Soins obstétricaux</t>
        </is>
      </c>
      <c r="E647" t="inlineStr">
        <is>
          <t>L3</t>
        </is>
      </c>
      <c r="F647" t="inlineStr">
        <is>
          <t>S.O</t>
        </is>
      </c>
      <c r="G647" t="inlineStr">
        <is>
          <t>TD Gestion des services de santé</t>
        </is>
      </c>
      <c r="H647" t="inlineStr"/>
      <c r="I647" t="inlineStr"/>
      <c r="J647" t="inlineStr">
        <is>
          <t>Mercredi</t>
        </is>
      </c>
      <c r="K647" t="inlineStr">
        <is>
          <t>8h00</t>
        </is>
      </c>
      <c r="L647" t="inlineStr">
        <is>
          <t>10h00</t>
        </is>
      </c>
      <c r="N647" t="n">
        <v>2</v>
      </c>
    </row>
    <row r="648">
      <c r="A648" t="inlineStr">
        <is>
          <t>S646</t>
        </is>
      </c>
      <c r="B648" t="inlineStr">
        <is>
          <t>2025-2026</t>
        </is>
      </c>
      <c r="C648" t="inlineStr">
        <is>
          <t>5</t>
        </is>
      </c>
      <c r="D648" t="inlineStr">
        <is>
          <t>Soins obstétricaux</t>
        </is>
      </c>
      <c r="E648" t="inlineStr">
        <is>
          <t>L3</t>
        </is>
      </c>
      <c r="F648" t="inlineStr">
        <is>
          <t>S.O</t>
        </is>
      </c>
      <c r="G648" t="inlineStr">
        <is>
          <t>Urgences obstétricales</t>
        </is>
      </c>
      <c r="H648" t="inlineStr"/>
      <c r="I648" t="inlineStr"/>
      <c r="J648" t="inlineStr">
        <is>
          <t>Mercredi</t>
        </is>
      </c>
      <c r="K648" t="inlineStr">
        <is>
          <t>8h00</t>
        </is>
      </c>
      <c r="L648" t="inlineStr">
        <is>
          <t>10h00</t>
        </is>
      </c>
      <c r="N648" t="n">
        <v>12</v>
      </c>
    </row>
  </sheetData>
  <autoFilter ref="A2:N300"/>
  <mergeCells count="1">
    <mergeCell ref="A1:N1"/>
  </mergeCells>
  <dataValidations count="1">
    <dataValidation sqref="J3:J300" showDropDown="0" showInputMessage="0" showErrorMessage="0" allowBlank="1" type="list" errorStyle="stop" operator="between">
      <formula1>"Lundi,Mardi,Mercredi,Jeudi,Vendredi,Samedi"</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8" customWidth="1" style="21" min="1" max="1"/>
    <col width="25" customWidth="1" style="21" min="2" max="2"/>
    <col width="24" customWidth="1" style="21" min="3" max="4"/>
    <col width="14" customWidth="1" style="21" min="5" max="5"/>
    <col width="23" customWidth="1" style="21" min="6" max="6"/>
    <col width="17" customWidth="1" style="21" min="7" max="7"/>
  </cols>
  <sheetData>
    <row r="1" ht="30" customHeight="1" s="22">
      <c r="A1" s="23" t="inlineStr">
        <is>
          <t>DOCUMENTS ETUDIANTS — ATTESTATIONS ET BULLETINS</t>
        </is>
      </c>
    </row>
    <row r="2" ht="31.5" customHeight="1" s="22">
      <c r="A2" s="28" t="inlineStr">
        <is>
          <t>Matricule (**)</t>
        </is>
      </c>
      <c r="B2" s="28" t="inlineStr">
        <is>
          <t>Type de document (**)</t>
        </is>
      </c>
      <c r="C2" s="28" t="inlineStr">
        <is>
          <t>Annee concernee (**)</t>
        </is>
      </c>
      <c r="D2" s="28" t="inlineStr">
        <is>
          <t>Date generation (**)</t>
        </is>
      </c>
      <c r="E2" s="28" t="inlineStr">
        <is>
          <t>Statut (*)</t>
        </is>
      </c>
      <c r="F2" s="28" t="inlineStr">
        <is>
          <t>Date liberation (*)</t>
        </is>
      </c>
      <c r="G2" s="28" t="inlineStr">
        <is>
          <t>Remis le (**)</t>
        </is>
      </c>
    </row>
    <row r="3" ht="15" customHeight="1" s="22">
      <c r="A3" s="29" t="n"/>
      <c r="B3" s="29" t="n"/>
      <c r="C3" s="29" t="n"/>
      <c r="D3" s="31" t="n"/>
      <c r="E3" s="29" t="n"/>
      <c r="F3" s="31" t="n"/>
      <c r="G3" s="31" t="n"/>
    </row>
    <row r="4" ht="15" customHeight="1" s="22">
      <c r="A4" s="29" t="n"/>
      <c r="B4" s="29" t="n"/>
      <c r="C4" s="29" t="n"/>
      <c r="D4" s="31" t="n"/>
      <c r="E4" s="29" t="n"/>
      <c r="F4" s="31" t="n"/>
      <c r="G4" s="31" t="n"/>
    </row>
    <row r="5" ht="15" customHeight="1" s="22">
      <c r="A5" s="29" t="n"/>
      <c r="B5" s="29" t="n"/>
      <c r="C5" s="29" t="n"/>
      <c r="D5" s="31" t="n"/>
      <c r="E5" s="29" t="n"/>
      <c r="F5" s="31" t="n"/>
      <c r="G5" s="31" t="n"/>
    </row>
    <row r="6" ht="15" customHeight="1" s="22">
      <c r="A6" s="29" t="n"/>
      <c r="B6" s="29" t="n"/>
      <c r="C6" s="29" t="n"/>
      <c r="D6" s="31" t="n"/>
      <c r="E6" s="29" t="n"/>
      <c r="F6" s="31" t="n"/>
      <c r="G6" s="31" t="n"/>
    </row>
    <row r="7" ht="15" customHeight="1" s="22">
      <c r="A7" s="29" t="n"/>
      <c r="B7" s="29" t="n"/>
      <c r="C7" s="29" t="n"/>
      <c r="D7" s="31" t="n"/>
      <c r="E7" s="29" t="n"/>
      <c r="F7" s="31" t="n"/>
      <c r="G7" s="31" t="n"/>
    </row>
    <row r="8" ht="15" customHeight="1" s="22">
      <c r="A8" s="29" t="n"/>
      <c r="B8" s="29" t="n"/>
      <c r="C8" s="29" t="n"/>
      <c r="D8" s="31" t="n"/>
      <c r="E8" s="29" t="n"/>
      <c r="F8" s="31" t="n"/>
      <c r="G8" s="31" t="n"/>
    </row>
    <row r="9" ht="15" customHeight="1" s="22">
      <c r="A9" s="29" t="n"/>
      <c r="B9" s="29" t="n"/>
      <c r="C9" s="29" t="n"/>
      <c r="D9" s="31" t="n"/>
      <c r="E9" s="29" t="n"/>
      <c r="F9" s="31" t="n"/>
      <c r="G9" s="31" t="n"/>
    </row>
    <row r="10" ht="15" customHeight="1" s="22">
      <c r="A10" s="29" t="n"/>
      <c r="B10" s="29" t="n"/>
      <c r="C10" s="29" t="n"/>
      <c r="D10" s="31" t="n"/>
      <c r="E10" s="29" t="n"/>
      <c r="F10" s="31" t="n"/>
      <c r="G10" s="31" t="n"/>
    </row>
    <row r="11" ht="15" customHeight="1" s="22">
      <c r="A11" s="29" t="n"/>
      <c r="B11" s="29" t="n"/>
      <c r="C11" s="29" t="n"/>
      <c r="D11" s="31" t="n"/>
      <c r="E11" s="29" t="n"/>
      <c r="F11" s="31" t="n"/>
      <c r="G11" s="31" t="n"/>
    </row>
    <row r="12" ht="15" customHeight="1" s="22">
      <c r="A12" s="29" t="n"/>
      <c r="B12" s="29" t="n"/>
      <c r="C12" s="29" t="n"/>
      <c r="D12" s="31" t="n"/>
      <c r="E12" s="29" t="n"/>
      <c r="F12" s="31" t="n"/>
      <c r="G12" s="31" t="n"/>
    </row>
    <row r="13" ht="15" customHeight="1" s="22">
      <c r="A13" s="29" t="n"/>
      <c r="B13" s="29" t="n"/>
      <c r="C13" s="29" t="n"/>
      <c r="D13" s="31" t="n"/>
      <c r="E13" s="29" t="n"/>
      <c r="F13" s="31" t="n"/>
      <c r="G13" s="31" t="n"/>
    </row>
    <row r="14" ht="15" customHeight="1" s="22">
      <c r="A14" s="29" t="n"/>
      <c r="B14" s="29" t="n"/>
      <c r="C14" s="29" t="n"/>
      <c r="D14" s="31" t="n"/>
      <c r="E14" s="29" t="n"/>
      <c r="F14" s="31" t="n"/>
      <c r="G14" s="31" t="n"/>
    </row>
    <row r="15" ht="15" customHeight="1" s="22">
      <c r="A15" s="29" t="n"/>
      <c r="B15" s="29" t="n"/>
      <c r="C15" s="29" t="n"/>
      <c r="D15" s="31" t="n"/>
      <c r="E15" s="29" t="n"/>
      <c r="F15" s="31" t="n"/>
      <c r="G15" s="31" t="n"/>
    </row>
    <row r="16" ht="15" customHeight="1" s="22">
      <c r="A16" s="29" t="n"/>
      <c r="B16" s="29" t="n"/>
      <c r="C16" s="29" t="n"/>
      <c r="D16" s="31" t="n"/>
      <c r="E16" s="29" t="n"/>
      <c r="F16" s="31" t="n"/>
      <c r="G16" s="31" t="n"/>
    </row>
    <row r="17" ht="15" customHeight="1" s="22">
      <c r="A17" s="29" t="n"/>
      <c r="B17" s="29" t="n"/>
      <c r="C17" s="29" t="n"/>
      <c r="D17" s="31" t="n"/>
      <c r="E17" s="29" t="n"/>
      <c r="F17" s="31" t="n"/>
      <c r="G17" s="31" t="n"/>
    </row>
    <row r="18" ht="15" customHeight="1" s="22">
      <c r="A18" s="29" t="n"/>
      <c r="B18" s="29" t="n"/>
      <c r="C18" s="29" t="n"/>
      <c r="D18" s="31" t="n"/>
      <c r="E18" s="29" t="n"/>
      <c r="F18" s="31" t="n"/>
      <c r="G18" s="31" t="n"/>
    </row>
    <row r="19" ht="15" customHeight="1" s="22">
      <c r="A19" s="29" t="n"/>
      <c r="B19" s="29" t="n"/>
      <c r="C19" s="29" t="n"/>
      <c r="D19" s="31" t="n"/>
      <c r="E19" s="29" t="n"/>
      <c r="F19" s="31" t="n"/>
      <c r="G19" s="31" t="n"/>
    </row>
    <row r="20" ht="15" customHeight="1" s="22">
      <c r="A20" s="29" t="n"/>
      <c r="B20" s="29" t="n"/>
      <c r="C20" s="29" t="n"/>
      <c r="D20" s="31" t="n"/>
      <c r="E20" s="29" t="n"/>
      <c r="F20" s="31" t="n"/>
      <c r="G20" s="31" t="n"/>
    </row>
    <row r="21" ht="15" customHeight="1" s="22">
      <c r="A21" s="29" t="n"/>
      <c r="B21" s="29" t="n"/>
      <c r="C21" s="29" t="n"/>
      <c r="D21" s="31" t="n"/>
      <c r="E21" s="29" t="n"/>
      <c r="F21" s="31" t="n"/>
      <c r="G21" s="31" t="n"/>
    </row>
    <row r="22" ht="15" customHeight="1" s="22">
      <c r="A22" s="29" t="n"/>
      <c r="B22" s="29" t="n"/>
      <c r="C22" s="29" t="n"/>
      <c r="D22" s="31" t="n"/>
      <c r="E22" s="29" t="n"/>
      <c r="F22" s="31" t="n"/>
      <c r="G22" s="31" t="n"/>
    </row>
    <row r="23" ht="15" customHeight="1" s="22">
      <c r="A23" s="29" t="n"/>
      <c r="B23" s="29" t="n"/>
      <c r="C23" s="29" t="n"/>
      <c r="D23" s="31" t="n"/>
      <c r="E23" s="29" t="n"/>
      <c r="F23" s="31" t="n"/>
      <c r="G23" s="31" t="n"/>
    </row>
    <row r="24" ht="15" customHeight="1" s="22">
      <c r="A24" s="29" t="n"/>
      <c r="B24" s="29" t="n"/>
      <c r="C24" s="29" t="n"/>
      <c r="D24" s="31" t="n"/>
      <c r="E24" s="29" t="n"/>
      <c r="F24" s="31" t="n"/>
      <c r="G24" s="31" t="n"/>
    </row>
    <row r="25" ht="15" customHeight="1" s="22">
      <c r="A25" s="29" t="n"/>
      <c r="B25" s="29" t="n"/>
      <c r="C25" s="29" t="n"/>
      <c r="D25" s="31" t="n"/>
      <c r="E25" s="29" t="n"/>
      <c r="F25" s="31" t="n"/>
      <c r="G25" s="31" t="n"/>
    </row>
    <row r="26" ht="15" customHeight="1" s="22">
      <c r="A26" s="29" t="n"/>
      <c r="B26" s="29" t="n"/>
      <c r="C26" s="29" t="n"/>
      <c r="D26" s="31" t="n"/>
      <c r="E26" s="29" t="n"/>
      <c r="F26" s="31" t="n"/>
      <c r="G26" s="31" t="n"/>
    </row>
    <row r="27" ht="15" customHeight="1" s="22">
      <c r="A27" s="29" t="n"/>
      <c r="B27" s="29" t="n"/>
      <c r="C27" s="29" t="n"/>
      <c r="D27" s="31" t="n"/>
      <c r="E27" s="29" t="n"/>
      <c r="F27" s="31" t="n"/>
      <c r="G27" s="31" t="n"/>
    </row>
    <row r="28" ht="15" customHeight="1" s="22">
      <c r="A28" s="29" t="n"/>
      <c r="B28" s="29" t="n"/>
      <c r="C28" s="29" t="n"/>
      <c r="D28" s="31" t="n"/>
      <c r="E28" s="29" t="n"/>
      <c r="F28" s="31" t="n"/>
      <c r="G28" s="31" t="n"/>
    </row>
    <row r="29" ht="15" customHeight="1" s="22">
      <c r="A29" s="29" t="n"/>
      <c r="B29" s="29" t="n"/>
      <c r="C29" s="29" t="n"/>
      <c r="D29" s="31" t="n"/>
      <c r="E29" s="29" t="n"/>
      <c r="F29" s="31" t="n"/>
      <c r="G29" s="31" t="n"/>
    </row>
    <row r="30" ht="15" customHeight="1" s="22">
      <c r="A30" s="29" t="n"/>
      <c r="B30" s="29" t="n"/>
      <c r="C30" s="29" t="n"/>
      <c r="D30" s="31" t="n"/>
      <c r="E30" s="29" t="n"/>
      <c r="F30" s="31" t="n"/>
      <c r="G30" s="31" t="n"/>
    </row>
    <row r="31" ht="15" customHeight="1" s="22">
      <c r="A31" s="29" t="n"/>
      <c r="B31" s="29" t="n"/>
      <c r="C31" s="29" t="n"/>
      <c r="D31" s="31" t="n"/>
      <c r="E31" s="29" t="n"/>
      <c r="F31" s="31" t="n"/>
      <c r="G31" s="31" t="n"/>
    </row>
    <row r="32" ht="15" customHeight="1" s="22">
      <c r="A32" s="29" t="n"/>
      <c r="B32" s="29" t="n"/>
      <c r="C32" s="29" t="n"/>
      <c r="D32" s="31" t="n"/>
      <c r="E32" s="29" t="n"/>
      <c r="F32" s="31" t="n"/>
      <c r="G32" s="31" t="n"/>
    </row>
    <row r="33" ht="15" customHeight="1" s="22">
      <c r="A33" s="29" t="n"/>
      <c r="B33" s="29" t="n"/>
      <c r="C33" s="29" t="n"/>
      <c r="D33" s="31" t="n"/>
      <c r="E33" s="29" t="n"/>
      <c r="F33" s="31" t="n"/>
      <c r="G33" s="31" t="n"/>
    </row>
    <row r="34" ht="15" customHeight="1" s="22">
      <c r="A34" s="29" t="n"/>
      <c r="B34" s="29" t="n"/>
      <c r="C34" s="29" t="n"/>
      <c r="D34" s="31" t="n"/>
      <c r="E34" s="29" t="n"/>
      <c r="F34" s="31" t="n"/>
      <c r="G34" s="31" t="n"/>
    </row>
    <row r="35" ht="15" customHeight="1" s="22">
      <c r="A35" s="29" t="n"/>
      <c r="B35" s="29" t="n"/>
      <c r="C35" s="29" t="n"/>
      <c r="D35" s="31" t="n"/>
      <c r="E35" s="29" t="n"/>
      <c r="F35" s="31" t="n"/>
      <c r="G35" s="31" t="n"/>
    </row>
    <row r="36" ht="15" customHeight="1" s="22">
      <c r="A36" s="29" t="n"/>
      <c r="B36" s="29" t="n"/>
      <c r="C36" s="29" t="n"/>
      <c r="D36" s="31" t="n"/>
      <c r="E36" s="29" t="n"/>
      <c r="F36" s="31" t="n"/>
      <c r="G36" s="31" t="n"/>
    </row>
    <row r="37" ht="15" customHeight="1" s="22">
      <c r="A37" s="29" t="n"/>
      <c r="B37" s="29" t="n"/>
      <c r="C37" s="29" t="n"/>
      <c r="D37" s="31" t="n"/>
      <c r="E37" s="29" t="n"/>
      <c r="F37" s="31" t="n"/>
      <c r="G37" s="31" t="n"/>
    </row>
    <row r="38" ht="15" customHeight="1" s="22">
      <c r="A38" s="29" t="n"/>
      <c r="B38" s="29" t="n"/>
      <c r="C38" s="29" t="n"/>
      <c r="D38" s="31" t="n"/>
      <c r="E38" s="29" t="n"/>
      <c r="F38" s="31" t="n"/>
      <c r="G38" s="31" t="n"/>
    </row>
    <row r="39" ht="15" customHeight="1" s="22">
      <c r="A39" s="29" t="n"/>
      <c r="B39" s="29" t="n"/>
      <c r="C39" s="29" t="n"/>
      <c r="D39" s="31" t="n"/>
      <c r="E39" s="29" t="n"/>
      <c r="F39" s="31" t="n"/>
      <c r="G39" s="31" t="n"/>
    </row>
    <row r="40" ht="15" customHeight="1" s="22">
      <c r="A40" s="29" t="n"/>
      <c r="B40" s="29" t="n"/>
      <c r="C40" s="29" t="n"/>
      <c r="D40" s="31" t="n"/>
      <c r="E40" s="29" t="n"/>
      <c r="F40" s="31" t="n"/>
      <c r="G40" s="31" t="n"/>
    </row>
    <row r="41" ht="15" customHeight="1" s="22">
      <c r="A41" s="29" t="n"/>
      <c r="B41" s="29" t="n"/>
      <c r="C41" s="29" t="n"/>
      <c r="D41" s="31" t="n"/>
      <c r="E41" s="29" t="n"/>
      <c r="F41" s="31" t="n"/>
      <c r="G41" s="31" t="n"/>
    </row>
    <row r="42" ht="15" customHeight="1" s="22">
      <c r="A42" s="29" t="n"/>
      <c r="B42" s="29" t="n"/>
      <c r="C42" s="29" t="n"/>
      <c r="D42" s="31" t="n"/>
      <c r="E42" s="29" t="n"/>
      <c r="F42" s="31" t="n"/>
      <c r="G42" s="31" t="n"/>
    </row>
    <row r="43" ht="15" customHeight="1" s="22">
      <c r="A43" s="29" t="n"/>
      <c r="B43" s="29" t="n"/>
      <c r="C43" s="29" t="n"/>
      <c r="D43" s="31" t="n"/>
      <c r="E43" s="29" t="n"/>
      <c r="F43" s="31" t="n"/>
      <c r="G43" s="31" t="n"/>
    </row>
    <row r="44" ht="15" customHeight="1" s="22">
      <c r="A44" s="29" t="n"/>
      <c r="B44" s="29" t="n"/>
      <c r="C44" s="29" t="n"/>
      <c r="D44" s="31" t="n"/>
      <c r="E44" s="29" t="n"/>
      <c r="F44" s="31" t="n"/>
      <c r="G44" s="31" t="n"/>
    </row>
    <row r="45" ht="15" customHeight="1" s="22">
      <c r="A45" s="29" t="n"/>
      <c r="B45" s="29" t="n"/>
      <c r="C45" s="29" t="n"/>
      <c r="D45" s="31" t="n"/>
      <c r="E45" s="29" t="n"/>
      <c r="F45" s="31" t="n"/>
      <c r="G45" s="31" t="n"/>
    </row>
    <row r="46" ht="15" customHeight="1" s="22">
      <c r="A46" s="29" t="n"/>
      <c r="B46" s="29" t="n"/>
      <c r="C46" s="29" t="n"/>
      <c r="D46" s="31" t="n"/>
      <c r="E46" s="29" t="n"/>
      <c r="F46" s="31" t="n"/>
      <c r="G46" s="31" t="n"/>
    </row>
    <row r="47" ht="15" customHeight="1" s="22">
      <c r="A47" s="29" t="n"/>
      <c r="B47" s="29" t="n"/>
      <c r="C47" s="29" t="n"/>
      <c r="D47" s="31" t="n"/>
      <c r="E47" s="29" t="n"/>
      <c r="F47" s="31" t="n"/>
      <c r="G47" s="31" t="n"/>
    </row>
    <row r="48" ht="15" customHeight="1" s="22">
      <c r="A48" s="29" t="n"/>
      <c r="B48" s="29" t="n"/>
      <c r="C48" s="29" t="n"/>
      <c r="D48" s="31" t="n"/>
      <c r="E48" s="29" t="n"/>
      <c r="F48" s="31" t="n"/>
      <c r="G48" s="31" t="n"/>
    </row>
    <row r="49" ht="15" customHeight="1" s="22">
      <c r="A49" s="29" t="n"/>
      <c r="B49" s="29" t="n"/>
      <c r="C49" s="29" t="n"/>
      <c r="D49" s="31" t="n"/>
      <c r="E49" s="29" t="n"/>
      <c r="F49" s="31" t="n"/>
      <c r="G49" s="31" t="n"/>
    </row>
    <row r="50" ht="15" customHeight="1" s="22">
      <c r="A50" s="29" t="n"/>
      <c r="B50" s="29" t="n"/>
      <c r="C50" s="29" t="n"/>
      <c r="D50" s="31" t="n"/>
      <c r="E50" s="29" t="n"/>
      <c r="F50" s="31" t="n"/>
      <c r="G50" s="31" t="n"/>
    </row>
    <row r="51" ht="15" customHeight="1" s="22">
      <c r="A51" s="29" t="n"/>
      <c r="B51" s="29" t="n"/>
      <c r="C51" s="29" t="n"/>
      <c r="D51" s="31" t="n"/>
      <c r="E51" s="29" t="n"/>
      <c r="F51" s="31" t="n"/>
      <c r="G51" s="31" t="n"/>
    </row>
    <row r="52" ht="15" customHeight="1" s="22">
      <c r="A52" s="29" t="n"/>
      <c r="B52" s="29" t="n"/>
      <c r="C52" s="29" t="n"/>
      <c r="D52" s="31" t="n"/>
      <c r="E52" s="29" t="n"/>
      <c r="F52" s="31" t="n"/>
      <c r="G52" s="31" t="n"/>
    </row>
    <row r="53" ht="15" customHeight="1" s="22">
      <c r="A53" s="29" t="n"/>
      <c r="B53" s="29" t="n"/>
      <c r="C53" s="29" t="n"/>
      <c r="D53" s="31" t="n"/>
      <c r="E53" s="29" t="n"/>
      <c r="F53" s="31" t="n"/>
      <c r="G53" s="31" t="n"/>
    </row>
    <row r="54" ht="15" customHeight="1" s="22">
      <c r="A54" s="29" t="n"/>
      <c r="B54" s="29" t="n"/>
      <c r="C54" s="29" t="n"/>
      <c r="D54" s="31" t="n"/>
      <c r="E54" s="29" t="n"/>
      <c r="F54" s="31" t="n"/>
      <c r="G54" s="31" t="n"/>
    </row>
    <row r="55" ht="15" customHeight="1" s="22">
      <c r="A55" s="29" t="n"/>
      <c r="B55" s="29" t="n"/>
      <c r="C55" s="29" t="n"/>
      <c r="D55" s="31" t="n"/>
      <c r="E55" s="29" t="n"/>
      <c r="F55" s="31" t="n"/>
      <c r="G55" s="31" t="n"/>
    </row>
    <row r="56" ht="15" customHeight="1" s="22">
      <c r="A56" s="29" t="n"/>
      <c r="B56" s="29" t="n"/>
      <c r="C56" s="29" t="n"/>
      <c r="D56" s="31" t="n"/>
      <c r="E56" s="29" t="n"/>
      <c r="F56" s="31" t="n"/>
      <c r="G56" s="31" t="n"/>
    </row>
    <row r="57" ht="15" customHeight="1" s="22">
      <c r="A57" s="29" t="n"/>
      <c r="B57" s="29" t="n"/>
      <c r="C57" s="29" t="n"/>
      <c r="D57" s="31" t="n"/>
      <c r="E57" s="29" t="n"/>
      <c r="F57" s="31" t="n"/>
      <c r="G57" s="31" t="n"/>
    </row>
    <row r="58" ht="15" customHeight="1" s="22">
      <c r="A58" s="29" t="n"/>
      <c r="B58" s="29" t="n"/>
      <c r="C58" s="29" t="n"/>
      <c r="D58" s="31" t="n"/>
      <c r="E58" s="29" t="n"/>
      <c r="F58" s="31" t="n"/>
      <c r="G58" s="31" t="n"/>
    </row>
    <row r="59" ht="15" customHeight="1" s="22">
      <c r="A59" s="29" t="n"/>
      <c r="B59" s="29" t="n"/>
      <c r="C59" s="29" t="n"/>
      <c r="D59" s="31" t="n"/>
      <c r="E59" s="29" t="n"/>
      <c r="F59" s="31" t="n"/>
      <c r="G59" s="31" t="n"/>
    </row>
    <row r="60" ht="15" customHeight="1" s="22">
      <c r="A60" s="29" t="n"/>
      <c r="B60" s="29" t="n"/>
      <c r="C60" s="29" t="n"/>
      <c r="D60" s="31" t="n"/>
      <c r="E60" s="29" t="n"/>
      <c r="F60" s="31" t="n"/>
      <c r="G60" s="31" t="n"/>
    </row>
    <row r="61" ht="15" customHeight="1" s="22">
      <c r="A61" s="29" t="n"/>
      <c r="B61" s="29" t="n"/>
      <c r="C61" s="29" t="n"/>
      <c r="D61" s="31" t="n"/>
      <c r="E61" s="29" t="n"/>
      <c r="F61" s="31" t="n"/>
      <c r="G61" s="31" t="n"/>
    </row>
    <row r="62" ht="15" customHeight="1" s="22">
      <c r="A62" s="29" t="n"/>
      <c r="B62" s="29" t="n"/>
      <c r="C62" s="29" t="n"/>
      <c r="D62" s="31" t="n"/>
      <c r="E62" s="29" t="n"/>
      <c r="F62" s="31" t="n"/>
      <c r="G62" s="31" t="n"/>
    </row>
    <row r="63" ht="15" customHeight="1" s="22">
      <c r="A63" s="29" t="n"/>
      <c r="B63" s="29" t="n"/>
      <c r="C63" s="29" t="n"/>
      <c r="D63" s="31" t="n"/>
      <c r="E63" s="29" t="n"/>
      <c r="F63" s="31" t="n"/>
      <c r="G63" s="31" t="n"/>
    </row>
    <row r="64" ht="15" customHeight="1" s="22">
      <c r="A64" s="29" t="n"/>
      <c r="B64" s="29" t="n"/>
      <c r="C64" s="29" t="n"/>
      <c r="D64" s="31" t="n"/>
      <c r="E64" s="29" t="n"/>
      <c r="F64" s="31" t="n"/>
      <c r="G64" s="31" t="n"/>
    </row>
    <row r="65" ht="15" customHeight="1" s="22">
      <c r="A65" s="29" t="n"/>
      <c r="B65" s="29" t="n"/>
      <c r="C65" s="29" t="n"/>
      <c r="D65" s="31" t="n"/>
      <c r="E65" s="29" t="n"/>
      <c r="F65" s="31" t="n"/>
      <c r="G65" s="31" t="n"/>
    </row>
    <row r="66" ht="15" customHeight="1" s="22">
      <c r="A66" s="29" t="n"/>
      <c r="B66" s="29" t="n"/>
      <c r="C66" s="29" t="n"/>
      <c r="D66" s="31" t="n"/>
      <c r="E66" s="29" t="n"/>
      <c r="F66" s="31" t="n"/>
      <c r="G66" s="31" t="n"/>
    </row>
    <row r="67" ht="15" customHeight="1" s="22">
      <c r="A67" s="29" t="n"/>
      <c r="B67" s="29" t="n"/>
      <c r="C67" s="29" t="n"/>
      <c r="D67" s="31" t="n"/>
      <c r="E67" s="29" t="n"/>
      <c r="F67" s="31" t="n"/>
      <c r="G67" s="31" t="n"/>
    </row>
    <row r="68" ht="15" customHeight="1" s="22">
      <c r="A68" s="29" t="n"/>
      <c r="B68" s="29" t="n"/>
      <c r="C68" s="29" t="n"/>
      <c r="D68" s="31" t="n"/>
      <c r="E68" s="29" t="n"/>
      <c r="F68" s="31" t="n"/>
      <c r="G68" s="31" t="n"/>
    </row>
    <row r="69" ht="15" customHeight="1" s="22">
      <c r="A69" s="29" t="n"/>
      <c r="B69" s="29" t="n"/>
      <c r="C69" s="29" t="n"/>
      <c r="D69" s="31" t="n"/>
      <c r="E69" s="29" t="n"/>
      <c r="F69" s="31" t="n"/>
      <c r="G69" s="31" t="n"/>
    </row>
    <row r="70" ht="15" customHeight="1" s="22">
      <c r="A70" s="29" t="n"/>
      <c r="B70" s="29" t="n"/>
      <c r="C70" s="29" t="n"/>
      <c r="D70" s="31" t="n"/>
      <c r="E70" s="29" t="n"/>
      <c r="F70" s="31" t="n"/>
      <c r="G70" s="31" t="n"/>
    </row>
    <row r="71" ht="15" customHeight="1" s="22">
      <c r="A71" s="29" t="n"/>
      <c r="B71" s="29" t="n"/>
      <c r="C71" s="29" t="n"/>
      <c r="D71" s="31" t="n"/>
      <c r="E71" s="29" t="n"/>
      <c r="F71" s="31" t="n"/>
      <c r="G71" s="31" t="n"/>
    </row>
    <row r="72" ht="15" customHeight="1" s="22">
      <c r="A72" s="29" t="n"/>
      <c r="B72" s="29" t="n"/>
      <c r="C72" s="29" t="n"/>
      <c r="D72" s="31" t="n"/>
      <c r="E72" s="29" t="n"/>
      <c r="F72" s="31" t="n"/>
      <c r="G72" s="31" t="n"/>
    </row>
    <row r="73" ht="15" customHeight="1" s="22">
      <c r="A73" s="29" t="n"/>
      <c r="B73" s="29" t="n"/>
      <c r="C73" s="29" t="n"/>
      <c r="D73" s="31" t="n"/>
      <c r="E73" s="29" t="n"/>
      <c r="F73" s="31" t="n"/>
      <c r="G73" s="31" t="n"/>
    </row>
    <row r="74" ht="15" customHeight="1" s="22">
      <c r="A74" s="29" t="n"/>
      <c r="B74" s="29" t="n"/>
      <c r="C74" s="29" t="n"/>
      <c r="D74" s="31" t="n"/>
      <c r="E74" s="29" t="n"/>
      <c r="F74" s="31" t="n"/>
      <c r="G74" s="31" t="n"/>
    </row>
    <row r="75" ht="15" customHeight="1" s="22">
      <c r="A75" s="29" t="n"/>
      <c r="B75" s="29" t="n"/>
      <c r="C75" s="29" t="n"/>
      <c r="D75" s="31" t="n"/>
      <c r="E75" s="29" t="n"/>
      <c r="F75" s="31" t="n"/>
      <c r="G75" s="31" t="n"/>
    </row>
    <row r="76" ht="15" customHeight="1" s="22">
      <c r="A76" s="29" t="n"/>
      <c r="B76" s="29" t="n"/>
      <c r="C76" s="29" t="n"/>
      <c r="D76" s="31" t="n"/>
      <c r="E76" s="29" t="n"/>
      <c r="F76" s="31" t="n"/>
      <c r="G76" s="31" t="n"/>
    </row>
    <row r="77" ht="15" customHeight="1" s="22">
      <c r="A77" s="29" t="n"/>
      <c r="B77" s="29" t="n"/>
      <c r="C77" s="29" t="n"/>
      <c r="D77" s="31" t="n"/>
      <c r="E77" s="29" t="n"/>
      <c r="F77" s="31" t="n"/>
      <c r="G77" s="31" t="n"/>
    </row>
    <row r="78" ht="15" customHeight="1" s="22">
      <c r="A78" s="29" t="n"/>
      <c r="B78" s="29" t="n"/>
      <c r="C78" s="29" t="n"/>
      <c r="D78" s="31" t="n"/>
      <c r="E78" s="29" t="n"/>
      <c r="F78" s="31" t="n"/>
      <c r="G78" s="31" t="n"/>
    </row>
    <row r="79" ht="15" customHeight="1" s="22">
      <c r="A79" s="29" t="n"/>
      <c r="B79" s="29" t="n"/>
      <c r="C79" s="29" t="n"/>
      <c r="D79" s="31" t="n"/>
      <c r="E79" s="29" t="n"/>
      <c r="F79" s="31" t="n"/>
      <c r="G79" s="31" t="n"/>
    </row>
    <row r="80" ht="15" customHeight="1" s="22">
      <c r="A80" s="29" t="n"/>
      <c r="B80" s="29" t="n"/>
      <c r="C80" s="29" t="n"/>
      <c r="D80" s="31" t="n"/>
      <c r="E80" s="29" t="n"/>
      <c r="F80" s="31" t="n"/>
      <c r="G80" s="31" t="n"/>
    </row>
    <row r="81" ht="15" customHeight="1" s="22">
      <c r="A81" s="29" t="n"/>
      <c r="B81" s="29" t="n"/>
      <c r="C81" s="29" t="n"/>
      <c r="D81" s="31" t="n"/>
      <c r="E81" s="29" t="n"/>
      <c r="F81" s="31" t="n"/>
      <c r="G81" s="31" t="n"/>
    </row>
    <row r="82" ht="15" customHeight="1" s="22">
      <c r="A82" s="29" t="n"/>
      <c r="B82" s="29" t="n"/>
      <c r="C82" s="29" t="n"/>
      <c r="D82" s="31" t="n"/>
      <c r="E82" s="29" t="n"/>
      <c r="F82" s="31" t="n"/>
      <c r="G82" s="31" t="n"/>
    </row>
    <row r="83" ht="15" customHeight="1" s="22">
      <c r="A83" s="29" t="n"/>
      <c r="B83" s="29" t="n"/>
      <c r="C83" s="29" t="n"/>
      <c r="D83" s="31" t="n"/>
      <c r="E83" s="29" t="n"/>
      <c r="F83" s="31" t="n"/>
      <c r="G83" s="31" t="n"/>
    </row>
    <row r="84" ht="15" customHeight="1" s="22">
      <c r="A84" s="29" t="n"/>
      <c r="B84" s="29" t="n"/>
      <c r="C84" s="29" t="n"/>
      <c r="D84" s="31" t="n"/>
      <c r="E84" s="29" t="n"/>
      <c r="F84" s="31" t="n"/>
      <c r="G84" s="31" t="n"/>
    </row>
    <row r="85" ht="15" customHeight="1" s="22">
      <c r="A85" s="29" t="n"/>
      <c r="B85" s="29" t="n"/>
      <c r="C85" s="29" t="n"/>
      <c r="D85" s="31" t="n"/>
      <c r="E85" s="29" t="n"/>
      <c r="F85" s="31" t="n"/>
      <c r="G85" s="31" t="n"/>
    </row>
    <row r="86" ht="15" customHeight="1" s="22">
      <c r="A86" s="29" t="n"/>
      <c r="B86" s="29" t="n"/>
      <c r="C86" s="29" t="n"/>
      <c r="D86" s="31" t="n"/>
      <c r="E86" s="29" t="n"/>
      <c r="F86" s="31" t="n"/>
      <c r="G86" s="31" t="n"/>
    </row>
    <row r="87" ht="15" customHeight="1" s="22">
      <c r="A87" s="29" t="n"/>
      <c r="B87" s="29" t="n"/>
      <c r="C87" s="29" t="n"/>
      <c r="D87" s="31" t="n"/>
      <c r="E87" s="29" t="n"/>
      <c r="F87" s="31" t="n"/>
      <c r="G87" s="31" t="n"/>
    </row>
    <row r="88" ht="15" customHeight="1" s="22">
      <c r="A88" s="29" t="n"/>
      <c r="B88" s="29" t="n"/>
      <c r="C88" s="29" t="n"/>
      <c r="D88" s="31" t="n"/>
      <c r="E88" s="29" t="n"/>
      <c r="F88" s="31" t="n"/>
      <c r="G88" s="31" t="n"/>
    </row>
    <row r="89" ht="15" customHeight="1" s="22">
      <c r="A89" s="29" t="n"/>
      <c r="B89" s="29" t="n"/>
      <c r="C89" s="29" t="n"/>
      <c r="D89" s="31" t="n"/>
      <c r="E89" s="29" t="n"/>
      <c r="F89" s="31" t="n"/>
      <c r="G89" s="31" t="n"/>
    </row>
    <row r="90" ht="15" customHeight="1" s="22">
      <c r="A90" s="29" t="n"/>
      <c r="B90" s="29" t="n"/>
      <c r="C90" s="29" t="n"/>
      <c r="D90" s="31" t="n"/>
      <c r="E90" s="29" t="n"/>
      <c r="F90" s="31" t="n"/>
      <c r="G90" s="31" t="n"/>
    </row>
    <row r="91" ht="15" customHeight="1" s="22">
      <c r="A91" s="29" t="n"/>
      <c r="B91" s="29" t="n"/>
      <c r="C91" s="29" t="n"/>
      <c r="D91" s="31" t="n"/>
      <c r="E91" s="29" t="n"/>
      <c r="F91" s="31" t="n"/>
      <c r="G91" s="31" t="n"/>
    </row>
    <row r="92" ht="15" customHeight="1" s="22">
      <c r="A92" s="29" t="n"/>
      <c r="B92" s="29" t="n"/>
      <c r="C92" s="29" t="n"/>
      <c r="D92" s="31" t="n"/>
      <c r="E92" s="29" t="n"/>
      <c r="F92" s="31" t="n"/>
      <c r="G92" s="31" t="n"/>
    </row>
    <row r="93" ht="15" customHeight="1" s="22">
      <c r="A93" s="29" t="n"/>
      <c r="B93" s="29" t="n"/>
      <c r="C93" s="29" t="n"/>
      <c r="D93" s="31" t="n"/>
      <c r="E93" s="29" t="n"/>
      <c r="F93" s="31" t="n"/>
      <c r="G93" s="31" t="n"/>
    </row>
    <row r="94" ht="15" customHeight="1" s="22">
      <c r="A94" s="29" t="n"/>
      <c r="B94" s="29" t="n"/>
      <c r="C94" s="29" t="n"/>
      <c r="D94" s="31" t="n"/>
      <c r="E94" s="29" t="n"/>
      <c r="F94" s="31" t="n"/>
      <c r="G94" s="31" t="n"/>
    </row>
    <row r="95" ht="15" customHeight="1" s="22">
      <c r="A95" s="29" t="n"/>
      <c r="B95" s="29" t="n"/>
      <c r="C95" s="29" t="n"/>
      <c r="D95" s="31" t="n"/>
      <c r="E95" s="29" t="n"/>
      <c r="F95" s="31" t="n"/>
      <c r="G95" s="31" t="n"/>
    </row>
    <row r="96" ht="15" customHeight="1" s="22">
      <c r="A96" s="29" t="n"/>
      <c r="B96" s="29" t="n"/>
      <c r="C96" s="29" t="n"/>
      <c r="D96" s="31" t="n"/>
      <c r="E96" s="29" t="n"/>
      <c r="F96" s="31" t="n"/>
      <c r="G96" s="31" t="n"/>
    </row>
    <row r="97" ht="15" customHeight="1" s="22">
      <c r="A97" s="29" t="n"/>
      <c r="B97" s="29" t="n"/>
      <c r="C97" s="29" t="n"/>
      <c r="D97" s="31" t="n"/>
      <c r="E97" s="29" t="n"/>
      <c r="F97" s="31" t="n"/>
      <c r="G97" s="31" t="n"/>
    </row>
    <row r="98" ht="15" customHeight="1" s="22">
      <c r="A98" s="29" t="n"/>
      <c r="B98" s="29" t="n"/>
      <c r="C98" s="29" t="n"/>
      <c r="D98" s="31" t="n"/>
      <c r="E98" s="29" t="n"/>
      <c r="F98" s="31" t="n"/>
      <c r="G98" s="31" t="n"/>
    </row>
    <row r="99" ht="15" customHeight="1" s="22">
      <c r="A99" s="29" t="n"/>
      <c r="B99" s="29" t="n"/>
      <c r="C99" s="29" t="n"/>
      <c r="D99" s="31" t="n"/>
      <c r="E99" s="29" t="n"/>
      <c r="F99" s="31" t="n"/>
      <c r="G99" s="31" t="n"/>
    </row>
    <row r="100" ht="15" customHeight="1" s="22">
      <c r="A100" s="29" t="n"/>
      <c r="B100" s="29" t="n"/>
      <c r="C100" s="29" t="n"/>
      <c r="D100" s="31" t="n"/>
      <c r="E100" s="29" t="n"/>
      <c r="F100" s="31" t="n"/>
      <c r="G100" s="31" t="n"/>
    </row>
    <row r="101" ht="15" customHeight="1" s="22">
      <c r="A101" s="29" t="n"/>
      <c r="B101" s="29" t="n"/>
      <c r="C101" s="29" t="n"/>
      <c r="D101" s="31" t="n"/>
      <c r="E101" s="29" t="n"/>
      <c r="F101" s="31" t="n"/>
      <c r="G101" s="31" t="n"/>
    </row>
    <row r="102" ht="15" customHeight="1" s="22">
      <c r="A102" s="29" t="n"/>
      <c r="B102" s="29" t="n"/>
      <c r="C102" s="29" t="n"/>
      <c r="D102" s="31" t="n"/>
      <c r="E102" s="29" t="n"/>
      <c r="F102" s="31" t="n"/>
      <c r="G102" s="31" t="n"/>
    </row>
    <row r="103" ht="15" customHeight="1" s="22">
      <c r="A103" s="29" t="n"/>
      <c r="B103" s="29" t="n"/>
      <c r="C103" s="29" t="n"/>
      <c r="D103" s="31" t="n"/>
      <c r="E103" s="29" t="n"/>
      <c r="F103" s="31" t="n"/>
      <c r="G103" s="31" t="n"/>
    </row>
    <row r="104" ht="15" customHeight="1" s="22">
      <c r="A104" s="29" t="n"/>
      <c r="B104" s="29" t="n"/>
      <c r="C104" s="29" t="n"/>
      <c r="D104" s="31" t="n"/>
      <c r="E104" s="29" t="n"/>
      <c r="F104" s="31" t="n"/>
      <c r="G104" s="31" t="n"/>
    </row>
    <row r="105" ht="15" customHeight="1" s="22">
      <c r="A105" s="29" t="n"/>
      <c r="B105" s="29" t="n"/>
      <c r="C105" s="29" t="n"/>
      <c r="D105" s="31" t="n"/>
      <c r="E105" s="29" t="n"/>
      <c r="F105" s="31" t="n"/>
      <c r="G105" s="31" t="n"/>
    </row>
    <row r="106" ht="15" customHeight="1" s="22">
      <c r="A106" s="29" t="n"/>
      <c r="B106" s="29" t="n"/>
      <c r="C106" s="29" t="n"/>
      <c r="D106" s="31" t="n"/>
      <c r="E106" s="29" t="n"/>
      <c r="F106" s="31" t="n"/>
      <c r="G106" s="31" t="n"/>
    </row>
    <row r="107" ht="15" customHeight="1" s="22">
      <c r="A107" s="29" t="n"/>
      <c r="B107" s="29" t="n"/>
      <c r="C107" s="29" t="n"/>
      <c r="D107" s="31" t="n"/>
      <c r="E107" s="29" t="n"/>
      <c r="F107" s="31" t="n"/>
      <c r="G107" s="31" t="n"/>
    </row>
    <row r="108" ht="15" customHeight="1" s="22">
      <c r="A108" s="29" t="n"/>
      <c r="B108" s="29" t="n"/>
      <c r="C108" s="29" t="n"/>
      <c r="D108" s="31" t="n"/>
      <c r="E108" s="29" t="n"/>
      <c r="F108" s="31" t="n"/>
      <c r="G108" s="31" t="n"/>
    </row>
    <row r="109" ht="15" customHeight="1" s="22">
      <c r="A109" s="29" t="n"/>
      <c r="B109" s="29" t="n"/>
      <c r="C109" s="29" t="n"/>
      <c r="D109" s="31" t="n"/>
      <c r="E109" s="29" t="n"/>
      <c r="F109" s="31" t="n"/>
      <c r="G109" s="31" t="n"/>
    </row>
    <row r="110" ht="15" customHeight="1" s="22">
      <c r="A110" s="29" t="n"/>
      <c r="B110" s="29" t="n"/>
      <c r="C110" s="29" t="n"/>
      <c r="D110" s="31" t="n"/>
      <c r="E110" s="29" t="n"/>
      <c r="F110" s="31" t="n"/>
      <c r="G110" s="31" t="n"/>
    </row>
    <row r="111" ht="15" customHeight="1" s="22">
      <c r="A111" s="29" t="n"/>
      <c r="B111" s="29" t="n"/>
      <c r="C111" s="29" t="n"/>
      <c r="D111" s="31" t="n"/>
      <c r="E111" s="29" t="n"/>
      <c r="F111" s="31" t="n"/>
      <c r="G111" s="31" t="n"/>
    </row>
    <row r="112" ht="15" customHeight="1" s="22">
      <c r="A112" s="29" t="n"/>
      <c r="B112" s="29" t="n"/>
      <c r="C112" s="29" t="n"/>
      <c r="D112" s="31" t="n"/>
      <c r="E112" s="29" t="n"/>
      <c r="F112" s="31" t="n"/>
      <c r="G112" s="31" t="n"/>
    </row>
    <row r="113" ht="15" customHeight="1" s="22">
      <c r="A113" s="29" t="n"/>
      <c r="B113" s="29" t="n"/>
      <c r="C113" s="29" t="n"/>
      <c r="D113" s="31" t="n"/>
      <c r="E113" s="29" t="n"/>
      <c r="F113" s="31" t="n"/>
      <c r="G113" s="31" t="n"/>
    </row>
    <row r="114" ht="15" customHeight="1" s="22">
      <c r="A114" s="29" t="n"/>
      <c r="B114" s="29" t="n"/>
      <c r="C114" s="29" t="n"/>
      <c r="D114" s="31" t="n"/>
      <c r="E114" s="29" t="n"/>
      <c r="F114" s="31" t="n"/>
      <c r="G114" s="31" t="n"/>
    </row>
    <row r="115" ht="15" customHeight="1" s="22">
      <c r="A115" s="29" t="n"/>
      <c r="B115" s="29" t="n"/>
      <c r="C115" s="29" t="n"/>
      <c r="D115" s="31" t="n"/>
      <c r="E115" s="29" t="n"/>
      <c r="F115" s="31" t="n"/>
      <c r="G115" s="31" t="n"/>
    </row>
    <row r="116" ht="15" customHeight="1" s="22">
      <c r="A116" s="29" t="n"/>
      <c r="B116" s="29" t="n"/>
      <c r="C116" s="29" t="n"/>
      <c r="D116" s="31" t="n"/>
      <c r="E116" s="29" t="n"/>
      <c r="F116" s="31" t="n"/>
      <c r="G116" s="31" t="n"/>
    </row>
    <row r="117" ht="15" customHeight="1" s="22">
      <c r="A117" s="29" t="n"/>
      <c r="B117" s="29" t="n"/>
      <c r="C117" s="29" t="n"/>
      <c r="D117" s="31" t="n"/>
      <c r="E117" s="29" t="n"/>
      <c r="F117" s="31" t="n"/>
      <c r="G117" s="31" t="n"/>
    </row>
    <row r="118" ht="15" customHeight="1" s="22">
      <c r="A118" s="29" t="n"/>
      <c r="B118" s="29" t="n"/>
      <c r="C118" s="29" t="n"/>
      <c r="D118" s="31" t="n"/>
      <c r="E118" s="29" t="n"/>
      <c r="F118" s="31" t="n"/>
      <c r="G118" s="31" t="n"/>
    </row>
    <row r="119" ht="15" customHeight="1" s="22">
      <c r="A119" s="29" t="n"/>
      <c r="B119" s="29" t="n"/>
      <c r="C119" s="29" t="n"/>
      <c r="D119" s="31" t="n"/>
      <c r="E119" s="29" t="n"/>
      <c r="F119" s="31" t="n"/>
      <c r="G119" s="31" t="n"/>
    </row>
    <row r="120" ht="15" customHeight="1" s="22">
      <c r="A120" s="29" t="n"/>
      <c r="B120" s="29" t="n"/>
      <c r="C120" s="29" t="n"/>
      <c r="D120" s="31" t="n"/>
      <c r="E120" s="29" t="n"/>
      <c r="F120" s="31" t="n"/>
      <c r="G120" s="31" t="n"/>
    </row>
    <row r="121" ht="15" customHeight="1" s="22">
      <c r="A121" s="29" t="n"/>
      <c r="B121" s="29" t="n"/>
      <c r="C121" s="29" t="n"/>
      <c r="D121" s="31" t="n"/>
      <c r="E121" s="29" t="n"/>
      <c r="F121" s="31" t="n"/>
      <c r="G121" s="31" t="n"/>
    </row>
    <row r="122" ht="15" customHeight="1" s="22">
      <c r="A122" s="29" t="n"/>
      <c r="B122" s="29" t="n"/>
      <c r="C122" s="29" t="n"/>
      <c r="D122" s="31" t="n"/>
      <c r="E122" s="29" t="n"/>
      <c r="F122" s="31" t="n"/>
      <c r="G122" s="31" t="n"/>
    </row>
    <row r="123" ht="15" customHeight="1" s="22">
      <c r="A123" s="29" t="n"/>
      <c r="B123" s="29" t="n"/>
      <c r="C123" s="29" t="n"/>
      <c r="D123" s="31" t="n"/>
      <c r="E123" s="29" t="n"/>
      <c r="F123" s="31" t="n"/>
      <c r="G123" s="31" t="n"/>
    </row>
    <row r="124" ht="15" customHeight="1" s="22">
      <c r="A124" s="29" t="n"/>
      <c r="B124" s="29" t="n"/>
      <c r="C124" s="29" t="n"/>
      <c r="D124" s="31" t="n"/>
      <c r="E124" s="29" t="n"/>
      <c r="F124" s="31" t="n"/>
      <c r="G124" s="31" t="n"/>
    </row>
    <row r="125" ht="15" customHeight="1" s="22">
      <c r="A125" s="29" t="n"/>
      <c r="B125" s="29" t="n"/>
      <c r="C125" s="29" t="n"/>
      <c r="D125" s="31" t="n"/>
      <c r="E125" s="29" t="n"/>
      <c r="F125" s="31" t="n"/>
      <c r="G125" s="31" t="n"/>
    </row>
    <row r="126" ht="15" customHeight="1" s="22">
      <c r="A126" s="29" t="n"/>
      <c r="B126" s="29" t="n"/>
      <c r="C126" s="29" t="n"/>
      <c r="D126" s="31" t="n"/>
      <c r="E126" s="29" t="n"/>
      <c r="F126" s="31" t="n"/>
      <c r="G126" s="31" t="n"/>
    </row>
    <row r="127" ht="15" customHeight="1" s="22">
      <c r="A127" s="29" t="n"/>
      <c r="B127" s="29" t="n"/>
      <c r="C127" s="29" t="n"/>
      <c r="D127" s="31" t="n"/>
      <c r="E127" s="29" t="n"/>
      <c r="F127" s="31" t="n"/>
      <c r="G127" s="31" t="n"/>
    </row>
    <row r="128" ht="15" customHeight="1" s="22">
      <c r="A128" s="29" t="n"/>
      <c r="B128" s="29" t="n"/>
      <c r="C128" s="29" t="n"/>
      <c r="D128" s="31" t="n"/>
      <c r="E128" s="29" t="n"/>
      <c r="F128" s="31" t="n"/>
      <c r="G128" s="31" t="n"/>
    </row>
    <row r="129" ht="15" customHeight="1" s="22">
      <c r="A129" s="29" t="n"/>
      <c r="B129" s="29" t="n"/>
      <c r="C129" s="29" t="n"/>
      <c r="D129" s="31" t="n"/>
      <c r="E129" s="29" t="n"/>
      <c r="F129" s="31" t="n"/>
      <c r="G129" s="31" t="n"/>
    </row>
    <row r="130" ht="15" customHeight="1" s="22">
      <c r="A130" s="29" t="n"/>
      <c r="B130" s="29" t="n"/>
      <c r="C130" s="29" t="n"/>
      <c r="D130" s="31" t="n"/>
      <c r="E130" s="29" t="n"/>
      <c r="F130" s="31" t="n"/>
      <c r="G130" s="31" t="n"/>
    </row>
    <row r="131" ht="15" customHeight="1" s="22">
      <c r="A131" s="29" t="n"/>
      <c r="B131" s="29" t="n"/>
      <c r="C131" s="29" t="n"/>
      <c r="D131" s="31" t="n"/>
      <c r="E131" s="29" t="n"/>
      <c r="F131" s="31" t="n"/>
      <c r="G131" s="31" t="n"/>
    </row>
    <row r="132" ht="15" customHeight="1" s="22">
      <c r="A132" s="29" t="n"/>
      <c r="B132" s="29" t="n"/>
      <c r="C132" s="29" t="n"/>
      <c r="D132" s="31" t="n"/>
      <c r="E132" s="29" t="n"/>
      <c r="F132" s="31" t="n"/>
      <c r="G132" s="31" t="n"/>
    </row>
    <row r="133" ht="15" customHeight="1" s="22">
      <c r="A133" s="29" t="n"/>
      <c r="B133" s="29" t="n"/>
      <c r="C133" s="29" t="n"/>
      <c r="D133" s="31" t="n"/>
      <c r="E133" s="29" t="n"/>
      <c r="F133" s="31" t="n"/>
      <c r="G133" s="31" t="n"/>
    </row>
    <row r="134" ht="15" customHeight="1" s="22">
      <c r="A134" s="29" t="n"/>
      <c r="B134" s="29" t="n"/>
      <c r="C134" s="29" t="n"/>
      <c r="D134" s="31" t="n"/>
      <c r="E134" s="29" t="n"/>
      <c r="F134" s="31" t="n"/>
      <c r="G134" s="31" t="n"/>
    </row>
    <row r="135" ht="15" customHeight="1" s="22">
      <c r="A135" s="29" t="n"/>
      <c r="B135" s="29" t="n"/>
      <c r="C135" s="29" t="n"/>
      <c r="D135" s="31" t="n"/>
      <c r="E135" s="29" t="n"/>
      <c r="F135" s="31" t="n"/>
      <c r="G135" s="31" t="n"/>
    </row>
    <row r="136" ht="15" customHeight="1" s="22">
      <c r="A136" s="29" t="n"/>
      <c r="B136" s="29" t="n"/>
      <c r="C136" s="29" t="n"/>
      <c r="D136" s="31" t="n"/>
      <c r="E136" s="29" t="n"/>
      <c r="F136" s="31" t="n"/>
      <c r="G136" s="31" t="n"/>
    </row>
    <row r="137" ht="15" customHeight="1" s="22">
      <c r="A137" s="29" t="n"/>
      <c r="B137" s="29" t="n"/>
      <c r="C137" s="29" t="n"/>
      <c r="D137" s="31" t="n"/>
      <c r="E137" s="29" t="n"/>
      <c r="F137" s="31" t="n"/>
      <c r="G137" s="31" t="n"/>
    </row>
    <row r="138" ht="15" customHeight="1" s="22">
      <c r="A138" s="29" t="n"/>
      <c r="B138" s="29" t="n"/>
      <c r="C138" s="29" t="n"/>
      <c r="D138" s="31" t="n"/>
      <c r="E138" s="29" t="n"/>
      <c r="F138" s="31" t="n"/>
      <c r="G138" s="31" t="n"/>
    </row>
    <row r="139" ht="15" customHeight="1" s="22">
      <c r="A139" s="29" t="n"/>
      <c r="B139" s="29" t="n"/>
      <c r="C139" s="29" t="n"/>
      <c r="D139" s="31" t="n"/>
      <c r="E139" s="29" t="n"/>
      <c r="F139" s="31" t="n"/>
      <c r="G139" s="31" t="n"/>
    </row>
    <row r="140" ht="15" customHeight="1" s="22">
      <c r="A140" s="29" t="n"/>
      <c r="B140" s="29" t="n"/>
      <c r="C140" s="29" t="n"/>
      <c r="D140" s="31" t="n"/>
      <c r="E140" s="29" t="n"/>
      <c r="F140" s="31" t="n"/>
      <c r="G140" s="31" t="n"/>
    </row>
    <row r="141" ht="15" customHeight="1" s="22">
      <c r="A141" s="29" t="n"/>
      <c r="B141" s="29" t="n"/>
      <c r="C141" s="29" t="n"/>
      <c r="D141" s="31" t="n"/>
      <c r="E141" s="29" t="n"/>
      <c r="F141" s="31" t="n"/>
      <c r="G141" s="31" t="n"/>
    </row>
    <row r="142" ht="15" customHeight="1" s="22">
      <c r="A142" s="29" t="n"/>
      <c r="B142" s="29" t="n"/>
      <c r="C142" s="29" t="n"/>
      <c r="D142" s="31" t="n"/>
      <c r="E142" s="29" t="n"/>
      <c r="F142" s="31" t="n"/>
      <c r="G142" s="31" t="n"/>
    </row>
    <row r="143" ht="15" customHeight="1" s="22">
      <c r="A143" s="29" t="n"/>
      <c r="B143" s="29" t="n"/>
      <c r="C143" s="29" t="n"/>
      <c r="D143" s="31" t="n"/>
      <c r="E143" s="29" t="n"/>
      <c r="F143" s="31" t="n"/>
      <c r="G143" s="31" t="n"/>
    </row>
    <row r="144" ht="15" customHeight="1" s="22">
      <c r="A144" s="29" t="n"/>
      <c r="B144" s="29" t="n"/>
      <c r="C144" s="29" t="n"/>
      <c r="D144" s="31" t="n"/>
      <c r="E144" s="29" t="n"/>
      <c r="F144" s="31" t="n"/>
      <c r="G144" s="31" t="n"/>
    </row>
    <row r="145" ht="15" customHeight="1" s="22">
      <c r="A145" s="29" t="n"/>
      <c r="B145" s="29" t="n"/>
      <c r="C145" s="29" t="n"/>
      <c r="D145" s="31" t="n"/>
      <c r="E145" s="29" t="n"/>
      <c r="F145" s="31" t="n"/>
      <c r="G145" s="31" t="n"/>
    </row>
    <row r="146" ht="15" customHeight="1" s="22">
      <c r="A146" s="29" t="n"/>
      <c r="B146" s="29" t="n"/>
      <c r="C146" s="29" t="n"/>
      <c r="D146" s="31" t="n"/>
      <c r="E146" s="29" t="n"/>
      <c r="F146" s="31" t="n"/>
      <c r="G146" s="31" t="n"/>
    </row>
    <row r="147" ht="15" customHeight="1" s="22">
      <c r="A147" s="29" t="n"/>
      <c r="B147" s="29" t="n"/>
      <c r="C147" s="29" t="n"/>
      <c r="D147" s="31" t="n"/>
      <c r="E147" s="29" t="n"/>
      <c r="F147" s="31" t="n"/>
      <c r="G147" s="31" t="n"/>
    </row>
    <row r="148" ht="15" customHeight="1" s="22">
      <c r="A148" s="29" t="n"/>
      <c r="B148" s="29" t="n"/>
      <c r="C148" s="29" t="n"/>
      <c r="D148" s="31" t="n"/>
      <c r="E148" s="29" t="n"/>
      <c r="F148" s="31" t="n"/>
      <c r="G148" s="31" t="n"/>
    </row>
    <row r="149" ht="15" customHeight="1" s="22">
      <c r="A149" s="29" t="n"/>
      <c r="B149" s="29" t="n"/>
      <c r="C149" s="29" t="n"/>
      <c r="D149" s="31" t="n"/>
      <c r="E149" s="29" t="n"/>
      <c r="F149" s="31" t="n"/>
      <c r="G149" s="31" t="n"/>
    </row>
    <row r="150" ht="15" customHeight="1" s="22">
      <c r="A150" s="29" t="n"/>
      <c r="B150" s="29" t="n"/>
      <c r="C150" s="29" t="n"/>
      <c r="D150" s="31" t="n"/>
      <c r="E150" s="29" t="n"/>
      <c r="F150" s="31" t="n"/>
      <c r="G150" s="31" t="n"/>
    </row>
    <row r="151" ht="15" customHeight="1" s="22">
      <c r="A151" s="29" t="n"/>
      <c r="B151" s="29" t="n"/>
      <c r="C151" s="29" t="n"/>
      <c r="D151" s="31" t="n"/>
      <c r="E151" s="29" t="n"/>
      <c r="F151" s="31" t="n"/>
      <c r="G151" s="31" t="n"/>
    </row>
    <row r="152" ht="15" customHeight="1" s="22">
      <c r="A152" s="29" t="n"/>
      <c r="B152" s="29" t="n"/>
      <c r="C152" s="29" t="n"/>
      <c r="D152" s="31" t="n"/>
      <c r="E152" s="29" t="n"/>
      <c r="F152" s="31" t="n"/>
      <c r="G152" s="31" t="n"/>
    </row>
    <row r="153" ht="15" customHeight="1" s="22">
      <c r="A153" s="29" t="n"/>
      <c r="B153" s="29" t="n"/>
      <c r="C153" s="29" t="n"/>
      <c r="D153" s="31" t="n"/>
      <c r="E153" s="29" t="n"/>
      <c r="F153" s="31" t="n"/>
      <c r="G153" s="31" t="n"/>
    </row>
    <row r="154" ht="15" customHeight="1" s="22">
      <c r="A154" s="29" t="n"/>
      <c r="B154" s="29" t="n"/>
      <c r="C154" s="29" t="n"/>
      <c r="D154" s="31" t="n"/>
      <c r="E154" s="29" t="n"/>
      <c r="F154" s="31" t="n"/>
      <c r="G154" s="31" t="n"/>
    </row>
    <row r="155" ht="15" customHeight="1" s="22">
      <c r="A155" s="29" t="n"/>
      <c r="B155" s="29" t="n"/>
      <c r="C155" s="29" t="n"/>
      <c r="D155" s="31" t="n"/>
      <c r="E155" s="29" t="n"/>
      <c r="F155" s="31" t="n"/>
      <c r="G155" s="31" t="n"/>
    </row>
    <row r="156" ht="15" customHeight="1" s="22">
      <c r="A156" s="29" t="n"/>
      <c r="B156" s="29" t="n"/>
      <c r="C156" s="29" t="n"/>
      <c r="D156" s="31" t="n"/>
      <c r="E156" s="29" t="n"/>
      <c r="F156" s="31" t="n"/>
      <c r="G156" s="31" t="n"/>
    </row>
    <row r="157" ht="15" customHeight="1" s="22">
      <c r="A157" s="29" t="n"/>
      <c r="B157" s="29" t="n"/>
      <c r="C157" s="29" t="n"/>
      <c r="D157" s="31" t="n"/>
      <c r="E157" s="29" t="n"/>
      <c r="F157" s="31" t="n"/>
      <c r="G157" s="31" t="n"/>
    </row>
    <row r="158" ht="15" customHeight="1" s="22">
      <c r="A158" s="29" t="n"/>
      <c r="B158" s="29" t="n"/>
      <c r="C158" s="29" t="n"/>
      <c r="D158" s="31" t="n"/>
      <c r="E158" s="29" t="n"/>
      <c r="F158" s="31" t="n"/>
      <c r="G158" s="31" t="n"/>
    </row>
    <row r="159" ht="15" customHeight="1" s="22">
      <c r="A159" s="29" t="n"/>
      <c r="B159" s="29" t="n"/>
      <c r="C159" s="29" t="n"/>
      <c r="D159" s="31" t="n"/>
      <c r="E159" s="29" t="n"/>
      <c r="F159" s="31" t="n"/>
      <c r="G159" s="31" t="n"/>
    </row>
    <row r="160" ht="15" customHeight="1" s="22">
      <c r="A160" s="29" t="n"/>
      <c r="B160" s="29" t="n"/>
      <c r="C160" s="29" t="n"/>
      <c r="D160" s="31" t="n"/>
      <c r="E160" s="29" t="n"/>
      <c r="F160" s="31" t="n"/>
      <c r="G160" s="31" t="n"/>
    </row>
    <row r="161" ht="15" customHeight="1" s="22">
      <c r="A161" s="29" t="n"/>
      <c r="B161" s="29" t="n"/>
      <c r="C161" s="29" t="n"/>
      <c r="D161" s="31" t="n"/>
      <c r="E161" s="29" t="n"/>
      <c r="F161" s="31" t="n"/>
      <c r="G161" s="31" t="n"/>
    </row>
    <row r="162" ht="15" customHeight="1" s="22">
      <c r="A162" s="29" t="n"/>
      <c r="B162" s="29" t="n"/>
      <c r="C162" s="29" t="n"/>
      <c r="D162" s="31" t="n"/>
      <c r="E162" s="29" t="n"/>
      <c r="F162" s="31" t="n"/>
      <c r="G162" s="31" t="n"/>
    </row>
    <row r="163" ht="15" customHeight="1" s="22">
      <c r="A163" s="29" t="n"/>
      <c r="B163" s="29" t="n"/>
      <c r="C163" s="29" t="n"/>
      <c r="D163" s="31" t="n"/>
      <c r="E163" s="29" t="n"/>
      <c r="F163" s="31" t="n"/>
      <c r="G163" s="31" t="n"/>
    </row>
    <row r="164" ht="15" customHeight="1" s="22">
      <c r="A164" s="29" t="n"/>
      <c r="B164" s="29" t="n"/>
      <c r="C164" s="29" t="n"/>
      <c r="D164" s="31" t="n"/>
      <c r="E164" s="29" t="n"/>
      <c r="F164" s="31" t="n"/>
      <c r="G164" s="31" t="n"/>
    </row>
    <row r="165" ht="15" customHeight="1" s="22">
      <c r="A165" s="29" t="n"/>
      <c r="B165" s="29" t="n"/>
      <c r="C165" s="29" t="n"/>
      <c r="D165" s="31" t="n"/>
      <c r="E165" s="29" t="n"/>
      <c r="F165" s="31" t="n"/>
      <c r="G165" s="31" t="n"/>
    </row>
    <row r="166" ht="15" customHeight="1" s="22">
      <c r="A166" s="29" t="n"/>
      <c r="B166" s="29" t="n"/>
      <c r="C166" s="29" t="n"/>
      <c r="D166" s="31" t="n"/>
      <c r="E166" s="29" t="n"/>
      <c r="F166" s="31" t="n"/>
      <c r="G166" s="31" t="n"/>
    </row>
    <row r="167" ht="15" customHeight="1" s="22">
      <c r="A167" s="29" t="n"/>
      <c r="B167" s="29" t="n"/>
      <c r="C167" s="29" t="n"/>
      <c r="D167" s="31" t="n"/>
      <c r="E167" s="29" t="n"/>
      <c r="F167" s="31" t="n"/>
      <c r="G167" s="31" t="n"/>
    </row>
    <row r="168" ht="15" customHeight="1" s="22">
      <c r="A168" s="29" t="n"/>
      <c r="B168" s="29" t="n"/>
      <c r="C168" s="29" t="n"/>
      <c r="D168" s="31" t="n"/>
      <c r="E168" s="29" t="n"/>
      <c r="F168" s="31" t="n"/>
      <c r="G168" s="31" t="n"/>
    </row>
    <row r="169" ht="15" customHeight="1" s="22">
      <c r="A169" s="29" t="n"/>
      <c r="B169" s="29" t="n"/>
      <c r="C169" s="29" t="n"/>
      <c r="D169" s="31" t="n"/>
      <c r="E169" s="29" t="n"/>
      <c r="F169" s="31" t="n"/>
      <c r="G169" s="31" t="n"/>
    </row>
    <row r="170" ht="15" customHeight="1" s="22">
      <c r="A170" s="29" t="n"/>
      <c r="B170" s="29" t="n"/>
      <c r="C170" s="29" t="n"/>
      <c r="D170" s="31" t="n"/>
      <c r="E170" s="29" t="n"/>
      <c r="F170" s="31" t="n"/>
      <c r="G170" s="31" t="n"/>
    </row>
    <row r="171" ht="15" customHeight="1" s="22">
      <c r="A171" s="29" t="n"/>
      <c r="B171" s="29" t="n"/>
      <c r="C171" s="29" t="n"/>
      <c r="D171" s="31" t="n"/>
      <c r="E171" s="29" t="n"/>
      <c r="F171" s="31" t="n"/>
      <c r="G171" s="31" t="n"/>
    </row>
    <row r="172" ht="15" customHeight="1" s="22">
      <c r="A172" s="29" t="n"/>
      <c r="B172" s="29" t="n"/>
      <c r="C172" s="29" t="n"/>
      <c r="D172" s="31" t="n"/>
      <c r="E172" s="29" t="n"/>
      <c r="F172" s="31" t="n"/>
      <c r="G172" s="31" t="n"/>
    </row>
    <row r="173" ht="15" customHeight="1" s="22">
      <c r="A173" s="29" t="n"/>
      <c r="B173" s="29" t="n"/>
      <c r="C173" s="29" t="n"/>
      <c r="D173" s="31" t="n"/>
      <c r="E173" s="29" t="n"/>
      <c r="F173" s="31" t="n"/>
      <c r="G173" s="31" t="n"/>
    </row>
    <row r="174" ht="15" customHeight="1" s="22">
      <c r="A174" s="29" t="n"/>
      <c r="B174" s="29" t="n"/>
      <c r="C174" s="29" t="n"/>
      <c r="D174" s="31" t="n"/>
      <c r="E174" s="29" t="n"/>
      <c r="F174" s="31" t="n"/>
      <c r="G174" s="31" t="n"/>
    </row>
    <row r="175" ht="15" customHeight="1" s="22">
      <c r="A175" s="29" t="n"/>
      <c r="B175" s="29" t="n"/>
      <c r="C175" s="29" t="n"/>
      <c r="D175" s="31" t="n"/>
      <c r="E175" s="29" t="n"/>
      <c r="F175" s="31" t="n"/>
      <c r="G175" s="31" t="n"/>
    </row>
    <row r="176" ht="15" customHeight="1" s="22">
      <c r="A176" s="29" t="n"/>
      <c r="B176" s="29" t="n"/>
      <c r="C176" s="29" t="n"/>
      <c r="D176" s="31" t="n"/>
      <c r="E176" s="29" t="n"/>
      <c r="F176" s="31" t="n"/>
      <c r="G176" s="31" t="n"/>
    </row>
    <row r="177" ht="15" customHeight="1" s="22">
      <c r="A177" s="29" t="n"/>
      <c r="B177" s="29" t="n"/>
      <c r="C177" s="29" t="n"/>
      <c r="D177" s="31" t="n"/>
      <c r="E177" s="29" t="n"/>
      <c r="F177" s="31" t="n"/>
      <c r="G177" s="31" t="n"/>
    </row>
    <row r="178" ht="15" customHeight="1" s="22">
      <c r="A178" s="29" t="n"/>
      <c r="B178" s="29" t="n"/>
      <c r="C178" s="29" t="n"/>
      <c r="D178" s="31" t="n"/>
      <c r="E178" s="29" t="n"/>
      <c r="F178" s="31" t="n"/>
      <c r="G178" s="31" t="n"/>
    </row>
    <row r="179" ht="15" customHeight="1" s="22">
      <c r="A179" s="29" t="n"/>
      <c r="B179" s="29" t="n"/>
      <c r="C179" s="29" t="n"/>
      <c r="D179" s="31" t="n"/>
      <c r="E179" s="29" t="n"/>
      <c r="F179" s="31" t="n"/>
      <c r="G179" s="31" t="n"/>
    </row>
    <row r="180" ht="15" customHeight="1" s="22">
      <c r="A180" s="29" t="n"/>
      <c r="B180" s="29" t="n"/>
      <c r="C180" s="29" t="n"/>
      <c r="D180" s="31" t="n"/>
      <c r="E180" s="29" t="n"/>
      <c r="F180" s="31" t="n"/>
      <c r="G180" s="31" t="n"/>
    </row>
    <row r="181" ht="15" customHeight="1" s="22">
      <c r="A181" s="29" t="n"/>
      <c r="B181" s="29" t="n"/>
      <c r="C181" s="29" t="n"/>
      <c r="D181" s="31" t="n"/>
      <c r="E181" s="29" t="n"/>
      <c r="F181" s="31" t="n"/>
      <c r="G181" s="31" t="n"/>
    </row>
    <row r="182" ht="15" customHeight="1" s="22">
      <c r="A182" s="29" t="n"/>
      <c r="B182" s="29" t="n"/>
      <c r="C182" s="29" t="n"/>
      <c r="D182" s="31" t="n"/>
      <c r="E182" s="29" t="n"/>
      <c r="F182" s="31" t="n"/>
      <c r="G182" s="31" t="n"/>
    </row>
    <row r="183" ht="15" customHeight="1" s="22">
      <c r="A183" s="29" t="n"/>
      <c r="B183" s="29" t="n"/>
      <c r="C183" s="29" t="n"/>
      <c r="D183" s="31" t="n"/>
      <c r="E183" s="29" t="n"/>
      <c r="F183" s="31" t="n"/>
      <c r="G183" s="31" t="n"/>
    </row>
    <row r="184" ht="15" customHeight="1" s="22">
      <c r="A184" s="29" t="n"/>
      <c r="B184" s="29" t="n"/>
      <c r="C184" s="29" t="n"/>
      <c r="D184" s="31" t="n"/>
      <c r="E184" s="29" t="n"/>
      <c r="F184" s="31" t="n"/>
      <c r="G184" s="31" t="n"/>
    </row>
    <row r="185" ht="15" customHeight="1" s="22">
      <c r="A185" s="29" t="n"/>
      <c r="B185" s="29" t="n"/>
      <c r="C185" s="29" t="n"/>
      <c r="D185" s="31" t="n"/>
      <c r="E185" s="29" t="n"/>
      <c r="F185" s="31" t="n"/>
      <c r="G185" s="31" t="n"/>
    </row>
    <row r="186" ht="15" customHeight="1" s="22">
      <c r="A186" s="29" t="n"/>
      <c r="B186" s="29" t="n"/>
      <c r="C186" s="29" t="n"/>
      <c r="D186" s="31" t="n"/>
      <c r="E186" s="29" t="n"/>
      <c r="F186" s="31" t="n"/>
      <c r="G186" s="31" t="n"/>
    </row>
    <row r="187" ht="15" customHeight="1" s="22">
      <c r="A187" s="29" t="n"/>
      <c r="B187" s="29" t="n"/>
      <c r="C187" s="29" t="n"/>
      <c r="D187" s="31" t="n"/>
      <c r="E187" s="29" t="n"/>
      <c r="F187" s="31" t="n"/>
      <c r="G187" s="31" t="n"/>
    </row>
    <row r="188" ht="15" customHeight="1" s="22">
      <c r="A188" s="29" t="n"/>
      <c r="B188" s="29" t="n"/>
      <c r="C188" s="29" t="n"/>
      <c r="D188" s="31" t="n"/>
      <c r="E188" s="29" t="n"/>
      <c r="F188" s="31" t="n"/>
      <c r="G188" s="31" t="n"/>
    </row>
    <row r="189" ht="15" customHeight="1" s="22">
      <c r="A189" s="29" t="n"/>
      <c r="B189" s="29" t="n"/>
      <c r="C189" s="29" t="n"/>
      <c r="D189" s="31" t="n"/>
      <c r="E189" s="29" t="n"/>
      <c r="F189" s="31" t="n"/>
      <c r="G189" s="31" t="n"/>
    </row>
    <row r="190" ht="15" customHeight="1" s="22">
      <c r="A190" s="29" t="n"/>
      <c r="B190" s="29" t="n"/>
      <c r="C190" s="29" t="n"/>
      <c r="D190" s="31" t="n"/>
      <c r="E190" s="29" t="n"/>
      <c r="F190" s="31" t="n"/>
      <c r="G190" s="31" t="n"/>
    </row>
    <row r="191" ht="15" customHeight="1" s="22">
      <c r="A191" s="29" t="n"/>
      <c r="B191" s="29" t="n"/>
      <c r="C191" s="29" t="n"/>
      <c r="D191" s="31" t="n"/>
      <c r="E191" s="29" t="n"/>
      <c r="F191" s="31" t="n"/>
      <c r="G191" s="31" t="n"/>
    </row>
    <row r="192" ht="15" customHeight="1" s="22">
      <c r="A192" s="29" t="n"/>
      <c r="B192" s="29" t="n"/>
      <c r="C192" s="29" t="n"/>
      <c r="D192" s="31" t="n"/>
      <c r="E192" s="29" t="n"/>
      <c r="F192" s="31" t="n"/>
      <c r="G192" s="31" t="n"/>
    </row>
    <row r="193" ht="15" customHeight="1" s="22">
      <c r="A193" s="29" t="n"/>
      <c r="B193" s="29" t="n"/>
      <c r="C193" s="29" t="n"/>
      <c r="D193" s="31" t="n"/>
      <c r="E193" s="29" t="n"/>
      <c r="F193" s="31" t="n"/>
      <c r="G193" s="31" t="n"/>
    </row>
    <row r="194" ht="15" customHeight="1" s="22">
      <c r="A194" s="29" t="n"/>
      <c r="B194" s="29" t="n"/>
      <c r="C194" s="29" t="n"/>
      <c r="D194" s="31" t="n"/>
      <c r="E194" s="29" t="n"/>
      <c r="F194" s="31" t="n"/>
      <c r="G194" s="31" t="n"/>
    </row>
    <row r="195" ht="15" customHeight="1" s="22">
      <c r="A195" s="29" t="n"/>
      <c r="B195" s="29" t="n"/>
      <c r="C195" s="29" t="n"/>
      <c r="D195" s="31" t="n"/>
      <c r="E195" s="29" t="n"/>
      <c r="F195" s="31" t="n"/>
      <c r="G195" s="31" t="n"/>
    </row>
    <row r="196" ht="15" customHeight="1" s="22">
      <c r="A196" s="29" t="n"/>
      <c r="B196" s="29" t="n"/>
      <c r="C196" s="29" t="n"/>
      <c r="D196" s="31" t="n"/>
      <c r="E196" s="29" t="n"/>
      <c r="F196" s="31" t="n"/>
      <c r="G196" s="31" t="n"/>
    </row>
    <row r="197" ht="15" customHeight="1" s="22">
      <c r="A197" s="29" t="n"/>
      <c r="B197" s="29" t="n"/>
      <c r="C197" s="29" t="n"/>
      <c r="D197" s="31" t="n"/>
      <c r="E197" s="29" t="n"/>
      <c r="F197" s="31" t="n"/>
      <c r="G197" s="31" t="n"/>
    </row>
    <row r="198" ht="15" customHeight="1" s="22">
      <c r="A198" s="29" t="n"/>
      <c r="B198" s="29" t="n"/>
      <c r="C198" s="29" t="n"/>
      <c r="D198" s="31" t="n"/>
      <c r="E198" s="29" t="n"/>
      <c r="F198" s="31" t="n"/>
      <c r="G198" s="31" t="n"/>
    </row>
    <row r="199" ht="15" customHeight="1" s="22">
      <c r="A199" s="29" t="n"/>
      <c r="B199" s="29" t="n"/>
      <c r="C199" s="29" t="n"/>
      <c r="D199" s="31" t="n"/>
      <c r="E199" s="29" t="n"/>
      <c r="F199" s="31" t="n"/>
      <c r="G199" s="31" t="n"/>
    </row>
    <row r="200" ht="15" customHeight="1" s="22">
      <c r="A200" s="29" t="n"/>
      <c r="B200" s="29" t="n"/>
      <c r="C200" s="29" t="n"/>
      <c r="D200" s="31" t="n"/>
      <c r="E200" s="29" t="n"/>
      <c r="F200" s="31" t="n"/>
      <c r="G200" s="31" t="n"/>
    </row>
    <row r="201" ht="15" customHeight="1" s="22">
      <c r="A201" s="29" t="n"/>
      <c r="B201" s="29" t="n"/>
      <c r="C201" s="29" t="n"/>
      <c r="D201" s="31" t="n"/>
      <c r="E201" s="29" t="n"/>
      <c r="F201" s="31" t="n"/>
      <c r="G201" s="31" t="n"/>
    </row>
    <row r="202" ht="15" customHeight="1" s="22">
      <c r="A202" s="29" t="n"/>
      <c r="B202" s="29" t="n"/>
      <c r="C202" s="29" t="n"/>
      <c r="D202" s="31" t="n"/>
      <c r="E202" s="29" t="n"/>
      <c r="F202" s="31" t="n"/>
      <c r="G202" s="31" t="n"/>
    </row>
    <row r="203" ht="15" customHeight="1" s="22">
      <c r="A203" s="29" t="n"/>
      <c r="B203" s="29" t="n"/>
      <c r="C203" s="29" t="n"/>
      <c r="D203" s="31" t="n"/>
      <c r="E203" s="29" t="n"/>
      <c r="F203" s="31" t="n"/>
      <c r="G203" s="31" t="n"/>
    </row>
    <row r="204" ht="15" customHeight="1" s="22">
      <c r="A204" s="29" t="n"/>
      <c r="B204" s="29" t="n"/>
      <c r="C204" s="29" t="n"/>
      <c r="D204" s="31" t="n"/>
      <c r="E204" s="29" t="n"/>
      <c r="F204" s="31" t="n"/>
      <c r="G204" s="31" t="n"/>
    </row>
    <row r="205" ht="15" customHeight="1" s="22">
      <c r="A205" s="29" t="n"/>
      <c r="B205" s="29" t="n"/>
      <c r="C205" s="29" t="n"/>
      <c r="D205" s="31" t="n"/>
      <c r="E205" s="29" t="n"/>
      <c r="F205" s="31" t="n"/>
      <c r="G205" s="31" t="n"/>
    </row>
    <row r="206" ht="15" customHeight="1" s="22">
      <c r="A206" s="29" t="n"/>
      <c r="B206" s="29" t="n"/>
      <c r="C206" s="29" t="n"/>
      <c r="D206" s="31" t="n"/>
      <c r="E206" s="29" t="n"/>
      <c r="F206" s="31" t="n"/>
      <c r="G206" s="31" t="n"/>
    </row>
    <row r="207" ht="15" customHeight="1" s="22">
      <c r="A207" s="29" t="n"/>
      <c r="B207" s="29" t="n"/>
      <c r="C207" s="29" t="n"/>
      <c r="D207" s="31" t="n"/>
      <c r="E207" s="29" t="n"/>
      <c r="F207" s="31" t="n"/>
      <c r="G207" s="31" t="n"/>
    </row>
    <row r="208" ht="15" customHeight="1" s="22">
      <c r="A208" s="29" t="n"/>
      <c r="B208" s="29" t="n"/>
      <c r="C208" s="29" t="n"/>
      <c r="D208" s="31" t="n"/>
      <c r="E208" s="29" t="n"/>
      <c r="F208" s="31" t="n"/>
      <c r="G208" s="31" t="n"/>
    </row>
    <row r="209" ht="15" customHeight="1" s="22">
      <c r="A209" s="29" t="n"/>
      <c r="B209" s="29" t="n"/>
      <c r="C209" s="29" t="n"/>
      <c r="D209" s="31" t="n"/>
      <c r="E209" s="29" t="n"/>
      <c r="F209" s="31" t="n"/>
      <c r="G209" s="31" t="n"/>
    </row>
    <row r="210" ht="15" customHeight="1" s="22">
      <c r="A210" s="29" t="n"/>
      <c r="B210" s="29" t="n"/>
      <c r="C210" s="29" t="n"/>
      <c r="D210" s="31" t="n"/>
      <c r="E210" s="29" t="n"/>
      <c r="F210" s="31" t="n"/>
      <c r="G210" s="31" t="n"/>
    </row>
    <row r="211" ht="15" customHeight="1" s="22">
      <c r="A211" s="29" t="n"/>
      <c r="B211" s="29" t="n"/>
      <c r="C211" s="29" t="n"/>
      <c r="D211" s="31" t="n"/>
      <c r="E211" s="29" t="n"/>
      <c r="F211" s="31" t="n"/>
      <c r="G211" s="31" t="n"/>
    </row>
    <row r="212" ht="15" customHeight="1" s="22">
      <c r="A212" s="29" t="n"/>
      <c r="B212" s="29" t="n"/>
      <c r="C212" s="29" t="n"/>
      <c r="D212" s="31" t="n"/>
      <c r="E212" s="29" t="n"/>
      <c r="F212" s="31" t="n"/>
      <c r="G212" s="31" t="n"/>
    </row>
    <row r="213" ht="15" customHeight="1" s="22">
      <c r="A213" s="29" t="n"/>
      <c r="B213" s="29" t="n"/>
      <c r="C213" s="29" t="n"/>
      <c r="D213" s="31" t="n"/>
      <c r="E213" s="29" t="n"/>
      <c r="F213" s="31" t="n"/>
      <c r="G213" s="31" t="n"/>
    </row>
    <row r="214" ht="15" customHeight="1" s="22">
      <c r="A214" s="29" t="n"/>
      <c r="B214" s="29" t="n"/>
      <c r="C214" s="29" t="n"/>
      <c r="D214" s="31" t="n"/>
      <c r="E214" s="29" t="n"/>
      <c r="F214" s="31" t="n"/>
      <c r="G214" s="31" t="n"/>
    </row>
    <row r="215" ht="15" customHeight="1" s="22">
      <c r="A215" s="29" t="n"/>
      <c r="B215" s="29" t="n"/>
      <c r="C215" s="29" t="n"/>
      <c r="D215" s="31" t="n"/>
      <c r="E215" s="29" t="n"/>
      <c r="F215" s="31" t="n"/>
      <c r="G215" s="31" t="n"/>
    </row>
    <row r="216" ht="15" customHeight="1" s="22">
      <c r="A216" s="29" t="n"/>
      <c r="B216" s="29" t="n"/>
      <c r="C216" s="29" t="n"/>
      <c r="D216" s="31" t="n"/>
      <c r="E216" s="29" t="n"/>
      <c r="F216" s="31" t="n"/>
      <c r="G216" s="31" t="n"/>
    </row>
    <row r="217" ht="15" customHeight="1" s="22">
      <c r="A217" s="29" t="n"/>
      <c r="B217" s="29" t="n"/>
      <c r="C217" s="29" t="n"/>
      <c r="D217" s="31" t="n"/>
      <c r="E217" s="29" t="n"/>
      <c r="F217" s="31" t="n"/>
      <c r="G217" s="31" t="n"/>
    </row>
    <row r="218" ht="15" customHeight="1" s="22">
      <c r="A218" s="29" t="n"/>
      <c r="B218" s="29" t="n"/>
      <c r="C218" s="29" t="n"/>
      <c r="D218" s="31" t="n"/>
      <c r="E218" s="29" t="n"/>
      <c r="F218" s="31" t="n"/>
      <c r="G218" s="31" t="n"/>
    </row>
    <row r="219" ht="15" customHeight="1" s="22">
      <c r="A219" s="29" t="n"/>
      <c r="B219" s="29" t="n"/>
      <c r="C219" s="29" t="n"/>
      <c r="D219" s="31" t="n"/>
      <c r="E219" s="29" t="n"/>
      <c r="F219" s="31" t="n"/>
      <c r="G219" s="31" t="n"/>
    </row>
    <row r="220" ht="15" customHeight="1" s="22">
      <c r="A220" s="29" t="n"/>
      <c r="B220" s="29" t="n"/>
      <c r="C220" s="29" t="n"/>
      <c r="D220" s="31" t="n"/>
      <c r="E220" s="29" t="n"/>
      <c r="F220" s="31" t="n"/>
      <c r="G220" s="31" t="n"/>
    </row>
    <row r="221" ht="15" customHeight="1" s="22">
      <c r="A221" s="29" t="n"/>
      <c r="B221" s="29" t="n"/>
      <c r="C221" s="29" t="n"/>
      <c r="D221" s="31" t="n"/>
      <c r="E221" s="29" t="n"/>
      <c r="F221" s="31" t="n"/>
      <c r="G221" s="31" t="n"/>
    </row>
    <row r="222" ht="15" customHeight="1" s="22">
      <c r="A222" s="29" t="n"/>
      <c r="B222" s="29" t="n"/>
      <c r="C222" s="29" t="n"/>
      <c r="D222" s="31" t="n"/>
      <c r="E222" s="29" t="n"/>
      <c r="F222" s="31" t="n"/>
      <c r="G222" s="31" t="n"/>
    </row>
    <row r="223" ht="15" customHeight="1" s="22">
      <c r="A223" s="29" t="n"/>
      <c r="B223" s="29" t="n"/>
      <c r="C223" s="29" t="n"/>
      <c r="D223" s="31" t="n"/>
      <c r="E223" s="29" t="n"/>
      <c r="F223" s="31" t="n"/>
      <c r="G223" s="31" t="n"/>
    </row>
    <row r="224" ht="15" customHeight="1" s="22">
      <c r="A224" s="29" t="n"/>
      <c r="B224" s="29" t="n"/>
      <c r="C224" s="29" t="n"/>
      <c r="D224" s="31" t="n"/>
      <c r="E224" s="29" t="n"/>
      <c r="F224" s="31" t="n"/>
      <c r="G224" s="31" t="n"/>
    </row>
    <row r="225" ht="15" customHeight="1" s="22">
      <c r="A225" s="29" t="n"/>
      <c r="B225" s="29" t="n"/>
      <c r="C225" s="29" t="n"/>
      <c r="D225" s="31" t="n"/>
      <c r="E225" s="29" t="n"/>
      <c r="F225" s="31" t="n"/>
      <c r="G225" s="31" t="n"/>
    </row>
    <row r="226" ht="15" customHeight="1" s="22">
      <c r="A226" s="29" t="n"/>
      <c r="B226" s="29" t="n"/>
      <c r="C226" s="29" t="n"/>
      <c r="D226" s="31" t="n"/>
      <c r="E226" s="29" t="n"/>
      <c r="F226" s="31" t="n"/>
      <c r="G226" s="31" t="n"/>
    </row>
    <row r="227" ht="15" customHeight="1" s="22">
      <c r="A227" s="29" t="n"/>
      <c r="B227" s="29" t="n"/>
      <c r="C227" s="29" t="n"/>
      <c r="D227" s="31" t="n"/>
      <c r="E227" s="29" t="n"/>
      <c r="F227" s="31" t="n"/>
      <c r="G227" s="31" t="n"/>
    </row>
    <row r="228" ht="15" customHeight="1" s="22">
      <c r="A228" s="29" t="n"/>
      <c r="B228" s="29" t="n"/>
      <c r="C228" s="29" t="n"/>
      <c r="D228" s="31" t="n"/>
      <c r="E228" s="29" t="n"/>
      <c r="F228" s="31" t="n"/>
      <c r="G228" s="31" t="n"/>
    </row>
    <row r="229" ht="15" customHeight="1" s="22">
      <c r="A229" s="29" t="n"/>
      <c r="B229" s="29" t="n"/>
      <c r="C229" s="29" t="n"/>
      <c r="D229" s="31" t="n"/>
      <c r="E229" s="29" t="n"/>
      <c r="F229" s="31" t="n"/>
      <c r="G229" s="31" t="n"/>
    </row>
    <row r="230" ht="15" customHeight="1" s="22">
      <c r="A230" s="29" t="n"/>
      <c r="B230" s="29" t="n"/>
      <c r="C230" s="29" t="n"/>
      <c r="D230" s="31" t="n"/>
      <c r="E230" s="29" t="n"/>
      <c r="F230" s="31" t="n"/>
      <c r="G230" s="31" t="n"/>
    </row>
    <row r="231" ht="15" customHeight="1" s="22">
      <c r="A231" s="29" t="n"/>
      <c r="B231" s="29" t="n"/>
      <c r="C231" s="29" t="n"/>
      <c r="D231" s="31" t="n"/>
      <c r="E231" s="29" t="n"/>
      <c r="F231" s="31" t="n"/>
      <c r="G231" s="31" t="n"/>
    </row>
    <row r="232" ht="15" customHeight="1" s="22">
      <c r="A232" s="29" t="n"/>
      <c r="B232" s="29" t="n"/>
      <c r="C232" s="29" t="n"/>
      <c r="D232" s="31" t="n"/>
      <c r="E232" s="29" t="n"/>
      <c r="F232" s="31" t="n"/>
      <c r="G232" s="31" t="n"/>
    </row>
    <row r="233" ht="15" customHeight="1" s="22">
      <c r="A233" s="29" t="n"/>
      <c r="B233" s="29" t="n"/>
      <c r="C233" s="29" t="n"/>
      <c r="D233" s="31" t="n"/>
      <c r="E233" s="29" t="n"/>
      <c r="F233" s="31" t="n"/>
      <c r="G233" s="31" t="n"/>
    </row>
    <row r="234" ht="15" customHeight="1" s="22">
      <c r="A234" s="29" t="n"/>
      <c r="B234" s="29" t="n"/>
      <c r="C234" s="29" t="n"/>
      <c r="D234" s="31" t="n"/>
      <c r="E234" s="29" t="n"/>
      <c r="F234" s="31" t="n"/>
      <c r="G234" s="31" t="n"/>
    </row>
    <row r="235" ht="15" customHeight="1" s="22">
      <c r="A235" s="29" t="n"/>
      <c r="B235" s="29" t="n"/>
      <c r="C235" s="29" t="n"/>
      <c r="D235" s="31" t="n"/>
      <c r="E235" s="29" t="n"/>
      <c r="F235" s="31" t="n"/>
      <c r="G235" s="31" t="n"/>
    </row>
    <row r="236" ht="15" customHeight="1" s="22">
      <c r="A236" s="29" t="n"/>
      <c r="B236" s="29" t="n"/>
      <c r="C236" s="29" t="n"/>
      <c r="D236" s="31" t="n"/>
      <c r="E236" s="29" t="n"/>
      <c r="F236" s="31" t="n"/>
      <c r="G236" s="31" t="n"/>
    </row>
    <row r="237" ht="15" customHeight="1" s="22">
      <c r="A237" s="29" t="n"/>
      <c r="B237" s="29" t="n"/>
      <c r="C237" s="29" t="n"/>
      <c r="D237" s="31" t="n"/>
      <c r="E237" s="29" t="n"/>
      <c r="F237" s="31" t="n"/>
      <c r="G237" s="31" t="n"/>
    </row>
    <row r="238" ht="15" customHeight="1" s="22">
      <c r="A238" s="29" t="n"/>
      <c r="B238" s="29" t="n"/>
      <c r="C238" s="29" t="n"/>
      <c r="D238" s="31" t="n"/>
      <c r="E238" s="29" t="n"/>
      <c r="F238" s="31" t="n"/>
      <c r="G238" s="31" t="n"/>
    </row>
    <row r="239" ht="15" customHeight="1" s="22">
      <c r="A239" s="29" t="n"/>
      <c r="B239" s="29" t="n"/>
      <c r="C239" s="29" t="n"/>
      <c r="D239" s="31" t="n"/>
      <c r="E239" s="29" t="n"/>
      <c r="F239" s="31" t="n"/>
      <c r="G239" s="31" t="n"/>
    </row>
    <row r="240" ht="15" customHeight="1" s="22">
      <c r="A240" s="29" t="n"/>
      <c r="B240" s="29" t="n"/>
      <c r="C240" s="29" t="n"/>
      <c r="D240" s="31" t="n"/>
      <c r="E240" s="29" t="n"/>
      <c r="F240" s="31" t="n"/>
      <c r="G240" s="31" t="n"/>
    </row>
    <row r="241" ht="15" customHeight="1" s="22">
      <c r="A241" s="29" t="n"/>
      <c r="B241" s="29" t="n"/>
      <c r="C241" s="29" t="n"/>
      <c r="D241" s="31" t="n"/>
      <c r="E241" s="29" t="n"/>
      <c r="F241" s="31" t="n"/>
      <c r="G241" s="31" t="n"/>
    </row>
    <row r="242" ht="15" customHeight="1" s="22">
      <c r="A242" s="29" t="n"/>
      <c r="B242" s="29" t="n"/>
      <c r="C242" s="29" t="n"/>
      <c r="D242" s="31" t="n"/>
      <c r="E242" s="29" t="n"/>
      <c r="F242" s="31" t="n"/>
      <c r="G242" s="31" t="n"/>
    </row>
    <row r="243" ht="15" customHeight="1" s="22">
      <c r="A243" s="29" t="n"/>
      <c r="B243" s="29" t="n"/>
      <c r="C243" s="29" t="n"/>
      <c r="D243" s="31" t="n"/>
      <c r="E243" s="29" t="n"/>
      <c r="F243" s="31" t="n"/>
      <c r="G243" s="31" t="n"/>
    </row>
    <row r="244" ht="15" customHeight="1" s="22">
      <c r="A244" s="29" t="n"/>
      <c r="B244" s="29" t="n"/>
      <c r="C244" s="29" t="n"/>
      <c r="D244" s="31" t="n"/>
      <c r="E244" s="29" t="n"/>
      <c r="F244" s="31" t="n"/>
      <c r="G244" s="31" t="n"/>
    </row>
    <row r="245" ht="15" customHeight="1" s="22">
      <c r="A245" s="29" t="n"/>
      <c r="B245" s="29" t="n"/>
      <c r="C245" s="29" t="n"/>
      <c r="D245" s="31" t="n"/>
      <c r="E245" s="29" t="n"/>
      <c r="F245" s="31" t="n"/>
      <c r="G245" s="31" t="n"/>
    </row>
    <row r="246" ht="15" customHeight="1" s="22">
      <c r="A246" s="29" t="n"/>
      <c r="B246" s="29" t="n"/>
      <c r="C246" s="29" t="n"/>
      <c r="D246" s="31" t="n"/>
      <c r="E246" s="29" t="n"/>
      <c r="F246" s="31" t="n"/>
      <c r="G246" s="31" t="n"/>
    </row>
    <row r="247" ht="15" customHeight="1" s="22">
      <c r="A247" s="29" t="n"/>
      <c r="B247" s="29" t="n"/>
      <c r="C247" s="29" t="n"/>
      <c r="D247" s="31" t="n"/>
      <c r="E247" s="29" t="n"/>
      <c r="F247" s="31" t="n"/>
      <c r="G247" s="31" t="n"/>
    </row>
    <row r="248" ht="15" customHeight="1" s="22">
      <c r="A248" s="29" t="n"/>
      <c r="B248" s="29" t="n"/>
      <c r="C248" s="29" t="n"/>
      <c r="D248" s="31" t="n"/>
      <c r="E248" s="29" t="n"/>
      <c r="F248" s="31" t="n"/>
      <c r="G248" s="31" t="n"/>
    </row>
    <row r="249" ht="15" customHeight="1" s="22">
      <c r="A249" s="29" t="n"/>
      <c r="B249" s="29" t="n"/>
      <c r="C249" s="29" t="n"/>
      <c r="D249" s="31" t="n"/>
      <c r="E249" s="29" t="n"/>
      <c r="F249" s="31" t="n"/>
      <c r="G249" s="31" t="n"/>
    </row>
    <row r="250" ht="15" customHeight="1" s="22">
      <c r="A250" s="29" t="n"/>
      <c r="B250" s="29" t="n"/>
      <c r="C250" s="29" t="n"/>
      <c r="D250" s="31" t="n"/>
      <c r="E250" s="29" t="n"/>
      <c r="F250" s="31" t="n"/>
      <c r="G250" s="31" t="n"/>
    </row>
    <row r="251" ht="15" customHeight="1" s="22">
      <c r="A251" s="29" t="n"/>
      <c r="B251" s="29" t="n"/>
      <c r="C251" s="29" t="n"/>
      <c r="D251" s="31" t="n"/>
      <c r="E251" s="29" t="n"/>
      <c r="F251" s="31" t="n"/>
      <c r="G251" s="31" t="n"/>
    </row>
    <row r="252" ht="15" customHeight="1" s="22">
      <c r="A252" s="29" t="n"/>
      <c r="B252" s="29" t="n"/>
      <c r="C252" s="29" t="n"/>
      <c r="D252" s="31" t="n"/>
      <c r="E252" s="29" t="n"/>
      <c r="F252" s="31" t="n"/>
      <c r="G252" s="31" t="n"/>
    </row>
    <row r="253" ht="15" customHeight="1" s="22">
      <c r="A253" s="29" t="n"/>
      <c r="B253" s="29" t="n"/>
      <c r="C253" s="29" t="n"/>
      <c r="D253" s="31" t="n"/>
      <c r="E253" s="29" t="n"/>
      <c r="F253" s="31" t="n"/>
      <c r="G253" s="31" t="n"/>
    </row>
    <row r="254" ht="15" customHeight="1" s="22">
      <c r="A254" s="29" t="n"/>
      <c r="B254" s="29" t="n"/>
      <c r="C254" s="29" t="n"/>
      <c r="D254" s="31" t="n"/>
      <c r="E254" s="29" t="n"/>
      <c r="F254" s="31" t="n"/>
      <c r="G254" s="31" t="n"/>
    </row>
    <row r="255" ht="15" customHeight="1" s="22">
      <c r="A255" s="29" t="n"/>
      <c r="B255" s="29" t="n"/>
      <c r="C255" s="29" t="n"/>
      <c r="D255" s="31" t="n"/>
      <c r="E255" s="29" t="n"/>
      <c r="F255" s="31" t="n"/>
      <c r="G255" s="31" t="n"/>
    </row>
    <row r="256" ht="15" customHeight="1" s="22">
      <c r="A256" s="29" t="n"/>
      <c r="B256" s="29" t="n"/>
      <c r="C256" s="29" t="n"/>
      <c r="D256" s="31" t="n"/>
      <c r="E256" s="29" t="n"/>
      <c r="F256" s="31" t="n"/>
      <c r="G256" s="31" t="n"/>
    </row>
    <row r="257" ht="15" customHeight="1" s="22">
      <c r="A257" s="29" t="n"/>
      <c r="B257" s="29" t="n"/>
      <c r="C257" s="29" t="n"/>
      <c r="D257" s="31" t="n"/>
      <c r="E257" s="29" t="n"/>
      <c r="F257" s="31" t="n"/>
      <c r="G257" s="31" t="n"/>
    </row>
    <row r="258" ht="15" customHeight="1" s="22">
      <c r="A258" s="29" t="n"/>
      <c r="B258" s="29" t="n"/>
      <c r="C258" s="29" t="n"/>
      <c r="D258" s="31" t="n"/>
      <c r="E258" s="29" t="n"/>
      <c r="F258" s="31" t="n"/>
      <c r="G258" s="31" t="n"/>
    </row>
    <row r="259" ht="15" customHeight="1" s="22">
      <c r="A259" s="29" t="n"/>
      <c r="B259" s="29" t="n"/>
      <c r="C259" s="29" t="n"/>
      <c r="D259" s="31" t="n"/>
      <c r="E259" s="29" t="n"/>
      <c r="F259" s="31" t="n"/>
      <c r="G259" s="31" t="n"/>
    </row>
    <row r="260" ht="15" customHeight="1" s="22">
      <c r="A260" s="29" t="n"/>
      <c r="B260" s="29" t="n"/>
      <c r="C260" s="29" t="n"/>
      <c r="D260" s="31" t="n"/>
      <c r="E260" s="29" t="n"/>
      <c r="F260" s="31" t="n"/>
      <c r="G260" s="31" t="n"/>
    </row>
    <row r="261" ht="15" customHeight="1" s="22">
      <c r="A261" s="29" t="n"/>
      <c r="B261" s="29" t="n"/>
      <c r="C261" s="29" t="n"/>
      <c r="D261" s="31" t="n"/>
      <c r="E261" s="29" t="n"/>
      <c r="F261" s="31" t="n"/>
      <c r="G261" s="31" t="n"/>
    </row>
    <row r="262" ht="15" customHeight="1" s="22">
      <c r="A262" s="29" t="n"/>
      <c r="B262" s="29" t="n"/>
      <c r="C262" s="29" t="n"/>
      <c r="D262" s="31" t="n"/>
      <c r="E262" s="29" t="n"/>
      <c r="F262" s="31" t="n"/>
      <c r="G262" s="31" t="n"/>
    </row>
    <row r="263" ht="15" customHeight="1" s="22">
      <c r="A263" s="29" t="n"/>
      <c r="B263" s="29" t="n"/>
      <c r="C263" s="29" t="n"/>
      <c r="D263" s="31" t="n"/>
      <c r="E263" s="29" t="n"/>
      <c r="F263" s="31" t="n"/>
      <c r="G263" s="31" t="n"/>
    </row>
    <row r="264" ht="15" customHeight="1" s="22">
      <c r="A264" s="29" t="n"/>
      <c r="B264" s="29" t="n"/>
      <c r="C264" s="29" t="n"/>
      <c r="D264" s="31" t="n"/>
      <c r="E264" s="29" t="n"/>
      <c r="F264" s="31" t="n"/>
      <c r="G264" s="31" t="n"/>
    </row>
    <row r="265" ht="15" customHeight="1" s="22">
      <c r="A265" s="29" t="n"/>
      <c r="B265" s="29" t="n"/>
      <c r="C265" s="29" t="n"/>
      <c r="D265" s="31" t="n"/>
      <c r="E265" s="29" t="n"/>
      <c r="F265" s="31" t="n"/>
      <c r="G265" s="31" t="n"/>
    </row>
    <row r="266" ht="15" customHeight="1" s="22">
      <c r="A266" s="29" t="n"/>
      <c r="B266" s="29" t="n"/>
      <c r="C266" s="29" t="n"/>
      <c r="D266" s="31" t="n"/>
      <c r="E266" s="29" t="n"/>
      <c r="F266" s="31" t="n"/>
      <c r="G266" s="31" t="n"/>
    </row>
    <row r="267" ht="15" customHeight="1" s="22">
      <c r="A267" s="29" t="n"/>
      <c r="B267" s="29" t="n"/>
      <c r="C267" s="29" t="n"/>
      <c r="D267" s="31" t="n"/>
      <c r="E267" s="29" t="n"/>
      <c r="F267" s="31" t="n"/>
      <c r="G267" s="31" t="n"/>
    </row>
    <row r="268" ht="15" customHeight="1" s="22">
      <c r="A268" s="29" t="n"/>
      <c r="B268" s="29" t="n"/>
      <c r="C268" s="29" t="n"/>
      <c r="D268" s="31" t="n"/>
      <c r="E268" s="29" t="n"/>
      <c r="F268" s="31" t="n"/>
      <c r="G268" s="31" t="n"/>
    </row>
    <row r="269" ht="15" customHeight="1" s="22">
      <c r="A269" s="29" t="n"/>
      <c r="B269" s="29" t="n"/>
      <c r="C269" s="29" t="n"/>
      <c r="D269" s="31" t="n"/>
      <c r="E269" s="29" t="n"/>
      <c r="F269" s="31" t="n"/>
      <c r="G269" s="31" t="n"/>
    </row>
    <row r="270" ht="15" customHeight="1" s="22">
      <c r="A270" s="29" t="n"/>
      <c r="B270" s="29" t="n"/>
      <c r="C270" s="29" t="n"/>
      <c r="D270" s="31" t="n"/>
      <c r="E270" s="29" t="n"/>
      <c r="F270" s="31" t="n"/>
      <c r="G270" s="31" t="n"/>
    </row>
    <row r="271" ht="15" customHeight="1" s="22">
      <c r="A271" s="29" t="n"/>
      <c r="B271" s="29" t="n"/>
      <c r="C271" s="29" t="n"/>
      <c r="D271" s="31" t="n"/>
      <c r="E271" s="29" t="n"/>
      <c r="F271" s="31" t="n"/>
      <c r="G271" s="31" t="n"/>
    </row>
    <row r="272" ht="15" customHeight="1" s="22">
      <c r="A272" s="29" t="n"/>
      <c r="B272" s="29" t="n"/>
      <c r="C272" s="29" t="n"/>
      <c r="D272" s="31" t="n"/>
      <c r="E272" s="29" t="n"/>
      <c r="F272" s="31" t="n"/>
      <c r="G272" s="31" t="n"/>
    </row>
    <row r="273" ht="15" customHeight="1" s="22">
      <c r="A273" s="29" t="n"/>
      <c r="B273" s="29" t="n"/>
      <c r="C273" s="29" t="n"/>
      <c r="D273" s="31" t="n"/>
      <c r="E273" s="29" t="n"/>
      <c r="F273" s="31" t="n"/>
      <c r="G273" s="31" t="n"/>
    </row>
    <row r="274" ht="15" customHeight="1" s="22">
      <c r="A274" s="29" t="n"/>
      <c r="B274" s="29" t="n"/>
      <c r="C274" s="29" t="n"/>
      <c r="D274" s="31" t="n"/>
      <c r="E274" s="29" t="n"/>
      <c r="F274" s="31" t="n"/>
      <c r="G274" s="31" t="n"/>
    </row>
    <row r="275" ht="15" customHeight="1" s="22">
      <c r="A275" s="29" t="n"/>
      <c r="B275" s="29" t="n"/>
      <c r="C275" s="29" t="n"/>
      <c r="D275" s="31" t="n"/>
      <c r="E275" s="29" t="n"/>
      <c r="F275" s="31" t="n"/>
      <c r="G275" s="31" t="n"/>
    </row>
    <row r="276" ht="15" customHeight="1" s="22">
      <c r="A276" s="29" t="n"/>
      <c r="B276" s="29" t="n"/>
      <c r="C276" s="29" t="n"/>
      <c r="D276" s="31" t="n"/>
      <c r="E276" s="29" t="n"/>
      <c r="F276" s="31" t="n"/>
      <c r="G276" s="31" t="n"/>
    </row>
    <row r="277" ht="15" customHeight="1" s="22">
      <c r="A277" s="29" t="n"/>
      <c r="B277" s="29" t="n"/>
      <c r="C277" s="29" t="n"/>
      <c r="D277" s="31" t="n"/>
      <c r="E277" s="29" t="n"/>
      <c r="F277" s="31" t="n"/>
      <c r="G277" s="31" t="n"/>
    </row>
    <row r="278" ht="15" customHeight="1" s="22">
      <c r="A278" s="29" t="n"/>
      <c r="B278" s="29" t="n"/>
      <c r="C278" s="29" t="n"/>
      <c r="D278" s="31" t="n"/>
      <c r="E278" s="29" t="n"/>
      <c r="F278" s="31" t="n"/>
      <c r="G278" s="31" t="n"/>
    </row>
    <row r="279" ht="15" customHeight="1" s="22">
      <c r="A279" s="29" t="n"/>
      <c r="B279" s="29" t="n"/>
      <c r="C279" s="29" t="n"/>
      <c r="D279" s="31" t="n"/>
      <c r="E279" s="29" t="n"/>
      <c r="F279" s="31" t="n"/>
      <c r="G279" s="31" t="n"/>
    </row>
    <row r="280" ht="15" customHeight="1" s="22">
      <c r="A280" s="29" t="n"/>
      <c r="B280" s="29" t="n"/>
      <c r="C280" s="29" t="n"/>
      <c r="D280" s="31" t="n"/>
      <c r="E280" s="29" t="n"/>
      <c r="F280" s="31" t="n"/>
      <c r="G280" s="31" t="n"/>
    </row>
    <row r="281" ht="15" customHeight="1" s="22">
      <c r="A281" s="29" t="n"/>
      <c r="B281" s="29" t="n"/>
      <c r="C281" s="29" t="n"/>
      <c r="D281" s="31" t="n"/>
      <c r="E281" s="29" t="n"/>
      <c r="F281" s="31" t="n"/>
      <c r="G281" s="31" t="n"/>
    </row>
    <row r="282" ht="15" customHeight="1" s="22">
      <c r="A282" s="29" t="n"/>
      <c r="B282" s="29" t="n"/>
      <c r="C282" s="29" t="n"/>
      <c r="D282" s="31" t="n"/>
      <c r="E282" s="29" t="n"/>
      <c r="F282" s="31" t="n"/>
      <c r="G282" s="31" t="n"/>
    </row>
    <row r="283" ht="15" customHeight="1" s="22">
      <c r="A283" s="29" t="n"/>
      <c r="B283" s="29" t="n"/>
      <c r="C283" s="29" t="n"/>
      <c r="D283" s="31" t="n"/>
      <c r="E283" s="29" t="n"/>
      <c r="F283" s="31" t="n"/>
      <c r="G283" s="31" t="n"/>
    </row>
    <row r="284" ht="15" customHeight="1" s="22">
      <c r="A284" s="29" t="n"/>
      <c r="B284" s="29" t="n"/>
      <c r="C284" s="29" t="n"/>
      <c r="D284" s="31" t="n"/>
      <c r="E284" s="29" t="n"/>
      <c r="F284" s="31" t="n"/>
      <c r="G284" s="31" t="n"/>
    </row>
    <row r="285" ht="15" customHeight="1" s="22">
      <c r="A285" s="29" t="n"/>
      <c r="B285" s="29" t="n"/>
      <c r="C285" s="29" t="n"/>
      <c r="D285" s="31" t="n"/>
      <c r="E285" s="29" t="n"/>
      <c r="F285" s="31" t="n"/>
      <c r="G285" s="31" t="n"/>
    </row>
    <row r="286" ht="15" customHeight="1" s="22">
      <c r="A286" s="29" t="n"/>
      <c r="B286" s="29" t="n"/>
      <c r="C286" s="29" t="n"/>
      <c r="D286" s="31" t="n"/>
      <c r="E286" s="29" t="n"/>
      <c r="F286" s="31" t="n"/>
      <c r="G286" s="31" t="n"/>
    </row>
    <row r="287" ht="15" customHeight="1" s="22">
      <c r="A287" s="29" t="n"/>
      <c r="B287" s="29" t="n"/>
      <c r="C287" s="29" t="n"/>
      <c r="D287" s="31" t="n"/>
      <c r="E287" s="29" t="n"/>
      <c r="F287" s="31" t="n"/>
      <c r="G287" s="31" t="n"/>
    </row>
    <row r="288" ht="15" customHeight="1" s="22">
      <c r="A288" s="29" t="n"/>
      <c r="B288" s="29" t="n"/>
      <c r="C288" s="29" t="n"/>
      <c r="D288" s="31" t="n"/>
      <c r="E288" s="29" t="n"/>
      <c r="F288" s="31" t="n"/>
      <c r="G288" s="31" t="n"/>
    </row>
    <row r="289" ht="15" customHeight="1" s="22">
      <c r="A289" s="29" t="n"/>
      <c r="B289" s="29" t="n"/>
      <c r="C289" s="29" t="n"/>
      <c r="D289" s="31" t="n"/>
      <c r="E289" s="29" t="n"/>
      <c r="F289" s="31" t="n"/>
      <c r="G289" s="31" t="n"/>
    </row>
    <row r="290" ht="15" customHeight="1" s="22">
      <c r="A290" s="29" t="n"/>
      <c r="B290" s="29" t="n"/>
      <c r="C290" s="29" t="n"/>
      <c r="D290" s="31" t="n"/>
      <c r="E290" s="29" t="n"/>
      <c r="F290" s="31" t="n"/>
      <c r="G290" s="31" t="n"/>
    </row>
    <row r="291" ht="15" customHeight="1" s="22">
      <c r="A291" s="29" t="n"/>
      <c r="B291" s="29" t="n"/>
      <c r="C291" s="29" t="n"/>
      <c r="D291" s="31" t="n"/>
      <c r="E291" s="29" t="n"/>
      <c r="F291" s="31" t="n"/>
      <c r="G291" s="31" t="n"/>
    </row>
    <row r="292" ht="15" customHeight="1" s="22">
      <c r="A292" s="29" t="n"/>
      <c r="B292" s="29" t="n"/>
      <c r="C292" s="29" t="n"/>
      <c r="D292" s="31" t="n"/>
      <c r="E292" s="29" t="n"/>
      <c r="F292" s="31" t="n"/>
      <c r="G292" s="31" t="n"/>
    </row>
    <row r="293" ht="15" customHeight="1" s="22">
      <c r="A293" s="29" t="n"/>
      <c r="B293" s="29" t="n"/>
      <c r="C293" s="29" t="n"/>
      <c r="D293" s="31" t="n"/>
      <c r="E293" s="29" t="n"/>
      <c r="F293" s="31" t="n"/>
      <c r="G293" s="31" t="n"/>
    </row>
    <row r="294" ht="15" customHeight="1" s="22">
      <c r="A294" s="29" t="n"/>
      <c r="B294" s="29" t="n"/>
      <c r="C294" s="29" t="n"/>
      <c r="D294" s="31" t="n"/>
      <c r="E294" s="29" t="n"/>
      <c r="F294" s="31" t="n"/>
      <c r="G294" s="31" t="n"/>
    </row>
    <row r="295" ht="15" customHeight="1" s="22">
      <c r="A295" s="29" t="n"/>
      <c r="B295" s="29" t="n"/>
      <c r="C295" s="29" t="n"/>
      <c r="D295" s="31" t="n"/>
      <c r="E295" s="29" t="n"/>
      <c r="F295" s="31" t="n"/>
      <c r="G295" s="31" t="n"/>
    </row>
    <row r="296" ht="15" customHeight="1" s="22">
      <c r="A296" s="29" t="n"/>
      <c r="B296" s="29" t="n"/>
      <c r="C296" s="29" t="n"/>
      <c r="D296" s="31" t="n"/>
      <c r="E296" s="29" t="n"/>
      <c r="F296" s="31" t="n"/>
      <c r="G296" s="31" t="n"/>
    </row>
    <row r="297" ht="15" customHeight="1" s="22">
      <c r="A297" s="29" t="n"/>
      <c r="B297" s="29" t="n"/>
      <c r="C297" s="29" t="n"/>
      <c r="D297" s="31" t="n"/>
      <c r="E297" s="29" t="n"/>
      <c r="F297" s="31" t="n"/>
      <c r="G297" s="31" t="n"/>
    </row>
    <row r="298" ht="15" customHeight="1" s="22">
      <c r="A298" s="29" t="n"/>
      <c r="B298" s="29" t="n"/>
      <c r="C298" s="29" t="n"/>
      <c r="D298" s="31" t="n"/>
      <c r="E298" s="29" t="n"/>
      <c r="F298" s="31" t="n"/>
      <c r="G298" s="31" t="n"/>
    </row>
    <row r="299" ht="15" customHeight="1" s="22">
      <c r="A299" s="29" t="n"/>
      <c r="B299" s="29" t="n"/>
      <c r="C299" s="29" t="n"/>
      <c r="D299" s="31" t="n"/>
      <c r="E299" s="29" t="n"/>
      <c r="F299" s="31" t="n"/>
      <c r="G299" s="31" t="n"/>
    </row>
    <row r="300" ht="15" customHeight="1" s="22">
      <c r="A300" s="29" t="n"/>
      <c r="B300" s="29" t="n"/>
      <c r="C300" s="29" t="n"/>
      <c r="D300" s="31" t="n"/>
      <c r="E300" s="29" t="n"/>
      <c r="F300" s="31" t="n"/>
      <c r="G300" s="31" t="n"/>
    </row>
  </sheetData>
  <autoFilter ref="A2:G300"/>
  <mergeCells count="1">
    <mergeCell ref="A1:G1"/>
  </mergeCells>
  <dataValidations count="1">
    <dataValidation sqref="E3:E300" showDropDown="0" showInputMessage="0" showErrorMessage="0" allowBlank="1" type="list" errorStyle="stop" operator="between">
      <formula1>"En attente conseil,Delai contestation,Imprimable"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7" customWidth="1" style="21" min="1" max="1"/>
    <col width="19" customWidth="1" style="21" min="2" max="2"/>
    <col width="22" customWidth="1" style="21" min="3" max="3"/>
    <col width="21" customWidth="1" style="21" min="4" max="4"/>
    <col width="18" customWidth="1" style="21" min="5" max="5"/>
    <col width="16" customWidth="1" style="21" min="6" max="6"/>
    <col width="26" customWidth="1" style="21" min="7" max="7"/>
    <col width="22" customWidth="1" style="21" min="8" max="8"/>
    <col width="30" customWidth="1" style="21" min="9" max="9"/>
    <col width="12" customWidth="1" style="22" min="10" max="10"/>
  </cols>
  <sheetData>
    <row r="1" ht="30" customHeight="1" s="22">
      <c r="A1" s="23" t="inlineStr">
        <is>
          <t>STAGES — AFFECTATION ET FICHES DE RETOUR</t>
        </is>
      </c>
    </row>
    <row r="2" ht="31.5" customHeight="1" s="22">
      <c r="A2" s="28" t="inlineStr">
        <is>
          <t>Matricule (*)</t>
        </is>
      </c>
      <c r="B2" s="28" t="inlineStr">
        <is>
          <t>Annee acad. (*)</t>
        </is>
      </c>
      <c r="C2" s="28" t="inlineStr">
        <is>
          <t>N seance (1-6) (*)</t>
        </is>
      </c>
      <c r="D2" s="28" t="inlineStr">
        <is>
          <t>Lieu de stage (*)</t>
        </is>
      </c>
      <c r="E2" s="28" t="inlineStr">
        <is>
          <t>Date debut (*)</t>
        </is>
      </c>
      <c r="F2" s="28" t="inlineStr">
        <is>
          <t>Date fin (*)</t>
        </is>
      </c>
      <c r="G2" s="28" t="inlineStr">
        <is>
          <t>Fiche retour (O/N) (*)</t>
        </is>
      </c>
      <c r="H2" s="28" t="inlineStr">
        <is>
          <t>Note stage /20 (*)</t>
        </is>
      </c>
      <c r="I2" s="28" t="inlineStr">
        <is>
          <t>Observation / plainte (**)</t>
        </is>
      </c>
      <c r="J2" s="28" t="inlineStr">
        <is>
          <t>Session</t>
        </is>
      </c>
      <c r="K2" s="28" t="inlineStr">
        <is>
          <t>Heures d'absence (**)</t>
        </is>
      </c>
    </row>
    <row r="3" ht="15" customHeight="1" s="22">
      <c r="A3" s="29" t="n"/>
      <c r="B3" s="29" t="n"/>
      <c r="C3" s="29" t="n"/>
      <c r="D3" s="29" t="n"/>
      <c r="E3" s="31" t="n"/>
      <c r="F3" s="31" t="n"/>
      <c r="G3" s="29" t="n"/>
      <c r="H3" s="29" t="n"/>
      <c r="I3" s="29" t="n"/>
    </row>
    <row r="4" ht="15" customHeight="1" s="22">
      <c r="A4" s="29" t="n"/>
      <c r="B4" s="29" t="n"/>
      <c r="C4" s="29" t="n"/>
      <c r="D4" s="29" t="n"/>
      <c r="E4" s="31" t="n"/>
      <c r="F4" s="31" t="n"/>
      <c r="G4" s="29" t="n"/>
      <c r="H4" s="29" t="n"/>
      <c r="I4" s="29" t="n"/>
    </row>
    <row r="5" ht="15" customHeight="1" s="22">
      <c r="A5" s="29" t="n"/>
      <c r="B5" s="29" t="n"/>
      <c r="C5" s="29" t="n"/>
      <c r="D5" s="29" t="n"/>
      <c r="E5" s="31" t="n"/>
      <c r="F5" s="31" t="n"/>
      <c r="G5" s="29" t="n"/>
      <c r="H5" s="29" t="n"/>
      <c r="I5" s="29" t="n"/>
    </row>
    <row r="6" ht="15" customHeight="1" s="22">
      <c r="A6" s="29" t="n"/>
      <c r="B6" s="29" t="n"/>
      <c r="C6" s="29" t="n"/>
      <c r="D6" s="29" t="n"/>
      <c r="E6" s="31" t="n"/>
      <c r="F6" s="31" t="n"/>
      <c r="G6" s="29" t="n"/>
      <c r="H6" s="29" t="n"/>
      <c r="I6" s="29" t="n"/>
    </row>
    <row r="7" ht="15" customHeight="1" s="22">
      <c r="A7" s="29" t="n"/>
      <c r="B7" s="29" t="n"/>
      <c r="C7" s="29" t="n"/>
      <c r="D7" s="29" t="n"/>
      <c r="E7" s="31" t="n"/>
      <c r="F7" s="31" t="n"/>
      <c r="G7" s="29" t="n"/>
      <c r="H7" s="29" t="n"/>
      <c r="I7" s="29" t="n"/>
    </row>
    <row r="8" ht="15" customHeight="1" s="22">
      <c r="A8" s="29" t="n"/>
      <c r="B8" s="29" t="n"/>
      <c r="C8" s="29" t="n"/>
      <c r="D8" s="29" t="n"/>
      <c r="E8" s="31" t="n"/>
      <c r="F8" s="31" t="n"/>
      <c r="G8" s="29" t="n"/>
      <c r="H8" s="29" t="n"/>
      <c r="I8" s="29" t="n"/>
    </row>
    <row r="9" ht="15" customHeight="1" s="22">
      <c r="A9" s="29" t="n"/>
      <c r="B9" s="29" t="n"/>
      <c r="C9" s="29" t="n"/>
      <c r="D9" s="29" t="n"/>
      <c r="E9" s="31" t="n"/>
      <c r="F9" s="31" t="n"/>
      <c r="G9" s="29" t="n"/>
      <c r="H9" s="29" t="n"/>
      <c r="I9" s="29" t="n"/>
    </row>
    <row r="10" ht="15" customHeight="1" s="22">
      <c r="A10" s="29" t="n"/>
      <c r="B10" s="29" t="n"/>
      <c r="C10" s="29" t="n"/>
      <c r="D10" s="29" t="n"/>
      <c r="E10" s="31" t="n"/>
      <c r="F10" s="31" t="n"/>
      <c r="G10" s="29" t="n"/>
      <c r="H10" s="29" t="n"/>
      <c r="I10" s="29" t="n"/>
    </row>
    <row r="11" ht="15" customHeight="1" s="22">
      <c r="A11" s="29" t="n"/>
      <c r="B11" s="29" t="n"/>
      <c r="C11" s="29" t="n"/>
      <c r="D11" s="29" t="n"/>
      <c r="E11" s="31" t="n"/>
      <c r="F11" s="31" t="n"/>
      <c r="G11" s="29" t="n"/>
      <c r="H11" s="29" t="n"/>
      <c r="I11" s="29" t="n"/>
    </row>
    <row r="12" ht="15" customHeight="1" s="22">
      <c r="A12" s="29" t="n"/>
      <c r="B12" s="29" t="n"/>
      <c r="C12" s="29" t="n"/>
      <c r="D12" s="29" t="n"/>
      <c r="E12" s="31" t="n"/>
      <c r="F12" s="31" t="n"/>
      <c r="G12" s="29" t="n"/>
      <c r="H12" s="29" t="n"/>
      <c r="I12" s="29" t="n"/>
    </row>
    <row r="13" ht="15" customHeight="1" s="22">
      <c r="A13" s="29" t="n"/>
      <c r="B13" s="29" t="n"/>
      <c r="C13" s="29" t="n"/>
      <c r="D13" s="29" t="n"/>
      <c r="E13" s="31" t="n"/>
      <c r="F13" s="31" t="n"/>
      <c r="G13" s="29" t="n"/>
      <c r="H13" s="29" t="n"/>
      <c r="I13" s="29" t="n"/>
    </row>
    <row r="14" ht="15" customHeight="1" s="22">
      <c r="A14" s="29" t="n"/>
      <c r="B14" s="29" t="n"/>
      <c r="C14" s="29" t="n"/>
      <c r="D14" s="29" t="n"/>
      <c r="E14" s="31" t="n"/>
      <c r="F14" s="31" t="n"/>
      <c r="G14" s="29" t="n"/>
      <c r="H14" s="29" t="n"/>
      <c r="I14" s="29" t="n"/>
    </row>
    <row r="15" ht="15" customHeight="1" s="22">
      <c r="A15" s="29" t="n"/>
      <c r="B15" s="29" t="n"/>
      <c r="C15" s="29" t="n"/>
      <c r="D15" s="29" t="n"/>
      <c r="E15" s="31" t="n"/>
      <c r="F15" s="31" t="n"/>
      <c r="G15" s="29" t="n"/>
      <c r="H15" s="29" t="n"/>
      <c r="I15" s="29" t="n"/>
    </row>
    <row r="16" ht="15" customHeight="1" s="22">
      <c r="A16" s="29" t="n"/>
      <c r="B16" s="29" t="n"/>
      <c r="C16" s="29" t="n"/>
      <c r="D16" s="29" t="n"/>
      <c r="E16" s="31" t="n"/>
      <c r="F16" s="31" t="n"/>
      <c r="G16" s="29" t="n"/>
      <c r="H16" s="29" t="n"/>
      <c r="I16" s="29" t="n"/>
    </row>
    <row r="17" ht="15" customHeight="1" s="22">
      <c r="A17" s="29" t="n"/>
      <c r="B17" s="29" t="n"/>
      <c r="C17" s="29" t="n"/>
      <c r="D17" s="29" t="n"/>
      <c r="E17" s="31" t="n"/>
      <c r="F17" s="31" t="n"/>
      <c r="G17" s="29" t="n"/>
      <c r="H17" s="29" t="n"/>
      <c r="I17" s="29" t="n"/>
    </row>
    <row r="18" ht="15" customHeight="1" s="22">
      <c r="A18" s="29" t="n"/>
      <c r="B18" s="29" t="n"/>
      <c r="C18" s="29" t="n"/>
      <c r="D18" s="29" t="n"/>
      <c r="E18" s="31" t="n"/>
      <c r="F18" s="31" t="n"/>
      <c r="G18" s="29" t="n"/>
      <c r="H18" s="29" t="n"/>
      <c r="I18" s="29" t="n"/>
    </row>
    <row r="19" ht="15" customHeight="1" s="22">
      <c r="A19" s="29" t="n"/>
      <c r="B19" s="29" t="n"/>
      <c r="C19" s="29" t="n"/>
      <c r="D19" s="29" t="n"/>
      <c r="E19" s="31" t="n"/>
      <c r="F19" s="31" t="n"/>
      <c r="G19" s="29" t="n"/>
      <c r="H19" s="29" t="n"/>
      <c r="I19" s="29" t="n"/>
    </row>
    <row r="20" ht="15" customHeight="1" s="22">
      <c r="A20" s="29" t="n"/>
      <c r="B20" s="29" t="n"/>
      <c r="C20" s="29" t="n"/>
      <c r="D20" s="29" t="n"/>
      <c r="E20" s="31" t="n"/>
      <c r="F20" s="31" t="n"/>
      <c r="G20" s="29" t="n"/>
      <c r="H20" s="29" t="n"/>
      <c r="I20" s="29" t="n"/>
    </row>
    <row r="21" ht="15" customHeight="1" s="22">
      <c r="A21" s="29" t="n"/>
      <c r="B21" s="29" t="n"/>
      <c r="C21" s="29" t="n"/>
      <c r="D21" s="29" t="n"/>
      <c r="E21" s="31" t="n"/>
      <c r="F21" s="31" t="n"/>
      <c r="G21" s="29" t="n"/>
      <c r="H21" s="29" t="n"/>
      <c r="I21" s="29" t="n"/>
    </row>
    <row r="22" ht="15" customHeight="1" s="22">
      <c r="A22" s="29" t="n"/>
      <c r="B22" s="29" t="n"/>
      <c r="C22" s="29" t="n"/>
      <c r="D22" s="29" t="n"/>
      <c r="E22" s="31" t="n"/>
      <c r="F22" s="31" t="n"/>
      <c r="G22" s="29" t="n"/>
      <c r="H22" s="29" t="n"/>
      <c r="I22" s="29" t="n"/>
    </row>
    <row r="23" ht="15" customHeight="1" s="22">
      <c r="A23" s="29" t="n"/>
      <c r="B23" s="29" t="n"/>
      <c r="C23" s="29" t="n"/>
      <c r="D23" s="29" t="n"/>
      <c r="E23" s="31" t="n"/>
      <c r="F23" s="31" t="n"/>
      <c r="G23" s="29" t="n"/>
      <c r="H23" s="29" t="n"/>
      <c r="I23" s="29" t="n"/>
    </row>
    <row r="24" ht="15" customHeight="1" s="22">
      <c r="A24" s="29" t="n"/>
      <c r="B24" s="29" t="n"/>
      <c r="C24" s="29" t="n"/>
      <c r="D24" s="29" t="n"/>
      <c r="E24" s="31" t="n"/>
      <c r="F24" s="31" t="n"/>
      <c r="G24" s="29" t="n"/>
      <c r="H24" s="29" t="n"/>
      <c r="I24" s="29" t="n"/>
    </row>
    <row r="25" ht="15" customHeight="1" s="22">
      <c r="A25" s="29" t="n"/>
      <c r="B25" s="29" t="n"/>
      <c r="C25" s="29" t="n"/>
      <c r="D25" s="29" t="n"/>
      <c r="E25" s="31" t="n"/>
      <c r="F25" s="31" t="n"/>
      <c r="G25" s="29" t="n"/>
      <c r="H25" s="29" t="n"/>
      <c r="I25" s="29" t="n"/>
    </row>
    <row r="26" ht="15" customHeight="1" s="22">
      <c r="A26" s="29" t="n"/>
      <c r="B26" s="29" t="n"/>
      <c r="C26" s="29" t="n"/>
      <c r="D26" s="29" t="n"/>
      <c r="E26" s="31" t="n"/>
      <c r="F26" s="31" t="n"/>
      <c r="G26" s="29" t="n"/>
      <c r="H26" s="29" t="n"/>
      <c r="I26" s="29" t="n"/>
    </row>
    <row r="27" ht="15" customHeight="1" s="22">
      <c r="A27" s="29" t="n"/>
      <c r="B27" s="29" t="n"/>
      <c r="C27" s="29" t="n"/>
      <c r="D27" s="29" t="n"/>
      <c r="E27" s="31" t="n"/>
      <c r="F27" s="31" t="n"/>
      <c r="G27" s="29" t="n"/>
      <c r="H27" s="29" t="n"/>
      <c r="I27" s="29" t="n"/>
    </row>
    <row r="28" ht="15" customHeight="1" s="22">
      <c r="A28" s="29" t="n"/>
      <c r="B28" s="29" t="n"/>
      <c r="C28" s="29" t="n"/>
      <c r="D28" s="29" t="n"/>
      <c r="E28" s="31" t="n"/>
      <c r="F28" s="31" t="n"/>
      <c r="G28" s="29" t="n"/>
      <c r="H28" s="29" t="n"/>
      <c r="I28" s="29" t="n"/>
    </row>
    <row r="29" ht="15" customHeight="1" s="22">
      <c r="A29" s="29" t="n"/>
      <c r="B29" s="29" t="n"/>
      <c r="C29" s="29" t="n"/>
      <c r="D29" s="29" t="n"/>
      <c r="E29" s="31" t="n"/>
      <c r="F29" s="31" t="n"/>
      <c r="G29" s="29" t="n"/>
      <c r="H29" s="29" t="n"/>
      <c r="I29" s="29" t="n"/>
    </row>
    <row r="30" ht="15" customHeight="1" s="22">
      <c r="A30" s="29" t="n"/>
      <c r="B30" s="29" t="n"/>
      <c r="C30" s="29" t="n"/>
      <c r="D30" s="29" t="n"/>
      <c r="E30" s="31" t="n"/>
      <c r="F30" s="31" t="n"/>
      <c r="G30" s="29" t="n"/>
      <c r="H30" s="29" t="n"/>
      <c r="I30" s="29" t="n"/>
    </row>
    <row r="31" ht="15" customHeight="1" s="22">
      <c r="A31" s="29" t="n"/>
      <c r="B31" s="29" t="n"/>
      <c r="C31" s="29" t="n"/>
      <c r="D31" s="29" t="n"/>
      <c r="E31" s="31" t="n"/>
      <c r="F31" s="31" t="n"/>
      <c r="G31" s="29" t="n"/>
      <c r="H31" s="29" t="n"/>
      <c r="I31" s="29" t="n"/>
    </row>
    <row r="32" ht="15" customHeight="1" s="22">
      <c r="A32" s="29" t="n"/>
      <c r="B32" s="29" t="n"/>
      <c r="C32" s="29" t="n"/>
      <c r="D32" s="29" t="n"/>
      <c r="E32" s="31" t="n"/>
      <c r="F32" s="31" t="n"/>
      <c r="G32" s="29" t="n"/>
      <c r="H32" s="29" t="n"/>
      <c r="I32" s="29" t="n"/>
    </row>
    <row r="33" ht="15" customHeight="1" s="22">
      <c r="A33" s="29" t="n"/>
      <c r="B33" s="29" t="n"/>
      <c r="C33" s="29" t="n"/>
      <c r="D33" s="29" t="n"/>
      <c r="E33" s="31" t="n"/>
      <c r="F33" s="31" t="n"/>
      <c r="G33" s="29" t="n"/>
      <c r="H33" s="29" t="n"/>
      <c r="I33" s="29" t="n"/>
    </row>
    <row r="34" ht="15" customHeight="1" s="22">
      <c r="A34" s="29" t="n"/>
      <c r="B34" s="29" t="n"/>
      <c r="C34" s="29" t="n"/>
      <c r="D34" s="29" t="n"/>
      <c r="E34" s="31" t="n"/>
      <c r="F34" s="31" t="n"/>
      <c r="G34" s="29" t="n"/>
      <c r="H34" s="29" t="n"/>
      <c r="I34" s="29" t="n"/>
    </row>
    <row r="35" ht="15" customHeight="1" s="22">
      <c r="A35" s="29" t="n"/>
      <c r="B35" s="29" t="n"/>
      <c r="C35" s="29" t="n"/>
      <c r="D35" s="29" t="n"/>
      <c r="E35" s="31" t="n"/>
      <c r="F35" s="31" t="n"/>
      <c r="G35" s="29" t="n"/>
      <c r="H35" s="29" t="n"/>
      <c r="I35" s="29" t="n"/>
    </row>
    <row r="36" ht="15" customHeight="1" s="22">
      <c r="A36" s="29" t="n"/>
      <c r="B36" s="29" t="n"/>
      <c r="C36" s="29" t="n"/>
      <c r="D36" s="29" t="n"/>
      <c r="E36" s="31" t="n"/>
      <c r="F36" s="31" t="n"/>
      <c r="G36" s="29" t="n"/>
      <c r="H36" s="29" t="n"/>
      <c r="I36" s="29" t="n"/>
    </row>
    <row r="37" ht="15" customHeight="1" s="22">
      <c r="A37" s="29" t="n"/>
      <c r="B37" s="29" t="n"/>
      <c r="C37" s="29" t="n"/>
      <c r="D37" s="29" t="n"/>
      <c r="E37" s="31" t="n"/>
      <c r="F37" s="31" t="n"/>
      <c r="G37" s="29" t="n"/>
      <c r="H37" s="29" t="n"/>
      <c r="I37" s="29" t="n"/>
    </row>
    <row r="38" ht="15" customHeight="1" s="22">
      <c r="A38" s="29" t="n"/>
      <c r="B38" s="29" t="n"/>
      <c r="C38" s="29" t="n"/>
      <c r="D38" s="29" t="n"/>
      <c r="E38" s="31" t="n"/>
      <c r="F38" s="31" t="n"/>
      <c r="G38" s="29" t="n"/>
      <c r="H38" s="29" t="n"/>
      <c r="I38" s="29" t="n"/>
    </row>
    <row r="39" ht="15" customHeight="1" s="22">
      <c r="A39" s="29" t="n"/>
      <c r="B39" s="29" t="n"/>
      <c r="C39" s="29" t="n"/>
      <c r="D39" s="29" t="n"/>
      <c r="E39" s="31" t="n"/>
      <c r="F39" s="31" t="n"/>
      <c r="G39" s="29" t="n"/>
      <c r="H39" s="29" t="n"/>
      <c r="I39" s="29" t="n"/>
    </row>
    <row r="40" ht="15" customHeight="1" s="22">
      <c r="A40" s="29" t="n"/>
      <c r="B40" s="29" t="n"/>
      <c r="C40" s="29" t="n"/>
      <c r="D40" s="29" t="n"/>
      <c r="E40" s="31" t="n"/>
      <c r="F40" s="31" t="n"/>
      <c r="G40" s="29" t="n"/>
      <c r="H40" s="29" t="n"/>
      <c r="I40" s="29" t="n"/>
    </row>
    <row r="41" ht="15" customHeight="1" s="22">
      <c r="A41" s="29" t="n"/>
      <c r="B41" s="29" t="n"/>
      <c r="C41" s="29" t="n"/>
      <c r="D41" s="29" t="n"/>
      <c r="E41" s="31" t="n"/>
      <c r="F41" s="31" t="n"/>
      <c r="G41" s="29" t="n"/>
      <c r="H41" s="29" t="n"/>
      <c r="I41" s="29" t="n"/>
    </row>
    <row r="42" ht="15" customHeight="1" s="22">
      <c r="A42" s="29" t="n"/>
      <c r="B42" s="29" t="n"/>
      <c r="C42" s="29" t="n"/>
      <c r="D42" s="29" t="n"/>
      <c r="E42" s="31" t="n"/>
      <c r="F42" s="31" t="n"/>
      <c r="G42" s="29" t="n"/>
      <c r="H42" s="29" t="n"/>
      <c r="I42" s="29" t="n"/>
    </row>
    <row r="43" ht="15" customHeight="1" s="22">
      <c r="A43" s="29" t="n"/>
      <c r="B43" s="29" t="n"/>
      <c r="C43" s="29" t="n"/>
      <c r="D43" s="29" t="n"/>
      <c r="E43" s="31" t="n"/>
      <c r="F43" s="31" t="n"/>
      <c r="G43" s="29" t="n"/>
      <c r="H43" s="29" t="n"/>
      <c r="I43" s="29" t="n"/>
    </row>
    <row r="44" ht="15" customHeight="1" s="22">
      <c r="A44" s="29" t="n"/>
      <c r="B44" s="29" t="n"/>
      <c r="C44" s="29" t="n"/>
      <c r="D44" s="29" t="n"/>
      <c r="E44" s="31" t="n"/>
      <c r="F44" s="31" t="n"/>
      <c r="G44" s="29" t="n"/>
      <c r="H44" s="29" t="n"/>
      <c r="I44" s="29" t="n"/>
    </row>
    <row r="45" ht="15" customHeight="1" s="22">
      <c r="A45" s="29" t="n"/>
      <c r="B45" s="29" t="n"/>
      <c r="C45" s="29" t="n"/>
      <c r="D45" s="29" t="n"/>
      <c r="E45" s="31" t="n"/>
      <c r="F45" s="31" t="n"/>
      <c r="G45" s="29" t="n"/>
      <c r="H45" s="29" t="n"/>
      <c r="I45" s="29" t="n"/>
    </row>
    <row r="46" ht="15" customHeight="1" s="22">
      <c r="A46" s="29" t="n"/>
      <c r="B46" s="29" t="n"/>
      <c r="C46" s="29" t="n"/>
      <c r="D46" s="29" t="n"/>
      <c r="E46" s="31" t="n"/>
      <c r="F46" s="31" t="n"/>
      <c r="G46" s="29" t="n"/>
      <c r="H46" s="29" t="n"/>
      <c r="I46" s="29" t="n"/>
    </row>
    <row r="47" ht="15" customHeight="1" s="22">
      <c r="A47" s="29" t="n"/>
      <c r="B47" s="29" t="n"/>
      <c r="C47" s="29" t="n"/>
      <c r="D47" s="29" t="n"/>
      <c r="E47" s="31" t="n"/>
      <c r="F47" s="31" t="n"/>
      <c r="G47" s="29" t="n"/>
      <c r="H47" s="29" t="n"/>
      <c r="I47" s="29" t="n"/>
    </row>
    <row r="48" ht="15" customHeight="1" s="22">
      <c r="A48" s="29" t="n"/>
      <c r="B48" s="29" t="n"/>
      <c r="C48" s="29" t="n"/>
      <c r="D48" s="29" t="n"/>
      <c r="E48" s="31" t="n"/>
      <c r="F48" s="31" t="n"/>
      <c r="G48" s="29" t="n"/>
      <c r="H48" s="29" t="n"/>
      <c r="I48" s="29" t="n"/>
    </row>
    <row r="49" ht="15" customHeight="1" s="22">
      <c r="A49" s="29" t="n"/>
      <c r="B49" s="29" t="n"/>
      <c r="C49" s="29" t="n"/>
      <c r="D49" s="29" t="n"/>
      <c r="E49" s="31" t="n"/>
      <c r="F49" s="31" t="n"/>
      <c r="G49" s="29" t="n"/>
      <c r="H49" s="29" t="n"/>
      <c r="I49" s="29" t="n"/>
    </row>
    <row r="50" ht="15" customHeight="1" s="22">
      <c r="A50" s="29" t="n"/>
      <c r="B50" s="29" t="n"/>
      <c r="C50" s="29" t="n"/>
      <c r="D50" s="29" t="n"/>
      <c r="E50" s="31" t="n"/>
      <c r="F50" s="31" t="n"/>
      <c r="G50" s="29" t="n"/>
      <c r="H50" s="29" t="n"/>
      <c r="I50" s="29" t="n"/>
    </row>
    <row r="51" ht="15" customHeight="1" s="22">
      <c r="A51" s="29" t="n"/>
      <c r="B51" s="29" t="n"/>
      <c r="C51" s="29" t="n"/>
      <c r="D51" s="29" t="n"/>
      <c r="E51" s="31" t="n"/>
      <c r="F51" s="31" t="n"/>
      <c r="G51" s="29" t="n"/>
      <c r="H51" s="29" t="n"/>
      <c r="I51" s="29" t="n"/>
    </row>
    <row r="52" ht="15" customHeight="1" s="22">
      <c r="A52" s="29" t="n"/>
      <c r="B52" s="29" t="n"/>
      <c r="C52" s="29" t="n"/>
      <c r="D52" s="29" t="n"/>
      <c r="E52" s="31" t="n"/>
      <c r="F52" s="31" t="n"/>
      <c r="G52" s="29" t="n"/>
      <c r="H52" s="29" t="n"/>
      <c r="I52" s="29" t="n"/>
    </row>
    <row r="53" ht="15" customHeight="1" s="22">
      <c r="A53" s="29" t="n"/>
      <c r="B53" s="29" t="n"/>
      <c r="C53" s="29" t="n"/>
      <c r="D53" s="29" t="n"/>
      <c r="E53" s="31" t="n"/>
      <c r="F53" s="31" t="n"/>
      <c r="G53" s="29" t="n"/>
      <c r="H53" s="29" t="n"/>
      <c r="I53" s="29" t="n"/>
    </row>
    <row r="54" ht="15" customHeight="1" s="22">
      <c r="A54" s="29" t="n"/>
      <c r="B54" s="29" t="n"/>
      <c r="C54" s="29" t="n"/>
      <c r="D54" s="29" t="n"/>
      <c r="E54" s="31" t="n"/>
      <c r="F54" s="31" t="n"/>
      <c r="G54" s="29" t="n"/>
      <c r="H54" s="29" t="n"/>
      <c r="I54" s="29" t="n"/>
    </row>
    <row r="55" ht="15" customHeight="1" s="22">
      <c r="A55" s="29" t="n"/>
      <c r="B55" s="29" t="n"/>
      <c r="C55" s="29" t="n"/>
      <c r="D55" s="29" t="n"/>
      <c r="E55" s="31" t="n"/>
      <c r="F55" s="31" t="n"/>
      <c r="G55" s="29" t="n"/>
      <c r="H55" s="29" t="n"/>
      <c r="I55" s="29" t="n"/>
    </row>
    <row r="56" ht="15" customHeight="1" s="22">
      <c r="A56" s="29" t="n"/>
      <c r="B56" s="29" t="n"/>
      <c r="C56" s="29" t="n"/>
      <c r="D56" s="29" t="n"/>
      <c r="E56" s="31" t="n"/>
      <c r="F56" s="31" t="n"/>
      <c r="G56" s="29" t="n"/>
      <c r="H56" s="29" t="n"/>
      <c r="I56" s="29" t="n"/>
    </row>
    <row r="57" ht="15" customHeight="1" s="22">
      <c r="A57" s="29" t="n"/>
      <c r="B57" s="29" t="n"/>
      <c r="C57" s="29" t="n"/>
      <c r="D57" s="29" t="n"/>
      <c r="E57" s="31" t="n"/>
      <c r="F57" s="31" t="n"/>
      <c r="G57" s="29" t="n"/>
      <c r="H57" s="29" t="n"/>
      <c r="I57" s="29" t="n"/>
    </row>
    <row r="58" ht="15" customHeight="1" s="22">
      <c r="A58" s="29" t="n"/>
      <c r="B58" s="29" t="n"/>
      <c r="C58" s="29" t="n"/>
      <c r="D58" s="29" t="n"/>
      <c r="E58" s="31" t="n"/>
      <c r="F58" s="31" t="n"/>
      <c r="G58" s="29" t="n"/>
      <c r="H58" s="29" t="n"/>
      <c r="I58" s="29" t="n"/>
    </row>
    <row r="59" ht="15" customHeight="1" s="22">
      <c r="A59" s="29" t="n"/>
      <c r="B59" s="29" t="n"/>
      <c r="C59" s="29" t="n"/>
      <c r="D59" s="29" t="n"/>
      <c r="E59" s="31" t="n"/>
      <c r="F59" s="31" t="n"/>
      <c r="G59" s="29" t="n"/>
      <c r="H59" s="29" t="n"/>
      <c r="I59" s="29" t="n"/>
    </row>
    <row r="60" ht="15" customHeight="1" s="22">
      <c r="A60" s="29" t="n"/>
      <c r="B60" s="29" t="n"/>
      <c r="C60" s="29" t="n"/>
      <c r="D60" s="29" t="n"/>
      <c r="E60" s="31" t="n"/>
      <c r="F60" s="31" t="n"/>
      <c r="G60" s="29" t="n"/>
      <c r="H60" s="29" t="n"/>
      <c r="I60" s="29" t="n"/>
    </row>
    <row r="61" ht="15" customHeight="1" s="22">
      <c r="A61" s="29" t="n"/>
      <c r="B61" s="29" t="n"/>
      <c r="C61" s="29" t="n"/>
      <c r="D61" s="29" t="n"/>
      <c r="E61" s="31" t="n"/>
      <c r="F61" s="31" t="n"/>
      <c r="G61" s="29" t="n"/>
      <c r="H61" s="29" t="n"/>
      <c r="I61" s="29" t="n"/>
    </row>
    <row r="62" ht="15" customHeight="1" s="22">
      <c r="A62" s="29" t="n"/>
      <c r="B62" s="29" t="n"/>
      <c r="C62" s="29" t="n"/>
      <c r="D62" s="29" t="n"/>
      <c r="E62" s="31" t="n"/>
      <c r="F62" s="31" t="n"/>
      <c r="G62" s="29" t="n"/>
      <c r="H62" s="29" t="n"/>
      <c r="I62" s="29" t="n"/>
    </row>
    <row r="63" ht="15" customHeight="1" s="22">
      <c r="A63" s="29" t="n"/>
      <c r="B63" s="29" t="n"/>
      <c r="C63" s="29" t="n"/>
      <c r="D63" s="29" t="n"/>
      <c r="E63" s="31" t="n"/>
      <c r="F63" s="31" t="n"/>
      <c r="G63" s="29" t="n"/>
      <c r="H63" s="29" t="n"/>
      <c r="I63" s="29" t="n"/>
    </row>
    <row r="64" ht="15" customHeight="1" s="22">
      <c r="A64" s="29" t="n"/>
      <c r="B64" s="29" t="n"/>
      <c r="C64" s="29" t="n"/>
      <c r="D64" s="29" t="n"/>
      <c r="E64" s="31" t="n"/>
      <c r="F64" s="31" t="n"/>
      <c r="G64" s="29" t="n"/>
      <c r="H64" s="29" t="n"/>
      <c r="I64" s="29" t="n"/>
    </row>
    <row r="65" ht="15" customHeight="1" s="22">
      <c r="A65" s="29" t="n"/>
      <c r="B65" s="29" t="n"/>
      <c r="C65" s="29" t="n"/>
      <c r="D65" s="29" t="n"/>
      <c r="E65" s="31" t="n"/>
      <c r="F65" s="31" t="n"/>
      <c r="G65" s="29" t="n"/>
      <c r="H65" s="29" t="n"/>
      <c r="I65" s="29" t="n"/>
    </row>
    <row r="66" ht="15" customHeight="1" s="22">
      <c r="A66" s="29" t="n"/>
      <c r="B66" s="29" t="n"/>
      <c r="C66" s="29" t="n"/>
      <c r="D66" s="29" t="n"/>
      <c r="E66" s="31" t="n"/>
      <c r="F66" s="31" t="n"/>
      <c r="G66" s="29" t="n"/>
      <c r="H66" s="29" t="n"/>
      <c r="I66" s="29" t="n"/>
    </row>
    <row r="67" ht="15" customHeight="1" s="22">
      <c r="A67" s="29" t="n"/>
      <c r="B67" s="29" t="n"/>
      <c r="C67" s="29" t="n"/>
      <c r="D67" s="29" t="n"/>
      <c r="E67" s="31" t="n"/>
      <c r="F67" s="31" t="n"/>
      <c r="G67" s="29" t="n"/>
      <c r="H67" s="29" t="n"/>
      <c r="I67" s="29" t="n"/>
    </row>
    <row r="68" ht="15" customHeight="1" s="22">
      <c r="A68" s="29" t="n"/>
      <c r="B68" s="29" t="n"/>
      <c r="C68" s="29" t="n"/>
      <c r="D68" s="29" t="n"/>
      <c r="E68" s="31" t="n"/>
      <c r="F68" s="31" t="n"/>
      <c r="G68" s="29" t="n"/>
      <c r="H68" s="29" t="n"/>
      <c r="I68" s="29" t="n"/>
    </row>
    <row r="69" ht="15" customHeight="1" s="22">
      <c r="A69" s="29" t="n"/>
      <c r="B69" s="29" t="n"/>
      <c r="C69" s="29" t="n"/>
      <c r="D69" s="29" t="n"/>
      <c r="E69" s="31" t="n"/>
      <c r="F69" s="31" t="n"/>
      <c r="G69" s="29" t="n"/>
      <c r="H69" s="29" t="n"/>
      <c r="I69" s="29" t="n"/>
    </row>
    <row r="70" ht="15" customHeight="1" s="22">
      <c r="A70" s="29" t="n"/>
      <c r="B70" s="29" t="n"/>
      <c r="C70" s="29" t="n"/>
      <c r="D70" s="29" t="n"/>
      <c r="E70" s="31" t="n"/>
      <c r="F70" s="31" t="n"/>
      <c r="G70" s="29" t="n"/>
      <c r="H70" s="29" t="n"/>
      <c r="I70" s="29" t="n"/>
    </row>
    <row r="71" ht="15" customHeight="1" s="22">
      <c r="A71" s="29" t="n"/>
      <c r="B71" s="29" t="n"/>
      <c r="C71" s="29" t="n"/>
      <c r="D71" s="29" t="n"/>
      <c r="E71" s="31" t="n"/>
      <c r="F71" s="31" t="n"/>
      <c r="G71" s="29" t="n"/>
      <c r="H71" s="29" t="n"/>
      <c r="I71" s="29" t="n"/>
    </row>
    <row r="72" ht="15" customHeight="1" s="22">
      <c r="A72" s="29" t="n"/>
      <c r="B72" s="29" t="n"/>
      <c r="C72" s="29" t="n"/>
      <c r="D72" s="29" t="n"/>
      <c r="E72" s="31" t="n"/>
      <c r="F72" s="31" t="n"/>
      <c r="G72" s="29" t="n"/>
      <c r="H72" s="29" t="n"/>
      <c r="I72" s="29" t="n"/>
    </row>
    <row r="73" ht="15" customHeight="1" s="22">
      <c r="A73" s="29" t="n"/>
      <c r="B73" s="29" t="n"/>
      <c r="C73" s="29" t="n"/>
      <c r="D73" s="29" t="n"/>
      <c r="E73" s="31" t="n"/>
      <c r="F73" s="31" t="n"/>
      <c r="G73" s="29" t="n"/>
      <c r="H73" s="29" t="n"/>
      <c r="I73" s="29" t="n"/>
    </row>
    <row r="74" ht="15" customHeight="1" s="22">
      <c r="A74" s="29" t="n"/>
      <c r="B74" s="29" t="n"/>
      <c r="C74" s="29" t="n"/>
      <c r="D74" s="29" t="n"/>
      <c r="E74" s="31" t="n"/>
      <c r="F74" s="31" t="n"/>
      <c r="G74" s="29" t="n"/>
      <c r="H74" s="29" t="n"/>
      <c r="I74" s="29" t="n"/>
    </row>
    <row r="75" ht="15" customHeight="1" s="22">
      <c r="A75" s="29" t="n"/>
      <c r="B75" s="29" t="n"/>
      <c r="C75" s="29" t="n"/>
      <c r="D75" s="29" t="n"/>
      <c r="E75" s="31" t="n"/>
      <c r="F75" s="31" t="n"/>
      <c r="G75" s="29" t="n"/>
      <c r="H75" s="29" t="n"/>
      <c r="I75" s="29" t="n"/>
    </row>
    <row r="76" ht="15" customHeight="1" s="22">
      <c r="A76" s="29" t="n"/>
      <c r="B76" s="29" t="n"/>
      <c r="C76" s="29" t="n"/>
      <c r="D76" s="29" t="n"/>
      <c r="E76" s="31" t="n"/>
      <c r="F76" s="31" t="n"/>
      <c r="G76" s="29" t="n"/>
      <c r="H76" s="29" t="n"/>
      <c r="I76" s="29" t="n"/>
    </row>
    <row r="77" ht="15" customHeight="1" s="22">
      <c r="A77" s="29" t="n"/>
      <c r="B77" s="29" t="n"/>
      <c r="C77" s="29" t="n"/>
      <c r="D77" s="29" t="n"/>
      <c r="E77" s="31" t="n"/>
      <c r="F77" s="31" t="n"/>
      <c r="G77" s="29" t="n"/>
      <c r="H77" s="29" t="n"/>
      <c r="I77" s="29" t="n"/>
    </row>
    <row r="78" ht="15" customHeight="1" s="22">
      <c r="A78" s="29" t="n"/>
      <c r="B78" s="29" t="n"/>
      <c r="C78" s="29" t="n"/>
      <c r="D78" s="29" t="n"/>
      <c r="E78" s="31" t="n"/>
      <c r="F78" s="31" t="n"/>
      <c r="G78" s="29" t="n"/>
      <c r="H78" s="29" t="n"/>
      <c r="I78" s="29" t="n"/>
    </row>
    <row r="79" ht="15" customHeight="1" s="22">
      <c r="A79" s="29" t="n"/>
      <c r="B79" s="29" t="n"/>
      <c r="C79" s="29" t="n"/>
      <c r="D79" s="29" t="n"/>
      <c r="E79" s="31" t="n"/>
      <c r="F79" s="31" t="n"/>
      <c r="G79" s="29" t="n"/>
      <c r="H79" s="29" t="n"/>
      <c r="I79" s="29" t="n"/>
    </row>
    <row r="80" ht="15" customHeight="1" s="22">
      <c r="A80" s="29" t="n"/>
      <c r="B80" s="29" t="n"/>
      <c r="C80" s="29" t="n"/>
      <c r="D80" s="29" t="n"/>
      <c r="E80" s="31" t="n"/>
      <c r="F80" s="31" t="n"/>
      <c r="G80" s="29" t="n"/>
      <c r="H80" s="29" t="n"/>
      <c r="I80" s="29" t="n"/>
    </row>
    <row r="81" ht="15" customHeight="1" s="22">
      <c r="A81" s="29" t="n"/>
      <c r="B81" s="29" t="n"/>
      <c r="C81" s="29" t="n"/>
      <c r="D81" s="29" t="n"/>
      <c r="E81" s="31" t="n"/>
      <c r="F81" s="31" t="n"/>
      <c r="G81" s="29" t="n"/>
      <c r="H81" s="29" t="n"/>
      <c r="I81" s="29" t="n"/>
    </row>
    <row r="82" ht="15" customHeight="1" s="22">
      <c r="A82" s="29" t="n"/>
      <c r="B82" s="29" t="n"/>
      <c r="C82" s="29" t="n"/>
      <c r="D82" s="29" t="n"/>
      <c r="E82" s="31" t="n"/>
      <c r="F82" s="31" t="n"/>
      <c r="G82" s="29" t="n"/>
      <c r="H82" s="29" t="n"/>
      <c r="I82" s="29" t="n"/>
    </row>
    <row r="83" ht="15" customHeight="1" s="22">
      <c r="A83" s="29" t="n"/>
      <c r="B83" s="29" t="n"/>
      <c r="C83" s="29" t="n"/>
      <c r="D83" s="29" t="n"/>
      <c r="E83" s="31" t="n"/>
      <c r="F83" s="31" t="n"/>
      <c r="G83" s="29" t="n"/>
      <c r="H83" s="29" t="n"/>
      <c r="I83" s="29" t="n"/>
    </row>
    <row r="84" ht="15" customHeight="1" s="22">
      <c r="A84" s="29" t="n"/>
      <c r="B84" s="29" t="n"/>
      <c r="C84" s="29" t="n"/>
      <c r="D84" s="29" t="n"/>
      <c r="E84" s="31" t="n"/>
      <c r="F84" s="31" t="n"/>
      <c r="G84" s="29" t="n"/>
      <c r="H84" s="29" t="n"/>
      <c r="I84" s="29" t="n"/>
    </row>
    <row r="85" ht="15" customHeight="1" s="22">
      <c r="A85" s="29" t="n"/>
      <c r="B85" s="29" t="n"/>
      <c r="C85" s="29" t="n"/>
      <c r="D85" s="29" t="n"/>
      <c r="E85" s="31" t="n"/>
      <c r="F85" s="31" t="n"/>
      <c r="G85" s="29" t="n"/>
      <c r="H85" s="29" t="n"/>
      <c r="I85" s="29" t="n"/>
    </row>
    <row r="86" ht="15" customHeight="1" s="22">
      <c r="A86" s="29" t="n"/>
      <c r="B86" s="29" t="n"/>
      <c r="C86" s="29" t="n"/>
      <c r="D86" s="29" t="n"/>
      <c r="E86" s="31" t="n"/>
      <c r="F86" s="31" t="n"/>
      <c r="G86" s="29" t="n"/>
      <c r="H86" s="29" t="n"/>
      <c r="I86" s="29" t="n"/>
    </row>
    <row r="87" ht="15" customHeight="1" s="22">
      <c r="A87" s="29" t="n"/>
      <c r="B87" s="29" t="n"/>
      <c r="C87" s="29" t="n"/>
      <c r="D87" s="29" t="n"/>
      <c r="E87" s="31" t="n"/>
      <c r="F87" s="31" t="n"/>
      <c r="G87" s="29" t="n"/>
      <c r="H87" s="29" t="n"/>
      <c r="I87" s="29" t="n"/>
    </row>
    <row r="88" ht="15" customHeight="1" s="22">
      <c r="A88" s="29" t="n"/>
      <c r="B88" s="29" t="n"/>
      <c r="C88" s="29" t="n"/>
      <c r="D88" s="29" t="n"/>
      <c r="E88" s="31" t="n"/>
      <c r="F88" s="31" t="n"/>
      <c r="G88" s="29" t="n"/>
      <c r="H88" s="29" t="n"/>
      <c r="I88" s="29" t="n"/>
    </row>
    <row r="89" ht="15" customHeight="1" s="22">
      <c r="A89" s="29" t="n"/>
      <c r="B89" s="29" t="n"/>
      <c r="C89" s="29" t="n"/>
      <c r="D89" s="29" t="n"/>
      <c r="E89" s="31" t="n"/>
      <c r="F89" s="31" t="n"/>
      <c r="G89" s="29" t="n"/>
      <c r="H89" s="29" t="n"/>
      <c r="I89" s="29" t="n"/>
    </row>
    <row r="90" ht="15" customHeight="1" s="22">
      <c r="A90" s="29" t="n"/>
      <c r="B90" s="29" t="n"/>
      <c r="C90" s="29" t="n"/>
      <c r="D90" s="29" t="n"/>
      <c r="E90" s="31" t="n"/>
      <c r="F90" s="31" t="n"/>
      <c r="G90" s="29" t="n"/>
      <c r="H90" s="29" t="n"/>
      <c r="I90" s="29" t="n"/>
    </row>
    <row r="91" ht="15" customHeight="1" s="22">
      <c r="A91" s="29" t="n"/>
      <c r="B91" s="29" t="n"/>
      <c r="C91" s="29" t="n"/>
      <c r="D91" s="29" t="n"/>
      <c r="E91" s="31" t="n"/>
      <c r="F91" s="31" t="n"/>
      <c r="G91" s="29" t="n"/>
      <c r="H91" s="29" t="n"/>
      <c r="I91" s="29" t="n"/>
    </row>
    <row r="92" ht="15" customHeight="1" s="22">
      <c r="A92" s="29" t="n"/>
      <c r="B92" s="29" t="n"/>
      <c r="C92" s="29" t="n"/>
      <c r="D92" s="29" t="n"/>
      <c r="E92" s="31" t="n"/>
      <c r="F92" s="31" t="n"/>
      <c r="G92" s="29" t="n"/>
      <c r="H92" s="29" t="n"/>
      <c r="I92" s="29" t="n"/>
    </row>
    <row r="93" ht="15" customHeight="1" s="22">
      <c r="A93" s="29" t="n"/>
      <c r="B93" s="29" t="n"/>
      <c r="C93" s="29" t="n"/>
      <c r="D93" s="29" t="n"/>
      <c r="E93" s="31" t="n"/>
      <c r="F93" s="31" t="n"/>
      <c r="G93" s="29" t="n"/>
      <c r="H93" s="29" t="n"/>
      <c r="I93" s="29" t="n"/>
    </row>
    <row r="94" ht="15" customHeight="1" s="22">
      <c r="A94" s="29" t="n"/>
      <c r="B94" s="29" t="n"/>
      <c r="C94" s="29" t="n"/>
      <c r="D94" s="29" t="n"/>
      <c r="E94" s="31" t="n"/>
      <c r="F94" s="31" t="n"/>
      <c r="G94" s="29" t="n"/>
      <c r="H94" s="29" t="n"/>
      <c r="I94" s="29" t="n"/>
    </row>
    <row r="95" ht="15" customHeight="1" s="22">
      <c r="A95" s="29" t="n"/>
      <c r="B95" s="29" t="n"/>
      <c r="C95" s="29" t="n"/>
      <c r="D95" s="29" t="n"/>
      <c r="E95" s="31" t="n"/>
      <c r="F95" s="31" t="n"/>
      <c r="G95" s="29" t="n"/>
      <c r="H95" s="29" t="n"/>
      <c r="I95" s="29" t="n"/>
    </row>
    <row r="96" ht="15" customHeight="1" s="22">
      <c r="A96" s="29" t="n"/>
      <c r="B96" s="29" t="n"/>
      <c r="C96" s="29" t="n"/>
      <c r="D96" s="29" t="n"/>
      <c r="E96" s="31" t="n"/>
      <c r="F96" s="31" t="n"/>
      <c r="G96" s="29" t="n"/>
      <c r="H96" s="29" t="n"/>
      <c r="I96" s="29" t="n"/>
    </row>
    <row r="97" ht="15" customHeight="1" s="22">
      <c r="A97" s="29" t="n"/>
      <c r="B97" s="29" t="n"/>
      <c r="C97" s="29" t="n"/>
      <c r="D97" s="29" t="n"/>
      <c r="E97" s="31" t="n"/>
      <c r="F97" s="31" t="n"/>
      <c r="G97" s="29" t="n"/>
      <c r="H97" s="29" t="n"/>
      <c r="I97" s="29" t="n"/>
    </row>
    <row r="98" ht="15" customHeight="1" s="22">
      <c r="A98" s="29" t="n"/>
      <c r="B98" s="29" t="n"/>
      <c r="C98" s="29" t="n"/>
      <c r="D98" s="29" t="n"/>
      <c r="E98" s="31" t="n"/>
      <c r="F98" s="31" t="n"/>
      <c r="G98" s="29" t="n"/>
      <c r="H98" s="29" t="n"/>
      <c r="I98" s="29" t="n"/>
    </row>
    <row r="99" ht="15" customHeight="1" s="22">
      <c r="A99" s="29" t="n"/>
      <c r="B99" s="29" t="n"/>
      <c r="C99" s="29" t="n"/>
      <c r="D99" s="29" t="n"/>
      <c r="E99" s="31" t="n"/>
      <c r="F99" s="31" t="n"/>
      <c r="G99" s="29" t="n"/>
      <c r="H99" s="29" t="n"/>
      <c r="I99" s="29" t="n"/>
    </row>
    <row r="100" ht="15" customHeight="1" s="22">
      <c r="A100" s="29" t="n"/>
      <c r="B100" s="29" t="n"/>
      <c r="C100" s="29" t="n"/>
      <c r="D100" s="29" t="n"/>
      <c r="E100" s="31" t="n"/>
      <c r="F100" s="31" t="n"/>
      <c r="G100" s="29" t="n"/>
      <c r="H100" s="29" t="n"/>
      <c r="I100" s="29" t="n"/>
    </row>
    <row r="101" ht="15" customHeight="1" s="22">
      <c r="A101" s="29" t="n"/>
      <c r="B101" s="29" t="n"/>
      <c r="C101" s="29" t="n"/>
      <c r="D101" s="29" t="n"/>
      <c r="E101" s="31" t="n"/>
      <c r="F101" s="31" t="n"/>
      <c r="G101" s="29" t="n"/>
      <c r="H101" s="29" t="n"/>
      <c r="I101" s="29" t="n"/>
    </row>
    <row r="102" ht="15" customHeight="1" s="22">
      <c r="A102" s="29" t="n"/>
      <c r="B102" s="29" t="n"/>
      <c r="C102" s="29" t="n"/>
      <c r="D102" s="29" t="n"/>
      <c r="E102" s="31" t="n"/>
      <c r="F102" s="31" t="n"/>
      <c r="G102" s="29" t="n"/>
      <c r="H102" s="29" t="n"/>
      <c r="I102" s="29" t="n"/>
    </row>
    <row r="103" ht="15" customHeight="1" s="22">
      <c r="A103" s="29" t="n"/>
      <c r="B103" s="29" t="n"/>
      <c r="C103" s="29" t="n"/>
      <c r="D103" s="29" t="n"/>
      <c r="E103" s="31" t="n"/>
      <c r="F103" s="31" t="n"/>
      <c r="G103" s="29" t="n"/>
      <c r="H103" s="29" t="n"/>
      <c r="I103" s="29" t="n"/>
    </row>
    <row r="104" ht="15" customHeight="1" s="22">
      <c r="A104" s="29" t="n"/>
      <c r="B104" s="29" t="n"/>
      <c r="C104" s="29" t="n"/>
      <c r="D104" s="29" t="n"/>
      <c r="E104" s="31" t="n"/>
      <c r="F104" s="31" t="n"/>
      <c r="G104" s="29" t="n"/>
      <c r="H104" s="29" t="n"/>
      <c r="I104" s="29" t="n"/>
    </row>
    <row r="105" ht="15" customHeight="1" s="22">
      <c r="A105" s="29" t="n"/>
      <c r="B105" s="29" t="n"/>
      <c r="C105" s="29" t="n"/>
      <c r="D105" s="29" t="n"/>
      <c r="E105" s="31" t="n"/>
      <c r="F105" s="31" t="n"/>
      <c r="G105" s="29" t="n"/>
      <c r="H105" s="29" t="n"/>
      <c r="I105" s="29" t="n"/>
    </row>
    <row r="106" ht="15" customHeight="1" s="22">
      <c r="A106" s="29" t="n"/>
      <c r="B106" s="29" t="n"/>
      <c r="C106" s="29" t="n"/>
      <c r="D106" s="29" t="n"/>
      <c r="E106" s="31" t="n"/>
      <c r="F106" s="31" t="n"/>
      <c r="G106" s="29" t="n"/>
      <c r="H106" s="29" t="n"/>
      <c r="I106" s="29" t="n"/>
    </row>
    <row r="107" ht="15" customHeight="1" s="22">
      <c r="A107" s="29" t="n"/>
      <c r="B107" s="29" t="n"/>
      <c r="C107" s="29" t="n"/>
      <c r="D107" s="29" t="n"/>
      <c r="E107" s="31" t="n"/>
      <c r="F107" s="31" t="n"/>
      <c r="G107" s="29" t="n"/>
      <c r="H107" s="29" t="n"/>
      <c r="I107" s="29" t="n"/>
    </row>
    <row r="108" ht="15" customHeight="1" s="22">
      <c r="A108" s="29" t="n"/>
      <c r="B108" s="29" t="n"/>
      <c r="C108" s="29" t="n"/>
      <c r="D108" s="29" t="n"/>
      <c r="E108" s="31" t="n"/>
      <c r="F108" s="31" t="n"/>
      <c r="G108" s="29" t="n"/>
      <c r="H108" s="29" t="n"/>
      <c r="I108" s="29" t="n"/>
    </row>
    <row r="109" ht="15" customHeight="1" s="22">
      <c r="A109" s="29" t="n"/>
      <c r="B109" s="29" t="n"/>
      <c r="C109" s="29" t="n"/>
      <c r="D109" s="29" t="n"/>
      <c r="E109" s="31" t="n"/>
      <c r="F109" s="31" t="n"/>
      <c r="G109" s="29" t="n"/>
      <c r="H109" s="29" t="n"/>
      <c r="I109" s="29" t="n"/>
    </row>
    <row r="110" ht="15" customHeight="1" s="22">
      <c r="A110" s="29" t="n"/>
      <c r="B110" s="29" t="n"/>
      <c r="C110" s="29" t="n"/>
      <c r="D110" s="29" t="n"/>
      <c r="E110" s="31" t="n"/>
      <c r="F110" s="31" t="n"/>
      <c r="G110" s="29" t="n"/>
      <c r="H110" s="29" t="n"/>
      <c r="I110" s="29" t="n"/>
    </row>
    <row r="111" ht="15" customHeight="1" s="22">
      <c r="A111" s="29" t="n"/>
      <c r="B111" s="29" t="n"/>
      <c r="C111" s="29" t="n"/>
      <c r="D111" s="29" t="n"/>
      <c r="E111" s="31" t="n"/>
      <c r="F111" s="31" t="n"/>
      <c r="G111" s="29" t="n"/>
      <c r="H111" s="29" t="n"/>
      <c r="I111" s="29" t="n"/>
    </row>
    <row r="112" ht="15" customHeight="1" s="22">
      <c r="A112" s="29" t="n"/>
      <c r="B112" s="29" t="n"/>
      <c r="C112" s="29" t="n"/>
      <c r="D112" s="29" t="n"/>
      <c r="E112" s="31" t="n"/>
      <c r="F112" s="31" t="n"/>
      <c r="G112" s="29" t="n"/>
      <c r="H112" s="29" t="n"/>
      <c r="I112" s="29" t="n"/>
    </row>
    <row r="113" ht="15" customHeight="1" s="22">
      <c r="A113" s="29" t="n"/>
      <c r="B113" s="29" t="n"/>
      <c r="C113" s="29" t="n"/>
      <c r="D113" s="29" t="n"/>
      <c r="E113" s="31" t="n"/>
      <c r="F113" s="31" t="n"/>
      <c r="G113" s="29" t="n"/>
      <c r="H113" s="29" t="n"/>
      <c r="I113" s="29" t="n"/>
    </row>
    <row r="114" ht="15" customHeight="1" s="22">
      <c r="A114" s="29" t="n"/>
      <c r="B114" s="29" t="n"/>
      <c r="C114" s="29" t="n"/>
      <c r="D114" s="29" t="n"/>
      <c r="E114" s="31" t="n"/>
      <c r="F114" s="31" t="n"/>
      <c r="G114" s="29" t="n"/>
      <c r="H114" s="29" t="n"/>
      <c r="I114" s="29" t="n"/>
    </row>
    <row r="115" ht="15" customHeight="1" s="22">
      <c r="A115" s="29" t="n"/>
      <c r="B115" s="29" t="n"/>
      <c r="C115" s="29" t="n"/>
      <c r="D115" s="29" t="n"/>
      <c r="E115" s="31" t="n"/>
      <c r="F115" s="31" t="n"/>
      <c r="G115" s="29" t="n"/>
      <c r="H115" s="29" t="n"/>
      <c r="I115" s="29" t="n"/>
    </row>
    <row r="116" ht="15" customHeight="1" s="22">
      <c r="A116" s="29" t="n"/>
      <c r="B116" s="29" t="n"/>
      <c r="C116" s="29" t="n"/>
      <c r="D116" s="29" t="n"/>
      <c r="E116" s="31" t="n"/>
      <c r="F116" s="31" t="n"/>
      <c r="G116" s="29" t="n"/>
      <c r="H116" s="29" t="n"/>
      <c r="I116" s="29" t="n"/>
    </row>
    <row r="117" ht="15" customHeight="1" s="22">
      <c r="A117" s="29" t="n"/>
      <c r="B117" s="29" t="n"/>
      <c r="C117" s="29" t="n"/>
      <c r="D117" s="29" t="n"/>
      <c r="E117" s="31" t="n"/>
      <c r="F117" s="31" t="n"/>
      <c r="G117" s="29" t="n"/>
      <c r="H117" s="29" t="n"/>
      <c r="I117" s="29" t="n"/>
    </row>
    <row r="118" ht="15" customHeight="1" s="22">
      <c r="A118" s="29" t="n"/>
      <c r="B118" s="29" t="n"/>
      <c r="C118" s="29" t="n"/>
      <c r="D118" s="29" t="n"/>
      <c r="E118" s="31" t="n"/>
      <c r="F118" s="31" t="n"/>
      <c r="G118" s="29" t="n"/>
      <c r="H118" s="29" t="n"/>
      <c r="I118" s="29" t="n"/>
    </row>
    <row r="119" ht="15" customHeight="1" s="22">
      <c r="A119" s="29" t="n"/>
      <c r="B119" s="29" t="n"/>
      <c r="C119" s="29" t="n"/>
      <c r="D119" s="29" t="n"/>
      <c r="E119" s="31" t="n"/>
      <c r="F119" s="31" t="n"/>
      <c r="G119" s="29" t="n"/>
      <c r="H119" s="29" t="n"/>
      <c r="I119" s="29" t="n"/>
    </row>
    <row r="120" ht="15" customHeight="1" s="22">
      <c r="A120" s="29" t="n"/>
      <c r="B120" s="29" t="n"/>
      <c r="C120" s="29" t="n"/>
      <c r="D120" s="29" t="n"/>
      <c r="E120" s="31" t="n"/>
      <c r="F120" s="31" t="n"/>
      <c r="G120" s="29" t="n"/>
      <c r="H120" s="29" t="n"/>
      <c r="I120" s="29" t="n"/>
    </row>
    <row r="121" ht="15" customHeight="1" s="22">
      <c r="A121" s="29" t="n"/>
      <c r="B121" s="29" t="n"/>
      <c r="C121" s="29" t="n"/>
      <c r="D121" s="29" t="n"/>
      <c r="E121" s="31" t="n"/>
      <c r="F121" s="31" t="n"/>
      <c r="G121" s="29" t="n"/>
      <c r="H121" s="29" t="n"/>
      <c r="I121" s="29" t="n"/>
    </row>
    <row r="122" ht="15" customHeight="1" s="22">
      <c r="A122" s="29" t="n"/>
      <c r="B122" s="29" t="n"/>
      <c r="C122" s="29" t="n"/>
      <c r="D122" s="29" t="n"/>
      <c r="E122" s="31" t="n"/>
      <c r="F122" s="31" t="n"/>
      <c r="G122" s="29" t="n"/>
      <c r="H122" s="29" t="n"/>
      <c r="I122" s="29" t="n"/>
    </row>
    <row r="123" ht="15" customHeight="1" s="22">
      <c r="A123" s="29" t="n"/>
      <c r="B123" s="29" t="n"/>
      <c r="C123" s="29" t="n"/>
      <c r="D123" s="29" t="n"/>
      <c r="E123" s="31" t="n"/>
      <c r="F123" s="31" t="n"/>
      <c r="G123" s="29" t="n"/>
      <c r="H123" s="29" t="n"/>
      <c r="I123" s="29" t="n"/>
    </row>
    <row r="124" ht="15" customHeight="1" s="22">
      <c r="A124" s="29" t="n"/>
      <c r="B124" s="29" t="n"/>
      <c r="C124" s="29" t="n"/>
      <c r="D124" s="29" t="n"/>
      <c r="E124" s="31" t="n"/>
      <c r="F124" s="31" t="n"/>
      <c r="G124" s="29" t="n"/>
      <c r="H124" s="29" t="n"/>
      <c r="I124" s="29" t="n"/>
    </row>
    <row r="125" ht="15" customHeight="1" s="22">
      <c r="A125" s="29" t="n"/>
      <c r="B125" s="29" t="n"/>
      <c r="C125" s="29" t="n"/>
      <c r="D125" s="29" t="n"/>
      <c r="E125" s="31" t="n"/>
      <c r="F125" s="31" t="n"/>
      <c r="G125" s="29" t="n"/>
      <c r="H125" s="29" t="n"/>
      <c r="I125" s="29" t="n"/>
    </row>
    <row r="126" ht="15" customHeight="1" s="22">
      <c r="A126" s="29" t="n"/>
      <c r="B126" s="29" t="n"/>
      <c r="C126" s="29" t="n"/>
      <c r="D126" s="29" t="n"/>
      <c r="E126" s="31" t="n"/>
      <c r="F126" s="31" t="n"/>
      <c r="G126" s="29" t="n"/>
      <c r="H126" s="29" t="n"/>
      <c r="I126" s="29" t="n"/>
    </row>
    <row r="127" ht="15" customHeight="1" s="22">
      <c r="A127" s="29" t="n"/>
      <c r="B127" s="29" t="n"/>
      <c r="C127" s="29" t="n"/>
      <c r="D127" s="29" t="n"/>
      <c r="E127" s="31" t="n"/>
      <c r="F127" s="31" t="n"/>
      <c r="G127" s="29" t="n"/>
      <c r="H127" s="29" t="n"/>
      <c r="I127" s="29" t="n"/>
    </row>
    <row r="128" ht="15" customHeight="1" s="22">
      <c r="A128" s="29" t="n"/>
      <c r="B128" s="29" t="n"/>
      <c r="C128" s="29" t="n"/>
      <c r="D128" s="29" t="n"/>
      <c r="E128" s="31" t="n"/>
      <c r="F128" s="31" t="n"/>
      <c r="G128" s="29" t="n"/>
      <c r="H128" s="29" t="n"/>
      <c r="I128" s="29" t="n"/>
    </row>
    <row r="129" ht="15" customHeight="1" s="22">
      <c r="A129" s="29" t="n"/>
      <c r="B129" s="29" t="n"/>
      <c r="C129" s="29" t="n"/>
      <c r="D129" s="29" t="n"/>
      <c r="E129" s="31" t="n"/>
      <c r="F129" s="31" t="n"/>
      <c r="G129" s="29" t="n"/>
      <c r="H129" s="29" t="n"/>
      <c r="I129" s="29" t="n"/>
    </row>
    <row r="130" ht="15" customHeight="1" s="22">
      <c r="A130" s="29" t="n"/>
      <c r="B130" s="29" t="n"/>
      <c r="C130" s="29" t="n"/>
      <c r="D130" s="29" t="n"/>
      <c r="E130" s="31" t="n"/>
      <c r="F130" s="31" t="n"/>
      <c r="G130" s="29" t="n"/>
      <c r="H130" s="29" t="n"/>
      <c r="I130" s="29" t="n"/>
    </row>
    <row r="131" ht="15" customHeight="1" s="22">
      <c r="A131" s="29" t="n"/>
      <c r="B131" s="29" t="n"/>
      <c r="C131" s="29" t="n"/>
      <c r="D131" s="29" t="n"/>
      <c r="E131" s="31" t="n"/>
      <c r="F131" s="31" t="n"/>
      <c r="G131" s="29" t="n"/>
      <c r="H131" s="29" t="n"/>
      <c r="I131" s="29" t="n"/>
    </row>
    <row r="132" ht="15" customHeight="1" s="22">
      <c r="A132" s="29" t="n"/>
      <c r="B132" s="29" t="n"/>
      <c r="C132" s="29" t="n"/>
      <c r="D132" s="29" t="n"/>
      <c r="E132" s="31" t="n"/>
      <c r="F132" s="31" t="n"/>
      <c r="G132" s="29" t="n"/>
      <c r="H132" s="29" t="n"/>
      <c r="I132" s="29" t="n"/>
    </row>
    <row r="133" ht="15" customHeight="1" s="22">
      <c r="A133" s="29" t="n"/>
      <c r="B133" s="29" t="n"/>
      <c r="C133" s="29" t="n"/>
      <c r="D133" s="29" t="n"/>
      <c r="E133" s="31" t="n"/>
      <c r="F133" s="31" t="n"/>
      <c r="G133" s="29" t="n"/>
      <c r="H133" s="29" t="n"/>
      <c r="I133" s="29" t="n"/>
    </row>
    <row r="134" ht="15" customHeight="1" s="22">
      <c r="A134" s="29" t="n"/>
      <c r="B134" s="29" t="n"/>
      <c r="C134" s="29" t="n"/>
      <c r="D134" s="29" t="n"/>
      <c r="E134" s="31" t="n"/>
      <c r="F134" s="31" t="n"/>
      <c r="G134" s="29" t="n"/>
      <c r="H134" s="29" t="n"/>
      <c r="I134" s="29" t="n"/>
    </row>
    <row r="135" ht="15" customHeight="1" s="22">
      <c r="A135" s="29" t="n"/>
      <c r="B135" s="29" t="n"/>
      <c r="C135" s="29" t="n"/>
      <c r="D135" s="29" t="n"/>
      <c r="E135" s="31" t="n"/>
      <c r="F135" s="31" t="n"/>
      <c r="G135" s="29" t="n"/>
      <c r="H135" s="29" t="n"/>
      <c r="I135" s="29" t="n"/>
    </row>
    <row r="136" ht="15" customHeight="1" s="22">
      <c r="A136" s="29" t="n"/>
      <c r="B136" s="29" t="n"/>
      <c r="C136" s="29" t="n"/>
      <c r="D136" s="29" t="n"/>
      <c r="E136" s="31" t="n"/>
      <c r="F136" s="31" t="n"/>
      <c r="G136" s="29" t="n"/>
      <c r="H136" s="29" t="n"/>
      <c r="I136" s="29" t="n"/>
    </row>
    <row r="137" ht="15" customHeight="1" s="22">
      <c r="A137" s="29" t="n"/>
      <c r="B137" s="29" t="n"/>
      <c r="C137" s="29" t="n"/>
      <c r="D137" s="29" t="n"/>
      <c r="E137" s="31" t="n"/>
      <c r="F137" s="31" t="n"/>
      <c r="G137" s="29" t="n"/>
      <c r="H137" s="29" t="n"/>
      <c r="I137" s="29" t="n"/>
    </row>
    <row r="138" ht="15" customHeight="1" s="22">
      <c r="A138" s="29" t="n"/>
      <c r="B138" s="29" t="n"/>
      <c r="C138" s="29" t="n"/>
      <c r="D138" s="29" t="n"/>
      <c r="E138" s="31" t="n"/>
      <c r="F138" s="31" t="n"/>
      <c r="G138" s="29" t="n"/>
      <c r="H138" s="29" t="n"/>
      <c r="I138" s="29" t="n"/>
    </row>
    <row r="139" ht="15" customHeight="1" s="22">
      <c r="A139" s="29" t="n"/>
      <c r="B139" s="29" t="n"/>
      <c r="C139" s="29" t="n"/>
      <c r="D139" s="29" t="n"/>
      <c r="E139" s="31" t="n"/>
      <c r="F139" s="31" t="n"/>
      <c r="G139" s="29" t="n"/>
      <c r="H139" s="29" t="n"/>
      <c r="I139" s="29" t="n"/>
    </row>
    <row r="140" ht="15" customHeight="1" s="22">
      <c r="A140" s="29" t="n"/>
      <c r="B140" s="29" t="n"/>
      <c r="C140" s="29" t="n"/>
      <c r="D140" s="29" t="n"/>
      <c r="E140" s="31" t="n"/>
      <c r="F140" s="31" t="n"/>
      <c r="G140" s="29" t="n"/>
      <c r="H140" s="29" t="n"/>
      <c r="I140" s="29" t="n"/>
    </row>
    <row r="141" ht="15" customHeight="1" s="22">
      <c r="A141" s="29" t="n"/>
      <c r="B141" s="29" t="n"/>
      <c r="C141" s="29" t="n"/>
      <c r="D141" s="29" t="n"/>
      <c r="E141" s="31" t="n"/>
      <c r="F141" s="31" t="n"/>
      <c r="G141" s="29" t="n"/>
      <c r="H141" s="29" t="n"/>
      <c r="I141" s="29" t="n"/>
    </row>
    <row r="142" ht="15" customHeight="1" s="22">
      <c r="A142" s="29" t="n"/>
      <c r="B142" s="29" t="n"/>
      <c r="C142" s="29" t="n"/>
      <c r="D142" s="29" t="n"/>
      <c r="E142" s="31" t="n"/>
      <c r="F142" s="31" t="n"/>
      <c r="G142" s="29" t="n"/>
      <c r="H142" s="29" t="n"/>
      <c r="I142" s="29" t="n"/>
    </row>
    <row r="143" ht="15" customHeight="1" s="22">
      <c r="A143" s="29" t="n"/>
      <c r="B143" s="29" t="n"/>
      <c r="C143" s="29" t="n"/>
      <c r="D143" s="29" t="n"/>
      <c r="E143" s="31" t="n"/>
      <c r="F143" s="31" t="n"/>
      <c r="G143" s="29" t="n"/>
      <c r="H143" s="29" t="n"/>
      <c r="I143" s="29" t="n"/>
    </row>
    <row r="144" ht="15" customHeight="1" s="22">
      <c r="A144" s="29" t="n"/>
      <c r="B144" s="29" t="n"/>
      <c r="C144" s="29" t="n"/>
      <c r="D144" s="29" t="n"/>
      <c r="E144" s="31" t="n"/>
      <c r="F144" s="31" t="n"/>
      <c r="G144" s="29" t="n"/>
      <c r="H144" s="29" t="n"/>
      <c r="I144" s="29" t="n"/>
    </row>
    <row r="145" ht="15" customHeight="1" s="22">
      <c r="A145" s="29" t="n"/>
      <c r="B145" s="29" t="n"/>
      <c r="C145" s="29" t="n"/>
      <c r="D145" s="29" t="n"/>
      <c r="E145" s="31" t="n"/>
      <c r="F145" s="31" t="n"/>
      <c r="G145" s="29" t="n"/>
      <c r="H145" s="29" t="n"/>
      <c r="I145" s="29" t="n"/>
    </row>
    <row r="146" ht="15" customHeight="1" s="22">
      <c r="A146" s="29" t="n"/>
      <c r="B146" s="29" t="n"/>
      <c r="C146" s="29" t="n"/>
      <c r="D146" s="29" t="n"/>
      <c r="E146" s="31" t="n"/>
      <c r="F146" s="31" t="n"/>
      <c r="G146" s="29" t="n"/>
      <c r="H146" s="29" t="n"/>
      <c r="I146" s="29" t="n"/>
    </row>
    <row r="147" ht="15" customHeight="1" s="22">
      <c r="A147" s="29" t="n"/>
      <c r="B147" s="29" t="n"/>
      <c r="C147" s="29" t="n"/>
      <c r="D147" s="29" t="n"/>
      <c r="E147" s="31" t="n"/>
      <c r="F147" s="31" t="n"/>
      <c r="G147" s="29" t="n"/>
      <c r="H147" s="29" t="n"/>
      <c r="I147" s="29" t="n"/>
    </row>
    <row r="148" ht="15" customHeight="1" s="22">
      <c r="A148" s="29" t="n"/>
      <c r="B148" s="29" t="n"/>
      <c r="C148" s="29" t="n"/>
      <c r="D148" s="29" t="n"/>
      <c r="E148" s="31" t="n"/>
      <c r="F148" s="31" t="n"/>
      <c r="G148" s="29" t="n"/>
      <c r="H148" s="29" t="n"/>
      <c r="I148" s="29" t="n"/>
    </row>
    <row r="149" ht="15" customHeight="1" s="22">
      <c r="A149" s="29" t="n"/>
      <c r="B149" s="29" t="n"/>
      <c r="C149" s="29" t="n"/>
      <c r="D149" s="29" t="n"/>
      <c r="E149" s="31" t="n"/>
      <c r="F149" s="31" t="n"/>
      <c r="G149" s="29" t="n"/>
      <c r="H149" s="29" t="n"/>
      <c r="I149" s="29" t="n"/>
    </row>
    <row r="150" ht="15" customHeight="1" s="22">
      <c r="A150" s="29" t="n"/>
      <c r="B150" s="29" t="n"/>
      <c r="C150" s="29" t="n"/>
      <c r="D150" s="29" t="n"/>
      <c r="E150" s="31" t="n"/>
      <c r="F150" s="31" t="n"/>
      <c r="G150" s="29" t="n"/>
      <c r="H150" s="29" t="n"/>
      <c r="I150" s="29" t="n"/>
    </row>
    <row r="151" ht="15" customHeight="1" s="22">
      <c r="A151" s="29" t="n"/>
      <c r="B151" s="29" t="n"/>
      <c r="C151" s="29" t="n"/>
      <c r="D151" s="29" t="n"/>
      <c r="E151" s="31" t="n"/>
      <c r="F151" s="31" t="n"/>
      <c r="G151" s="29" t="n"/>
      <c r="H151" s="29" t="n"/>
      <c r="I151" s="29" t="n"/>
    </row>
    <row r="152" ht="15" customHeight="1" s="22">
      <c r="A152" s="29" t="n"/>
      <c r="B152" s="29" t="n"/>
      <c r="C152" s="29" t="n"/>
      <c r="D152" s="29" t="n"/>
      <c r="E152" s="31" t="n"/>
      <c r="F152" s="31" t="n"/>
      <c r="G152" s="29" t="n"/>
      <c r="H152" s="29" t="n"/>
      <c r="I152" s="29" t="n"/>
    </row>
    <row r="153" ht="15" customHeight="1" s="22">
      <c r="A153" s="29" t="n"/>
      <c r="B153" s="29" t="n"/>
      <c r="C153" s="29" t="n"/>
      <c r="D153" s="29" t="n"/>
      <c r="E153" s="31" t="n"/>
      <c r="F153" s="31" t="n"/>
      <c r="G153" s="29" t="n"/>
      <c r="H153" s="29" t="n"/>
      <c r="I153" s="29" t="n"/>
    </row>
    <row r="154" ht="15" customHeight="1" s="22">
      <c r="A154" s="29" t="n"/>
      <c r="B154" s="29" t="n"/>
      <c r="C154" s="29" t="n"/>
      <c r="D154" s="29" t="n"/>
      <c r="E154" s="31" t="n"/>
      <c r="F154" s="31" t="n"/>
      <c r="G154" s="29" t="n"/>
      <c r="H154" s="29" t="n"/>
      <c r="I154" s="29" t="n"/>
    </row>
    <row r="155" ht="15" customHeight="1" s="22">
      <c r="A155" s="29" t="n"/>
      <c r="B155" s="29" t="n"/>
      <c r="C155" s="29" t="n"/>
      <c r="D155" s="29" t="n"/>
      <c r="E155" s="31" t="n"/>
      <c r="F155" s="31" t="n"/>
      <c r="G155" s="29" t="n"/>
      <c r="H155" s="29" t="n"/>
      <c r="I155" s="29" t="n"/>
    </row>
    <row r="156" ht="15" customHeight="1" s="22">
      <c r="A156" s="29" t="n"/>
      <c r="B156" s="29" t="n"/>
      <c r="C156" s="29" t="n"/>
      <c r="D156" s="29" t="n"/>
      <c r="E156" s="31" t="n"/>
      <c r="F156" s="31" t="n"/>
      <c r="G156" s="29" t="n"/>
      <c r="H156" s="29" t="n"/>
      <c r="I156" s="29" t="n"/>
    </row>
    <row r="157" ht="15" customHeight="1" s="22">
      <c r="A157" s="29" t="n"/>
      <c r="B157" s="29" t="n"/>
      <c r="C157" s="29" t="n"/>
      <c r="D157" s="29" t="n"/>
      <c r="E157" s="31" t="n"/>
      <c r="F157" s="31" t="n"/>
      <c r="G157" s="29" t="n"/>
      <c r="H157" s="29" t="n"/>
      <c r="I157" s="29" t="n"/>
    </row>
    <row r="158" ht="15" customHeight="1" s="22">
      <c r="A158" s="29" t="n"/>
      <c r="B158" s="29" t="n"/>
      <c r="C158" s="29" t="n"/>
      <c r="D158" s="29" t="n"/>
      <c r="E158" s="31" t="n"/>
      <c r="F158" s="31" t="n"/>
      <c r="G158" s="29" t="n"/>
      <c r="H158" s="29" t="n"/>
      <c r="I158" s="29" t="n"/>
    </row>
    <row r="159" ht="15" customHeight="1" s="22">
      <c r="A159" s="29" t="n"/>
      <c r="B159" s="29" t="n"/>
      <c r="C159" s="29" t="n"/>
      <c r="D159" s="29" t="n"/>
      <c r="E159" s="31" t="n"/>
      <c r="F159" s="31" t="n"/>
      <c r="G159" s="29" t="n"/>
      <c r="H159" s="29" t="n"/>
      <c r="I159" s="29" t="n"/>
    </row>
    <row r="160" ht="15" customHeight="1" s="22">
      <c r="A160" s="29" t="n"/>
      <c r="B160" s="29" t="n"/>
      <c r="C160" s="29" t="n"/>
      <c r="D160" s="29" t="n"/>
      <c r="E160" s="31" t="n"/>
      <c r="F160" s="31" t="n"/>
      <c r="G160" s="29" t="n"/>
      <c r="H160" s="29" t="n"/>
      <c r="I160" s="29" t="n"/>
    </row>
    <row r="161" ht="15" customHeight="1" s="22">
      <c r="A161" s="29" t="n"/>
      <c r="B161" s="29" t="n"/>
      <c r="C161" s="29" t="n"/>
      <c r="D161" s="29" t="n"/>
      <c r="E161" s="31" t="n"/>
      <c r="F161" s="31" t="n"/>
      <c r="G161" s="29" t="n"/>
      <c r="H161" s="29" t="n"/>
      <c r="I161" s="29" t="n"/>
    </row>
    <row r="162" ht="15" customHeight="1" s="22">
      <c r="A162" s="29" t="n"/>
      <c r="B162" s="29" t="n"/>
      <c r="C162" s="29" t="n"/>
      <c r="D162" s="29" t="n"/>
      <c r="E162" s="31" t="n"/>
      <c r="F162" s="31" t="n"/>
      <c r="G162" s="29" t="n"/>
      <c r="H162" s="29" t="n"/>
      <c r="I162" s="29" t="n"/>
    </row>
    <row r="163" ht="15" customHeight="1" s="22">
      <c r="A163" s="29" t="n"/>
      <c r="B163" s="29" t="n"/>
      <c r="C163" s="29" t="n"/>
      <c r="D163" s="29" t="n"/>
      <c r="E163" s="31" t="n"/>
      <c r="F163" s="31" t="n"/>
      <c r="G163" s="29" t="n"/>
      <c r="H163" s="29" t="n"/>
      <c r="I163" s="29" t="n"/>
    </row>
    <row r="164" ht="15" customHeight="1" s="22">
      <c r="A164" s="29" t="n"/>
      <c r="B164" s="29" t="n"/>
      <c r="C164" s="29" t="n"/>
      <c r="D164" s="29" t="n"/>
      <c r="E164" s="31" t="n"/>
      <c r="F164" s="31" t="n"/>
      <c r="G164" s="29" t="n"/>
      <c r="H164" s="29" t="n"/>
      <c r="I164" s="29" t="n"/>
    </row>
    <row r="165" ht="15" customHeight="1" s="22">
      <c r="A165" s="29" t="n"/>
      <c r="B165" s="29" t="n"/>
      <c r="C165" s="29" t="n"/>
      <c r="D165" s="29" t="n"/>
      <c r="E165" s="31" t="n"/>
      <c r="F165" s="31" t="n"/>
      <c r="G165" s="29" t="n"/>
      <c r="H165" s="29" t="n"/>
      <c r="I165" s="29" t="n"/>
    </row>
    <row r="166" ht="15" customHeight="1" s="22">
      <c r="A166" s="29" t="n"/>
      <c r="B166" s="29" t="n"/>
      <c r="C166" s="29" t="n"/>
      <c r="D166" s="29" t="n"/>
      <c r="E166" s="31" t="n"/>
      <c r="F166" s="31" t="n"/>
      <c r="G166" s="29" t="n"/>
      <c r="H166" s="29" t="n"/>
      <c r="I166" s="29" t="n"/>
    </row>
    <row r="167" ht="15" customHeight="1" s="22">
      <c r="A167" s="29" t="n"/>
      <c r="B167" s="29" t="n"/>
      <c r="C167" s="29" t="n"/>
      <c r="D167" s="29" t="n"/>
      <c r="E167" s="31" t="n"/>
      <c r="F167" s="31" t="n"/>
      <c r="G167" s="29" t="n"/>
      <c r="H167" s="29" t="n"/>
      <c r="I167" s="29" t="n"/>
    </row>
    <row r="168" ht="15" customHeight="1" s="22">
      <c r="A168" s="29" t="n"/>
      <c r="B168" s="29" t="n"/>
      <c r="C168" s="29" t="n"/>
      <c r="D168" s="29" t="n"/>
      <c r="E168" s="31" t="n"/>
      <c r="F168" s="31" t="n"/>
      <c r="G168" s="29" t="n"/>
      <c r="H168" s="29" t="n"/>
      <c r="I168" s="29" t="n"/>
    </row>
    <row r="169" ht="15" customHeight="1" s="22">
      <c r="A169" s="29" t="n"/>
      <c r="B169" s="29" t="n"/>
      <c r="C169" s="29" t="n"/>
      <c r="D169" s="29" t="n"/>
      <c r="E169" s="31" t="n"/>
      <c r="F169" s="31" t="n"/>
      <c r="G169" s="29" t="n"/>
      <c r="H169" s="29" t="n"/>
      <c r="I169" s="29" t="n"/>
    </row>
    <row r="170" ht="15" customHeight="1" s="22">
      <c r="A170" s="29" t="n"/>
      <c r="B170" s="29" t="n"/>
      <c r="C170" s="29" t="n"/>
      <c r="D170" s="29" t="n"/>
      <c r="E170" s="31" t="n"/>
      <c r="F170" s="31" t="n"/>
      <c r="G170" s="29" t="n"/>
      <c r="H170" s="29" t="n"/>
      <c r="I170" s="29" t="n"/>
    </row>
    <row r="171" ht="15" customHeight="1" s="22">
      <c r="A171" s="29" t="n"/>
      <c r="B171" s="29" t="n"/>
      <c r="C171" s="29" t="n"/>
      <c r="D171" s="29" t="n"/>
      <c r="E171" s="31" t="n"/>
      <c r="F171" s="31" t="n"/>
      <c r="G171" s="29" t="n"/>
      <c r="H171" s="29" t="n"/>
      <c r="I171" s="29" t="n"/>
    </row>
    <row r="172" ht="15" customHeight="1" s="22">
      <c r="A172" s="29" t="n"/>
      <c r="B172" s="29" t="n"/>
      <c r="C172" s="29" t="n"/>
      <c r="D172" s="29" t="n"/>
      <c r="E172" s="31" t="n"/>
      <c r="F172" s="31" t="n"/>
      <c r="G172" s="29" t="n"/>
      <c r="H172" s="29" t="n"/>
      <c r="I172" s="29" t="n"/>
    </row>
    <row r="173" ht="15" customHeight="1" s="22">
      <c r="A173" s="29" t="n"/>
      <c r="B173" s="29" t="n"/>
      <c r="C173" s="29" t="n"/>
      <c r="D173" s="29" t="n"/>
      <c r="E173" s="31" t="n"/>
      <c r="F173" s="31" t="n"/>
      <c r="G173" s="29" t="n"/>
      <c r="H173" s="29" t="n"/>
      <c r="I173" s="29" t="n"/>
    </row>
    <row r="174" ht="15" customHeight="1" s="22">
      <c r="A174" s="29" t="n"/>
      <c r="B174" s="29" t="n"/>
      <c r="C174" s="29" t="n"/>
      <c r="D174" s="29" t="n"/>
      <c r="E174" s="31" t="n"/>
      <c r="F174" s="31" t="n"/>
      <c r="G174" s="29" t="n"/>
      <c r="H174" s="29" t="n"/>
      <c r="I174" s="29" t="n"/>
    </row>
    <row r="175" ht="15" customHeight="1" s="22">
      <c r="A175" s="29" t="n"/>
      <c r="B175" s="29" t="n"/>
      <c r="C175" s="29" t="n"/>
      <c r="D175" s="29" t="n"/>
      <c r="E175" s="31" t="n"/>
      <c r="F175" s="31" t="n"/>
      <c r="G175" s="29" t="n"/>
      <c r="H175" s="29" t="n"/>
      <c r="I175" s="29" t="n"/>
    </row>
    <row r="176" ht="15" customHeight="1" s="22">
      <c r="A176" s="29" t="n"/>
      <c r="B176" s="29" t="n"/>
      <c r="C176" s="29" t="n"/>
      <c r="D176" s="29" t="n"/>
      <c r="E176" s="31" t="n"/>
      <c r="F176" s="31" t="n"/>
      <c r="G176" s="29" t="n"/>
      <c r="H176" s="29" t="n"/>
      <c r="I176" s="29" t="n"/>
    </row>
    <row r="177" ht="15" customHeight="1" s="22">
      <c r="A177" s="29" t="n"/>
      <c r="B177" s="29" t="n"/>
      <c r="C177" s="29" t="n"/>
      <c r="D177" s="29" t="n"/>
      <c r="E177" s="31" t="n"/>
      <c r="F177" s="31" t="n"/>
      <c r="G177" s="29" t="n"/>
      <c r="H177" s="29" t="n"/>
      <c r="I177" s="29" t="n"/>
    </row>
    <row r="178" ht="15" customHeight="1" s="22">
      <c r="A178" s="29" t="n"/>
      <c r="B178" s="29" t="n"/>
      <c r="C178" s="29" t="n"/>
      <c r="D178" s="29" t="n"/>
      <c r="E178" s="31" t="n"/>
      <c r="F178" s="31" t="n"/>
      <c r="G178" s="29" t="n"/>
      <c r="H178" s="29" t="n"/>
      <c r="I178" s="29" t="n"/>
    </row>
    <row r="179" ht="15" customHeight="1" s="22">
      <c r="A179" s="29" t="n"/>
      <c r="B179" s="29" t="n"/>
      <c r="C179" s="29" t="n"/>
      <c r="D179" s="29" t="n"/>
      <c r="E179" s="31" t="n"/>
      <c r="F179" s="31" t="n"/>
      <c r="G179" s="29" t="n"/>
      <c r="H179" s="29" t="n"/>
      <c r="I179" s="29" t="n"/>
    </row>
    <row r="180" ht="15" customHeight="1" s="22">
      <c r="A180" s="29" t="n"/>
      <c r="B180" s="29" t="n"/>
      <c r="C180" s="29" t="n"/>
      <c r="D180" s="29" t="n"/>
      <c r="E180" s="31" t="n"/>
      <c r="F180" s="31" t="n"/>
      <c r="G180" s="29" t="n"/>
      <c r="H180" s="29" t="n"/>
      <c r="I180" s="29" t="n"/>
    </row>
    <row r="181" ht="15" customHeight="1" s="22">
      <c r="A181" s="29" t="n"/>
      <c r="B181" s="29" t="n"/>
      <c r="C181" s="29" t="n"/>
      <c r="D181" s="29" t="n"/>
      <c r="E181" s="31" t="n"/>
      <c r="F181" s="31" t="n"/>
      <c r="G181" s="29" t="n"/>
      <c r="H181" s="29" t="n"/>
      <c r="I181" s="29" t="n"/>
    </row>
    <row r="182" ht="15" customHeight="1" s="22">
      <c r="A182" s="29" t="n"/>
      <c r="B182" s="29" t="n"/>
      <c r="C182" s="29" t="n"/>
      <c r="D182" s="29" t="n"/>
      <c r="E182" s="31" t="n"/>
      <c r="F182" s="31" t="n"/>
      <c r="G182" s="29" t="n"/>
      <c r="H182" s="29" t="n"/>
      <c r="I182" s="29" t="n"/>
    </row>
    <row r="183" ht="15" customHeight="1" s="22">
      <c r="A183" s="29" t="n"/>
      <c r="B183" s="29" t="n"/>
      <c r="C183" s="29" t="n"/>
      <c r="D183" s="29" t="n"/>
      <c r="E183" s="31" t="n"/>
      <c r="F183" s="31" t="n"/>
      <c r="G183" s="29" t="n"/>
      <c r="H183" s="29" t="n"/>
      <c r="I183" s="29" t="n"/>
    </row>
    <row r="184" ht="15" customHeight="1" s="22">
      <c r="A184" s="29" t="n"/>
      <c r="B184" s="29" t="n"/>
      <c r="C184" s="29" t="n"/>
      <c r="D184" s="29" t="n"/>
      <c r="E184" s="31" t="n"/>
      <c r="F184" s="31" t="n"/>
      <c r="G184" s="29" t="n"/>
      <c r="H184" s="29" t="n"/>
      <c r="I184" s="29" t="n"/>
    </row>
    <row r="185" ht="15" customHeight="1" s="22">
      <c r="A185" s="29" t="n"/>
      <c r="B185" s="29" t="n"/>
      <c r="C185" s="29" t="n"/>
      <c r="D185" s="29" t="n"/>
      <c r="E185" s="31" t="n"/>
      <c r="F185" s="31" t="n"/>
      <c r="G185" s="29" t="n"/>
      <c r="H185" s="29" t="n"/>
      <c r="I185" s="29" t="n"/>
    </row>
    <row r="186" ht="15" customHeight="1" s="22">
      <c r="A186" s="29" t="n"/>
      <c r="B186" s="29" t="n"/>
      <c r="C186" s="29" t="n"/>
      <c r="D186" s="29" t="n"/>
      <c r="E186" s="31" t="n"/>
      <c r="F186" s="31" t="n"/>
      <c r="G186" s="29" t="n"/>
      <c r="H186" s="29" t="n"/>
      <c r="I186" s="29" t="n"/>
    </row>
    <row r="187" ht="15" customHeight="1" s="22">
      <c r="A187" s="29" t="n"/>
      <c r="B187" s="29" t="n"/>
      <c r="C187" s="29" t="n"/>
      <c r="D187" s="29" t="n"/>
      <c r="E187" s="31" t="n"/>
      <c r="F187" s="31" t="n"/>
      <c r="G187" s="29" t="n"/>
      <c r="H187" s="29" t="n"/>
      <c r="I187" s="29" t="n"/>
    </row>
    <row r="188" ht="15" customHeight="1" s="22">
      <c r="A188" s="29" t="n"/>
      <c r="B188" s="29" t="n"/>
      <c r="C188" s="29" t="n"/>
      <c r="D188" s="29" t="n"/>
      <c r="E188" s="31" t="n"/>
      <c r="F188" s="31" t="n"/>
      <c r="G188" s="29" t="n"/>
      <c r="H188" s="29" t="n"/>
      <c r="I188" s="29" t="n"/>
    </row>
    <row r="189" ht="15" customHeight="1" s="22">
      <c r="A189" s="29" t="n"/>
      <c r="B189" s="29" t="n"/>
      <c r="C189" s="29" t="n"/>
      <c r="D189" s="29" t="n"/>
      <c r="E189" s="31" t="n"/>
      <c r="F189" s="31" t="n"/>
      <c r="G189" s="29" t="n"/>
      <c r="H189" s="29" t="n"/>
      <c r="I189" s="29" t="n"/>
    </row>
    <row r="190" ht="15" customHeight="1" s="22">
      <c r="A190" s="29" t="n"/>
      <c r="B190" s="29" t="n"/>
      <c r="C190" s="29" t="n"/>
      <c r="D190" s="29" t="n"/>
      <c r="E190" s="31" t="n"/>
      <c r="F190" s="31" t="n"/>
      <c r="G190" s="29" t="n"/>
      <c r="H190" s="29" t="n"/>
      <c r="I190" s="29" t="n"/>
    </row>
    <row r="191" ht="15" customHeight="1" s="22">
      <c r="A191" s="29" t="n"/>
      <c r="B191" s="29" t="n"/>
      <c r="C191" s="29" t="n"/>
      <c r="D191" s="29" t="n"/>
      <c r="E191" s="31" t="n"/>
      <c r="F191" s="31" t="n"/>
      <c r="G191" s="29" t="n"/>
      <c r="H191" s="29" t="n"/>
      <c r="I191" s="29" t="n"/>
    </row>
    <row r="192" ht="15" customHeight="1" s="22">
      <c r="A192" s="29" t="n"/>
      <c r="B192" s="29" t="n"/>
      <c r="C192" s="29" t="n"/>
      <c r="D192" s="29" t="n"/>
      <c r="E192" s="31" t="n"/>
      <c r="F192" s="31" t="n"/>
      <c r="G192" s="29" t="n"/>
      <c r="H192" s="29" t="n"/>
      <c r="I192" s="29" t="n"/>
    </row>
    <row r="193" ht="15" customHeight="1" s="22">
      <c r="A193" s="29" t="n"/>
      <c r="B193" s="29" t="n"/>
      <c r="C193" s="29" t="n"/>
      <c r="D193" s="29" t="n"/>
      <c r="E193" s="31" t="n"/>
      <c r="F193" s="31" t="n"/>
      <c r="G193" s="29" t="n"/>
      <c r="H193" s="29" t="n"/>
      <c r="I193" s="29" t="n"/>
    </row>
    <row r="194" ht="15" customHeight="1" s="22">
      <c r="A194" s="29" t="n"/>
      <c r="B194" s="29" t="n"/>
      <c r="C194" s="29" t="n"/>
      <c r="D194" s="29" t="n"/>
      <c r="E194" s="31" t="n"/>
      <c r="F194" s="31" t="n"/>
      <c r="G194" s="29" t="n"/>
      <c r="H194" s="29" t="n"/>
      <c r="I194" s="29" t="n"/>
    </row>
    <row r="195" ht="15" customHeight="1" s="22">
      <c r="A195" s="29" t="n"/>
      <c r="B195" s="29" t="n"/>
      <c r="C195" s="29" t="n"/>
      <c r="D195" s="29" t="n"/>
      <c r="E195" s="31" t="n"/>
      <c r="F195" s="31" t="n"/>
      <c r="G195" s="29" t="n"/>
      <c r="H195" s="29" t="n"/>
      <c r="I195" s="29" t="n"/>
    </row>
    <row r="196" ht="15" customHeight="1" s="22">
      <c r="A196" s="29" t="n"/>
      <c r="B196" s="29" t="n"/>
      <c r="C196" s="29" t="n"/>
      <c r="D196" s="29" t="n"/>
      <c r="E196" s="31" t="n"/>
      <c r="F196" s="31" t="n"/>
      <c r="G196" s="29" t="n"/>
      <c r="H196" s="29" t="n"/>
      <c r="I196" s="29" t="n"/>
    </row>
    <row r="197" ht="15" customHeight="1" s="22">
      <c r="A197" s="29" t="n"/>
      <c r="B197" s="29" t="n"/>
      <c r="C197" s="29" t="n"/>
      <c r="D197" s="29" t="n"/>
      <c r="E197" s="31" t="n"/>
      <c r="F197" s="31" t="n"/>
      <c r="G197" s="29" t="n"/>
      <c r="H197" s="29" t="n"/>
      <c r="I197" s="29" t="n"/>
    </row>
    <row r="198" ht="15" customHeight="1" s="22">
      <c r="A198" s="29" t="n"/>
      <c r="B198" s="29" t="n"/>
      <c r="C198" s="29" t="n"/>
      <c r="D198" s="29" t="n"/>
      <c r="E198" s="31" t="n"/>
      <c r="F198" s="31" t="n"/>
      <c r="G198" s="29" t="n"/>
      <c r="H198" s="29" t="n"/>
      <c r="I198" s="29" t="n"/>
    </row>
    <row r="199" ht="15" customHeight="1" s="22">
      <c r="A199" s="29" t="n"/>
      <c r="B199" s="29" t="n"/>
      <c r="C199" s="29" t="n"/>
      <c r="D199" s="29" t="n"/>
      <c r="E199" s="31" t="n"/>
      <c r="F199" s="31" t="n"/>
      <c r="G199" s="29" t="n"/>
      <c r="H199" s="29" t="n"/>
      <c r="I199" s="29" t="n"/>
    </row>
    <row r="200" ht="15" customHeight="1" s="22">
      <c r="A200" s="29" t="n"/>
      <c r="B200" s="29" t="n"/>
      <c r="C200" s="29" t="n"/>
      <c r="D200" s="29" t="n"/>
      <c r="E200" s="31" t="n"/>
      <c r="F200" s="31" t="n"/>
      <c r="G200" s="29" t="n"/>
      <c r="H200" s="29" t="n"/>
      <c r="I200" s="29" t="n"/>
    </row>
    <row r="201" ht="15" customHeight="1" s="22">
      <c r="A201" s="29" t="n"/>
      <c r="B201" s="29" t="n"/>
      <c r="C201" s="29" t="n"/>
      <c r="D201" s="29" t="n"/>
      <c r="E201" s="31" t="n"/>
      <c r="F201" s="31" t="n"/>
      <c r="G201" s="29" t="n"/>
      <c r="H201" s="29" t="n"/>
      <c r="I201" s="29" t="n"/>
    </row>
    <row r="202" ht="15" customHeight="1" s="22">
      <c r="A202" s="29" t="n"/>
      <c r="B202" s="29" t="n"/>
      <c r="C202" s="29" t="n"/>
      <c r="D202" s="29" t="n"/>
      <c r="E202" s="31" t="n"/>
      <c r="F202" s="31" t="n"/>
      <c r="G202" s="29" t="n"/>
      <c r="H202" s="29" t="n"/>
      <c r="I202" s="29" t="n"/>
    </row>
    <row r="203" ht="15" customHeight="1" s="22">
      <c r="A203" s="29" t="n"/>
      <c r="B203" s="29" t="n"/>
      <c r="C203" s="29" t="n"/>
      <c r="D203" s="29" t="n"/>
      <c r="E203" s="31" t="n"/>
      <c r="F203" s="31" t="n"/>
      <c r="G203" s="29" t="n"/>
      <c r="H203" s="29" t="n"/>
      <c r="I203" s="29" t="n"/>
    </row>
    <row r="204" ht="15" customHeight="1" s="22">
      <c r="A204" s="29" t="n"/>
      <c r="B204" s="29" t="n"/>
      <c r="C204" s="29" t="n"/>
      <c r="D204" s="29" t="n"/>
      <c r="E204" s="31" t="n"/>
      <c r="F204" s="31" t="n"/>
      <c r="G204" s="29" t="n"/>
      <c r="H204" s="29" t="n"/>
      <c r="I204" s="29" t="n"/>
    </row>
    <row r="205" ht="15" customHeight="1" s="22">
      <c r="A205" s="29" t="n"/>
      <c r="B205" s="29" t="n"/>
      <c r="C205" s="29" t="n"/>
      <c r="D205" s="29" t="n"/>
      <c r="E205" s="31" t="n"/>
      <c r="F205" s="31" t="n"/>
      <c r="G205" s="29" t="n"/>
      <c r="H205" s="29" t="n"/>
      <c r="I205" s="29" t="n"/>
    </row>
    <row r="206" ht="15" customHeight="1" s="22">
      <c r="A206" s="29" t="n"/>
      <c r="B206" s="29" t="n"/>
      <c r="C206" s="29" t="n"/>
      <c r="D206" s="29" t="n"/>
      <c r="E206" s="31" t="n"/>
      <c r="F206" s="31" t="n"/>
      <c r="G206" s="29" t="n"/>
      <c r="H206" s="29" t="n"/>
      <c r="I206" s="29" t="n"/>
    </row>
    <row r="207" ht="15" customHeight="1" s="22">
      <c r="A207" s="29" t="n"/>
      <c r="B207" s="29" t="n"/>
      <c r="C207" s="29" t="n"/>
      <c r="D207" s="29" t="n"/>
      <c r="E207" s="31" t="n"/>
      <c r="F207" s="31" t="n"/>
      <c r="G207" s="29" t="n"/>
      <c r="H207" s="29" t="n"/>
      <c r="I207" s="29" t="n"/>
    </row>
    <row r="208" ht="15" customHeight="1" s="22">
      <c r="A208" s="29" t="n"/>
      <c r="B208" s="29" t="n"/>
      <c r="C208" s="29" t="n"/>
      <c r="D208" s="29" t="n"/>
      <c r="E208" s="31" t="n"/>
      <c r="F208" s="31" t="n"/>
      <c r="G208" s="29" t="n"/>
      <c r="H208" s="29" t="n"/>
      <c r="I208" s="29" t="n"/>
    </row>
    <row r="209" ht="15" customHeight="1" s="22">
      <c r="A209" s="29" t="n"/>
      <c r="B209" s="29" t="n"/>
      <c r="C209" s="29" t="n"/>
      <c r="D209" s="29" t="n"/>
      <c r="E209" s="31" t="n"/>
      <c r="F209" s="31" t="n"/>
      <c r="G209" s="29" t="n"/>
      <c r="H209" s="29" t="n"/>
      <c r="I209" s="29" t="n"/>
    </row>
    <row r="210" ht="15" customHeight="1" s="22">
      <c r="A210" s="29" t="n"/>
      <c r="B210" s="29" t="n"/>
      <c r="C210" s="29" t="n"/>
      <c r="D210" s="29" t="n"/>
      <c r="E210" s="31" t="n"/>
      <c r="F210" s="31" t="n"/>
      <c r="G210" s="29" t="n"/>
      <c r="H210" s="29" t="n"/>
      <c r="I210" s="29" t="n"/>
    </row>
    <row r="211" ht="15" customHeight="1" s="22">
      <c r="A211" s="29" t="n"/>
      <c r="B211" s="29" t="n"/>
      <c r="C211" s="29" t="n"/>
      <c r="D211" s="29" t="n"/>
      <c r="E211" s="31" t="n"/>
      <c r="F211" s="31" t="n"/>
      <c r="G211" s="29" t="n"/>
      <c r="H211" s="29" t="n"/>
      <c r="I211" s="29" t="n"/>
    </row>
    <row r="212" ht="15" customHeight="1" s="22">
      <c r="A212" s="29" t="n"/>
      <c r="B212" s="29" t="n"/>
      <c r="C212" s="29" t="n"/>
      <c r="D212" s="29" t="n"/>
      <c r="E212" s="31" t="n"/>
      <c r="F212" s="31" t="n"/>
      <c r="G212" s="29" t="n"/>
      <c r="H212" s="29" t="n"/>
      <c r="I212" s="29" t="n"/>
    </row>
    <row r="213" ht="15" customHeight="1" s="22">
      <c r="A213" s="29" t="n"/>
      <c r="B213" s="29" t="n"/>
      <c r="C213" s="29" t="n"/>
      <c r="D213" s="29" t="n"/>
      <c r="E213" s="31" t="n"/>
      <c r="F213" s="31" t="n"/>
      <c r="G213" s="29" t="n"/>
      <c r="H213" s="29" t="n"/>
      <c r="I213" s="29" t="n"/>
    </row>
    <row r="214" ht="15" customHeight="1" s="22">
      <c r="A214" s="29" t="n"/>
      <c r="B214" s="29" t="n"/>
      <c r="C214" s="29" t="n"/>
      <c r="D214" s="29" t="n"/>
      <c r="E214" s="31" t="n"/>
      <c r="F214" s="31" t="n"/>
      <c r="G214" s="29" t="n"/>
      <c r="H214" s="29" t="n"/>
      <c r="I214" s="29" t="n"/>
    </row>
    <row r="215" ht="15" customHeight="1" s="22">
      <c r="A215" s="29" t="n"/>
      <c r="B215" s="29" t="n"/>
      <c r="C215" s="29" t="n"/>
      <c r="D215" s="29" t="n"/>
      <c r="E215" s="31" t="n"/>
      <c r="F215" s="31" t="n"/>
      <c r="G215" s="29" t="n"/>
      <c r="H215" s="29" t="n"/>
      <c r="I215" s="29" t="n"/>
    </row>
    <row r="216" ht="15" customHeight="1" s="22">
      <c r="A216" s="29" t="n"/>
      <c r="B216" s="29" t="n"/>
      <c r="C216" s="29" t="n"/>
      <c r="D216" s="29" t="n"/>
      <c r="E216" s="31" t="n"/>
      <c r="F216" s="31" t="n"/>
      <c r="G216" s="29" t="n"/>
      <c r="H216" s="29" t="n"/>
      <c r="I216" s="29" t="n"/>
    </row>
    <row r="217" ht="15" customHeight="1" s="22">
      <c r="A217" s="29" t="n"/>
      <c r="B217" s="29" t="n"/>
      <c r="C217" s="29" t="n"/>
      <c r="D217" s="29" t="n"/>
      <c r="E217" s="31" t="n"/>
      <c r="F217" s="31" t="n"/>
      <c r="G217" s="29" t="n"/>
      <c r="H217" s="29" t="n"/>
      <c r="I217" s="29" t="n"/>
    </row>
    <row r="218" ht="15" customHeight="1" s="22">
      <c r="A218" s="29" t="n"/>
      <c r="B218" s="29" t="n"/>
      <c r="C218" s="29" t="n"/>
      <c r="D218" s="29" t="n"/>
      <c r="E218" s="31" t="n"/>
      <c r="F218" s="31" t="n"/>
      <c r="G218" s="29" t="n"/>
      <c r="H218" s="29" t="n"/>
      <c r="I218" s="29" t="n"/>
    </row>
    <row r="219" ht="15" customHeight="1" s="22">
      <c r="A219" s="29" t="n"/>
      <c r="B219" s="29" t="n"/>
      <c r="C219" s="29" t="n"/>
      <c r="D219" s="29" t="n"/>
      <c r="E219" s="31" t="n"/>
      <c r="F219" s="31" t="n"/>
      <c r="G219" s="29" t="n"/>
      <c r="H219" s="29" t="n"/>
      <c r="I219" s="29" t="n"/>
    </row>
    <row r="220" ht="15" customHeight="1" s="22">
      <c r="A220" s="29" t="n"/>
      <c r="B220" s="29" t="n"/>
      <c r="C220" s="29" t="n"/>
      <c r="D220" s="29" t="n"/>
      <c r="E220" s="31" t="n"/>
      <c r="F220" s="31" t="n"/>
      <c r="G220" s="29" t="n"/>
      <c r="H220" s="29" t="n"/>
      <c r="I220" s="29" t="n"/>
    </row>
    <row r="221" ht="15" customHeight="1" s="22">
      <c r="A221" s="29" t="n"/>
      <c r="B221" s="29" t="n"/>
      <c r="C221" s="29" t="n"/>
      <c r="D221" s="29" t="n"/>
      <c r="E221" s="31" t="n"/>
      <c r="F221" s="31" t="n"/>
      <c r="G221" s="29" t="n"/>
      <c r="H221" s="29" t="n"/>
      <c r="I221" s="29" t="n"/>
    </row>
    <row r="222" ht="15" customHeight="1" s="22">
      <c r="A222" s="29" t="n"/>
      <c r="B222" s="29" t="n"/>
      <c r="C222" s="29" t="n"/>
      <c r="D222" s="29" t="n"/>
      <c r="E222" s="31" t="n"/>
      <c r="F222" s="31" t="n"/>
      <c r="G222" s="29" t="n"/>
      <c r="H222" s="29" t="n"/>
      <c r="I222" s="29" t="n"/>
    </row>
    <row r="223" ht="15" customHeight="1" s="22">
      <c r="A223" s="29" t="n"/>
      <c r="B223" s="29" t="n"/>
      <c r="C223" s="29" t="n"/>
      <c r="D223" s="29" t="n"/>
      <c r="E223" s="31" t="n"/>
      <c r="F223" s="31" t="n"/>
      <c r="G223" s="29" t="n"/>
      <c r="H223" s="29" t="n"/>
      <c r="I223" s="29" t="n"/>
    </row>
    <row r="224" ht="15" customHeight="1" s="22">
      <c r="A224" s="29" t="n"/>
      <c r="B224" s="29" t="n"/>
      <c r="C224" s="29" t="n"/>
      <c r="D224" s="29" t="n"/>
      <c r="E224" s="31" t="n"/>
      <c r="F224" s="31" t="n"/>
      <c r="G224" s="29" t="n"/>
      <c r="H224" s="29" t="n"/>
      <c r="I224" s="29" t="n"/>
    </row>
    <row r="225" ht="15" customHeight="1" s="22">
      <c r="A225" s="29" t="n"/>
      <c r="B225" s="29" t="n"/>
      <c r="C225" s="29" t="n"/>
      <c r="D225" s="29" t="n"/>
      <c r="E225" s="31" t="n"/>
      <c r="F225" s="31" t="n"/>
      <c r="G225" s="29" t="n"/>
      <c r="H225" s="29" t="n"/>
      <c r="I225" s="29" t="n"/>
    </row>
    <row r="226" ht="15" customHeight="1" s="22">
      <c r="A226" s="29" t="n"/>
      <c r="B226" s="29" t="n"/>
      <c r="C226" s="29" t="n"/>
      <c r="D226" s="29" t="n"/>
      <c r="E226" s="31" t="n"/>
      <c r="F226" s="31" t="n"/>
      <c r="G226" s="29" t="n"/>
      <c r="H226" s="29" t="n"/>
      <c r="I226" s="29" t="n"/>
    </row>
    <row r="227" ht="15" customHeight="1" s="22">
      <c r="A227" s="29" t="n"/>
      <c r="B227" s="29" t="n"/>
      <c r="C227" s="29" t="n"/>
      <c r="D227" s="29" t="n"/>
      <c r="E227" s="31" t="n"/>
      <c r="F227" s="31" t="n"/>
      <c r="G227" s="29" t="n"/>
      <c r="H227" s="29" t="n"/>
      <c r="I227" s="29" t="n"/>
    </row>
    <row r="228" ht="15" customHeight="1" s="22">
      <c r="A228" s="29" t="n"/>
      <c r="B228" s="29" t="n"/>
      <c r="C228" s="29" t="n"/>
      <c r="D228" s="29" t="n"/>
      <c r="E228" s="31" t="n"/>
      <c r="F228" s="31" t="n"/>
      <c r="G228" s="29" t="n"/>
      <c r="H228" s="29" t="n"/>
      <c r="I228" s="29" t="n"/>
    </row>
    <row r="229" ht="15" customHeight="1" s="22">
      <c r="A229" s="29" t="n"/>
      <c r="B229" s="29" t="n"/>
      <c r="C229" s="29" t="n"/>
      <c r="D229" s="29" t="n"/>
      <c r="E229" s="31" t="n"/>
      <c r="F229" s="31" t="n"/>
      <c r="G229" s="29" t="n"/>
      <c r="H229" s="29" t="n"/>
      <c r="I229" s="29" t="n"/>
    </row>
    <row r="230" ht="15" customHeight="1" s="22">
      <c r="A230" s="29" t="n"/>
      <c r="B230" s="29" t="n"/>
      <c r="C230" s="29" t="n"/>
      <c r="D230" s="29" t="n"/>
      <c r="E230" s="31" t="n"/>
      <c r="F230" s="31" t="n"/>
      <c r="G230" s="29" t="n"/>
      <c r="H230" s="29" t="n"/>
      <c r="I230" s="29" t="n"/>
    </row>
    <row r="231" ht="15" customHeight="1" s="22">
      <c r="A231" s="29" t="n"/>
      <c r="B231" s="29" t="n"/>
      <c r="C231" s="29" t="n"/>
      <c r="D231" s="29" t="n"/>
      <c r="E231" s="31" t="n"/>
      <c r="F231" s="31" t="n"/>
      <c r="G231" s="29" t="n"/>
      <c r="H231" s="29" t="n"/>
      <c r="I231" s="29" t="n"/>
    </row>
    <row r="232" ht="15" customHeight="1" s="22">
      <c r="A232" s="29" t="n"/>
      <c r="B232" s="29" t="n"/>
      <c r="C232" s="29" t="n"/>
      <c r="D232" s="29" t="n"/>
      <c r="E232" s="31" t="n"/>
      <c r="F232" s="31" t="n"/>
      <c r="G232" s="29" t="n"/>
      <c r="H232" s="29" t="n"/>
      <c r="I232" s="29" t="n"/>
    </row>
    <row r="233" ht="15" customHeight="1" s="22">
      <c r="A233" s="29" t="n"/>
      <c r="B233" s="29" t="n"/>
      <c r="C233" s="29" t="n"/>
      <c r="D233" s="29" t="n"/>
      <c r="E233" s="31" t="n"/>
      <c r="F233" s="31" t="n"/>
      <c r="G233" s="29" t="n"/>
      <c r="H233" s="29" t="n"/>
      <c r="I233" s="29" t="n"/>
    </row>
    <row r="234" ht="15" customHeight="1" s="22">
      <c r="A234" s="29" t="n"/>
      <c r="B234" s="29" t="n"/>
      <c r="C234" s="29" t="n"/>
      <c r="D234" s="29" t="n"/>
      <c r="E234" s="31" t="n"/>
      <c r="F234" s="31" t="n"/>
      <c r="G234" s="29" t="n"/>
      <c r="H234" s="29" t="n"/>
      <c r="I234" s="29" t="n"/>
    </row>
    <row r="235" ht="15" customHeight="1" s="22">
      <c r="A235" s="29" t="n"/>
      <c r="B235" s="29" t="n"/>
      <c r="C235" s="29" t="n"/>
      <c r="D235" s="29" t="n"/>
      <c r="E235" s="31" t="n"/>
      <c r="F235" s="31" t="n"/>
      <c r="G235" s="29" t="n"/>
      <c r="H235" s="29" t="n"/>
      <c r="I235" s="29" t="n"/>
    </row>
    <row r="236" ht="15" customHeight="1" s="22">
      <c r="A236" s="29" t="n"/>
      <c r="B236" s="29" t="n"/>
      <c r="C236" s="29" t="n"/>
      <c r="D236" s="29" t="n"/>
      <c r="E236" s="31" t="n"/>
      <c r="F236" s="31" t="n"/>
      <c r="G236" s="29" t="n"/>
      <c r="H236" s="29" t="n"/>
      <c r="I236" s="29" t="n"/>
    </row>
    <row r="237" ht="15" customHeight="1" s="22">
      <c r="A237" s="29" t="n"/>
      <c r="B237" s="29" t="n"/>
      <c r="C237" s="29" t="n"/>
      <c r="D237" s="29" t="n"/>
      <c r="E237" s="31" t="n"/>
      <c r="F237" s="31" t="n"/>
      <c r="G237" s="29" t="n"/>
      <c r="H237" s="29" t="n"/>
      <c r="I237" s="29" t="n"/>
    </row>
    <row r="238" ht="15" customHeight="1" s="22">
      <c r="A238" s="29" t="n"/>
      <c r="B238" s="29" t="n"/>
      <c r="C238" s="29" t="n"/>
      <c r="D238" s="29" t="n"/>
      <c r="E238" s="31" t="n"/>
      <c r="F238" s="31" t="n"/>
      <c r="G238" s="29" t="n"/>
      <c r="H238" s="29" t="n"/>
      <c r="I238" s="29" t="n"/>
    </row>
    <row r="239" ht="15" customHeight="1" s="22">
      <c r="A239" s="29" t="n"/>
      <c r="B239" s="29" t="n"/>
      <c r="C239" s="29" t="n"/>
      <c r="D239" s="29" t="n"/>
      <c r="E239" s="31" t="n"/>
      <c r="F239" s="31" t="n"/>
      <c r="G239" s="29" t="n"/>
      <c r="H239" s="29" t="n"/>
      <c r="I239" s="29" t="n"/>
    </row>
    <row r="240" ht="15" customHeight="1" s="22">
      <c r="A240" s="29" t="n"/>
      <c r="B240" s="29" t="n"/>
      <c r="C240" s="29" t="n"/>
      <c r="D240" s="29" t="n"/>
      <c r="E240" s="31" t="n"/>
      <c r="F240" s="31" t="n"/>
      <c r="G240" s="29" t="n"/>
      <c r="H240" s="29" t="n"/>
      <c r="I240" s="29" t="n"/>
    </row>
    <row r="241" ht="15" customHeight="1" s="22">
      <c r="A241" s="29" t="n"/>
      <c r="B241" s="29" t="n"/>
      <c r="C241" s="29" t="n"/>
      <c r="D241" s="29" t="n"/>
      <c r="E241" s="31" t="n"/>
      <c r="F241" s="31" t="n"/>
      <c r="G241" s="29" t="n"/>
      <c r="H241" s="29" t="n"/>
      <c r="I241" s="29" t="n"/>
    </row>
    <row r="242" ht="15" customHeight="1" s="22">
      <c r="A242" s="29" t="n"/>
      <c r="B242" s="29" t="n"/>
      <c r="C242" s="29" t="n"/>
      <c r="D242" s="29" t="n"/>
      <c r="E242" s="31" t="n"/>
      <c r="F242" s="31" t="n"/>
      <c r="G242" s="29" t="n"/>
      <c r="H242" s="29" t="n"/>
      <c r="I242" s="29" t="n"/>
    </row>
    <row r="243" ht="15" customHeight="1" s="22">
      <c r="A243" s="29" t="n"/>
      <c r="B243" s="29" t="n"/>
      <c r="C243" s="29" t="n"/>
      <c r="D243" s="29" t="n"/>
      <c r="E243" s="31" t="n"/>
      <c r="F243" s="31" t="n"/>
      <c r="G243" s="29" t="n"/>
      <c r="H243" s="29" t="n"/>
      <c r="I243" s="29" t="n"/>
    </row>
    <row r="244" ht="15" customHeight="1" s="22">
      <c r="A244" s="29" t="n"/>
      <c r="B244" s="29" t="n"/>
      <c r="C244" s="29" t="n"/>
      <c r="D244" s="29" t="n"/>
      <c r="E244" s="31" t="n"/>
      <c r="F244" s="31" t="n"/>
      <c r="G244" s="29" t="n"/>
      <c r="H244" s="29" t="n"/>
      <c r="I244" s="29" t="n"/>
    </row>
    <row r="245" ht="15" customHeight="1" s="22">
      <c r="A245" s="29" t="n"/>
      <c r="B245" s="29" t="n"/>
      <c r="C245" s="29" t="n"/>
      <c r="D245" s="29" t="n"/>
      <c r="E245" s="31" t="n"/>
      <c r="F245" s="31" t="n"/>
      <c r="G245" s="29" t="n"/>
      <c r="H245" s="29" t="n"/>
      <c r="I245" s="29" t="n"/>
    </row>
    <row r="246" ht="15" customHeight="1" s="22">
      <c r="A246" s="29" t="n"/>
      <c r="B246" s="29" t="n"/>
      <c r="C246" s="29" t="n"/>
      <c r="D246" s="29" t="n"/>
      <c r="E246" s="31" t="n"/>
      <c r="F246" s="31" t="n"/>
      <c r="G246" s="29" t="n"/>
      <c r="H246" s="29" t="n"/>
      <c r="I246" s="29" t="n"/>
    </row>
    <row r="247" ht="15" customHeight="1" s="22">
      <c r="A247" s="29" t="n"/>
      <c r="B247" s="29" t="n"/>
      <c r="C247" s="29" t="n"/>
      <c r="D247" s="29" t="n"/>
      <c r="E247" s="31" t="n"/>
      <c r="F247" s="31" t="n"/>
      <c r="G247" s="29" t="n"/>
      <c r="H247" s="29" t="n"/>
      <c r="I247" s="29" t="n"/>
    </row>
    <row r="248" ht="15" customHeight="1" s="22">
      <c r="A248" s="29" t="n"/>
      <c r="B248" s="29" t="n"/>
      <c r="C248" s="29" t="n"/>
      <c r="D248" s="29" t="n"/>
      <c r="E248" s="31" t="n"/>
      <c r="F248" s="31" t="n"/>
      <c r="G248" s="29" t="n"/>
      <c r="H248" s="29" t="n"/>
      <c r="I248" s="29" t="n"/>
    </row>
    <row r="249" ht="15" customHeight="1" s="22">
      <c r="A249" s="29" t="n"/>
      <c r="B249" s="29" t="n"/>
      <c r="C249" s="29" t="n"/>
      <c r="D249" s="29" t="n"/>
      <c r="E249" s="31" t="n"/>
      <c r="F249" s="31" t="n"/>
      <c r="G249" s="29" t="n"/>
      <c r="H249" s="29" t="n"/>
      <c r="I249" s="29" t="n"/>
    </row>
    <row r="250" ht="15" customHeight="1" s="22">
      <c r="A250" s="29" t="n"/>
      <c r="B250" s="29" t="n"/>
      <c r="C250" s="29" t="n"/>
      <c r="D250" s="29" t="n"/>
      <c r="E250" s="31" t="n"/>
      <c r="F250" s="31" t="n"/>
      <c r="G250" s="29" t="n"/>
      <c r="H250" s="29" t="n"/>
      <c r="I250" s="29" t="n"/>
    </row>
    <row r="251" ht="15" customHeight="1" s="22">
      <c r="A251" s="29" t="n"/>
      <c r="B251" s="29" t="n"/>
      <c r="C251" s="29" t="n"/>
      <c r="D251" s="29" t="n"/>
      <c r="E251" s="31" t="n"/>
      <c r="F251" s="31" t="n"/>
      <c r="G251" s="29" t="n"/>
      <c r="H251" s="29" t="n"/>
      <c r="I251" s="29" t="n"/>
    </row>
    <row r="252" ht="15" customHeight="1" s="22">
      <c r="A252" s="29" t="n"/>
      <c r="B252" s="29" t="n"/>
      <c r="C252" s="29" t="n"/>
      <c r="D252" s="29" t="n"/>
      <c r="E252" s="31" t="n"/>
      <c r="F252" s="31" t="n"/>
      <c r="G252" s="29" t="n"/>
      <c r="H252" s="29" t="n"/>
      <c r="I252" s="29" t="n"/>
    </row>
    <row r="253" ht="15" customHeight="1" s="22">
      <c r="A253" s="29" t="n"/>
      <c r="B253" s="29" t="n"/>
      <c r="C253" s="29" t="n"/>
      <c r="D253" s="29" t="n"/>
      <c r="E253" s="31" t="n"/>
      <c r="F253" s="31" t="n"/>
      <c r="G253" s="29" t="n"/>
      <c r="H253" s="29" t="n"/>
      <c r="I253" s="29" t="n"/>
    </row>
    <row r="254" ht="15" customHeight="1" s="22">
      <c r="A254" s="29" t="n"/>
      <c r="B254" s="29" t="n"/>
      <c r="C254" s="29" t="n"/>
      <c r="D254" s="29" t="n"/>
      <c r="E254" s="31" t="n"/>
      <c r="F254" s="31" t="n"/>
      <c r="G254" s="29" t="n"/>
      <c r="H254" s="29" t="n"/>
      <c r="I254" s="29" t="n"/>
    </row>
    <row r="255" ht="15" customHeight="1" s="22">
      <c r="A255" s="29" t="n"/>
      <c r="B255" s="29" t="n"/>
      <c r="C255" s="29" t="n"/>
      <c r="D255" s="29" t="n"/>
      <c r="E255" s="31" t="n"/>
      <c r="F255" s="31" t="n"/>
      <c r="G255" s="29" t="n"/>
      <c r="H255" s="29" t="n"/>
      <c r="I255" s="29" t="n"/>
    </row>
    <row r="256" ht="15" customHeight="1" s="22">
      <c r="A256" s="29" t="n"/>
      <c r="B256" s="29" t="n"/>
      <c r="C256" s="29" t="n"/>
      <c r="D256" s="29" t="n"/>
      <c r="E256" s="31" t="n"/>
      <c r="F256" s="31" t="n"/>
      <c r="G256" s="29" t="n"/>
      <c r="H256" s="29" t="n"/>
      <c r="I256" s="29" t="n"/>
    </row>
    <row r="257" ht="15" customHeight="1" s="22">
      <c r="A257" s="29" t="n"/>
      <c r="B257" s="29" t="n"/>
      <c r="C257" s="29" t="n"/>
      <c r="D257" s="29" t="n"/>
      <c r="E257" s="31" t="n"/>
      <c r="F257" s="31" t="n"/>
      <c r="G257" s="29" t="n"/>
      <c r="H257" s="29" t="n"/>
      <c r="I257" s="29" t="n"/>
    </row>
    <row r="258" ht="15" customHeight="1" s="22">
      <c r="A258" s="29" t="n"/>
      <c r="B258" s="29" t="n"/>
      <c r="C258" s="29" t="n"/>
      <c r="D258" s="29" t="n"/>
      <c r="E258" s="31" t="n"/>
      <c r="F258" s="31" t="n"/>
      <c r="G258" s="29" t="n"/>
      <c r="H258" s="29" t="n"/>
      <c r="I258" s="29" t="n"/>
    </row>
    <row r="259" ht="15" customHeight="1" s="22">
      <c r="A259" s="29" t="n"/>
      <c r="B259" s="29" t="n"/>
      <c r="C259" s="29" t="n"/>
      <c r="D259" s="29" t="n"/>
      <c r="E259" s="31" t="n"/>
      <c r="F259" s="31" t="n"/>
      <c r="G259" s="29" t="n"/>
      <c r="H259" s="29" t="n"/>
      <c r="I259" s="29" t="n"/>
    </row>
    <row r="260" ht="15" customHeight="1" s="22">
      <c r="A260" s="29" t="n"/>
      <c r="B260" s="29" t="n"/>
      <c r="C260" s="29" t="n"/>
      <c r="D260" s="29" t="n"/>
      <c r="E260" s="31" t="n"/>
      <c r="F260" s="31" t="n"/>
      <c r="G260" s="29" t="n"/>
      <c r="H260" s="29" t="n"/>
      <c r="I260" s="29" t="n"/>
    </row>
    <row r="261" ht="15" customHeight="1" s="22">
      <c r="A261" s="29" t="n"/>
      <c r="B261" s="29" t="n"/>
      <c r="C261" s="29" t="n"/>
      <c r="D261" s="29" t="n"/>
      <c r="E261" s="31" t="n"/>
      <c r="F261" s="31" t="n"/>
      <c r="G261" s="29" t="n"/>
      <c r="H261" s="29" t="n"/>
      <c r="I261" s="29" t="n"/>
    </row>
    <row r="262" ht="15" customHeight="1" s="22">
      <c r="A262" s="29" t="n"/>
      <c r="B262" s="29" t="n"/>
      <c r="C262" s="29" t="n"/>
      <c r="D262" s="29" t="n"/>
      <c r="E262" s="31" t="n"/>
      <c r="F262" s="31" t="n"/>
      <c r="G262" s="29" t="n"/>
      <c r="H262" s="29" t="n"/>
      <c r="I262" s="29" t="n"/>
    </row>
    <row r="263" ht="15" customHeight="1" s="22">
      <c r="A263" s="29" t="n"/>
      <c r="B263" s="29" t="n"/>
      <c r="C263" s="29" t="n"/>
      <c r="D263" s="29" t="n"/>
      <c r="E263" s="31" t="n"/>
      <c r="F263" s="31" t="n"/>
      <c r="G263" s="29" t="n"/>
      <c r="H263" s="29" t="n"/>
      <c r="I263" s="29" t="n"/>
    </row>
    <row r="264" ht="15" customHeight="1" s="22">
      <c r="A264" s="29" t="n"/>
      <c r="B264" s="29" t="n"/>
      <c r="C264" s="29" t="n"/>
      <c r="D264" s="29" t="n"/>
      <c r="E264" s="31" t="n"/>
      <c r="F264" s="31" t="n"/>
      <c r="G264" s="29" t="n"/>
      <c r="H264" s="29" t="n"/>
      <c r="I264" s="29" t="n"/>
    </row>
    <row r="265" ht="15" customHeight="1" s="22">
      <c r="A265" s="29" t="n"/>
      <c r="B265" s="29" t="n"/>
      <c r="C265" s="29" t="n"/>
      <c r="D265" s="29" t="n"/>
      <c r="E265" s="31" t="n"/>
      <c r="F265" s="31" t="n"/>
      <c r="G265" s="29" t="n"/>
      <c r="H265" s="29" t="n"/>
      <c r="I265" s="29" t="n"/>
    </row>
    <row r="266" ht="15" customHeight="1" s="22">
      <c r="A266" s="29" t="n"/>
      <c r="B266" s="29" t="n"/>
      <c r="C266" s="29" t="n"/>
      <c r="D266" s="29" t="n"/>
      <c r="E266" s="31" t="n"/>
      <c r="F266" s="31" t="n"/>
      <c r="G266" s="29" t="n"/>
      <c r="H266" s="29" t="n"/>
      <c r="I266" s="29" t="n"/>
    </row>
    <row r="267" ht="15" customHeight="1" s="22">
      <c r="A267" s="29" t="n"/>
      <c r="B267" s="29" t="n"/>
      <c r="C267" s="29" t="n"/>
      <c r="D267" s="29" t="n"/>
      <c r="E267" s="31" t="n"/>
      <c r="F267" s="31" t="n"/>
      <c r="G267" s="29" t="n"/>
      <c r="H267" s="29" t="n"/>
      <c r="I267" s="29" t="n"/>
    </row>
    <row r="268" ht="15" customHeight="1" s="22">
      <c r="A268" s="29" t="n"/>
      <c r="B268" s="29" t="n"/>
      <c r="C268" s="29" t="n"/>
      <c r="D268" s="29" t="n"/>
      <c r="E268" s="31" t="n"/>
      <c r="F268" s="31" t="n"/>
      <c r="G268" s="29" t="n"/>
      <c r="H268" s="29" t="n"/>
      <c r="I268" s="29" t="n"/>
    </row>
    <row r="269" ht="15" customHeight="1" s="22">
      <c r="A269" s="29" t="n"/>
      <c r="B269" s="29" t="n"/>
      <c r="C269" s="29" t="n"/>
      <c r="D269" s="29" t="n"/>
      <c r="E269" s="31" t="n"/>
      <c r="F269" s="31" t="n"/>
      <c r="G269" s="29" t="n"/>
      <c r="H269" s="29" t="n"/>
      <c r="I269" s="29" t="n"/>
    </row>
    <row r="270" ht="15" customHeight="1" s="22">
      <c r="A270" s="29" t="n"/>
      <c r="B270" s="29" t="n"/>
      <c r="C270" s="29" t="n"/>
      <c r="D270" s="29" t="n"/>
      <c r="E270" s="31" t="n"/>
      <c r="F270" s="31" t="n"/>
      <c r="G270" s="29" t="n"/>
      <c r="H270" s="29" t="n"/>
      <c r="I270" s="29" t="n"/>
    </row>
    <row r="271" ht="15" customHeight="1" s="22">
      <c r="A271" s="29" t="n"/>
      <c r="B271" s="29" t="n"/>
      <c r="C271" s="29" t="n"/>
      <c r="D271" s="29" t="n"/>
      <c r="E271" s="31" t="n"/>
      <c r="F271" s="31" t="n"/>
      <c r="G271" s="29" t="n"/>
      <c r="H271" s="29" t="n"/>
      <c r="I271" s="29" t="n"/>
    </row>
    <row r="272" ht="15" customHeight="1" s="22">
      <c r="A272" s="29" t="n"/>
      <c r="B272" s="29" t="n"/>
      <c r="C272" s="29" t="n"/>
      <c r="D272" s="29" t="n"/>
      <c r="E272" s="31" t="n"/>
      <c r="F272" s="31" t="n"/>
      <c r="G272" s="29" t="n"/>
      <c r="H272" s="29" t="n"/>
      <c r="I272" s="29" t="n"/>
    </row>
    <row r="273" ht="15" customHeight="1" s="22">
      <c r="A273" s="29" t="n"/>
      <c r="B273" s="29" t="n"/>
      <c r="C273" s="29" t="n"/>
      <c r="D273" s="29" t="n"/>
      <c r="E273" s="31" t="n"/>
      <c r="F273" s="31" t="n"/>
      <c r="G273" s="29" t="n"/>
      <c r="H273" s="29" t="n"/>
      <c r="I273" s="29" t="n"/>
    </row>
    <row r="274" ht="15" customHeight="1" s="22">
      <c r="A274" s="29" t="n"/>
      <c r="B274" s="29" t="n"/>
      <c r="C274" s="29" t="n"/>
      <c r="D274" s="29" t="n"/>
      <c r="E274" s="31" t="n"/>
      <c r="F274" s="31" t="n"/>
      <c r="G274" s="29" t="n"/>
      <c r="H274" s="29" t="n"/>
      <c r="I274" s="29" t="n"/>
    </row>
    <row r="275" ht="15" customHeight="1" s="22">
      <c r="A275" s="29" t="n"/>
      <c r="B275" s="29" t="n"/>
      <c r="C275" s="29" t="n"/>
      <c r="D275" s="29" t="n"/>
      <c r="E275" s="31" t="n"/>
      <c r="F275" s="31" t="n"/>
      <c r="G275" s="29" t="n"/>
      <c r="H275" s="29" t="n"/>
      <c r="I275" s="29" t="n"/>
    </row>
    <row r="276" ht="15" customHeight="1" s="22">
      <c r="A276" s="29" t="n"/>
      <c r="B276" s="29" t="n"/>
      <c r="C276" s="29" t="n"/>
      <c r="D276" s="29" t="n"/>
      <c r="E276" s="31" t="n"/>
      <c r="F276" s="31" t="n"/>
      <c r="G276" s="29" t="n"/>
      <c r="H276" s="29" t="n"/>
      <c r="I276" s="29" t="n"/>
    </row>
    <row r="277" ht="15" customHeight="1" s="22">
      <c r="A277" s="29" t="n"/>
      <c r="B277" s="29" t="n"/>
      <c r="C277" s="29" t="n"/>
      <c r="D277" s="29" t="n"/>
      <c r="E277" s="31" t="n"/>
      <c r="F277" s="31" t="n"/>
      <c r="G277" s="29" t="n"/>
      <c r="H277" s="29" t="n"/>
      <c r="I277" s="29" t="n"/>
    </row>
    <row r="278" ht="15" customHeight="1" s="22">
      <c r="A278" s="29" t="n"/>
      <c r="B278" s="29" t="n"/>
      <c r="C278" s="29" t="n"/>
      <c r="D278" s="29" t="n"/>
      <c r="E278" s="31" t="n"/>
      <c r="F278" s="31" t="n"/>
      <c r="G278" s="29" t="n"/>
      <c r="H278" s="29" t="n"/>
      <c r="I278" s="29" t="n"/>
    </row>
    <row r="279" ht="15" customHeight="1" s="22">
      <c r="A279" s="29" t="n"/>
      <c r="B279" s="29" t="n"/>
      <c r="C279" s="29" t="n"/>
      <c r="D279" s="29" t="n"/>
      <c r="E279" s="31" t="n"/>
      <c r="F279" s="31" t="n"/>
      <c r="G279" s="29" t="n"/>
      <c r="H279" s="29" t="n"/>
      <c r="I279" s="29" t="n"/>
    </row>
    <row r="280" ht="15" customHeight="1" s="22">
      <c r="A280" s="29" t="n"/>
      <c r="B280" s="29" t="n"/>
      <c r="C280" s="29" t="n"/>
      <c r="D280" s="29" t="n"/>
      <c r="E280" s="31" t="n"/>
      <c r="F280" s="31" t="n"/>
      <c r="G280" s="29" t="n"/>
      <c r="H280" s="29" t="n"/>
      <c r="I280" s="29" t="n"/>
    </row>
    <row r="281" ht="15" customHeight="1" s="22">
      <c r="A281" s="29" t="n"/>
      <c r="B281" s="29" t="n"/>
      <c r="C281" s="29" t="n"/>
      <c r="D281" s="29" t="n"/>
      <c r="E281" s="31" t="n"/>
      <c r="F281" s="31" t="n"/>
      <c r="G281" s="29" t="n"/>
      <c r="H281" s="29" t="n"/>
      <c r="I281" s="29" t="n"/>
    </row>
    <row r="282" ht="15" customHeight="1" s="22">
      <c r="A282" s="29" t="n"/>
      <c r="B282" s="29" t="n"/>
      <c r="C282" s="29" t="n"/>
      <c r="D282" s="29" t="n"/>
      <c r="E282" s="31" t="n"/>
      <c r="F282" s="31" t="n"/>
      <c r="G282" s="29" t="n"/>
      <c r="H282" s="29" t="n"/>
      <c r="I282" s="29" t="n"/>
    </row>
    <row r="283" ht="15" customHeight="1" s="22">
      <c r="A283" s="29" t="n"/>
      <c r="B283" s="29" t="n"/>
      <c r="C283" s="29" t="n"/>
      <c r="D283" s="29" t="n"/>
      <c r="E283" s="31" t="n"/>
      <c r="F283" s="31" t="n"/>
      <c r="G283" s="29" t="n"/>
      <c r="H283" s="29" t="n"/>
      <c r="I283" s="29" t="n"/>
    </row>
    <row r="284" ht="15" customHeight="1" s="22">
      <c r="A284" s="29" t="n"/>
      <c r="B284" s="29" t="n"/>
      <c r="C284" s="29" t="n"/>
      <c r="D284" s="29" t="n"/>
      <c r="E284" s="31" t="n"/>
      <c r="F284" s="31" t="n"/>
      <c r="G284" s="29" t="n"/>
      <c r="H284" s="29" t="n"/>
      <c r="I284" s="29" t="n"/>
    </row>
    <row r="285" ht="15" customHeight="1" s="22">
      <c r="A285" s="29" t="n"/>
      <c r="B285" s="29" t="n"/>
      <c r="C285" s="29" t="n"/>
      <c r="D285" s="29" t="n"/>
      <c r="E285" s="31" t="n"/>
      <c r="F285" s="31" t="n"/>
      <c r="G285" s="29" t="n"/>
      <c r="H285" s="29" t="n"/>
      <c r="I285" s="29" t="n"/>
    </row>
    <row r="286" ht="15" customHeight="1" s="22">
      <c r="A286" s="29" t="n"/>
      <c r="B286" s="29" t="n"/>
      <c r="C286" s="29" t="n"/>
      <c r="D286" s="29" t="n"/>
      <c r="E286" s="31" t="n"/>
      <c r="F286" s="31" t="n"/>
      <c r="G286" s="29" t="n"/>
      <c r="H286" s="29" t="n"/>
      <c r="I286" s="29" t="n"/>
    </row>
    <row r="287" ht="15" customHeight="1" s="22">
      <c r="A287" s="29" t="n"/>
      <c r="B287" s="29" t="n"/>
      <c r="C287" s="29" t="n"/>
      <c r="D287" s="29" t="n"/>
      <c r="E287" s="31" t="n"/>
      <c r="F287" s="31" t="n"/>
      <c r="G287" s="29" t="n"/>
      <c r="H287" s="29" t="n"/>
      <c r="I287" s="29" t="n"/>
    </row>
    <row r="288" ht="15" customHeight="1" s="22">
      <c r="A288" s="29" t="n"/>
      <c r="B288" s="29" t="n"/>
      <c r="C288" s="29" t="n"/>
      <c r="D288" s="29" t="n"/>
      <c r="E288" s="31" t="n"/>
      <c r="F288" s="31" t="n"/>
      <c r="G288" s="29" t="n"/>
      <c r="H288" s="29" t="n"/>
      <c r="I288" s="29" t="n"/>
    </row>
    <row r="289" ht="15" customHeight="1" s="22">
      <c r="A289" s="29" t="n"/>
      <c r="B289" s="29" t="n"/>
      <c r="C289" s="29" t="n"/>
      <c r="D289" s="29" t="n"/>
      <c r="E289" s="31" t="n"/>
      <c r="F289" s="31" t="n"/>
      <c r="G289" s="29" t="n"/>
      <c r="H289" s="29" t="n"/>
      <c r="I289" s="29" t="n"/>
    </row>
    <row r="290" ht="15" customHeight="1" s="22">
      <c r="A290" s="29" t="n"/>
      <c r="B290" s="29" t="n"/>
      <c r="C290" s="29" t="n"/>
      <c r="D290" s="29" t="n"/>
      <c r="E290" s="31" t="n"/>
      <c r="F290" s="31" t="n"/>
      <c r="G290" s="29" t="n"/>
      <c r="H290" s="29" t="n"/>
      <c r="I290" s="29" t="n"/>
    </row>
    <row r="291" ht="15" customHeight="1" s="22">
      <c r="A291" s="29" t="n"/>
      <c r="B291" s="29" t="n"/>
      <c r="C291" s="29" t="n"/>
      <c r="D291" s="29" t="n"/>
      <c r="E291" s="31" t="n"/>
      <c r="F291" s="31" t="n"/>
      <c r="G291" s="29" t="n"/>
      <c r="H291" s="29" t="n"/>
      <c r="I291" s="29" t="n"/>
    </row>
    <row r="292" ht="15" customHeight="1" s="22">
      <c r="A292" s="29" t="n"/>
      <c r="B292" s="29" t="n"/>
      <c r="C292" s="29" t="n"/>
      <c r="D292" s="29" t="n"/>
      <c r="E292" s="31" t="n"/>
      <c r="F292" s="31" t="n"/>
      <c r="G292" s="29" t="n"/>
      <c r="H292" s="29" t="n"/>
      <c r="I292" s="29" t="n"/>
    </row>
    <row r="293" ht="15" customHeight="1" s="22">
      <c r="A293" s="29" t="n"/>
      <c r="B293" s="29" t="n"/>
      <c r="C293" s="29" t="n"/>
      <c r="D293" s="29" t="n"/>
      <c r="E293" s="31" t="n"/>
      <c r="F293" s="31" t="n"/>
      <c r="G293" s="29" t="n"/>
      <c r="H293" s="29" t="n"/>
      <c r="I293" s="29" t="n"/>
    </row>
    <row r="294" ht="15" customHeight="1" s="22">
      <c r="A294" s="29" t="n"/>
      <c r="B294" s="29" t="n"/>
      <c r="C294" s="29" t="n"/>
      <c r="D294" s="29" t="n"/>
      <c r="E294" s="31" t="n"/>
      <c r="F294" s="31" t="n"/>
      <c r="G294" s="29" t="n"/>
      <c r="H294" s="29" t="n"/>
      <c r="I294" s="29" t="n"/>
    </row>
    <row r="295" ht="15" customHeight="1" s="22">
      <c r="A295" s="29" t="n"/>
      <c r="B295" s="29" t="n"/>
      <c r="C295" s="29" t="n"/>
      <c r="D295" s="29" t="n"/>
      <c r="E295" s="31" t="n"/>
      <c r="F295" s="31" t="n"/>
      <c r="G295" s="29" t="n"/>
      <c r="H295" s="29" t="n"/>
      <c r="I295" s="29" t="n"/>
    </row>
    <row r="296" ht="15" customHeight="1" s="22">
      <c r="A296" s="29" t="n"/>
      <c r="B296" s="29" t="n"/>
      <c r="C296" s="29" t="n"/>
      <c r="D296" s="29" t="n"/>
      <c r="E296" s="31" t="n"/>
      <c r="F296" s="31" t="n"/>
      <c r="G296" s="29" t="n"/>
      <c r="H296" s="29" t="n"/>
      <c r="I296" s="29" t="n"/>
    </row>
    <row r="297" ht="15" customHeight="1" s="22">
      <c r="A297" s="29" t="n"/>
      <c r="B297" s="29" t="n"/>
      <c r="C297" s="29" t="n"/>
      <c r="D297" s="29" t="n"/>
      <c r="E297" s="31" t="n"/>
      <c r="F297" s="31" t="n"/>
      <c r="G297" s="29" t="n"/>
      <c r="H297" s="29" t="n"/>
      <c r="I297" s="29" t="n"/>
    </row>
    <row r="298" ht="15" customHeight="1" s="22">
      <c r="A298" s="29" t="n"/>
      <c r="B298" s="29" t="n"/>
      <c r="C298" s="29" t="n"/>
      <c r="D298" s="29" t="n"/>
      <c r="E298" s="31" t="n"/>
      <c r="F298" s="31" t="n"/>
      <c r="G298" s="29" t="n"/>
      <c r="H298" s="29" t="n"/>
      <c r="I298" s="29" t="n"/>
    </row>
    <row r="299" ht="15" customHeight="1" s="22">
      <c r="A299" s="29" t="n"/>
      <c r="B299" s="29" t="n"/>
      <c r="C299" s="29" t="n"/>
      <c r="D299" s="29" t="n"/>
      <c r="E299" s="31" t="n"/>
      <c r="F299" s="31" t="n"/>
      <c r="G299" s="29" t="n"/>
      <c r="H299" s="29" t="n"/>
      <c r="I299" s="29" t="n"/>
    </row>
    <row r="300" ht="15" customHeight="1" s="22">
      <c r="A300" s="29" t="n"/>
      <c r="B300" s="29" t="n"/>
      <c r="C300" s="29" t="n"/>
      <c r="D300" s="29" t="n"/>
      <c r="E300" s="31" t="n"/>
      <c r="F300" s="31" t="n"/>
      <c r="G300" s="29" t="n"/>
      <c r="H300" s="29" t="n"/>
      <c r="I300" s="29" t="n"/>
    </row>
  </sheetData>
  <autoFilter ref="A2:I300"/>
  <mergeCells count="1">
    <mergeCell ref="A1:I1"/>
  </mergeCells>
  <dataValidations count="1">
    <dataValidation sqref="G3:G300" showDropDown="0" showInputMessage="0" showErrorMessage="0" allowBlank="1" type="list" errorStyle="stop" operator="between">
      <formula1>"O,N"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5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8" customWidth="1" style="21" min="1" max="1"/>
    <col width="14" customWidth="1" style="21" min="2" max="4"/>
    <col width="32" customWidth="1" style="21" min="5" max="5"/>
    <col width="23" customWidth="1" style="21" min="6" max="6"/>
    <col width="22" customWidth="1" style="21" min="7" max="7"/>
    <col width="15" customWidth="1" style="21" min="8" max="8"/>
    <col width="26" customWidth="1" style="21" min="9" max="9"/>
    <col width="18" customWidth="1" style="22" min="10" max="10"/>
    <col width="18" customWidth="1" style="22" min="11" max="11"/>
    <col width="18" customWidth="1" style="22" min="12" max="12"/>
  </cols>
  <sheetData>
    <row r="1" ht="30" customHeight="1" s="22">
      <c r="A1" s="23" t="inlineStr">
        <is>
          <t>ENSEIGNANTS ET VACATAIRES — FICHES</t>
        </is>
      </c>
    </row>
    <row r="2" ht="31.5" customHeight="1" s="22">
      <c r="A2" s="28" t="inlineStr">
        <is>
          <t>Matricule ens.</t>
        </is>
      </c>
      <c r="B2" s="28" t="inlineStr">
        <is>
          <t>Genre (*)</t>
        </is>
      </c>
      <c r="C2" s="28" t="inlineStr">
        <is>
          <t>Nom</t>
        </is>
      </c>
      <c r="D2" s="28" t="inlineStr">
        <is>
          <t>Prenom</t>
        </is>
      </c>
      <c r="E2" s="28" t="inlineStr">
        <is>
          <t>Statut (*)</t>
        </is>
      </c>
      <c r="F2" s="28" t="inlineStr">
        <is>
          <t>Matieres enseignees</t>
        </is>
      </c>
      <c r="G2" s="28" t="inlineStr">
        <is>
          <t>Qualifications (*)</t>
        </is>
      </c>
      <c r="H2" s="28" t="inlineStr">
        <is>
          <t>Departement</t>
        </is>
      </c>
      <c r="I2" s="28" t="inlineStr">
        <is>
          <t>Chef dept validant (*)</t>
        </is>
      </c>
      <c r="J2" s="28" t="inlineStr">
        <is>
          <t>Taux horaire (KMF/h)</t>
        </is>
      </c>
      <c r="K2" s="28" t="inlineStr">
        <is>
          <t>Mode de remuneration</t>
        </is>
      </c>
      <c r="L2" s="28" t="inlineStr">
        <is>
          <t>Cout mensuel (KMF)</t>
        </is>
      </c>
    </row>
    <row r="3" ht="15" customHeight="1" s="22">
      <c r="A3" s="21" t="inlineStr">
        <is>
          <t>ENS-001</t>
        </is>
      </c>
      <c r="B3" s="21" t="inlineStr"/>
      <c r="C3" s="21" t="inlineStr">
        <is>
          <t>Adamou Hamada Jean Alain</t>
        </is>
      </c>
      <c r="D3" s="21" t="inlineStr"/>
      <c r="E3" s="21" t="inlineStr">
        <is>
          <t>Permanent</t>
        </is>
      </c>
      <c r="F3" s="21" t="inlineStr">
        <is>
          <t>Obstétrique normale; Soins obstétricaux d’urgence de base (SONUB); Anatomie de l'Appareil urinaire; Anatomie système génitale; Pathologies de la grossesse et du travail; Pathologie de l’accouchement et Des suites de couches; Pathologies gynécologiques; Aspiration Manuelle IntraUtérine (AMIU); Ventouse et Forceps</t>
        </is>
      </c>
      <c r="G3" s="21" t="inlineStr"/>
      <c r="H3" s="21" t="inlineStr"/>
      <c r="I3" s="21" t="inlineStr"/>
      <c r="J3" s="21" t="inlineStr"/>
      <c r="K3" s="21" t="inlineStr"/>
      <c r="L3" s="21" t="inlineStr"/>
    </row>
    <row r="4" ht="15" customHeight="1" s="22">
      <c r="A4" s="21" t="inlineStr">
        <is>
          <t>ENS-002</t>
        </is>
      </c>
      <c r="B4" s="21" t="inlineStr"/>
      <c r="C4" s="21" t="inlineStr">
        <is>
          <t>Daniel Ali Soumaïla (Chef de département S.I)</t>
        </is>
      </c>
      <c r="D4" s="21" t="inlineStr"/>
      <c r="E4" s="21" t="inlineStr">
        <is>
          <t>Permanent</t>
        </is>
      </c>
      <c r="F4" s="21" t="inlineStr">
        <is>
          <t>Premiers secours et soins d’urgence; Théories, modèles et interaction; Personne agonisant et decedé; PCIME dr Zoubeir; PCIME; Gestion des catastrophes/Fléaux sociaux</t>
        </is>
      </c>
      <c r="G4" s="21" t="inlineStr"/>
      <c r="H4" s="21" t="inlineStr"/>
      <c r="I4" s="21" t="inlineStr"/>
      <c r="J4" s="21" t="inlineStr"/>
      <c r="K4" s="21" t="inlineStr"/>
      <c r="L4" s="21" t="inlineStr"/>
    </row>
    <row r="5" ht="15" customHeight="1" s="22">
      <c r="A5" s="21" t="inlineStr">
        <is>
          <t>ENS-003</t>
        </is>
      </c>
      <c r="B5" s="21" t="inlineStr"/>
      <c r="C5" s="21" t="inlineStr">
        <is>
          <t>Dr EL HABIB</t>
        </is>
      </c>
      <c r="D5" s="21" t="inlineStr"/>
      <c r="E5" s="21" t="inlineStr">
        <is>
          <t>Permanent</t>
        </is>
      </c>
      <c r="F5" s="21" t="inlineStr">
        <is>
          <t>Microbiologie, micro-organismes et parasitologie; introduction à la biochimie (prévoir des TD de biochimie); Communication interpersonnel (a chercher DSPP)); ethique et déontologie; cancerologie dr widad</t>
        </is>
      </c>
      <c r="G5" s="21" t="inlineStr"/>
      <c r="H5" s="21" t="inlineStr"/>
      <c r="I5" s="21" t="inlineStr"/>
      <c r="J5" s="21" t="inlineStr"/>
      <c r="K5" s="21" t="inlineStr"/>
      <c r="L5" s="21" t="inlineStr"/>
    </row>
    <row r="6" ht="15" customHeight="1" s="22">
      <c r="A6" s="21" t="inlineStr">
        <is>
          <t>ENS-004</t>
        </is>
      </c>
      <c r="B6" s="21" t="inlineStr"/>
      <c r="C6" s="21" t="inlineStr">
        <is>
          <t>Dr Kamal Ahamada (Directeur)</t>
        </is>
      </c>
      <c r="D6" s="21" t="inlineStr"/>
      <c r="E6" s="21" t="inlineStr">
        <is>
          <t>Permanent</t>
        </is>
      </c>
      <c r="F6" s="21" t="inlineStr">
        <is>
          <t>Chirurgie pédiatrique; Methodologie de recherche; introduction à la recherche; Introduction au corps humain (Dr Mbae); Affections urologiques; Urgences traumatologiques; Soutenance un travail de fin d’études; Pathologies et grossesses; Anatomie du bassin et du périnée</t>
        </is>
      </c>
      <c r="G6" s="21" t="inlineStr"/>
      <c r="H6" s="21" t="inlineStr"/>
      <c r="I6" s="21" t="inlineStr"/>
      <c r="J6" s="21" t="inlineStr"/>
      <c r="K6" s="21" t="inlineStr"/>
      <c r="L6" s="21" t="inlineStr"/>
    </row>
    <row r="7" ht="15" customHeight="1" s="22">
      <c r="A7" s="21" t="inlineStr">
        <is>
          <t>ENS-005</t>
        </is>
      </c>
      <c r="B7" s="21" t="inlineStr"/>
      <c r="C7" s="21" t="inlineStr">
        <is>
          <t>HALIMA ABDALLAH</t>
        </is>
      </c>
      <c r="D7" s="21" t="inlineStr"/>
      <c r="E7" s="21" t="inlineStr">
        <is>
          <t>Permanent</t>
        </is>
      </c>
      <c r="F7" s="21" t="inlineStr">
        <is>
          <t>Santé sexuelle et reproductive et droits connexes; Vaccination; TD/:TP des programme; Stratégies conventionnelles et novatrices de communication; Gestion des services de santé; Démographie en SRMNIA; S.I Stomatologies; Soins gynéco-obstétricaux de base; Soins obstétricaux; Planification familiale et technologie contraceptive,</t>
        </is>
      </c>
      <c r="G7" s="21" t="inlineStr"/>
      <c r="H7" s="21" t="inlineStr"/>
      <c r="I7" s="21" t="inlineStr"/>
      <c r="J7" s="21" t="inlineStr"/>
      <c r="K7" s="21" t="inlineStr"/>
      <c r="L7" s="21" t="inlineStr"/>
    </row>
    <row r="8" ht="15" customHeight="1" s="22">
      <c r="A8" s="21" t="inlineStr">
        <is>
          <t>ENS-006</t>
        </is>
      </c>
      <c r="B8" s="21" t="inlineStr"/>
      <c r="C8" s="21" t="inlineStr">
        <is>
          <t>Irina Ismaïla Abdou</t>
        </is>
      </c>
      <c r="D8" s="21" t="inlineStr"/>
      <c r="E8" s="21" t="inlineStr">
        <is>
          <t>Permanent</t>
        </is>
      </c>
      <c r="F8" s="21" t="inlineStr">
        <is>
          <t>Sémiologie Médical; Pathologies dermatologiques; Anatomie du système digestif; Anatomie du système cardiovasculaire et sang; Hématopoïèse; Anatomie des organes de sens; Pathologies digestifs; Gynécologie; Sémiologie gynécologique; sémiologie chirurgicale; Gériatrie; Troubless psychiatriques; Troisième âge, Andropause et Ménopause; Consultations des enfants sains</t>
        </is>
      </c>
      <c r="G8" s="21" t="inlineStr"/>
      <c r="H8" s="21" t="inlineStr"/>
      <c r="I8" s="21" t="inlineStr"/>
      <c r="J8" s="21" t="inlineStr"/>
      <c r="K8" s="21" t="inlineStr"/>
      <c r="L8" s="21" t="inlineStr"/>
    </row>
    <row r="9" ht="15" customHeight="1" s="22">
      <c r="A9" s="21" t="inlineStr">
        <is>
          <t>ENS-007</t>
        </is>
      </c>
      <c r="B9" s="21" t="inlineStr"/>
      <c r="C9" s="21" t="inlineStr">
        <is>
          <t>Mme Houzaimata Ahamada</t>
        </is>
      </c>
      <c r="D9" s="21" t="inlineStr"/>
      <c r="E9" s="21" t="inlineStr">
        <is>
          <t>Permanent</t>
        </is>
      </c>
      <c r="F9" s="21" t="inlineStr">
        <is>
          <t>Introduction à la psychologie; Psychologie de l’enfant; prise en charge Psychologie des enfants victimes ou tentatives d'agression; Prise en charge Psychologie des agressions physique et psychologiques couple; Psychologie; Psychologie de la femme enceinte; S.I Affections neurologiques</t>
        </is>
      </c>
      <c r="G9" s="21" t="inlineStr"/>
      <c r="H9" s="21" t="inlineStr"/>
      <c r="I9" s="21" t="inlineStr"/>
      <c r="J9" s="21" t="inlineStr"/>
      <c r="K9" s="21" t="inlineStr"/>
      <c r="L9" s="21" t="inlineStr"/>
    </row>
    <row r="10" ht="15" customHeight="1" s="22">
      <c r="A10" s="21" t="inlineStr">
        <is>
          <t>ENS-008</t>
        </is>
      </c>
      <c r="B10" s="21" t="inlineStr"/>
      <c r="C10" s="21" t="inlineStr">
        <is>
          <t>Mohamed Ibrahim Kaïva</t>
        </is>
      </c>
      <c r="D10" s="21" t="inlineStr"/>
      <c r="E10" s="21" t="inlineStr">
        <is>
          <t>Permanent</t>
        </is>
      </c>
      <c r="F10" s="21" t="inlineStr">
        <is>
          <t>Sociologie; Antropologie de la santé; Anthropologie</t>
        </is>
      </c>
      <c r="G10" s="21" t="inlineStr"/>
      <c r="H10" s="21" t="inlineStr"/>
      <c r="I10" s="21" t="inlineStr"/>
      <c r="J10" s="21" t="inlineStr"/>
      <c r="K10" s="21" t="inlineStr"/>
      <c r="L10" s="21" t="inlineStr"/>
    </row>
    <row r="11" ht="15" customHeight="1" s="22">
      <c r="A11" s="21" t="inlineStr">
        <is>
          <t>ENS-009</t>
        </is>
      </c>
      <c r="B11" s="21" t="inlineStr"/>
      <c r="C11" s="21" t="inlineStr">
        <is>
          <t>Moussa Hasane (a contacter)</t>
        </is>
      </c>
      <c r="D11" s="21" t="inlineStr"/>
      <c r="E11" s="21" t="inlineStr">
        <is>
          <t>Permanent</t>
        </is>
      </c>
      <c r="F11" s="21" t="inlineStr">
        <is>
          <t>Communication virtuelle</t>
        </is>
      </c>
      <c r="G11" s="21" t="inlineStr"/>
      <c r="H11" s="21" t="inlineStr"/>
      <c r="I11" s="21" t="inlineStr"/>
      <c r="J11" s="21" t="inlineStr"/>
      <c r="K11" s="21" t="inlineStr"/>
      <c r="L11" s="21" t="inlineStr"/>
    </row>
    <row r="12" ht="15" customHeight="1" s="22">
      <c r="A12" s="21" t="inlineStr">
        <is>
          <t>ENS-010</t>
        </is>
      </c>
      <c r="B12" s="21" t="inlineStr"/>
      <c r="C12" s="21" t="inlineStr">
        <is>
          <t>Moussa Mohamed Ahmed (Chef de département formation continue et santé publique)</t>
        </is>
      </c>
      <c r="D12" s="21" t="inlineStr"/>
      <c r="E12" s="21" t="inlineStr">
        <is>
          <t>Permanent</t>
        </is>
      </c>
      <c r="F12" s="21" t="inlineStr">
        <is>
          <t>Pathologies endocriniennes; Anatomie du Système Endocrinien; Anatomie systèmes respiratoire; Systèmes d’intégration, de protection et de contrôle nerveux, endocrine; L’infection, la résistance de l’hôte et le contrôle des infections; Maladies infectieuses, parasitaires et VIH; Affections respiratoires; Affections neurologiques</t>
        </is>
      </c>
      <c r="G12" s="21" t="inlineStr"/>
      <c r="H12" s="21" t="inlineStr"/>
      <c r="I12" s="21" t="inlineStr"/>
      <c r="J12" s="21" t="inlineStr"/>
      <c r="K12" s="21" t="inlineStr"/>
      <c r="L12" s="21" t="inlineStr"/>
    </row>
    <row r="13" ht="15" customHeight="1" s="22">
      <c r="A13" s="21" t="inlineStr">
        <is>
          <t>ENS-011</t>
        </is>
      </c>
      <c r="B13" s="21" t="inlineStr"/>
      <c r="C13" s="21" t="inlineStr">
        <is>
          <t>Mr Daniel Ali (Chef de Département S.I)</t>
        </is>
      </c>
      <c r="D13" s="21" t="inlineStr"/>
      <c r="E13" s="21" t="inlineStr">
        <is>
          <t>Permanent</t>
        </is>
      </c>
      <c r="F13" s="21" t="inlineStr">
        <is>
          <t>Base théorique des soins infirmiers en milieu communautaire; Maladies transmissibles : prévention et intervention; Santé familiale; Soins à domicile, en milieu communautaire et soins palliatifs; Soins infirmiers en médecine de Catastrophe; Soins infirmiers en médecine de travail; Santé scolaire</t>
        </is>
      </c>
      <c r="G13" s="21" t="inlineStr"/>
      <c r="H13" s="21" t="inlineStr"/>
      <c r="I13" s="21" t="inlineStr"/>
      <c r="J13" s="21" t="inlineStr"/>
      <c r="K13" s="21" t="inlineStr"/>
      <c r="L13" s="21" t="inlineStr"/>
    </row>
    <row r="14" ht="15" customHeight="1" s="22">
      <c r="A14" s="21" t="inlineStr">
        <is>
          <t>ENS-012</t>
        </is>
      </c>
      <c r="B14" s="21" t="inlineStr"/>
      <c r="C14" s="21" t="inlineStr">
        <is>
          <t>Mréha Abdou (Chef de département S.O)</t>
        </is>
      </c>
      <c r="D14" s="21" t="inlineStr"/>
      <c r="E14" s="21" t="inlineStr">
        <is>
          <t>Permanent</t>
        </is>
      </c>
      <c r="F14" s="21" t="inlineStr">
        <is>
          <t>Infirmier dans l'environnement sanitaire; Perceptions en matière de santé; Disposition d'un environnement sûr; Prévention et contrôle des infections; Calcul des doses médicamenteuses; S.I en urgences et réanimation</t>
        </is>
      </c>
      <c r="G14" s="21" t="inlineStr"/>
      <c r="H14" s="21" t="inlineStr"/>
      <c r="I14" s="21" t="inlineStr"/>
      <c r="J14" s="21" t="inlineStr"/>
      <c r="K14" s="21" t="inlineStr"/>
      <c r="L14" s="21" t="inlineStr"/>
    </row>
    <row r="15" ht="15" customHeight="1" s="22">
      <c r="A15" s="21" t="inlineStr">
        <is>
          <t>ENS-013</t>
        </is>
      </c>
      <c r="B15" s="21" t="inlineStr"/>
      <c r="C15" s="21" t="inlineStr">
        <is>
          <t>Soudjay Mohamed</t>
        </is>
      </c>
      <c r="D15" s="21" t="inlineStr"/>
      <c r="E15" s="21" t="inlineStr">
        <is>
          <t>Permanent</t>
        </is>
      </c>
      <c r="F15" s="21" t="inlineStr">
        <is>
          <t>Art et science des soins infirmiers en milieu communautaire; Introduction à l’épidémiologie; Rédaction administrative; Gestion/administration; Documents normatifs en santé; Méthodes statistiques; Santé et environnement; Formation/Supervision; strategie national en santé maternel et néonatal et audits</t>
        </is>
      </c>
      <c r="G15" s="21" t="inlineStr"/>
      <c r="H15" s="21" t="inlineStr"/>
      <c r="I15" s="21" t="inlineStr"/>
      <c r="J15" s="21" t="inlineStr"/>
      <c r="K15" s="21" t="inlineStr"/>
      <c r="L15" s="21" t="inlineStr"/>
    </row>
    <row r="16" ht="15" customHeight="1" s="22">
      <c r="A16" s="21" t="inlineStr">
        <is>
          <t>ENS-014</t>
        </is>
      </c>
      <c r="B16" s="21" t="inlineStr"/>
      <c r="C16" s="21" t="inlineStr">
        <is>
          <t>???</t>
        </is>
      </c>
      <c r="D16" s="21" t="inlineStr"/>
      <c r="E16" s="21" t="inlineStr">
        <is>
          <t>Vacataire</t>
        </is>
      </c>
      <c r="F16" s="21" t="inlineStr">
        <is>
          <t>Métabolisme; Besoins nutritionnels des différentes tranches d’âge; Sécurité et disponibilité alimentaire; Aspects comportementaux et culturels de la nutrition; Prise en charge diététique des carences et de la surnutrition</t>
        </is>
      </c>
      <c r="G16" s="21" t="inlineStr"/>
      <c r="H16" s="21" t="inlineStr"/>
      <c r="I16" s="21" t="inlineStr"/>
      <c r="J16" s="21" t="inlineStr"/>
      <c r="K16" s="21" t="inlineStr"/>
      <c r="L16" s="21" t="inlineStr"/>
    </row>
    <row r="17" ht="15" customHeight="1" s="22">
      <c r="A17" s="21" t="inlineStr">
        <is>
          <t>ENS-015</t>
        </is>
      </c>
      <c r="B17" s="21" t="inlineStr"/>
      <c r="C17" s="21" t="inlineStr">
        <is>
          <t>Ahmed Ali Itrisso</t>
        </is>
      </c>
      <c r="D17" s="21" t="inlineStr"/>
      <c r="E17" s="21" t="inlineStr">
        <is>
          <t>Vacataire</t>
        </is>
      </c>
      <c r="F17" s="21" t="inlineStr">
        <is>
          <t>Examen de santé (Clinique, physique, ATCD, Spéciaux); S.I aux personnes âgées</t>
        </is>
      </c>
      <c r="G17" s="21" t="inlineStr"/>
      <c r="H17" s="21" t="inlineStr"/>
      <c r="I17" s="21" t="inlineStr"/>
      <c r="J17" s="21" t="inlineStr"/>
      <c r="K17" s="21" t="inlineStr"/>
      <c r="L17" s="21" t="inlineStr"/>
    </row>
    <row r="18" ht="15" customHeight="1" s="22">
      <c r="A18" s="21" t="inlineStr">
        <is>
          <t>ENS-016</t>
        </is>
      </c>
      <c r="B18" s="21" t="inlineStr"/>
      <c r="C18" s="21" t="inlineStr">
        <is>
          <t>AMINA BIZIRA</t>
        </is>
      </c>
      <c r="D18" s="21" t="inlineStr"/>
      <c r="E18" s="21" t="inlineStr">
        <is>
          <t>Vacataire</t>
        </is>
      </c>
      <c r="F18" s="21" t="inlineStr">
        <is>
          <t>Aspiration Manuelle IntraUtérine (AMIU) et soins; Soins Obstétricaux; Soins Urologies</t>
        </is>
      </c>
      <c r="G18" s="21" t="inlineStr"/>
      <c r="H18" s="21" t="inlineStr"/>
      <c r="I18" s="21" t="inlineStr"/>
      <c r="J18" s="21" t="inlineStr"/>
      <c r="K18" s="21" t="inlineStr"/>
      <c r="L18" s="21" t="inlineStr"/>
    </row>
    <row r="19" ht="15" customHeight="1" s="22">
      <c r="A19" s="21" t="inlineStr">
        <is>
          <t>ENS-017</t>
        </is>
      </c>
      <c r="B19" s="21" t="inlineStr"/>
      <c r="C19" s="21" t="inlineStr">
        <is>
          <t>Anne Beugny</t>
        </is>
      </c>
      <c r="D19" s="21" t="inlineStr"/>
      <c r="E19" s="21" t="inlineStr">
        <is>
          <t>Vacataire</t>
        </is>
      </c>
      <c r="F19" s="21" t="inlineStr">
        <is>
          <t>Généralité sur la SP/SC; Approche de SP/SC; Etude de l’environnement; Épidémiologie; Communication interpersonnel</t>
        </is>
      </c>
      <c r="G19" s="21" t="inlineStr"/>
      <c r="H19" s="21" t="inlineStr"/>
      <c r="I19" s="21" t="inlineStr"/>
      <c r="J19" s="21" t="inlineStr"/>
      <c r="K19" s="21" t="inlineStr"/>
      <c r="L19" s="21" t="inlineStr"/>
    </row>
    <row r="20" ht="15" customHeight="1" s="22">
      <c r="A20" s="21" t="inlineStr">
        <is>
          <t>ENS-018</t>
        </is>
      </c>
      <c r="B20" s="21" t="inlineStr"/>
      <c r="C20" s="21" t="inlineStr">
        <is>
          <t>Dr Abdou Antik</t>
        </is>
      </c>
      <c r="D20" s="21" t="inlineStr"/>
      <c r="E20" s="21" t="inlineStr">
        <is>
          <t>Vacataire</t>
        </is>
      </c>
      <c r="F20" s="21" t="inlineStr">
        <is>
          <t>Imagérie médicale</t>
        </is>
      </c>
      <c r="G20" s="21" t="inlineStr"/>
      <c r="H20" s="21" t="inlineStr"/>
      <c r="I20" s="21" t="inlineStr"/>
      <c r="J20" s="21" t="inlineStr"/>
      <c r="K20" s="21" t="inlineStr"/>
      <c r="L20" s="21" t="inlineStr"/>
    </row>
    <row r="21" ht="15" customHeight="1" s="22">
      <c r="A21" s="21" t="inlineStr">
        <is>
          <t>ENS-019</t>
        </is>
      </c>
      <c r="B21" s="21" t="inlineStr"/>
      <c r="C21" s="21" t="inlineStr">
        <is>
          <t>Dr Ahamada Widade</t>
        </is>
      </c>
      <c r="D21" s="21" t="inlineStr"/>
      <c r="E21" s="21" t="inlineStr">
        <is>
          <t>Vacataire</t>
        </is>
      </c>
      <c r="F21" s="21" t="inlineStr">
        <is>
          <t>Pathologies Stomatologiques; Ethique; deontologie; Cancerologie</t>
        </is>
      </c>
      <c r="G21" s="21" t="inlineStr"/>
      <c r="H21" s="21" t="inlineStr"/>
      <c r="I21" s="21" t="inlineStr"/>
      <c r="J21" s="21" t="inlineStr"/>
      <c r="K21" s="21" t="inlineStr"/>
      <c r="L21" s="21" t="inlineStr"/>
    </row>
    <row r="22" ht="15" customHeight="1" s="22">
      <c r="A22" s="21" t="inlineStr">
        <is>
          <t>ENS-020</t>
        </is>
      </c>
      <c r="B22" s="21" t="inlineStr"/>
      <c r="C22" s="21" t="inlineStr">
        <is>
          <t>Dr Chamsouddine</t>
        </is>
      </c>
      <c r="D22" s="21" t="inlineStr"/>
      <c r="E22" s="21" t="inlineStr">
        <is>
          <t>Vacataire</t>
        </is>
      </c>
      <c r="F22" s="21" t="inlineStr">
        <is>
          <t>Soins en pediatrie; Puériculture; Système de soins de santé</t>
        </is>
      </c>
      <c r="G22" s="21" t="inlineStr"/>
      <c r="H22" s="21" t="inlineStr"/>
      <c r="I22" s="21" t="inlineStr"/>
      <c r="J22" s="21" t="inlineStr"/>
      <c r="K22" s="21" t="inlineStr"/>
      <c r="L22" s="21" t="inlineStr"/>
    </row>
    <row r="23" ht="15" customHeight="1" s="22">
      <c r="A23" s="21" t="inlineStr">
        <is>
          <t>ENS-021</t>
        </is>
      </c>
      <c r="B23" s="21" t="inlineStr"/>
      <c r="C23" s="21" t="inlineStr">
        <is>
          <t>Dr Daroueche</t>
        </is>
      </c>
      <c r="D23" s="21" t="inlineStr"/>
      <c r="E23" s="21" t="inlineStr">
        <is>
          <t>Vacataire</t>
        </is>
      </c>
      <c r="F23" s="21" t="inlineStr">
        <is>
          <t>Pathologies ORL; Pathologies Stomatologiques</t>
        </is>
      </c>
      <c r="G23" s="21" t="inlineStr"/>
      <c r="H23" s="21" t="inlineStr"/>
      <c r="I23" s="21" t="inlineStr"/>
      <c r="J23" s="21" t="inlineStr"/>
      <c r="K23" s="21" t="inlineStr"/>
      <c r="L23" s="21" t="inlineStr"/>
    </row>
    <row r="24" ht="15" customHeight="1" s="22">
      <c r="A24" s="21" t="inlineStr">
        <is>
          <t>ENS-022</t>
        </is>
      </c>
      <c r="B24" s="21" t="inlineStr"/>
      <c r="C24" s="21" t="inlineStr">
        <is>
          <t>Dr Fazul Ahamada</t>
        </is>
      </c>
      <c r="D24" s="21" t="inlineStr"/>
      <c r="E24" s="21" t="inlineStr">
        <is>
          <t>Vacataire</t>
        </is>
      </c>
      <c r="F24" s="21" t="inlineStr">
        <is>
          <t>Biologie Clinique (Examens de laboratoire)</t>
        </is>
      </c>
      <c r="G24" s="21" t="inlineStr"/>
      <c r="H24" s="21" t="inlineStr"/>
      <c r="I24" s="21" t="inlineStr"/>
      <c r="J24" s="21" t="inlineStr"/>
      <c r="K24" s="21" t="inlineStr"/>
      <c r="L24" s="21" t="inlineStr"/>
    </row>
    <row r="25" ht="15" customHeight="1" s="22">
      <c r="A25" s="21" t="inlineStr">
        <is>
          <t>ENS-023</t>
        </is>
      </c>
      <c r="B25" s="21" t="inlineStr"/>
      <c r="C25" s="21" t="inlineStr">
        <is>
          <t>Dr HAMID HASAL</t>
        </is>
      </c>
      <c r="D25" s="21" t="inlineStr"/>
      <c r="E25" s="21" t="inlineStr">
        <is>
          <t>Vacataire</t>
        </is>
      </c>
      <c r="F25" s="21" t="inlineStr">
        <is>
          <t>Affections cardiologiques</t>
        </is>
      </c>
      <c r="G25" s="21" t="inlineStr"/>
      <c r="H25" s="21" t="inlineStr"/>
      <c r="I25" s="21" t="inlineStr"/>
      <c r="J25" s="21" t="inlineStr"/>
      <c r="K25" s="21" t="inlineStr"/>
      <c r="L25" s="21" t="inlineStr"/>
    </row>
    <row r="26" ht="15" customHeight="1" s="22">
      <c r="A26" s="21" t="inlineStr">
        <is>
          <t>ENS-024</t>
        </is>
      </c>
      <c r="B26" s="21" t="inlineStr"/>
      <c r="C26" s="21" t="inlineStr">
        <is>
          <t>Dr Idjabou</t>
        </is>
      </c>
      <c r="D26" s="21" t="inlineStr"/>
      <c r="E26" s="21" t="inlineStr">
        <is>
          <t>Vacataire</t>
        </is>
      </c>
      <c r="F26" s="21" t="inlineStr">
        <is>
          <t>Kinérespiratoire de l'enfant; Pharmacologie générale; Pharmacologie et thérapeutique inféctieuse et respiratoires</t>
        </is>
      </c>
      <c r="G26" s="21" t="inlineStr"/>
      <c r="H26" s="21" t="inlineStr"/>
      <c r="I26" s="21" t="inlineStr"/>
      <c r="J26" s="21" t="inlineStr"/>
      <c r="K26" s="21" t="inlineStr"/>
      <c r="L26" s="21" t="inlineStr"/>
    </row>
    <row r="27" ht="15" customHeight="1" s="22">
      <c r="A27" s="21" t="inlineStr">
        <is>
          <t>ENS-025</t>
        </is>
      </c>
      <c r="B27" s="21" t="inlineStr"/>
      <c r="C27" s="21" t="inlineStr">
        <is>
          <t>Dr Mbaé Toyibou</t>
        </is>
      </c>
      <c r="D27" s="21" t="inlineStr"/>
      <c r="E27" s="21" t="inlineStr">
        <is>
          <t>Vacataire</t>
        </is>
      </c>
      <c r="F27" s="21" t="inlineStr">
        <is>
          <t>Anatomie de l'œil (en semestre 1); Anatomie de l'Appareil urinaire; Anatomie système génitale; Anatomie Appareil locomoteur</t>
        </is>
      </c>
      <c r="G27" s="21" t="inlineStr"/>
      <c r="H27" s="21" t="inlineStr"/>
      <c r="I27" s="21" t="inlineStr"/>
      <c r="J27" s="21" t="inlineStr"/>
      <c r="K27" s="21" t="inlineStr"/>
      <c r="L27" s="21" t="inlineStr"/>
    </row>
    <row r="28" ht="15" customHeight="1" s="22">
      <c r="A28" s="21" t="inlineStr">
        <is>
          <t>ENS-026</t>
        </is>
      </c>
      <c r="B28" s="21" t="inlineStr"/>
      <c r="C28" s="21" t="inlineStr">
        <is>
          <t>Dr Mohamed Abdallah</t>
        </is>
      </c>
      <c r="D28" s="21" t="inlineStr"/>
      <c r="E28" s="21" t="inlineStr">
        <is>
          <t>Vacataire</t>
        </is>
      </c>
      <c r="F28" s="21" t="inlineStr">
        <is>
          <t>Pathologies orthopédiques et traumatologiqes</t>
        </is>
      </c>
      <c r="G28" s="21" t="inlineStr"/>
      <c r="H28" s="21" t="inlineStr"/>
      <c r="I28" s="21" t="inlineStr"/>
      <c r="J28" s="21" t="inlineStr"/>
      <c r="K28" s="21" t="inlineStr"/>
      <c r="L28" s="21" t="inlineStr"/>
    </row>
    <row r="29" ht="15" customHeight="1" s="22">
      <c r="A29" s="21" t="inlineStr">
        <is>
          <t>ENS-027</t>
        </is>
      </c>
      <c r="B29" s="21" t="inlineStr"/>
      <c r="C29" s="21" t="inlineStr">
        <is>
          <t>Dr Mohamed Chanfi</t>
        </is>
      </c>
      <c r="D29" s="21" t="inlineStr"/>
      <c r="E29" s="21" t="inlineStr">
        <is>
          <t>Vacataire</t>
        </is>
      </c>
      <c r="F29" s="21" t="inlineStr">
        <is>
          <t>Pathologies ophtalmologiques</t>
        </is>
      </c>
      <c r="G29" s="21" t="inlineStr"/>
      <c r="H29" s="21" t="inlineStr"/>
      <c r="I29" s="21" t="inlineStr"/>
      <c r="J29" s="21" t="inlineStr"/>
      <c r="K29" s="21" t="inlineStr"/>
      <c r="L29" s="21" t="inlineStr"/>
    </row>
    <row r="30" ht="15" customHeight="1" s="22">
      <c r="A30" s="21" t="inlineStr">
        <is>
          <t>ENS-028</t>
        </is>
      </c>
      <c r="B30" s="21" t="inlineStr"/>
      <c r="C30" s="21" t="inlineStr">
        <is>
          <t>Dr Mohamed Moundhirou</t>
        </is>
      </c>
      <c r="D30" s="21" t="inlineStr"/>
      <c r="E30" s="21" t="inlineStr">
        <is>
          <t>Vacataire</t>
        </is>
      </c>
      <c r="F30" s="21" t="inlineStr">
        <is>
          <t>Liquides et électrolytes; Pharmacologie et thérapeutiques en psychiatrie; Pharmacologie et thérapeutique en uronéphrologie; Affections nephrologiques et dialyse</t>
        </is>
      </c>
      <c r="G30" s="21" t="inlineStr"/>
      <c r="H30" s="21" t="inlineStr"/>
      <c r="I30" s="21" t="inlineStr"/>
      <c r="J30" s="21" t="inlineStr"/>
      <c r="K30" s="21" t="inlineStr"/>
      <c r="L30" s="21" t="inlineStr"/>
    </row>
    <row r="31" ht="15" customHeight="1" s="22">
      <c r="A31" s="21" t="inlineStr">
        <is>
          <t>ENS-029</t>
        </is>
      </c>
      <c r="B31" s="21" t="inlineStr"/>
      <c r="C31" s="21" t="inlineStr">
        <is>
          <t>Dr MOHAMED RIDHOINE</t>
        </is>
      </c>
      <c r="D31" s="21" t="inlineStr"/>
      <c r="E31" s="21" t="inlineStr">
        <is>
          <t>Vacataire</t>
        </is>
      </c>
      <c r="F31" s="21" t="inlineStr">
        <is>
          <t>Addictologie (Drogue, Alcoolisme et tabagisme); Approche Sundromique</t>
        </is>
      </c>
      <c r="G31" s="21" t="inlineStr"/>
      <c r="H31" s="21" t="inlineStr"/>
      <c r="I31" s="21" t="inlineStr"/>
      <c r="J31" s="21" t="inlineStr"/>
      <c r="K31" s="21" t="inlineStr"/>
      <c r="L31" s="21" t="inlineStr"/>
    </row>
    <row r="32" ht="15" customHeight="1" s="22">
      <c r="A32" s="21" t="inlineStr">
        <is>
          <t>ENS-030</t>
        </is>
      </c>
      <c r="B32" s="21" t="inlineStr"/>
      <c r="C32" s="21" t="inlineStr">
        <is>
          <t>Dr Mohamed Soihiri</t>
        </is>
      </c>
      <c r="D32" s="21" t="inlineStr"/>
      <c r="E32" s="21" t="inlineStr">
        <is>
          <t>Vacataire</t>
        </is>
      </c>
      <c r="F32" s="21" t="inlineStr">
        <is>
          <t>Pharmacologie et thérapeutiques spécifiques à la pathologie; Prise en charge diététique des carences et de la surnutrition; Aspects cliniques et pratiques de la nutrition et de la diététique; Pharmacologie et thérapeutiques des urgences et réanimation</t>
        </is>
      </c>
      <c r="G32" s="21" t="inlineStr"/>
      <c r="H32" s="21" t="inlineStr"/>
      <c r="I32" s="21" t="inlineStr"/>
      <c r="J32" s="21" t="inlineStr"/>
      <c r="K32" s="21" t="inlineStr"/>
      <c r="L32" s="21" t="inlineStr"/>
    </row>
    <row r="33" ht="15" customHeight="1" s="22">
      <c r="A33" s="21" t="inlineStr">
        <is>
          <t>ENS-031</t>
        </is>
      </c>
      <c r="B33" s="21" t="inlineStr"/>
      <c r="C33" s="21" t="inlineStr">
        <is>
          <t>Dr Rahia Mmadi Ibrahim</t>
        </is>
      </c>
      <c r="D33" s="21" t="inlineStr"/>
      <c r="E33" s="21" t="inlineStr">
        <is>
          <t>Vacataire</t>
        </is>
      </c>
      <c r="F33" s="21" t="inlineStr">
        <is>
          <t>Obstétrique normal</t>
        </is>
      </c>
      <c r="G33" s="21" t="inlineStr"/>
      <c r="H33" s="21" t="inlineStr"/>
      <c r="I33" s="21" t="inlineStr"/>
      <c r="J33" s="21" t="inlineStr"/>
      <c r="K33" s="21" t="inlineStr"/>
      <c r="L33" s="21" t="inlineStr"/>
    </row>
    <row r="34" ht="15" customHeight="1" s="22">
      <c r="A34" s="21" t="inlineStr">
        <is>
          <t>ENS-032</t>
        </is>
      </c>
      <c r="B34" s="21" t="inlineStr"/>
      <c r="C34" s="21" t="inlineStr">
        <is>
          <t>Dr Said Hassane</t>
        </is>
      </c>
      <c r="D34" s="21" t="inlineStr"/>
      <c r="E34" s="21" t="inlineStr">
        <is>
          <t>Vacataire</t>
        </is>
      </c>
      <c r="F34" s="21" t="inlineStr">
        <is>
          <t>Pathologies orthopédiques et traumatologiqes; Pédiatrie/ Pédopsychiatrie</t>
        </is>
      </c>
      <c r="G34" s="21" t="inlineStr"/>
      <c r="H34" s="21" t="inlineStr"/>
      <c r="I34" s="21" t="inlineStr"/>
      <c r="J34" s="21" t="inlineStr"/>
      <c r="K34" s="21" t="inlineStr"/>
      <c r="L34" s="21" t="inlineStr"/>
    </row>
    <row r="35" ht="15" customHeight="1" s="22">
      <c r="A35" s="21" t="inlineStr">
        <is>
          <t>ENS-033</t>
        </is>
      </c>
      <c r="B35" s="21" t="inlineStr"/>
      <c r="C35" s="21" t="inlineStr">
        <is>
          <t>Dr Soumayat</t>
        </is>
      </c>
      <c r="D35" s="21" t="inlineStr"/>
      <c r="E35" s="21" t="inlineStr">
        <is>
          <t>Vacataire</t>
        </is>
      </c>
      <c r="F35" s="21" t="inlineStr">
        <is>
          <t>SONUB</t>
        </is>
      </c>
      <c r="G35" s="21" t="inlineStr"/>
      <c r="H35" s="21" t="inlineStr"/>
      <c r="I35" s="21" t="inlineStr"/>
      <c r="J35" s="21" t="inlineStr"/>
      <c r="K35" s="21" t="inlineStr"/>
      <c r="L35" s="21" t="inlineStr"/>
    </row>
    <row r="36" ht="15" customHeight="1" s="22">
      <c r="A36" s="21" t="inlineStr">
        <is>
          <t>ENS-034</t>
        </is>
      </c>
      <c r="B36" s="21" t="inlineStr"/>
      <c r="C36" s="21" t="inlineStr">
        <is>
          <t>Dr Soummayat</t>
        </is>
      </c>
      <c r="D36" s="21" t="inlineStr"/>
      <c r="E36" s="21" t="inlineStr">
        <is>
          <t>Vacataire</t>
        </is>
      </c>
      <c r="F36" s="21" t="inlineStr">
        <is>
          <t>Pharmacologie et thérapeutique en cardiologie; Pharmacologie et thérapeutique en neurologie; Dépistage des cancers du col de l’utérus (IVL/IVA) ET DU SEIN</t>
        </is>
      </c>
      <c r="G36" s="21" t="inlineStr"/>
      <c r="H36" s="21" t="inlineStr"/>
      <c r="I36" s="21" t="inlineStr"/>
      <c r="J36" s="21" t="inlineStr"/>
      <c r="K36" s="21" t="inlineStr"/>
      <c r="L36" s="21" t="inlineStr"/>
    </row>
    <row r="37" ht="15" customHeight="1" s="22">
      <c r="A37" s="21" t="inlineStr">
        <is>
          <t>ENS-035</t>
        </is>
      </c>
      <c r="B37" s="21" t="inlineStr"/>
      <c r="C37" s="21" t="inlineStr">
        <is>
          <t>Dr Yacine Mohamed</t>
        </is>
      </c>
      <c r="D37" s="21" t="inlineStr"/>
      <c r="E37" s="21" t="inlineStr">
        <is>
          <t>Vacataire</t>
        </is>
      </c>
      <c r="F37" s="21" t="inlineStr">
        <is>
          <t>Réanimation néonatale</t>
        </is>
      </c>
      <c r="G37" s="21" t="inlineStr"/>
      <c r="H37" s="21" t="inlineStr"/>
      <c r="I37" s="21" t="inlineStr"/>
      <c r="J37" s="21" t="inlineStr"/>
      <c r="K37" s="21" t="inlineStr"/>
      <c r="L37" s="21" t="inlineStr"/>
    </row>
    <row r="38" ht="15" customHeight="1" s="22">
      <c r="A38" s="21" t="inlineStr">
        <is>
          <t>ENS-036</t>
        </is>
      </c>
      <c r="B38" s="21" t="inlineStr"/>
      <c r="C38" s="21" t="inlineStr">
        <is>
          <t>Dr Youssouf Mahamoudou</t>
        </is>
      </c>
      <c r="D38" s="21" t="inlineStr"/>
      <c r="E38" s="21" t="inlineStr">
        <is>
          <t>Vacataire</t>
        </is>
      </c>
      <c r="F38" s="21" t="inlineStr">
        <is>
          <t>Pharmacologie et thérapeutiques spécifiques à la pathologie; Pharmacologie et thérapeutiques des pathologies spéciales; Pathologies ORL</t>
        </is>
      </c>
      <c r="G38" s="21" t="inlineStr"/>
      <c r="H38" s="21" t="inlineStr"/>
      <c r="I38" s="21" t="inlineStr"/>
      <c r="J38" s="21" t="inlineStr"/>
      <c r="K38" s="21" t="inlineStr"/>
      <c r="L38" s="21" t="inlineStr"/>
    </row>
    <row r="39" ht="15" customHeight="1" s="22">
      <c r="A39" s="21" t="inlineStr">
        <is>
          <t>ENS-037</t>
        </is>
      </c>
      <c r="B39" s="21" t="inlineStr"/>
      <c r="C39" s="21" t="inlineStr">
        <is>
          <t>Dr Zoubeir</t>
        </is>
      </c>
      <c r="D39" s="21" t="inlineStr"/>
      <c r="E39" s="21" t="inlineStr">
        <is>
          <t>Vacataire</t>
        </is>
      </c>
      <c r="F39" s="21" t="inlineStr">
        <is>
          <t>Kinérespiratoire de l'enfant</t>
        </is>
      </c>
      <c r="G39" s="21" t="inlineStr"/>
      <c r="H39" s="21" t="inlineStr"/>
      <c r="I39" s="21" t="inlineStr"/>
      <c r="J39" s="21" t="inlineStr"/>
      <c r="K39" s="21" t="inlineStr"/>
      <c r="L39" s="21" t="inlineStr"/>
    </row>
    <row r="40" ht="15" customHeight="1" s="22">
      <c r="A40" s="21" t="inlineStr">
        <is>
          <t>ENS-038</t>
        </is>
      </c>
      <c r="B40" s="21" t="inlineStr"/>
      <c r="C40" s="21" t="inlineStr">
        <is>
          <t>Dr Zoubert Boinaidi</t>
        </is>
      </c>
      <c r="D40" s="21" t="inlineStr"/>
      <c r="E40" s="21" t="inlineStr">
        <is>
          <t>Vacataire</t>
        </is>
      </c>
      <c r="F40" s="21" t="inlineStr">
        <is>
          <t>Pédiatrie/ Pédopsychiatrie</t>
        </is>
      </c>
      <c r="G40" s="21" t="inlineStr"/>
      <c r="H40" s="21" t="inlineStr"/>
      <c r="I40" s="21" t="inlineStr"/>
      <c r="J40" s="21" t="inlineStr"/>
      <c r="K40" s="21" t="inlineStr"/>
      <c r="L40" s="21" t="inlineStr"/>
    </row>
    <row r="41" ht="15" customHeight="1" s="22">
      <c r="A41" s="21" t="inlineStr">
        <is>
          <t>ENS-039</t>
        </is>
      </c>
      <c r="B41" s="21" t="inlineStr"/>
      <c r="C41" s="21" t="inlineStr">
        <is>
          <t>Elykarim</t>
        </is>
      </c>
      <c r="D41" s="21" t="inlineStr"/>
      <c r="E41" s="21" t="inlineStr">
        <is>
          <t>Vacataire</t>
        </is>
      </c>
      <c r="F41" s="21" t="inlineStr">
        <is>
          <t>S.I en cardiologie; Maladies Non Transmissbles</t>
        </is>
      </c>
      <c r="G41" s="21" t="inlineStr"/>
      <c r="H41" s="21" t="inlineStr"/>
      <c r="I41" s="21" t="inlineStr"/>
      <c r="J41" s="21" t="inlineStr"/>
      <c r="K41" s="21" t="inlineStr"/>
      <c r="L41" s="21" t="inlineStr"/>
    </row>
    <row r="42" ht="15" customHeight="1" s="22">
      <c r="A42" s="21" t="inlineStr">
        <is>
          <t>ENS-040</t>
        </is>
      </c>
      <c r="B42" s="21" t="inlineStr"/>
      <c r="C42" s="21" t="inlineStr">
        <is>
          <t>Fatima Ahamada</t>
        </is>
      </c>
      <c r="D42" s="21" t="inlineStr"/>
      <c r="E42" s="21" t="inlineStr">
        <is>
          <t>Vacataire</t>
        </is>
      </c>
      <c r="F42" s="21" t="inlineStr">
        <is>
          <t>S.I Affections Digestives</t>
        </is>
      </c>
      <c r="G42" s="21" t="inlineStr"/>
      <c r="H42" s="21" t="inlineStr"/>
      <c r="I42" s="21" t="inlineStr"/>
      <c r="J42" s="21" t="inlineStr"/>
      <c r="K42" s="21" t="inlineStr"/>
      <c r="L42" s="21" t="inlineStr"/>
    </row>
    <row r="43" ht="15" customHeight="1" s="22">
      <c r="A43" s="21" t="inlineStr">
        <is>
          <t>ENS-041</t>
        </is>
      </c>
      <c r="B43" s="21" t="inlineStr"/>
      <c r="C43" s="21" t="inlineStr">
        <is>
          <t>HACHIMIA AYOUBA? Myriam Abdallah</t>
        </is>
      </c>
      <c r="D43" s="21" t="inlineStr"/>
      <c r="E43" s="21" t="inlineStr">
        <is>
          <t>Vacataire</t>
        </is>
      </c>
      <c r="F43" s="21" t="inlineStr">
        <is>
          <t>Ventouse et Soins obstétricaux</t>
        </is>
      </c>
      <c r="G43" s="21" t="inlineStr"/>
      <c r="H43" s="21" t="inlineStr"/>
      <c r="I43" s="21" t="inlineStr"/>
      <c r="J43" s="21" t="inlineStr"/>
      <c r="K43" s="21" t="inlineStr"/>
      <c r="L43" s="21" t="inlineStr"/>
    </row>
    <row r="44" ht="15" customHeight="1" s="22">
      <c r="A44" s="21" t="inlineStr">
        <is>
          <t>ENS-042</t>
        </is>
      </c>
      <c r="B44" s="21" t="inlineStr"/>
      <c r="C44" s="21" t="inlineStr">
        <is>
          <t>INAAM???</t>
        </is>
      </c>
      <c r="D44" s="21" t="inlineStr"/>
      <c r="E44" s="21" t="inlineStr">
        <is>
          <t>Vacataire</t>
        </is>
      </c>
      <c r="F44" s="21" t="inlineStr">
        <is>
          <t>Alimentation et nutrition</t>
        </is>
      </c>
      <c r="G44" s="21" t="inlineStr"/>
      <c r="H44" s="21" t="inlineStr"/>
      <c r="I44" s="21" t="inlineStr"/>
      <c r="J44" s="21" t="inlineStr"/>
      <c r="K44" s="21" t="inlineStr"/>
      <c r="L44" s="21" t="inlineStr"/>
    </row>
    <row r="45" ht="15" customHeight="1" s="22">
      <c r="A45" s="21" t="inlineStr">
        <is>
          <t>ENS-043</t>
        </is>
      </c>
      <c r="B45" s="21" t="inlineStr"/>
      <c r="C45" s="21" t="inlineStr">
        <is>
          <t>Mme Hachimia Ayouba</t>
        </is>
      </c>
      <c r="D45" s="21" t="inlineStr"/>
      <c r="E45" s="21" t="inlineStr">
        <is>
          <t>Vacataire</t>
        </is>
      </c>
      <c r="F45" s="21" t="inlineStr">
        <is>
          <t>Imagérie médicale; Principes d’accueil, d’orientation et de prise en charge respectueuse et bienveillante de la femme</t>
        </is>
      </c>
      <c r="G45" s="21" t="inlineStr"/>
      <c r="H45" s="21" t="inlineStr"/>
      <c r="I45" s="21" t="inlineStr"/>
      <c r="J45" s="21" t="inlineStr"/>
      <c r="K45" s="21" t="inlineStr"/>
      <c r="L45" s="21" t="inlineStr"/>
    </row>
    <row r="46" ht="15" customHeight="1" s="22">
      <c r="A46" s="21" t="inlineStr">
        <is>
          <t>ENS-044</t>
        </is>
      </c>
      <c r="B46" s="21" t="inlineStr"/>
      <c r="C46" s="21" t="inlineStr">
        <is>
          <t>Mme MADANIA ALI RIDHOI</t>
        </is>
      </c>
      <c r="D46" s="21" t="inlineStr"/>
      <c r="E46" s="21" t="inlineStr">
        <is>
          <t>Vacataire</t>
        </is>
      </c>
      <c r="F46" s="21" t="inlineStr">
        <is>
          <t>Urgences Médicales et réanimation; S.I Troubless psychiatriques</t>
        </is>
      </c>
      <c r="G46" s="21" t="inlineStr"/>
      <c r="H46" s="21" t="inlineStr"/>
      <c r="I46" s="21" t="inlineStr"/>
      <c r="J46" s="21" t="inlineStr"/>
      <c r="K46" s="21" t="inlineStr"/>
      <c r="L46" s="21" t="inlineStr"/>
    </row>
    <row r="47" ht="15" customHeight="1" s="22">
      <c r="A47" s="21" t="inlineStr">
        <is>
          <t>ENS-045</t>
        </is>
      </c>
      <c r="B47" s="21" t="inlineStr"/>
      <c r="C47" s="21" t="inlineStr">
        <is>
          <t>Mme MYRIAM ABDALLAH</t>
        </is>
      </c>
      <c r="D47" s="21" t="inlineStr"/>
      <c r="E47" s="21" t="inlineStr">
        <is>
          <t>Vacataire</t>
        </is>
      </c>
      <c r="F47" s="21" t="inlineStr">
        <is>
          <t>Accouchement eutocique; Consultation prénatale; Soins obstétricaux et néonataux d’urgence complet (SONUC); Soins infantiles; Soins néonataux; Allaitement maternel; Rééducation périnéale et abdominale (postnatal)</t>
        </is>
      </c>
      <c r="G47" s="21" t="inlineStr"/>
      <c r="H47" s="21" t="inlineStr"/>
      <c r="I47" s="21" t="inlineStr"/>
      <c r="J47" s="21" t="inlineStr"/>
      <c r="K47" s="21" t="inlineStr"/>
      <c r="L47" s="21" t="inlineStr"/>
    </row>
    <row r="48" ht="15" customHeight="1" s="22">
      <c r="A48" s="21" t="inlineStr">
        <is>
          <t>ENS-046</t>
        </is>
      </c>
      <c r="B48" s="21" t="inlineStr"/>
      <c r="C48" s="21" t="inlineStr">
        <is>
          <t>Mme Zaharia Said Allaoui</t>
        </is>
      </c>
      <c r="D48" s="21" t="inlineStr"/>
      <c r="E48" s="21" t="inlineStr">
        <is>
          <t>Vacataire</t>
        </is>
      </c>
      <c r="F48" s="21" t="inlineStr">
        <is>
          <t>Participation communautaire; Technique de soins de base en médecine; S.I ophtalomologie; S.I ophtalomologie (Vois surveillante CHN)</t>
        </is>
      </c>
      <c r="G48" s="21" t="inlineStr"/>
      <c r="H48" s="21" t="inlineStr"/>
      <c r="I48" s="21" t="inlineStr"/>
      <c r="J48" s="21" t="inlineStr"/>
      <c r="K48" s="21" t="inlineStr"/>
      <c r="L48" s="21" t="inlineStr"/>
    </row>
    <row r="49" ht="15" customHeight="1" s="22">
      <c r="A49" s="21" t="inlineStr">
        <is>
          <t>ENS-047</t>
        </is>
      </c>
      <c r="B49" s="21" t="inlineStr"/>
      <c r="C49" s="21" t="inlineStr">
        <is>
          <t>Mme Zainaba Mohamed</t>
        </is>
      </c>
      <c r="D49" s="21" t="inlineStr"/>
      <c r="E49" s="21" t="inlineStr">
        <is>
          <t>Vacataire</t>
        </is>
      </c>
      <c r="F49" s="21" t="inlineStr">
        <is>
          <t>Soins obstétricaux d’urgence de base (SONUB); Besoins fondamentaux du patient; Démarche de soin et projet de soins; Soins obstrétricaux de base; Soins Urologies; S.I en Nephrologie; Les métiers d’infirmier et de sage-femme</t>
        </is>
      </c>
      <c r="G49" s="21" t="inlineStr"/>
      <c r="H49" s="21" t="inlineStr"/>
      <c r="I49" s="21" t="inlineStr"/>
      <c r="J49" s="21" t="inlineStr"/>
      <c r="K49" s="21" t="inlineStr"/>
      <c r="L49" s="21" t="inlineStr"/>
    </row>
    <row r="50" ht="15" customHeight="1" s="22">
      <c r="A50" s="21" t="inlineStr">
        <is>
          <t>ENS-048</t>
        </is>
      </c>
      <c r="B50" s="21" t="inlineStr"/>
      <c r="C50" s="21" t="inlineStr">
        <is>
          <t>MOHAMED SOILIHI DJAE</t>
        </is>
      </c>
      <c r="D50" s="21" t="inlineStr"/>
      <c r="E50" s="21" t="inlineStr">
        <is>
          <t>Vacataire</t>
        </is>
      </c>
      <c r="F50" s="21" t="inlineStr">
        <is>
          <t>Législation et réglementation de la profession, et protection du public</t>
        </is>
      </c>
      <c r="G50" s="21" t="inlineStr"/>
      <c r="H50" s="21" t="inlineStr"/>
      <c r="I50" s="21" t="inlineStr"/>
      <c r="J50" s="21" t="inlineStr"/>
      <c r="K50" s="21" t="inlineStr"/>
      <c r="L50" s="21" t="inlineStr"/>
    </row>
    <row r="51" ht="15" customHeight="1" s="22">
      <c r="A51" s="21" t="inlineStr">
        <is>
          <t>ENS-049</t>
        </is>
      </c>
      <c r="B51" s="21" t="inlineStr"/>
      <c r="C51" s="21" t="inlineStr">
        <is>
          <t>Mr ABDEREMANE MOHAMED</t>
        </is>
      </c>
      <c r="D51" s="21" t="inlineStr"/>
      <c r="E51" s="21" t="inlineStr">
        <is>
          <t>Vacataire</t>
        </is>
      </c>
      <c r="F51" s="21" t="inlineStr">
        <is>
          <t>Addictologie (Drogue, Alcoolisme et tabagisme)</t>
        </is>
      </c>
      <c r="G51" s="21" t="inlineStr"/>
      <c r="H51" s="21" t="inlineStr"/>
      <c r="I51" s="21" t="inlineStr"/>
      <c r="J51" s="21" t="inlineStr"/>
      <c r="K51" s="21" t="inlineStr"/>
      <c r="L51" s="21" t="inlineStr"/>
    </row>
    <row r="52" ht="15" customHeight="1" s="22">
      <c r="A52" s="21" t="inlineStr">
        <is>
          <t>ENS-050</t>
        </is>
      </c>
      <c r="B52" s="21" t="inlineStr"/>
      <c r="C52" s="21" t="inlineStr">
        <is>
          <t>Mr AMELDINE DACHIROUDINE</t>
        </is>
      </c>
      <c r="D52" s="21" t="inlineStr"/>
      <c r="E52" s="21" t="inlineStr">
        <is>
          <t>Vacataire</t>
        </is>
      </c>
      <c r="F52" s="21" t="inlineStr">
        <is>
          <t>S.I Affections Digestives; Évaluation et prise en charge de certains signes et symptômes; soins infirmiers en orthopédie et truamatologie; Expression française (Voir SG); Anglais médical; Organisations et associations professionnelles; Accouchement à risque; Consultation prénatale recentrée (selon la pathologie); Approche basée sur le genre; violence gynéco-obstétrical; Suivi et accompagnement pédagogique; Soins chirurgicaux de bases</t>
        </is>
      </c>
      <c r="G52" s="21" t="inlineStr"/>
      <c r="H52" s="21" t="inlineStr"/>
      <c r="I52" s="21" t="inlineStr"/>
      <c r="J52" s="21" t="inlineStr"/>
      <c r="K52" s="21" t="inlineStr"/>
      <c r="L52" s="21" t="inlineStr"/>
    </row>
    <row r="53" ht="15" customHeight="1" s="22">
      <c r="A53" s="21" t="inlineStr">
        <is>
          <t>ENS-051</t>
        </is>
      </c>
      <c r="B53" s="21" t="inlineStr"/>
      <c r="C53" s="21" t="inlineStr">
        <is>
          <t>SAID MOHAMED</t>
        </is>
      </c>
      <c r="D53" s="21" t="inlineStr"/>
      <c r="E53" s="21" t="inlineStr">
        <is>
          <t>Vacataire</t>
        </is>
      </c>
      <c r="F53" s="21" t="inlineStr">
        <is>
          <t>Examen de santé (Clinique, physique, ATCD, Spéciaux); Soins en cancerologie; S. I en endocrinologie; Biologie de la reproduction humaine(PMA) Suite; S.I en cardiologie</t>
        </is>
      </c>
      <c r="G53" s="21" t="inlineStr"/>
      <c r="H53" s="21" t="inlineStr"/>
      <c r="I53" s="21" t="inlineStr"/>
      <c r="J53" s="21" t="inlineStr"/>
      <c r="K53" s="21" t="inlineStr"/>
      <c r="L53" s="21" t="inlineStr"/>
    </row>
    <row r="54" ht="15" customHeight="1" s="22">
      <c r="A54" s="21" t="inlineStr">
        <is>
          <t>ENS-052</t>
        </is>
      </c>
      <c r="B54" s="21" t="inlineStr"/>
      <c r="C54" s="21" t="inlineStr">
        <is>
          <t>Soudjay Asnounat</t>
        </is>
      </c>
      <c r="D54" s="21" t="inlineStr"/>
      <c r="E54" s="21" t="inlineStr">
        <is>
          <t>Vacataire</t>
        </is>
      </c>
      <c r="F54" s="21" t="inlineStr">
        <is>
          <t>Protocoles de prise en charge de la grossesse normale (calendrier et objectifs, prestations biologiques, cliniques et radiologiques); Préparation à l’accouchement normal; Protocoles de prise en charge en post Partum immédiat et précoce; Physiologie des trois stades de l’accouchement</t>
        </is>
      </c>
      <c r="G54" s="21" t="inlineStr"/>
      <c r="H54" s="21" t="inlineStr"/>
      <c r="I54" s="21" t="inlineStr"/>
      <c r="J54" s="21" t="inlineStr"/>
      <c r="K54" s="21" t="inlineStr"/>
      <c r="L54" s="21" t="inlineStr"/>
    </row>
    <row r="55" ht="15" customHeight="1" s="22"/>
    <row r="56" ht="15" customHeight="1" s="22"/>
    <row r="57" ht="15" customHeight="1" s="22"/>
    <row r="58" ht="15" customHeight="1" s="22"/>
    <row r="59" ht="15" customHeight="1" s="22"/>
    <row r="60" ht="15" customHeight="1" s="22"/>
    <row r="61" ht="15" customHeight="1" s="22"/>
    <row r="62" ht="15" customHeight="1" s="22"/>
    <row r="63" ht="15" customHeight="1" s="22"/>
    <row r="64" ht="15" customHeight="1" s="22"/>
    <row r="65" ht="15" customHeight="1" s="22"/>
    <row r="66" ht="15" customHeight="1" s="22"/>
    <row r="67" ht="15" customHeight="1" s="22"/>
    <row r="68" ht="15" customHeight="1" s="22"/>
    <row r="69" ht="15" customHeight="1" s="22"/>
    <row r="70" ht="15" customHeight="1" s="22"/>
    <row r="71" ht="15" customHeight="1" s="22"/>
    <row r="72" ht="15" customHeight="1" s="22"/>
    <row r="73" ht="15" customHeight="1" s="22"/>
    <row r="74" ht="15" customHeight="1" s="22"/>
    <row r="75" ht="15" customHeight="1" s="22"/>
    <row r="76" ht="15" customHeight="1" s="22"/>
    <row r="77" ht="15" customHeight="1" s="22"/>
    <row r="78" ht="15" customHeight="1" s="22"/>
    <row r="79" ht="15" customHeight="1" s="22"/>
    <row r="80" ht="15" customHeight="1" s="22"/>
    <row r="81" ht="15" customHeight="1" s="22"/>
    <row r="82" ht="15" customHeight="1" s="22"/>
    <row r="83" ht="15" customHeight="1" s="22"/>
    <row r="84" ht="15" customHeight="1" s="22"/>
    <row r="85" ht="15" customHeight="1" s="22"/>
    <row r="86" ht="15" customHeight="1" s="22"/>
    <row r="87" ht="15" customHeight="1" s="22"/>
    <row r="88" ht="15" customHeight="1" s="22"/>
    <row r="89" ht="15" customHeight="1" s="22"/>
    <row r="90" ht="15" customHeight="1" s="22"/>
    <row r="91" ht="15" customHeight="1" s="22"/>
    <row r="92" ht="15" customHeight="1" s="22"/>
    <row r="93" ht="15" customHeight="1" s="22"/>
    <row r="94" ht="15" customHeight="1" s="22"/>
    <row r="95" ht="15" customHeight="1" s="22"/>
    <row r="96" ht="15" customHeight="1" s="22"/>
    <row r="97" ht="15" customHeight="1" s="22"/>
    <row r="98" ht="15" customHeight="1" s="22"/>
    <row r="99" ht="15" customHeight="1" s="22"/>
    <row r="100" ht="15" customHeight="1" s="22"/>
    <row r="101" ht="15" customHeight="1" s="22"/>
    <row r="102" ht="15" customHeight="1" s="22"/>
    <row r="103" ht="15" customHeight="1" s="22"/>
    <row r="104" ht="15" customHeight="1" s="22"/>
    <row r="105" ht="15" customHeight="1" s="22"/>
    <row r="106" ht="15" customHeight="1" s="22"/>
    <row r="107" ht="15" customHeight="1" s="22"/>
    <row r="108" ht="15" customHeight="1" s="22"/>
    <row r="109" ht="15" customHeight="1" s="22"/>
    <row r="110" ht="15" customHeight="1" s="22"/>
    <row r="111" ht="15" customHeight="1" s="22"/>
    <row r="112" ht="15" customHeight="1" s="22"/>
    <row r="113" ht="15" customHeight="1" s="22"/>
    <row r="114" ht="15" customHeight="1" s="22"/>
    <row r="115" ht="15" customHeight="1" s="22"/>
    <row r="116" ht="15" customHeight="1" s="22"/>
    <row r="117" ht="15" customHeight="1" s="22"/>
    <row r="118" ht="15" customHeight="1" s="22"/>
    <row r="119" ht="15" customHeight="1" s="22"/>
    <row r="120" ht="15" customHeight="1" s="22"/>
    <row r="121" ht="15" customHeight="1" s="22"/>
    <row r="122" ht="15" customHeight="1" s="22"/>
    <row r="123" ht="15" customHeight="1" s="22"/>
    <row r="124" ht="15" customHeight="1" s="22"/>
    <row r="125" ht="15" customHeight="1" s="22"/>
    <row r="126" ht="15" customHeight="1" s="22"/>
    <row r="127" ht="15" customHeight="1" s="22"/>
    <row r="128" ht="15" customHeight="1" s="22"/>
    <row r="129" ht="15" customHeight="1" s="22"/>
    <row r="130" ht="15" customHeight="1" s="22"/>
    <row r="131" ht="15" customHeight="1" s="22"/>
    <row r="132" ht="15" customHeight="1" s="22"/>
    <row r="133" ht="15" customHeight="1" s="22"/>
    <row r="134" ht="15" customHeight="1" s="22"/>
    <row r="135" ht="15" customHeight="1" s="22"/>
    <row r="136" ht="15" customHeight="1" s="22"/>
    <row r="137" ht="15" customHeight="1" s="22"/>
    <row r="138" ht="15" customHeight="1" s="22"/>
    <row r="139" ht="15" customHeight="1" s="22"/>
    <row r="140" ht="15" customHeight="1" s="22"/>
    <row r="141" ht="15" customHeight="1" s="22"/>
    <row r="142" ht="15" customHeight="1" s="22"/>
    <row r="143" ht="15" customHeight="1" s="22"/>
    <row r="144" ht="15" customHeight="1" s="22"/>
    <row r="145" ht="15" customHeight="1" s="22"/>
    <row r="146" ht="15" customHeight="1" s="22"/>
    <row r="147" ht="15" customHeight="1" s="22"/>
    <row r="148" ht="15" customHeight="1" s="22"/>
    <row r="149" ht="15" customHeight="1" s="22"/>
    <row r="150" ht="15" customHeight="1" s="22"/>
    <row r="151" ht="15" customHeight="1" s="22"/>
    <row r="152" ht="15" customHeight="1" s="22"/>
    <row r="153" ht="15" customHeight="1" s="22"/>
    <row r="154" ht="15" customHeight="1" s="22"/>
    <row r="155" ht="15" customHeight="1" s="22"/>
    <row r="156" ht="15" customHeight="1" s="22"/>
    <row r="157" ht="15" customHeight="1" s="22"/>
    <row r="158" ht="15" customHeight="1" s="22"/>
    <row r="159" ht="15" customHeight="1" s="22"/>
    <row r="160" ht="15" customHeight="1" s="22"/>
    <row r="161" ht="15" customHeight="1" s="22"/>
    <row r="162" ht="15" customHeight="1" s="22"/>
    <row r="163" ht="15" customHeight="1" s="22"/>
    <row r="164" ht="15" customHeight="1" s="22"/>
    <row r="165" ht="15" customHeight="1" s="22"/>
    <row r="166" ht="15" customHeight="1" s="22"/>
    <row r="167" ht="15" customHeight="1" s="22"/>
    <row r="168" ht="15" customHeight="1" s="22"/>
    <row r="169" ht="15" customHeight="1" s="22"/>
    <row r="170" ht="15" customHeight="1" s="22"/>
    <row r="171" ht="15" customHeight="1" s="22"/>
    <row r="172" ht="15" customHeight="1" s="22"/>
    <row r="173" ht="15" customHeight="1" s="22"/>
    <row r="174" ht="15" customHeight="1" s="22"/>
    <row r="175" ht="15" customHeight="1" s="22"/>
    <row r="176" ht="15" customHeight="1" s="22"/>
    <row r="177" ht="15" customHeight="1" s="22"/>
    <row r="178" ht="15" customHeight="1" s="22"/>
    <row r="179" ht="15" customHeight="1" s="22"/>
    <row r="180" ht="15" customHeight="1" s="22"/>
    <row r="181" ht="15" customHeight="1" s="22"/>
    <row r="182" ht="15" customHeight="1" s="22"/>
    <row r="183" ht="15" customHeight="1" s="22"/>
    <row r="184" ht="15" customHeight="1" s="22"/>
    <row r="185" ht="15" customHeight="1" s="22"/>
    <row r="186" ht="15" customHeight="1" s="22"/>
    <row r="187" ht="15" customHeight="1" s="22"/>
    <row r="188" ht="15" customHeight="1" s="22"/>
    <row r="189" ht="15" customHeight="1" s="22"/>
    <row r="190" ht="15" customHeight="1" s="22"/>
    <row r="191" ht="15" customHeight="1" s="22"/>
    <row r="192" ht="15" customHeight="1" s="22"/>
    <row r="193" ht="15" customHeight="1" s="22"/>
    <row r="194" ht="15" customHeight="1" s="22"/>
    <row r="195" ht="15" customHeight="1" s="22"/>
    <row r="196" ht="15" customHeight="1" s="22"/>
    <row r="197" ht="15" customHeight="1" s="22"/>
    <row r="198" ht="15" customHeight="1" s="22"/>
    <row r="199" ht="15" customHeight="1" s="22"/>
    <row r="200" ht="15" customHeight="1" s="22"/>
    <row r="201" ht="15" customHeight="1" s="22"/>
    <row r="202" ht="15" customHeight="1" s="22"/>
    <row r="203" ht="15" customHeight="1" s="22"/>
    <row r="204" ht="15" customHeight="1" s="22"/>
    <row r="205" ht="15" customHeight="1" s="22"/>
    <row r="206" ht="15" customHeight="1" s="22"/>
    <row r="207" ht="15" customHeight="1" s="22"/>
    <row r="208" ht="15" customHeight="1" s="22"/>
    <row r="209" ht="15" customHeight="1" s="22"/>
    <row r="210" ht="15" customHeight="1" s="22"/>
    <row r="211" ht="15" customHeight="1" s="22"/>
    <row r="212" ht="15" customHeight="1" s="22"/>
    <row r="213" ht="15" customHeight="1" s="22"/>
    <row r="214" ht="15" customHeight="1" s="22"/>
    <row r="215" ht="15" customHeight="1" s="22"/>
    <row r="216" ht="15" customHeight="1" s="22"/>
    <row r="217" ht="15" customHeight="1" s="22"/>
    <row r="218" ht="15" customHeight="1" s="22"/>
    <row r="219" ht="15" customHeight="1" s="22"/>
    <row r="220" ht="15" customHeight="1" s="22"/>
    <row r="221" ht="15" customHeight="1" s="22"/>
    <row r="222" ht="15" customHeight="1" s="22"/>
    <row r="223" ht="15" customHeight="1" s="22"/>
    <row r="224" ht="15" customHeight="1" s="22"/>
    <row r="225" ht="15" customHeight="1" s="22"/>
    <row r="226" ht="15" customHeight="1" s="22"/>
    <row r="227" ht="15" customHeight="1" s="22"/>
    <row r="228" ht="15" customHeight="1" s="22"/>
    <row r="229" ht="15" customHeight="1" s="22"/>
    <row r="230" ht="15" customHeight="1" s="22"/>
    <row r="231" ht="15" customHeight="1" s="22"/>
    <row r="232" ht="15" customHeight="1" s="22"/>
    <row r="233" ht="15" customHeight="1" s="22"/>
    <row r="234" ht="15" customHeight="1" s="22"/>
    <row r="235" ht="15" customHeight="1" s="22"/>
    <row r="236" ht="15" customHeight="1" s="22"/>
    <row r="237" ht="15" customHeight="1" s="22"/>
    <row r="238" ht="15" customHeight="1" s="22"/>
    <row r="239" ht="15" customHeight="1" s="22"/>
    <row r="240" ht="15" customHeight="1" s="22"/>
    <row r="241" ht="15" customHeight="1" s="22"/>
    <row r="242" ht="15" customHeight="1" s="22"/>
    <row r="243" ht="15" customHeight="1" s="22"/>
    <row r="244" ht="15" customHeight="1" s="22"/>
    <row r="245" ht="15" customHeight="1" s="22"/>
    <row r="246" ht="15" customHeight="1" s="22"/>
    <row r="247" ht="15" customHeight="1" s="22"/>
    <row r="248" ht="15" customHeight="1" s="22"/>
    <row r="249" ht="15" customHeight="1" s="22"/>
    <row r="250" ht="15" customHeight="1" s="22"/>
    <row r="251" ht="15" customHeight="1" s="22"/>
    <row r="252" ht="15" customHeight="1" s="22"/>
    <row r="253" ht="15" customHeight="1" s="22"/>
    <row r="254" ht="15" customHeight="1" s="22"/>
    <row r="255" ht="15" customHeight="1" s="22"/>
    <row r="256" ht="15" customHeight="1" s="22"/>
    <row r="257" ht="15" customHeight="1" s="22"/>
    <row r="258" ht="15" customHeight="1" s="22"/>
    <row r="259" ht="15" customHeight="1" s="22"/>
    <row r="260" ht="15" customHeight="1" s="22"/>
    <row r="261" ht="15" customHeight="1" s="22"/>
    <row r="262" ht="15" customHeight="1" s="22"/>
    <row r="263" ht="15" customHeight="1" s="22"/>
    <row r="264" ht="15" customHeight="1" s="22"/>
    <row r="265" ht="15" customHeight="1" s="22"/>
    <row r="266" ht="15" customHeight="1" s="22"/>
    <row r="267" ht="15" customHeight="1" s="22"/>
    <row r="268" ht="15" customHeight="1" s="22"/>
    <row r="269" ht="15" customHeight="1" s="22"/>
    <row r="270" ht="15" customHeight="1" s="22"/>
    <row r="271" ht="15" customHeight="1" s="22"/>
    <row r="272" ht="15" customHeight="1" s="22"/>
    <row r="273" ht="15" customHeight="1" s="22"/>
    <row r="274" ht="15" customHeight="1" s="22"/>
    <row r="275" ht="15" customHeight="1" s="22"/>
    <row r="276" ht="15" customHeight="1" s="22"/>
    <row r="277" ht="15" customHeight="1" s="22"/>
    <row r="278" ht="15" customHeight="1" s="22"/>
    <row r="279" ht="15" customHeight="1" s="22"/>
    <row r="280" ht="15" customHeight="1" s="22"/>
    <row r="281" ht="15" customHeight="1" s="22"/>
    <row r="282" ht="15" customHeight="1" s="22"/>
    <row r="283" ht="15" customHeight="1" s="22"/>
    <row r="284" ht="15" customHeight="1" s="22"/>
    <row r="285" ht="15" customHeight="1" s="22"/>
    <row r="286" ht="15" customHeight="1" s="22"/>
    <row r="287" ht="15" customHeight="1" s="22"/>
    <row r="288" ht="15" customHeight="1" s="22"/>
    <row r="289" ht="15" customHeight="1" s="22"/>
    <row r="290" ht="15" customHeight="1" s="22"/>
    <row r="291" ht="15" customHeight="1" s="22"/>
    <row r="292" ht="15" customHeight="1" s="22"/>
    <row r="293" ht="15" customHeight="1" s="22"/>
    <row r="294" ht="15" customHeight="1" s="22"/>
    <row r="295" ht="15" customHeight="1" s="22"/>
    <row r="296" ht="15" customHeight="1" s="22"/>
    <row r="297" ht="15" customHeight="1" s="22"/>
    <row r="298" ht="15" customHeight="1" s="22"/>
    <row r="299" ht="15" customHeight="1" s="22"/>
    <row r="300" ht="15" customHeight="1" s="22"/>
  </sheetData>
  <autoFilter ref="A2:I300"/>
  <mergeCells count="1">
    <mergeCell ref="A1:I1"/>
  </mergeCells>
  <dataValidations count="1">
    <dataValidation sqref="E3:E300" showDropDown="0" showInputMessage="0" showErrorMessage="0" allowBlank="1" type="list" errorStyle="stop" operator="between">
      <formula1>"Titulaire,Vacataire"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0" customWidth="1" style="21" min="1" max="1"/>
    <col width="22" customWidth="1" style="21" min="2" max="2"/>
    <col width="26" customWidth="1" style="21" min="3" max="3"/>
    <col width="29" customWidth="1" style="21" min="4" max="4"/>
    <col width="28" customWidth="1" style="21" min="5" max="5"/>
  </cols>
  <sheetData>
    <row r="1" ht="30" customHeight="1" s="22">
      <c r="A1" s="23" t="inlineStr">
        <is>
          <t>RELEVE DES HEURES ENSEIGNANTS — POUR LA PAIE</t>
        </is>
      </c>
    </row>
    <row r="2" ht="31.5" customHeight="1" s="22">
      <c r="A2" s="28" t="inlineStr">
        <is>
          <t>Mois / Annee (*)</t>
        </is>
      </c>
      <c r="B2" s="28" t="inlineStr">
        <is>
          <t>Matricule ens. (*)</t>
        </is>
      </c>
      <c r="C2" s="28" t="inlineStr">
        <is>
          <t>Vol. horaire prog. (*)</t>
        </is>
      </c>
      <c r="D2" s="28" t="inlineStr">
        <is>
          <t>Vol. horaire constate (*)</t>
        </is>
      </c>
      <c r="E2" s="28" t="inlineStr">
        <is>
          <t>Total heures a payer (*)</t>
        </is>
      </c>
    </row>
    <row r="3" ht="15" customHeight="1" s="22">
      <c r="A3" s="29" t="n"/>
      <c r="B3" s="29" t="n"/>
      <c r="C3" s="29" t="n"/>
      <c r="D3" s="29" t="n"/>
      <c r="E3" s="29">
        <f>IF(D3="","",D3)</f>
        <v/>
      </c>
    </row>
    <row r="4" ht="15" customHeight="1" s="22">
      <c r="A4" s="29" t="n"/>
      <c r="B4" s="29" t="n"/>
      <c r="C4" s="29" t="n"/>
      <c r="D4" s="29" t="n"/>
      <c r="E4" s="29">
        <f>IF(D4="","",D4)</f>
        <v/>
      </c>
    </row>
    <row r="5" ht="15" customHeight="1" s="22">
      <c r="A5" s="29" t="n"/>
      <c r="B5" s="29" t="n"/>
      <c r="C5" s="29" t="n"/>
      <c r="D5" s="29" t="n"/>
      <c r="E5" s="29">
        <f>IF(D5="","",D5)</f>
        <v/>
      </c>
    </row>
    <row r="6" ht="15" customHeight="1" s="22">
      <c r="A6" s="29" t="n"/>
      <c r="B6" s="29" t="n"/>
      <c r="C6" s="29" t="n"/>
      <c r="D6" s="29" t="n"/>
      <c r="E6" s="29">
        <f>IF(D6="","",D6)</f>
        <v/>
      </c>
    </row>
    <row r="7" ht="15" customHeight="1" s="22">
      <c r="A7" s="29" t="n"/>
      <c r="B7" s="29" t="n"/>
      <c r="C7" s="29" t="n"/>
      <c r="D7" s="29" t="n"/>
      <c r="E7" s="29">
        <f>IF(D7="","",D7)</f>
        <v/>
      </c>
    </row>
    <row r="8" ht="15" customHeight="1" s="22">
      <c r="A8" s="29" t="n"/>
      <c r="B8" s="29" t="n"/>
      <c r="C8" s="29" t="n"/>
      <c r="D8" s="29" t="n"/>
      <c r="E8" s="29">
        <f>IF(D8="","",D8)</f>
        <v/>
      </c>
    </row>
    <row r="9" ht="15" customHeight="1" s="22">
      <c r="A9" s="29" t="n"/>
      <c r="B9" s="29" t="n"/>
      <c r="C9" s="29" t="n"/>
      <c r="D9" s="29" t="n"/>
      <c r="E9" s="29">
        <f>IF(D9="","",D9)</f>
        <v/>
      </c>
    </row>
    <row r="10" ht="15" customHeight="1" s="22">
      <c r="A10" s="29" t="n"/>
      <c r="B10" s="29" t="n"/>
      <c r="C10" s="29" t="n"/>
      <c r="D10" s="29" t="n"/>
      <c r="E10" s="29">
        <f>IF(D10="","",D10)</f>
        <v/>
      </c>
    </row>
    <row r="11" ht="15" customHeight="1" s="22">
      <c r="A11" s="29" t="n"/>
      <c r="B11" s="29" t="n"/>
      <c r="C11" s="29" t="n"/>
      <c r="D11" s="29" t="n"/>
      <c r="E11" s="29">
        <f>IF(D11="","",D11)</f>
        <v/>
      </c>
    </row>
    <row r="12" ht="15" customHeight="1" s="22">
      <c r="A12" s="29" t="n"/>
      <c r="B12" s="29" t="n"/>
      <c r="C12" s="29" t="n"/>
      <c r="D12" s="29" t="n"/>
      <c r="E12" s="29">
        <f>IF(D12="","",D12)</f>
        <v/>
      </c>
    </row>
    <row r="13" ht="15" customHeight="1" s="22">
      <c r="A13" s="29" t="n"/>
      <c r="B13" s="29" t="n"/>
      <c r="C13" s="29" t="n"/>
      <c r="D13" s="29" t="n"/>
      <c r="E13" s="29">
        <f>IF(D13="","",D13)</f>
        <v/>
      </c>
    </row>
    <row r="14" ht="15" customHeight="1" s="22">
      <c r="A14" s="29" t="n"/>
      <c r="B14" s="29" t="n"/>
      <c r="C14" s="29" t="n"/>
      <c r="D14" s="29" t="n"/>
      <c r="E14" s="29">
        <f>IF(D14="","",D14)</f>
        <v/>
      </c>
    </row>
    <row r="15" ht="15" customHeight="1" s="22">
      <c r="A15" s="29" t="n"/>
      <c r="B15" s="29" t="n"/>
      <c r="C15" s="29" t="n"/>
      <c r="D15" s="29" t="n"/>
      <c r="E15" s="29">
        <f>IF(D15="","",D15)</f>
        <v/>
      </c>
    </row>
    <row r="16" ht="15" customHeight="1" s="22">
      <c r="A16" s="29" t="n"/>
      <c r="B16" s="29" t="n"/>
      <c r="C16" s="29" t="n"/>
      <c r="D16" s="29" t="n"/>
      <c r="E16" s="29">
        <f>IF(D16="","",D16)</f>
        <v/>
      </c>
    </row>
    <row r="17" ht="15" customHeight="1" s="22">
      <c r="A17" s="29" t="n"/>
      <c r="B17" s="29" t="n"/>
      <c r="C17" s="29" t="n"/>
      <c r="D17" s="29" t="n"/>
      <c r="E17" s="29">
        <f>IF(D17="","",D17)</f>
        <v/>
      </c>
    </row>
    <row r="18" ht="15" customHeight="1" s="22">
      <c r="A18" s="29" t="n"/>
      <c r="B18" s="29" t="n"/>
      <c r="C18" s="29" t="n"/>
      <c r="D18" s="29" t="n"/>
      <c r="E18" s="29">
        <f>IF(D18="","",D18)</f>
        <v/>
      </c>
    </row>
    <row r="19" ht="15" customHeight="1" s="22">
      <c r="A19" s="29" t="n"/>
      <c r="B19" s="29" t="n"/>
      <c r="C19" s="29" t="n"/>
      <c r="D19" s="29" t="n"/>
      <c r="E19" s="29">
        <f>IF(D19="","",D19)</f>
        <v/>
      </c>
    </row>
    <row r="20" ht="15" customHeight="1" s="22">
      <c r="A20" s="29" t="n"/>
      <c r="B20" s="29" t="n"/>
      <c r="C20" s="29" t="n"/>
      <c r="D20" s="29" t="n"/>
      <c r="E20" s="29">
        <f>IF(D20="","",D20)</f>
        <v/>
      </c>
    </row>
    <row r="21" ht="15" customHeight="1" s="22">
      <c r="A21" s="29" t="n"/>
      <c r="B21" s="29" t="n"/>
      <c r="C21" s="29" t="n"/>
      <c r="D21" s="29" t="n"/>
      <c r="E21" s="29">
        <f>IF(D21="","",D21)</f>
        <v/>
      </c>
    </row>
    <row r="22" ht="15" customHeight="1" s="22">
      <c r="A22" s="29" t="n"/>
      <c r="B22" s="29" t="n"/>
      <c r="C22" s="29" t="n"/>
      <c r="D22" s="29" t="n"/>
      <c r="E22" s="29">
        <f>IF(D22="","",D22)</f>
        <v/>
      </c>
    </row>
    <row r="23" ht="15" customHeight="1" s="22">
      <c r="A23" s="29" t="n"/>
      <c r="B23" s="29" t="n"/>
      <c r="C23" s="29" t="n"/>
      <c r="D23" s="29" t="n"/>
      <c r="E23" s="29">
        <f>IF(D23="","",D23)</f>
        <v/>
      </c>
    </row>
    <row r="24" ht="15" customHeight="1" s="22">
      <c r="A24" s="29" t="n"/>
      <c r="B24" s="29" t="n"/>
      <c r="C24" s="29" t="n"/>
      <c r="D24" s="29" t="n"/>
      <c r="E24" s="29">
        <f>IF(D24="","",D24)</f>
        <v/>
      </c>
    </row>
    <row r="25" ht="15" customHeight="1" s="22">
      <c r="A25" s="29" t="n"/>
      <c r="B25" s="29" t="n"/>
      <c r="C25" s="29" t="n"/>
      <c r="D25" s="29" t="n"/>
      <c r="E25" s="29">
        <f>IF(D25="","",D25)</f>
        <v/>
      </c>
    </row>
    <row r="26" ht="15" customHeight="1" s="22">
      <c r="A26" s="29" t="n"/>
      <c r="B26" s="29" t="n"/>
      <c r="C26" s="29" t="n"/>
      <c r="D26" s="29" t="n"/>
      <c r="E26" s="29">
        <f>IF(D26="","",D26)</f>
        <v/>
      </c>
    </row>
    <row r="27" ht="15" customHeight="1" s="22">
      <c r="A27" s="29" t="n"/>
      <c r="B27" s="29" t="n"/>
      <c r="C27" s="29" t="n"/>
      <c r="D27" s="29" t="n"/>
      <c r="E27" s="29">
        <f>IF(D27="","",D27)</f>
        <v/>
      </c>
    </row>
    <row r="28" ht="15" customHeight="1" s="22">
      <c r="A28" s="29" t="n"/>
      <c r="B28" s="29" t="n"/>
      <c r="C28" s="29" t="n"/>
      <c r="D28" s="29" t="n"/>
      <c r="E28" s="29">
        <f>IF(D28="","",D28)</f>
        <v/>
      </c>
    </row>
    <row r="29" ht="15" customHeight="1" s="22">
      <c r="A29" s="29" t="n"/>
      <c r="B29" s="29" t="n"/>
      <c r="C29" s="29" t="n"/>
      <c r="D29" s="29" t="n"/>
      <c r="E29" s="29">
        <f>IF(D29="","",D29)</f>
        <v/>
      </c>
    </row>
    <row r="30" ht="15" customHeight="1" s="22">
      <c r="A30" s="29" t="n"/>
      <c r="B30" s="29" t="n"/>
      <c r="C30" s="29" t="n"/>
      <c r="D30" s="29" t="n"/>
      <c r="E30" s="29">
        <f>IF(D30="","",D30)</f>
        <v/>
      </c>
    </row>
    <row r="31" ht="15" customHeight="1" s="22">
      <c r="A31" s="29" t="n"/>
      <c r="B31" s="29" t="n"/>
      <c r="C31" s="29" t="n"/>
      <c r="D31" s="29" t="n"/>
      <c r="E31" s="29">
        <f>IF(D31="","",D31)</f>
        <v/>
      </c>
    </row>
    <row r="32" ht="15" customHeight="1" s="22">
      <c r="A32" s="29" t="n"/>
      <c r="B32" s="29" t="n"/>
      <c r="C32" s="29" t="n"/>
      <c r="D32" s="29" t="n"/>
      <c r="E32" s="29">
        <f>IF(D32="","",D32)</f>
        <v/>
      </c>
    </row>
    <row r="33" ht="15" customHeight="1" s="22">
      <c r="A33" s="29" t="n"/>
      <c r="B33" s="29" t="n"/>
      <c r="C33" s="29" t="n"/>
      <c r="D33" s="29" t="n"/>
      <c r="E33" s="29">
        <f>IF(D33="","",D33)</f>
        <v/>
      </c>
    </row>
    <row r="34" ht="15" customHeight="1" s="22">
      <c r="A34" s="29" t="n"/>
      <c r="B34" s="29" t="n"/>
      <c r="C34" s="29" t="n"/>
      <c r="D34" s="29" t="n"/>
      <c r="E34" s="29">
        <f>IF(D34="","",D34)</f>
        <v/>
      </c>
    </row>
    <row r="35" ht="15" customHeight="1" s="22">
      <c r="A35" s="29" t="n"/>
      <c r="B35" s="29" t="n"/>
      <c r="C35" s="29" t="n"/>
      <c r="D35" s="29" t="n"/>
      <c r="E35" s="29">
        <f>IF(D35="","",D35)</f>
        <v/>
      </c>
    </row>
    <row r="36" ht="15" customHeight="1" s="22">
      <c r="A36" s="29" t="n"/>
      <c r="B36" s="29" t="n"/>
      <c r="C36" s="29" t="n"/>
      <c r="D36" s="29" t="n"/>
      <c r="E36" s="29">
        <f>IF(D36="","",D36)</f>
        <v/>
      </c>
    </row>
    <row r="37" ht="15" customHeight="1" s="22">
      <c r="A37" s="29" t="n"/>
      <c r="B37" s="29" t="n"/>
      <c r="C37" s="29" t="n"/>
      <c r="D37" s="29" t="n"/>
      <c r="E37" s="29">
        <f>IF(D37="","",D37)</f>
        <v/>
      </c>
    </row>
    <row r="38" ht="15" customHeight="1" s="22">
      <c r="A38" s="29" t="n"/>
      <c r="B38" s="29" t="n"/>
      <c r="C38" s="29" t="n"/>
      <c r="D38" s="29" t="n"/>
      <c r="E38" s="29">
        <f>IF(D38="","",D38)</f>
        <v/>
      </c>
    </row>
    <row r="39" ht="15" customHeight="1" s="22">
      <c r="A39" s="29" t="n"/>
      <c r="B39" s="29" t="n"/>
      <c r="C39" s="29" t="n"/>
      <c r="D39" s="29" t="n"/>
      <c r="E39" s="29">
        <f>IF(D39="","",D39)</f>
        <v/>
      </c>
    </row>
    <row r="40" ht="15" customHeight="1" s="22">
      <c r="A40" s="29" t="n"/>
      <c r="B40" s="29" t="n"/>
      <c r="C40" s="29" t="n"/>
      <c r="D40" s="29" t="n"/>
      <c r="E40" s="29">
        <f>IF(D40="","",D40)</f>
        <v/>
      </c>
    </row>
    <row r="41" ht="15" customHeight="1" s="22">
      <c r="A41" s="29" t="n"/>
      <c r="B41" s="29" t="n"/>
      <c r="C41" s="29" t="n"/>
      <c r="D41" s="29" t="n"/>
      <c r="E41" s="29">
        <f>IF(D41="","",D41)</f>
        <v/>
      </c>
    </row>
    <row r="42" ht="15" customHeight="1" s="22">
      <c r="A42" s="29" t="n"/>
      <c r="B42" s="29" t="n"/>
      <c r="C42" s="29" t="n"/>
      <c r="D42" s="29" t="n"/>
      <c r="E42" s="29">
        <f>IF(D42="","",D42)</f>
        <v/>
      </c>
    </row>
    <row r="43" ht="15" customHeight="1" s="22">
      <c r="A43" s="29" t="n"/>
      <c r="B43" s="29" t="n"/>
      <c r="C43" s="29" t="n"/>
      <c r="D43" s="29" t="n"/>
      <c r="E43" s="29">
        <f>IF(D43="","",D43)</f>
        <v/>
      </c>
    </row>
    <row r="44" ht="15" customHeight="1" s="22">
      <c r="A44" s="29" t="n"/>
      <c r="B44" s="29" t="n"/>
      <c r="C44" s="29" t="n"/>
      <c r="D44" s="29" t="n"/>
      <c r="E44" s="29">
        <f>IF(D44="","",D44)</f>
        <v/>
      </c>
    </row>
    <row r="45" ht="15" customHeight="1" s="22">
      <c r="A45" s="29" t="n"/>
      <c r="B45" s="29" t="n"/>
      <c r="C45" s="29" t="n"/>
      <c r="D45" s="29" t="n"/>
      <c r="E45" s="29">
        <f>IF(D45="","",D45)</f>
        <v/>
      </c>
    </row>
    <row r="46" ht="15" customHeight="1" s="22">
      <c r="A46" s="29" t="n"/>
      <c r="B46" s="29" t="n"/>
      <c r="C46" s="29" t="n"/>
      <c r="D46" s="29" t="n"/>
      <c r="E46" s="29">
        <f>IF(D46="","",D46)</f>
        <v/>
      </c>
    </row>
    <row r="47" ht="15" customHeight="1" s="22">
      <c r="A47" s="29" t="n"/>
      <c r="B47" s="29" t="n"/>
      <c r="C47" s="29" t="n"/>
      <c r="D47" s="29" t="n"/>
      <c r="E47" s="29">
        <f>IF(D47="","",D47)</f>
        <v/>
      </c>
    </row>
    <row r="48" ht="15" customHeight="1" s="22">
      <c r="A48" s="29" t="n"/>
      <c r="B48" s="29" t="n"/>
      <c r="C48" s="29" t="n"/>
      <c r="D48" s="29" t="n"/>
      <c r="E48" s="29">
        <f>IF(D48="","",D48)</f>
        <v/>
      </c>
    </row>
    <row r="49" ht="15" customHeight="1" s="22">
      <c r="A49" s="29" t="n"/>
      <c r="B49" s="29" t="n"/>
      <c r="C49" s="29" t="n"/>
      <c r="D49" s="29" t="n"/>
      <c r="E49" s="29">
        <f>IF(D49="","",D49)</f>
        <v/>
      </c>
    </row>
    <row r="50" ht="15" customHeight="1" s="22">
      <c r="A50" s="29" t="n"/>
      <c r="B50" s="29" t="n"/>
      <c r="C50" s="29" t="n"/>
      <c r="D50" s="29" t="n"/>
      <c r="E50" s="29">
        <f>IF(D50="","",D50)</f>
        <v/>
      </c>
    </row>
    <row r="51" ht="15" customHeight="1" s="22">
      <c r="A51" s="29" t="n"/>
      <c r="B51" s="29" t="n"/>
      <c r="C51" s="29" t="n"/>
      <c r="D51" s="29" t="n"/>
      <c r="E51" s="29">
        <f>IF(D51="","",D51)</f>
        <v/>
      </c>
    </row>
    <row r="52" ht="15" customHeight="1" s="22">
      <c r="A52" s="29" t="n"/>
      <c r="B52" s="29" t="n"/>
      <c r="C52" s="29" t="n"/>
      <c r="D52" s="29" t="n"/>
      <c r="E52" s="29">
        <f>IF(D52="","",D52)</f>
        <v/>
      </c>
    </row>
    <row r="53" ht="15" customHeight="1" s="22">
      <c r="A53" s="29" t="n"/>
      <c r="B53" s="29" t="n"/>
      <c r="C53" s="29" t="n"/>
      <c r="D53" s="29" t="n"/>
      <c r="E53" s="29">
        <f>IF(D53="","",D53)</f>
        <v/>
      </c>
    </row>
    <row r="54" ht="15" customHeight="1" s="22">
      <c r="A54" s="29" t="n"/>
      <c r="B54" s="29" t="n"/>
      <c r="C54" s="29" t="n"/>
      <c r="D54" s="29" t="n"/>
      <c r="E54" s="29">
        <f>IF(D54="","",D54)</f>
        <v/>
      </c>
    </row>
    <row r="55" ht="15" customHeight="1" s="22">
      <c r="A55" s="29" t="n"/>
      <c r="B55" s="29" t="n"/>
      <c r="C55" s="29" t="n"/>
      <c r="D55" s="29" t="n"/>
      <c r="E55" s="29">
        <f>IF(D55="","",D55)</f>
        <v/>
      </c>
    </row>
    <row r="56" ht="15" customHeight="1" s="22">
      <c r="A56" s="29" t="n"/>
      <c r="B56" s="29" t="n"/>
      <c r="C56" s="29" t="n"/>
      <c r="D56" s="29" t="n"/>
      <c r="E56" s="29">
        <f>IF(D56="","",D56)</f>
        <v/>
      </c>
    </row>
    <row r="57" ht="15" customHeight="1" s="22">
      <c r="A57" s="29" t="n"/>
      <c r="B57" s="29" t="n"/>
      <c r="C57" s="29" t="n"/>
      <c r="D57" s="29" t="n"/>
      <c r="E57" s="29">
        <f>IF(D57="","",D57)</f>
        <v/>
      </c>
    </row>
    <row r="58" ht="15" customHeight="1" s="22">
      <c r="A58" s="29" t="n"/>
      <c r="B58" s="29" t="n"/>
      <c r="C58" s="29" t="n"/>
      <c r="D58" s="29" t="n"/>
      <c r="E58" s="29">
        <f>IF(D58="","",D58)</f>
        <v/>
      </c>
    </row>
    <row r="59" ht="15" customHeight="1" s="22">
      <c r="A59" s="29" t="n"/>
      <c r="B59" s="29" t="n"/>
      <c r="C59" s="29" t="n"/>
      <c r="D59" s="29" t="n"/>
      <c r="E59" s="29">
        <f>IF(D59="","",D59)</f>
        <v/>
      </c>
    </row>
    <row r="60" ht="15" customHeight="1" s="22">
      <c r="A60" s="29" t="n"/>
      <c r="B60" s="29" t="n"/>
      <c r="C60" s="29" t="n"/>
      <c r="D60" s="29" t="n"/>
      <c r="E60" s="29">
        <f>IF(D60="","",D60)</f>
        <v/>
      </c>
    </row>
    <row r="61" ht="15" customHeight="1" s="22">
      <c r="A61" s="29" t="n"/>
      <c r="B61" s="29" t="n"/>
      <c r="C61" s="29" t="n"/>
      <c r="D61" s="29" t="n"/>
      <c r="E61" s="29">
        <f>IF(D61="","",D61)</f>
        <v/>
      </c>
    </row>
    <row r="62" ht="15" customHeight="1" s="22">
      <c r="A62" s="29" t="n"/>
      <c r="B62" s="29" t="n"/>
      <c r="C62" s="29" t="n"/>
      <c r="D62" s="29" t="n"/>
      <c r="E62" s="29">
        <f>IF(D62="","",D62)</f>
        <v/>
      </c>
    </row>
    <row r="63" ht="15" customHeight="1" s="22">
      <c r="A63" s="29" t="n"/>
      <c r="B63" s="29" t="n"/>
      <c r="C63" s="29" t="n"/>
      <c r="D63" s="29" t="n"/>
      <c r="E63" s="29">
        <f>IF(D63="","",D63)</f>
        <v/>
      </c>
    </row>
    <row r="64" ht="15" customHeight="1" s="22">
      <c r="A64" s="29" t="n"/>
      <c r="B64" s="29" t="n"/>
      <c r="C64" s="29" t="n"/>
      <c r="D64" s="29" t="n"/>
      <c r="E64" s="29">
        <f>IF(D64="","",D64)</f>
        <v/>
      </c>
    </row>
    <row r="65" ht="15" customHeight="1" s="22">
      <c r="A65" s="29" t="n"/>
      <c r="B65" s="29" t="n"/>
      <c r="C65" s="29" t="n"/>
      <c r="D65" s="29" t="n"/>
      <c r="E65" s="29">
        <f>IF(D65="","",D65)</f>
        <v/>
      </c>
    </row>
    <row r="66" ht="15" customHeight="1" s="22">
      <c r="A66" s="29" t="n"/>
      <c r="B66" s="29" t="n"/>
      <c r="C66" s="29" t="n"/>
      <c r="D66" s="29" t="n"/>
      <c r="E66" s="29">
        <f>IF(D66="","",D66)</f>
        <v/>
      </c>
    </row>
    <row r="67" ht="15" customHeight="1" s="22">
      <c r="A67" s="29" t="n"/>
      <c r="B67" s="29" t="n"/>
      <c r="C67" s="29" t="n"/>
      <c r="D67" s="29" t="n"/>
      <c r="E67" s="29">
        <f>IF(D67="","",D67)</f>
        <v/>
      </c>
    </row>
    <row r="68" ht="15" customHeight="1" s="22">
      <c r="A68" s="29" t="n"/>
      <c r="B68" s="29" t="n"/>
      <c r="C68" s="29" t="n"/>
      <c r="D68" s="29" t="n"/>
      <c r="E68" s="29">
        <f>IF(D68="","",D68)</f>
        <v/>
      </c>
    </row>
    <row r="69" ht="15" customHeight="1" s="22">
      <c r="A69" s="29" t="n"/>
      <c r="B69" s="29" t="n"/>
      <c r="C69" s="29" t="n"/>
      <c r="D69" s="29" t="n"/>
      <c r="E69" s="29">
        <f>IF(D69="","",D69)</f>
        <v/>
      </c>
    </row>
    <row r="70" ht="15" customHeight="1" s="22">
      <c r="A70" s="29" t="n"/>
      <c r="B70" s="29" t="n"/>
      <c r="C70" s="29" t="n"/>
      <c r="D70" s="29" t="n"/>
      <c r="E70" s="29">
        <f>IF(D70="","",D70)</f>
        <v/>
      </c>
    </row>
    <row r="71" ht="15" customHeight="1" s="22">
      <c r="A71" s="29" t="n"/>
      <c r="B71" s="29" t="n"/>
      <c r="C71" s="29" t="n"/>
      <c r="D71" s="29" t="n"/>
      <c r="E71" s="29">
        <f>IF(D71="","",D71)</f>
        <v/>
      </c>
    </row>
    <row r="72" ht="15" customHeight="1" s="22">
      <c r="A72" s="29" t="n"/>
      <c r="B72" s="29" t="n"/>
      <c r="C72" s="29" t="n"/>
      <c r="D72" s="29" t="n"/>
      <c r="E72" s="29">
        <f>IF(D72="","",D72)</f>
        <v/>
      </c>
    </row>
    <row r="73" ht="15" customHeight="1" s="22">
      <c r="A73" s="29" t="n"/>
      <c r="B73" s="29" t="n"/>
      <c r="C73" s="29" t="n"/>
      <c r="D73" s="29" t="n"/>
      <c r="E73" s="29">
        <f>IF(D73="","",D73)</f>
        <v/>
      </c>
    </row>
    <row r="74" ht="15" customHeight="1" s="22">
      <c r="A74" s="29" t="n"/>
      <c r="B74" s="29" t="n"/>
      <c r="C74" s="29" t="n"/>
      <c r="D74" s="29" t="n"/>
      <c r="E74" s="29">
        <f>IF(D74="","",D74)</f>
        <v/>
      </c>
    </row>
    <row r="75" ht="15" customHeight="1" s="22">
      <c r="A75" s="29" t="n"/>
      <c r="B75" s="29" t="n"/>
      <c r="C75" s="29" t="n"/>
      <c r="D75" s="29" t="n"/>
      <c r="E75" s="29">
        <f>IF(D75="","",D75)</f>
        <v/>
      </c>
    </row>
    <row r="76" ht="15" customHeight="1" s="22">
      <c r="A76" s="29" t="n"/>
      <c r="B76" s="29" t="n"/>
      <c r="C76" s="29" t="n"/>
      <c r="D76" s="29" t="n"/>
      <c r="E76" s="29">
        <f>IF(D76="","",D76)</f>
        <v/>
      </c>
    </row>
    <row r="77" ht="15" customHeight="1" s="22">
      <c r="A77" s="29" t="n"/>
      <c r="B77" s="29" t="n"/>
      <c r="C77" s="29" t="n"/>
      <c r="D77" s="29" t="n"/>
      <c r="E77" s="29">
        <f>IF(D77="","",D77)</f>
        <v/>
      </c>
    </row>
    <row r="78" ht="15" customHeight="1" s="22">
      <c r="A78" s="29" t="n"/>
      <c r="B78" s="29" t="n"/>
      <c r="C78" s="29" t="n"/>
      <c r="D78" s="29" t="n"/>
      <c r="E78" s="29">
        <f>IF(D78="","",D78)</f>
        <v/>
      </c>
    </row>
    <row r="79" ht="15" customHeight="1" s="22">
      <c r="A79" s="29" t="n"/>
      <c r="B79" s="29" t="n"/>
      <c r="C79" s="29" t="n"/>
      <c r="D79" s="29" t="n"/>
      <c r="E79" s="29">
        <f>IF(D79="","",D79)</f>
        <v/>
      </c>
    </row>
    <row r="80" ht="15" customHeight="1" s="22">
      <c r="A80" s="29" t="n"/>
      <c r="B80" s="29" t="n"/>
      <c r="C80" s="29" t="n"/>
      <c r="D80" s="29" t="n"/>
      <c r="E80" s="29">
        <f>IF(D80="","",D80)</f>
        <v/>
      </c>
    </row>
    <row r="81" ht="15" customHeight="1" s="22">
      <c r="A81" s="29" t="n"/>
      <c r="B81" s="29" t="n"/>
      <c r="C81" s="29" t="n"/>
      <c r="D81" s="29" t="n"/>
      <c r="E81" s="29">
        <f>IF(D81="","",D81)</f>
        <v/>
      </c>
    </row>
    <row r="82" ht="15" customHeight="1" s="22">
      <c r="A82" s="29" t="n"/>
      <c r="B82" s="29" t="n"/>
      <c r="C82" s="29" t="n"/>
      <c r="D82" s="29" t="n"/>
      <c r="E82" s="29">
        <f>IF(D82="","",D82)</f>
        <v/>
      </c>
    </row>
    <row r="83" ht="15" customHeight="1" s="22">
      <c r="A83" s="29" t="n"/>
      <c r="B83" s="29" t="n"/>
      <c r="C83" s="29" t="n"/>
      <c r="D83" s="29" t="n"/>
      <c r="E83" s="29">
        <f>IF(D83="","",D83)</f>
        <v/>
      </c>
    </row>
    <row r="84" ht="15" customHeight="1" s="22">
      <c r="A84" s="29" t="n"/>
      <c r="B84" s="29" t="n"/>
      <c r="C84" s="29" t="n"/>
      <c r="D84" s="29" t="n"/>
      <c r="E84" s="29">
        <f>IF(D84="","",D84)</f>
        <v/>
      </c>
    </row>
    <row r="85" ht="15" customHeight="1" s="22">
      <c r="A85" s="29" t="n"/>
      <c r="B85" s="29" t="n"/>
      <c r="C85" s="29" t="n"/>
      <c r="D85" s="29" t="n"/>
      <c r="E85" s="29">
        <f>IF(D85="","",D85)</f>
        <v/>
      </c>
    </row>
    <row r="86" ht="15" customHeight="1" s="22">
      <c r="A86" s="29" t="n"/>
      <c r="B86" s="29" t="n"/>
      <c r="C86" s="29" t="n"/>
      <c r="D86" s="29" t="n"/>
      <c r="E86" s="29">
        <f>IF(D86="","",D86)</f>
        <v/>
      </c>
    </row>
    <row r="87" ht="15" customHeight="1" s="22">
      <c r="A87" s="29" t="n"/>
      <c r="B87" s="29" t="n"/>
      <c r="C87" s="29" t="n"/>
      <c r="D87" s="29" t="n"/>
      <c r="E87" s="29">
        <f>IF(D87="","",D87)</f>
        <v/>
      </c>
    </row>
    <row r="88" ht="15" customHeight="1" s="22">
      <c r="A88" s="29" t="n"/>
      <c r="B88" s="29" t="n"/>
      <c r="C88" s="29" t="n"/>
      <c r="D88" s="29" t="n"/>
      <c r="E88" s="29">
        <f>IF(D88="","",D88)</f>
        <v/>
      </c>
    </row>
    <row r="89" ht="15" customHeight="1" s="22">
      <c r="A89" s="29" t="n"/>
      <c r="B89" s="29" t="n"/>
      <c r="C89" s="29" t="n"/>
      <c r="D89" s="29" t="n"/>
      <c r="E89" s="29">
        <f>IF(D89="","",D89)</f>
        <v/>
      </c>
    </row>
    <row r="90" ht="15" customHeight="1" s="22">
      <c r="A90" s="29" t="n"/>
      <c r="B90" s="29" t="n"/>
      <c r="C90" s="29" t="n"/>
      <c r="D90" s="29" t="n"/>
      <c r="E90" s="29">
        <f>IF(D90="","",D90)</f>
        <v/>
      </c>
    </row>
    <row r="91" ht="15" customHeight="1" s="22">
      <c r="A91" s="29" t="n"/>
      <c r="B91" s="29" t="n"/>
      <c r="C91" s="29" t="n"/>
      <c r="D91" s="29" t="n"/>
      <c r="E91" s="29">
        <f>IF(D91="","",D91)</f>
        <v/>
      </c>
    </row>
    <row r="92" ht="15" customHeight="1" s="22">
      <c r="A92" s="29" t="n"/>
      <c r="B92" s="29" t="n"/>
      <c r="C92" s="29" t="n"/>
      <c r="D92" s="29" t="n"/>
      <c r="E92" s="29">
        <f>IF(D92="","",D92)</f>
        <v/>
      </c>
    </row>
    <row r="93" ht="15" customHeight="1" s="22">
      <c r="A93" s="29" t="n"/>
      <c r="B93" s="29" t="n"/>
      <c r="C93" s="29" t="n"/>
      <c r="D93" s="29" t="n"/>
      <c r="E93" s="29">
        <f>IF(D93="","",D93)</f>
        <v/>
      </c>
    </row>
    <row r="94" ht="15" customHeight="1" s="22">
      <c r="A94" s="29" t="n"/>
      <c r="B94" s="29" t="n"/>
      <c r="C94" s="29" t="n"/>
      <c r="D94" s="29" t="n"/>
      <c r="E94" s="29">
        <f>IF(D94="","",D94)</f>
        <v/>
      </c>
    </row>
    <row r="95" ht="15" customHeight="1" s="22">
      <c r="A95" s="29" t="n"/>
      <c r="B95" s="29" t="n"/>
      <c r="C95" s="29" t="n"/>
      <c r="D95" s="29" t="n"/>
      <c r="E95" s="29">
        <f>IF(D95="","",D95)</f>
        <v/>
      </c>
    </row>
    <row r="96" ht="15" customHeight="1" s="22">
      <c r="A96" s="29" t="n"/>
      <c r="B96" s="29" t="n"/>
      <c r="C96" s="29" t="n"/>
      <c r="D96" s="29" t="n"/>
      <c r="E96" s="29">
        <f>IF(D96="","",D96)</f>
        <v/>
      </c>
    </row>
    <row r="97" ht="15" customHeight="1" s="22">
      <c r="A97" s="29" t="n"/>
      <c r="B97" s="29" t="n"/>
      <c r="C97" s="29" t="n"/>
      <c r="D97" s="29" t="n"/>
      <c r="E97" s="29">
        <f>IF(D97="","",D97)</f>
        <v/>
      </c>
    </row>
    <row r="98" ht="15" customHeight="1" s="22">
      <c r="A98" s="29" t="n"/>
      <c r="B98" s="29" t="n"/>
      <c r="C98" s="29" t="n"/>
      <c r="D98" s="29" t="n"/>
      <c r="E98" s="29">
        <f>IF(D98="","",D98)</f>
        <v/>
      </c>
    </row>
    <row r="99" ht="15" customHeight="1" s="22">
      <c r="A99" s="29" t="n"/>
      <c r="B99" s="29" t="n"/>
      <c r="C99" s="29" t="n"/>
      <c r="D99" s="29" t="n"/>
      <c r="E99" s="29">
        <f>IF(D99="","",D99)</f>
        <v/>
      </c>
    </row>
    <row r="100" ht="15" customHeight="1" s="22">
      <c r="A100" s="29" t="n"/>
      <c r="B100" s="29" t="n"/>
      <c r="C100" s="29" t="n"/>
      <c r="D100" s="29" t="n"/>
      <c r="E100" s="29">
        <f>IF(D100="","",D100)</f>
        <v/>
      </c>
    </row>
    <row r="101" ht="15" customHeight="1" s="22">
      <c r="A101" s="29" t="n"/>
      <c r="B101" s="29" t="n"/>
      <c r="C101" s="29" t="n"/>
      <c r="D101" s="29" t="n"/>
      <c r="E101" s="29">
        <f>IF(D101="","",D101)</f>
        <v/>
      </c>
    </row>
    <row r="102" ht="15" customHeight="1" s="22">
      <c r="A102" s="29" t="n"/>
      <c r="B102" s="29" t="n"/>
      <c r="C102" s="29" t="n"/>
      <c r="D102" s="29" t="n"/>
      <c r="E102" s="29">
        <f>IF(D102="","",D102)</f>
        <v/>
      </c>
    </row>
    <row r="103" ht="15" customHeight="1" s="22">
      <c r="A103" s="29" t="n"/>
      <c r="B103" s="29" t="n"/>
      <c r="C103" s="29" t="n"/>
      <c r="D103" s="29" t="n"/>
      <c r="E103" s="29">
        <f>IF(D103="","",D103)</f>
        <v/>
      </c>
    </row>
    <row r="104" ht="15" customHeight="1" s="22">
      <c r="A104" s="29" t="n"/>
      <c r="B104" s="29" t="n"/>
      <c r="C104" s="29" t="n"/>
      <c r="D104" s="29" t="n"/>
      <c r="E104" s="29">
        <f>IF(D104="","",D104)</f>
        <v/>
      </c>
    </row>
    <row r="105" ht="15" customHeight="1" s="22">
      <c r="A105" s="29" t="n"/>
      <c r="B105" s="29" t="n"/>
      <c r="C105" s="29" t="n"/>
      <c r="D105" s="29" t="n"/>
      <c r="E105" s="29">
        <f>IF(D105="","",D105)</f>
        <v/>
      </c>
    </row>
    <row r="106" ht="15" customHeight="1" s="22">
      <c r="A106" s="29" t="n"/>
      <c r="B106" s="29" t="n"/>
      <c r="C106" s="29" t="n"/>
      <c r="D106" s="29" t="n"/>
      <c r="E106" s="29">
        <f>IF(D106="","",D106)</f>
        <v/>
      </c>
    </row>
    <row r="107" ht="15" customHeight="1" s="22">
      <c r="A107" s="29" t="n"/>
      <c r="B107" s="29" t="n"/>
      <c r="C107" s="29" t="n"/>
      <c r="D107" s="29" t="n"/>
      <c r="E107" s="29">
        <f>IF(D107="","",D107)</f>
        <v/>
      </c>
    </row>
    <row r="108" ht="15" customHeight="1" s="22">
      <c r="A108" s="29" t="n"/>
      <c r="B108" s="29" t="n"/>
      <c r="C108" s="29" t="n"/>
      <c r="D108" s="29" t="n"/>
      <c r="E108" s="29">
        <f>IF(D108="","",D108)</f>
        <v/>
      </c>
    </row>
    <row r="109" ht="15" customHeight="1" s="22">
      <c r="A109" s="29" t="n"/>
      <c r="B109" s="29" t="n"/>
      <c r="C109" s="29" t="n"/>
      <c r="D109" s="29" t="n"/>
      <c r="E109" s="29">
        <f>IF(D109="","",D109)</f>
        <v/>
      </c>
    </row>
    <row r="110" ht="15" customHeight="1" s="22">
      <c r="A110" s="29" t="n"/>
      <c r="B110" s="29" t="n"/>
      <c r="C110" s="29" t="n"/>
      <c r="D110" s="29" t="n"/>
      <c r="E110" s="29">
        <f>IF(D110="","",D110)</f>
        <v/>
      </c>
    </row>
    <row r="111" ht="15" customHeight="1" s="22">
      <c r="A111" s="29" t="n"/>
      <c r="B111" s="29" t="n"/>
      <c r="C111" s="29" t="n"/>
      <c r="D111" s="29" t="n"/>
      <c r="E111" s="29">
        <f>IF(D111="","",D111)</f>
        <v/>
      </c>
    </row>
    <row r="112" ht="15" customHeight="1" s="22">
      <c r="A112" s="29" t="n"/>
      <c r="B112" s="29" t="n"/>
      <c r="C112" s="29" t="n"/>
      <c r="D112" s="29" t="n"/>
      <c r="E112" s="29">
        <f>IF(D112="","",D112)</f>
        <v/>
      </c>
    </row>
    <row r="113" ht="15" customHeight="1" s="22">
      <c r="A113" s="29" t="n"/>
      <c r="B113" s="29" t="n"/>
      <c r="C113" s="29" t="n"/>
      <c r="D113" s="29" t="n"/>
      <c r="E113" s="29">
        <f>IF(D113="","",D113)</f>
        <v/>
      </c>
    </row>
    <row r="114" ht="15" customHeight="1" s="22">
      <c r="A114" s="29" t="n"/>
      <c r="B114" s="29" t="n"/>
      <c r="C114" s="29" t="n"/>
      <c r="D114" s="29" t="n"/>
      <c r="E114" s="29">
        <f>IF(D114="","",D114)</f>
        <v/>
      </c>
    </row>
    <row r="115" ht="15" customHeight="1" s="22">
      <c r="A115" s="29" t="n"/>
      <c r="B115" s="29" t="n"/>
      <c r="C115" s="29" t="n"/>
      <c r="D115" s="29" t="n"/>
      <c r="E115" s="29">
        <f>IF(D115="","",D115)</f>
        <v/>
      </c>
    </row>
    <row r="116" ht="15" customHeight="1" s="22">
      <c r="A116" s="29" t="n"/>
      <c r="B116" s="29" t="n"/>
      <c r="C116" s="29" t="n"/>
      <c r="D116" s="29" t="n"/>
      <c r="E116" s="29">
        <f>IF(D116="","",D116)</f>
        <v/>
      </c>
    </row>
    <row r="117" ht="15" customHeight="1" s="22">
      <c r="A117" s="29" t="n"/>
      <c r="B117" s="29" t="n"/>
      <c r="C117" s="29" t="n"/>
      <c r="D117" s="29" t="n"/>
      <c r="E117" s="29">
        <f>IF(D117="","",D117)</f>
        <v/>
      </c>
    </row>
    <row r="118" ht="15" customHeight="1" s="22">
      <c r="A118" s="29" t="n"/>
      <c r="B118" s="29" t="n"/>
      <c r="C118" s="29" t="n"/>
      <c r="D118" s="29" t="n"/>
      <c r="E118" s="29">
        <f>IF(D118="","",D118)</f>
        <v/>
      </c>
    </row>
    <row r="119" ht="15" customHeight="1" s="22">
      <c r="A119" s="29" t="n"/>
      <c r="B119" s="29" t="n"/>
      <c r="C119" s="29" t="n"/>
      <c r="D119" s="29" t="n"/>
      <c r="E119" s="29">
        <f>IF(D119="","",D119)</f>
        <v/>
      </c>
    </row>
    <row r="120" ht="15" customHeight="1" s="22">
      <c r="A120" s="29" t="n"/>
      <c r="B120" s="29" t="n"/>
      <c r="C120" s="29" t="n"/>
      <c r="D120" s="29" t="n"/>
      <c r="E120" s="29">
        <f>IF(D120="","",D120)</f>
        <v/>
      </c>
    </row>
    <row r="121" ht="15" customHeight="1" s="22">
      <c r="A121" s="29" t="n"/>
      <c r="B121" s="29" t="n"/>
      <c r="C121" s="29" t="n"/>
      <c r="D121" s="29" t="n"/>
      <c r="E121" s="29">
        <f>IF(D121="","",D121)</f>
        <v/>
      </c>
    </row>
    <row r="122" ht="15" customHeight="1" s="22">
      <c r="A122" s="29" t="n"/>
      <c r="B122" s="29" t="n"/>
      <c r="C122" s="29" t="n"/>
      <c r="D122" s="29" t="n"/>
      <c r="E122" s="29">
        <f>IF(D122="","",D122)</f>
        <v/>
      </c>
    </row>
    <row r="123" ht="15" customHeight="1" s="22">
      <c r="A123" s="29" t="n"/>
      <c r="B123" s="29" t="n"/>
      <c r="C123" s="29" t="n"/>
      <c r="D123" s="29" t="n"/>
      <c r="E123" s="29">
        <f>IF(D123="","",D123)</f>
        <v/>
      </c>
    </row>
    <row r="124" ht="15" customHeight="1" s="22">
      <c r="A124" s="29" t="n"/>
      <c r="B124" s="29" t="n"/>
      <c r="C124" s="29" t="n"/>
      <c r="D124" s="29" t="n"/>
      <c r="E124" s="29">
        <f>IF(D124="","",D124)</f>
        <v/>
      </c>
    </row>
    <row r="125" ht="15" customHeight="1" s="22">
      <c r="A125" s="29" t="n"/>
      <c r="B125" s="29" t="n"/>
      <c r="C125" s="29" t="n"/>
      <c r="D125" s="29" t="n"/>
      <c r="E125" s="29">
        <f>IF(D125="","",D125)</f>
        <v/>
      </c>
    </row>
    <row r="126" ht="15" customHeight="1" s="22">
      <c r="A126" s="29" t="n"/>
      <c r="B126" s="29" t="n"/>
      <c r="C126" s="29" t="n"/>
      <c r="D126" s="29" t="n"/>
      <c r="E126" s="29">
        <f>IF(D126="","",D126)</f>
        <v/>
      </c>
    </row>
    <row r="127" ht="15" customHeight="1" s="22">
      <c r="A127" s="29" t="n"/>
      <c r="B127" s="29" t="n"/>
      <c r="C127" s="29" t="n"/>
      <c r="D127" s="29" t="n"/>
      <c r="E127" s="29">
        <f>IF(D127="","",D127)</f>
        <v/>
      </c>
    </row>
    <row r="128" ht="15" customHeight="1" s="22">
      <c r="A128" s="29" t="n"/>
      <c r="B128" s="29" t="n"/>
      <c r="C128" s="29" t="n"/>
      <c r="D128" s="29" t="n"/>
      <c r="E128" s="29">
        <f>IF(D128="","",D128)</f>
        <v/>
      </c>
    </row>
    <row r="129" ht="15" customHeight="1" s="22">
      <c r="A129" s="29" t="n"/>
      <c r="B129" s="29" t="n"/>
      <c r="C129" s="29" t="n"/>
      <c r="D129" s="29" t="n"/>
      <c r="E129" s="29">
        <f>IF(D129="","",D129)</f>
        <v/>
      </c>
    </row>
    <row r="130" ht="15" customHeight="1" s="22">
      <c r="A130" s="29" t="n"/>
      <c r="B130" s="29" t="n"/>
      <c r="C130" s="29" t="n"/>
      <c r="D130" s="29" t="n"/>
      <c r="E130" s="29">
        <f>IF(D130="","",D130)</f>
        <v/>
      </c>
    </row>
    <row r="131" ht="15" customHeight="1" s="22">
      <c r="A131" s="29" t="n"/>
      <c r="B131" s="29" t="n"/>
      <c r="C131" s="29" t="n"/>
      <c r="D131" s="29" t="n"/>
      <c r="E131" s="29">
        <f>IF(D131="","",D131)</f>
        <v/>
      </c>
    </row>
    <row r="132" ht="15" customHeight="1" s="22">
      <c r="A132" s="29" t="n"/>
      <c r="B132" s="29" t="n"/>
      <c r="C132" s="29" t="n"/>
      <c r="D132" s="29" t="n"/>
      <c r="E132" s="29">
        <f>IF(D132="","",D132)</f>
        <v/>
      </c>
    </row>
    <row r="133" ht="15" customHeight="1" s="22">
      <c r="A133" s="29" t="n"/>
      <c r="B133" s="29" t="n"/>
      <c r="C133" s="29" t="n"/>
      <c r="D133" s="29" t="n"/>
      <c r="E133" s="29">
        <f>IF(D133="","",D133)</f>
        <v/>
      </c>
    </row>
    <row r="134" ht="15" customHeight="1" s="22">
      <c r="A134" s="29" t="n"/>
      <c r="B134" s="29" t="n"/>
      <c r="C134" s="29" t="n"/>
      <c r="D134" s="29" t="n"/>
      <c r="E134" s="29">
        <f>IF(D134="","",D134)</f>
        <v/>
      </c>
    </row>
    <row r="135" ht="15" customHeight="1" s="22">
      <c r="A135" s="29" t="n"/>
      <c r="B135" s="29" t="n"/>
      <c r="C135" s="29" t="n"/>
      <c r="D135" s="29" t="n"/>
      <c r="E135" s="29">
        <f>IF(D135="","",D135)</f>
        <v/>
      </c>
    </row>
    <row r="136" ht="15" customHeight="1" s="22">
      <c r="A136" s="29" t="n"/>
      <c r="B136" s="29" t="n"/>
      <c r="C136" s="29" t="n"/>
      <c r="D136" s="29" t="n"/>
      <c r="E136" s="29">
        <f>IF(D136="","",D136)</f>
        <v/>
      </c>
    </row>
    <row r="137" ht="15" customHeight="1" s="22">
      <c r="A137" s="29" t="n"/>
      <c r="B137" s="29" t="n"/>
      <c r="C137" s="29" t="n"/>
      <c r="D137" s="29" t="n"/>
      <c r="E137" s="29">
        <f>IF(D137="","",D137)</f>
        <v/>
      </c>
    </row>
    <row r="138" ht="15" customHeight="1" s="22">
      <c r="A138" s="29" t="n"/>
      <c r="B138" s="29" t="n"/>
      <c r="C138" s="29" t="n"/>
      <c r="D138" s="29" t="n"/>
      <c r="E138" s="29">
        <f>IF(D138="","",D138)</f>
        <v/>
      </c>
    </row>
    <row r="139" ht="15" customHeight="1" s="22">
      <c r="A139" s="29" t="n"/>
      <c r="B139" s="29" t="n"/>
      <c r="C139" s="29" t="n"/>
      <c r="D139" s="29" t="n"/>
      <c r="E139" s="29">
        <f>IF(D139="","",D139)</f>
        <v/>
      </c>
    </row>
    <row r="140" ht="15" customHeight="1" s="22">
      <c r="A140" s="29" t="n"/>
      <c r="B140" s="29" t="n"/>
      <c r="C140" s="29" t="n"/>
      <c r="D140" s="29" t="n"/>
      <c r="E140" s="29">
        <f>IF(D140="","",D140)</f>
        <v/>
      </c>
    </row>
    <row r="141" ht="15" customHeight="1" s="22">
      <c r="A141" s="29" t="n"/>
      <c r="B141" s="29" t="n"/>
      <c r="C141" s="29" t="n"/>
      <c r="D141" s="29" t="n"/>
      <c r="E141" s="29">
        <f>IF(D141="","",D141)</f>
        <v/>
      </c>
    </row>
    <row r="142" ht="15" customHeight="1" s="22">
      <c r="A142" s="29" t="n"/>
      <c r="B142" s="29" t="n"/>
      <c r="C142" s="29" t="n"/>
      <c r="D142" s="29" t="n"/>
      <c r="E142" s="29">
        <f>IF(D142="","",D142)</f>
        <v/>
      </c>
    </row>
    <row r="143" ht="15" customHeight="1" s="22">
      <c r="A143" s="29" t="n"/>
      <c r="B143" s="29" t="n"/>
      <c r="C143" s="29" t="n"/>
      <c r="D143" s="29" t="n"/>
      <c r="E143" s="29">
        <f>IF(D143="","",D143)</f>
        <v/>
      </c>
    </row>
    <row r="144" ht="15" customHeight="1" s="22">
      <c r="A144" s="29" t="n"/>
      <c r="B144" s="29" t="n"/>
      <c r="C144" s="29" t="n"/>
      <c r="D144" s="29" t="n"/>
      <c r="E144" s="29">
        <f>IF(D144="","",D144)</f>
        <v/>
      </c>
    </row>
    <row r="145" ht="15" customHeight="1" s="22">
      <c r="A145" s="29" t="n"/>
      <c r="B145" s="29" t="n"/>
      <c r="C145" s="29" t="n"/>
      <c r="D145" s="29" t="n"/>
      <c r="E145" s="29">
        <f>IF(D145="","",D145)</f>
        <v/>
      </c>
    </row>
    <row r="146" ht="15" customHeight="1" s="22">
      <c r="A146" s="29" t="n"/>
      <c r="B146" s="29" t="n"/>
      <c r="C146" s="29" t="n"/>
      <c r="D146" s="29" t="n"/>
      <c r="E146" s="29">
        <f>IF(D146="","",D146)</f>
        <v/>
      </c>
    </row>
    <row r="147" ht="15" customHeight="1" s="22">
      <c r="A147" s="29" t="n"/>
      <c r="B147" s="29" t="n"/>
      <c r="C147" s="29" t="n"/>
      <c r="D147" s="29" t="n"/>
      <c r="E147" s="29">
        <f>IF(D147="","",D147)</f>
        <v/>
      </c>
    </row>
    <row r="148" ht="15" customHeight="1" s="22">
      <c r="A148" s="29" t="n"/>
      <c r="B148" s="29" t="n"/>
      <c r="C148" s="29" t="n"/>
      <c r="D148" s="29" t="n"/>
      <c r="E148" s="29">
        <f>IF(D148="","",D148)</f>
        <v/>
      </c>
    </row>
    <row r="149" ht="15" customHeight="1" s="22">
      <c r="A149" s="29" t="n"/>
      <c r="B149" s="29" t="n"/>
      <c r="C149" s="29" t="n"/>
      <c r="D149" s="29" t="n"/>
      <c r="E149" s="29">
        <f>IF(D149="","",D149)</f>
        <v/>
      </c>
    </row>
    <row r="150" ht="15" customHeight="1" s="22">
      <c r="A150" s="29" t="n"/>
      <c r="B150" s="29" t="n"/>
      <c r="C150" s="29" t="n"/>
      <c r="D150" s="29" t="n"/>
      <c r="E150" s="29">
        <f>IF(D150="","",D150)</f>
        <v/>
      </c>
    </row>
    <row r="151" ht="15" customHeight="1" s="22">
      <c r="A151" s="29" t="n"/>
      <c r="B151" s="29" t="n"/>
      <c r="C151" s="29" t="n"/>
      <c r="D151" s="29" t="n"/>
      <c r="E151" s="29">
        <f>IF(D151="","",D151)</f>
        <v/>
      </c>
    </row>
    <row r="152" ht="15" customHeight="1" s="22">
      <c r="A152" s="29" t="n"/>
      <c r="B152" s="29" t="n"/>
      <c r="C152" s="29" t="n"/>
      <c r="D152" s="29" t="n"/>
      <c r="E152" s="29">
        <f>IF(D152="","",D152)</f>
        <v/>
      </c>
    </row>
    <row r="153" ht="15" customHeight="1" s="22">
      <c r="A153" s="29" t="n"/>
      <c r="B153" s="29" t="n"/>
      <c r="C153" s="29" t="n"/>
      <c r="D153" s="29" t="n"/>
      <c r="E153" s="29">
        <f>IF(D153="","",D153)</f>
        <v/>
      </c>
    </row>
    <row r="154" ht="15" customHeight="1" s="22">
      <c r="A154" s="29" t="n"/>
      <c r="B154" s="29" t="n"/>
      <c r="C154" s="29" t="n"/>
      <c r="D154" s="29" t="n"/>
      <c r="E154" s="29">
        <f>IF(D154="","",D154)</f>
        <v/>
      </c>
    </row>
    <row r="155" ht="15" customHeight="1" s="22">
      <c r="A155" s="29" t="n"/>
      <c r="B155" s="29" t="n"/>
      <c r="C155" s="29" t="n"/>
      <c r="D155" s="29" t="n"/>
      <c r="E155" s="29">
        <f>IF(D155="","",D155)</f>
        <v/>
      </c>
    </row>
    <row r="156" ht="15" customHeight="1" s="22">
      <c r="A156" s="29" t="n"/>
      <c r="B156" s="29" t="n"/>
      <c r="C156" s="29" t="n"/>
      <c r="D156" s="29" t="n"/>
      <c r="E156" s="29">
        <f>IF(D156="","",D156)</f>
        <v/>
      </c>
    </row>
    <row r="157" ht="15" customHeight="1" s="22">
      <c r="A157" s="29" t="n"/>
      <c r="B157" s="29" t="n"/>
      <c r="C157" s="29" t="n"/>
      <c r="D157" s="29" t="n"/>
      <c r="E157" s="29">
        <f>IF(D157="","",D157)</f>
        <v/>
      </c>
    </row>
    <row r="158" ht="15" customHeight="1" s="22">
      <c r="A158" s="29" t="n"/>
      <c r="B158" s="29" t="n"/>
      <c r="C158" s="29" t="n"/>
      <c r="D158" s="29" t="n"/>
      <c r="E158" s="29">
        <f>IF(D158="","",D158)</f>
        <v/>
      </c>
    </row>
    <row r="159" ht="15" customHeight="1" s="22">
      <c r="A159" s="29" t="n"/>
      <c r="B159" s="29" t="n"/>
      <c r="C159" s="29" t="n"/>
      <c r="D159" s="29" t="n"/>
      <c r="E159" s="29">
        <f>IF(D159="","",D159)</f>
        <v/>
      </c>
    </row>
    <row r="160" ht="15" customHeight="1" s="22">
      <c r="A160" s="29" t="n"/>
      <c r="B160" s="29" t="n"/>
      <c r="C160" s="29" t="n"/>
      <c r="D160" s="29" t="n"/>
      <c r="E160" s="29">
        <f>IF(D160="","",D160)</f>
        <v/>
      </c>
    </row>
    <row r="161" ht="15" customHeight="1" s="22">
      <c r="A161" s="29" t="n"/>
      <c r="B161" s="29" t="n"/>
      <c r="C161" s="29" t="n"/>
      <c r="D161" s="29" t="n"/>
      <c r="E161" s="29">
        <f>IF(D161="","",D161)</f>
        <v/>
      </c>
    </row>
    <row r="162" ht="15" customHeight="1" s="22">
      <c r="A162" s="29" t="n"/>
      <c r="B162" s="29" t="n"/>
      <c r="C162" s="29" t="n"/>
      <c r="D162" s="29" t="n"/>
      <c r="E162" s="29">
        <f>IF(D162="","",D162)</f>
        <v/>
      </c>
    </row>
    <row r="163" ht="15" customHeight="1" s="22">
      <c r="A163" s="29" t="n"/>
      <c r="B163" s="29" t="n"/>
      <c r="C163" s="29" t="n"/>
      <c r="D163" s="29" t="n"/>
      <c r="E163" s="29">
        <f>IF(D163="","",D163)</f>
        <v/>
      </c>
    </row>
    <row r="164" ht="15" customHeight="1" s="22">
      <c r="A164" s="29" t="n"/>
      <c r="B164" s="29" t="n"/>
      <c r="C164" s="29" t="n"/>
      <c r="D164" s="29" t="n"/>
      <c r="E164" s="29">
        <f>IF(D164="","",D164)</f>
        <v/>
      </c>
    </row>
    <row r="165" ht="15" customHeight="1" s="22">
      <c r="A165" s="29" t="n"/>
      <c r="B165" s="29" t="n"/>
      <c r="C165" s="29" t="n"/>
      <c r="D165" s="29" t="n"/>
      <c r="E165" s="29">
        <f>IF(D165="","",D165)</f>
        <v/>
      </c>
    </row>
    <row r="166" ht="15" customHeight="1" s="22">
      <c r="A166" s="29" t="n"/>
      <c r="B166" s="29" t="n"/>
      <c r="C166" s="29" t="n"/>
      <c r="D166" s="29" t="n"/>
      <c r="E166" s="29">
        <f>IF(D166="","",D166)</f>
        <v/>
      </c>
    </row>
    <row r="167" ht="15" customHeight="1" s="22">
      <c r="A167" s="29" t="n"/>
      <c r="B167" s="29" t="n"/>
      <c r="C167" s="29" t="n"/>
      <c r="D167" s="29" t="n"/>
      <c r="E167" s="29">
        <f>IF(D167="","",D167)</f>
        <v/>
      </c>
    </row>
    <row r="168" ht="15" customHeight="1" s="22">
      <c r="A168" s="29" t="n"/>
      <c r="B168" s="29" t="n"/>
      <c r="C168" s="29" t="n"/>
      <c r="D168" s="29" t="n"/>
      <c r="E168" s="29">
        <f>IF(D168="","",D168)</f>
        <v/>
      </c>
    </row>
    <row r="169" ht="15" customHeight="1" s="22">
      <c r="A169" s="29" t="n"/>
      <c r="B169" s="29" t="n"/>
      <c r="C169" s="29" t="n"/>
      <c r="D169" s="29" t="n"/>
      <c r="E169" s="29">
        <f>IF(D169="","",D169)</f>
        <v/>
      </c>
    </row>
    <row r="170" ht="15" customHeight="1" s="22">
      <c r="A170" s="29" t="n"/>
      <c r="B170" s="29" t="n"/>
      <c r="C170" s="29" t="n"/>
      <c r="D170" s="29" t="n"/>
      <c r="E170" s="29">
        <f>IF(D170="","",D170)</f>
        <v/>
      </c>
    </row>
    <row r="171" ht="15" customHeight="1" s="22">
      <c r="A171" s="29" t="n"/>
      <c r="B171" s="29" t="n"/>
      <c r="C171" s="29" t="n"/>
      <c r="D171" s="29" t="n"/>
      <c r="E171" s="29">
        <f>IF(D171="","",D171)</f>
        <v/>
      </c>
    </row>
    <row r="172" ht="15" customHeight="1" s="22">
      <c r="A172" s="29" t="n"/>
      <c r="B172" s="29" t="n"/>
      <c r="C172" s="29" t="n"/>
      <c r="D172" s="29" t="n"/>
      <c r="E172" s="29">
        <f>IF(D172="","",D172)</f>
        <v/>
      </c>
    </row>
    <row r="173" ht="15" customHeight="1" s="22">
      <c r="A173" s="29" t="n"/>
      <c r="B173" s="29" t="n"/>
      <c r="C173" s="29" t="n"/>
      <c r="D173" s="29" t="n"/>
      <c r="E173" s="29">
        <f>IF(D173="","",D173)</f>
        <v/>
      </c>
    </row>
    <row r="174" ht="15" customHeight="1" s="22">
      <c r="A174" s="29" t="n"/>
      <c r="B174" s="29" t="n"/>
      <c r="C174" s="29" t="n"/>
      <c r="D174" s="29" t="n"/>
      <c r="E174" s="29">
        <f>IF(D174="","",D174)</f>
        <v/>
      </c>
    </row>
    <row r="175" ht="15" customHeight="1" s="22">
      <c r="A175" s="29" t="n"/>
      <c r="B175" s="29" t="n"/>
      <c r="C175" s="29" t="n"/>
      <c r="D175" s="29" t="n"/>
      <c r="E175" s="29">
        <f>IF(D175="","",D175)</f>
        <v/>
      </c>
    </row>
    <row r="176" ht="15" customHeight="1" s="22">
      <c r="A176" s="29" t="n"/>
      <c r="B176" s="29" t="n"/>
      <c r="C176" s="29" t="n"/>
      <c r="D176" s="29" t="n"/>
      <c r="E176" s="29">
        <f>IF(D176="","",D176)</f>
        <v/>
      </c>
    </row>
    <row r="177" ht="15" customHeight="1" s="22">
      <c r="A177" s="29" t="n"/>
      <c r="B177" s="29" t="n"/>
      <c r="C177" s="29" t="n"/>
      <c r="D177" s="29" t="n"/>
      <c r="E177" s="29">
        <f>IF(D177="","",D177)</f>
        <v/>
      </c>
    </row>
    <row r="178" ht="15" customHeight="1" s="22">
      <c r="A178" s="29" t="n"/>
      <c r="B178" s="29" t="n"/>
      <c r="C178" s="29" t="n"/>
      <c r="D178" s="29" t="n"/>
      <c r="E178" s="29">
        <f>IF(D178="","",D178)</f>
        <v/>
      </c>
    </row>
    <row r="179" ht="15" customHeight="1" s="22">
      <c r="A179" s="29" t="n"/>
      <c r="B179" s="29" t="n"/>
      <c r="C179" s="29" t="n"/>
      <c r="D179" s="29" t="n"/>
      <c r="E179" s="29">
        <f>IF(D179="","",D179)</f>
        <v/>
      </c>
    </row>
    <row r="180" ht="15" customHeight="1" s="22">
      <c r="A180" s="29" t="n"/>
      <c r="B180" s="29" t="n"/>
      <c r="C180" s="29" t="n"/>
      <c r="D180" s="29" t="n"/>
      <c r="E180" s="29">
        <f>IF(D180="","",D180)</f>
        <v/>
      </c>
    </row>
    <row r="181" ht="15" customHeight="1" s="22">
      <c r="A181" s="29" t="n"/>
      <c r="B181" s="29" t="n"/>
      <c r="C181" s="29" t="n"/>
      <c r="D181" s="29" t="n"/>
      <c r="E181" s="29">
        <f>IF(D181="","",D181)</f>
        <v/>
      </c>
    </row>
    <row r="182" ht="15" customHeight="1" s="22">
      <c r="A182" s="29" t="n"/>
      <c r="B182" s="29" t="n"/>
      <c r="C182" s="29" t="n"/>
      <c r="D182" s="29" t="n"/>
      <c r="E182" s="29">
        <f>IF(D182="","",D182)</f>
        <v/>
      </c>
    </row>
    <row r="183" ht="15" customHeight="1" s="22">
      <c r="A183" s="29" t="n"/>
      <c r="B183" s="29" t="n"/>
      <c r="C183" s="29" t="n"/>
      <c r="D183" s="29" t="n"/>
      <c r="E183" s="29">
        <f>IF(D183="","",D183)</f>
        <v/>
      </c>
    </row>
    <row r="184" ht="15" customHeight="1" s="22">
      <c r="A184" s="29" t="n"/>
      <c r="B184" s="29" t="n"/>
      <c r="C184" s="29" t="n"/>
      <c r="D184" s="29" t="n"/>
      <c r="E184" s="29">
        <f>IF(D184="","",D184)</f>
        <v/>
      </c>
    </row>
    <row r="185" ht="15" customHeight="1" s="22">
      <c r="A185" s="29" t="n"/>
      <c r="B185" s="29" t="n"/>
      <c r="C185" s="29" t="n"/>
      <c r="D185" s="29" t="n"/>
      <c r="E185" s="29">
        <f>IF(D185="","",D185)</f>
        <v/>
      </c>
    </row>
    <row r="186" ht="15" customHeight="1" s="22">
      <c r="A186" s="29" t="n"/>
      <c r="B186" s="29" t="n"/>
      <c r="C186" s="29" t="n"/>
      <c r="D186" s="29" t="n"/>
      <c r="E186" s="29">
        <f>IF(D186="","",D186)</f>
        <v/>
      </c>
    </row>
    <row r="187" ht="15" customHeight="1" s="22">
      <c r="A187" s="29" t="n"/>
      <c r="B187" s="29" t="n"/>
      <c r="C187" s="29" t="n"/>
      <c r="D187" s="29" t="n"/>
      <c r="E187" s="29">
        <f>IF(D187="","",D187)</f>
        <v/>
      </c>
    </row>
    <row r="188" ht="15" customHeight="1" s="22">
      <c r="A188" s="29" t="n"/>
      <c r="B188" s="29" t="n"/>
      <c r="C188" s="29" t="n"/>
      <c r="D188" s="29" t="n"/>
      <c r="E188" s="29">
        <f>IF(D188="","",D188)</f>
        <v/>
      </c>
    </row>
    <row r="189" ht="15" customHeight="1" s="22">
      <c r="A189" s="29" t="n"/>
      <c r="B189" s="29" t="n"/>
      <c r="C189" s="29" t="n"/>
      <c r="D189" s="29" t="n"/>
      <c r="E189" s="29">
        <f>IF(D189="","",D189)</f>
        <v/>
      </c>
    </row>
    <row r="190" ht="15" customHeight="1" s="22">
      <c r="A190" s="29" t="n"/>
      <c r="B190" s="29" t="n"/>
      <c r="C190" s="29" t="n"/>
      <c r="D190" s="29" t="n"/>
      <c r="E190" s="29">
        <f>IF(D190="","",D190)</f>
        <v/>
      </c>
    </row>
    <row r="191" ht="15" customHeight="1" s="22">
      <c r="A191" s="29" t="n"/>
      <c r="B191" s="29" t="n"/>
      <c r="C191" s="29" t="n"/>
      <c r="D191" s="29" t="n"/>
      <c r="E191" s="29">
        <f>IF(D191="","",D191)</f>
        <v/>
      </c>
    </row>
    <row r="192" ht="15" customHeight="1" s="22">
      <c r="A192" s="29" t="n"/>
      <c r="B192" s="29" t="n"/>
      <c r="C192" s="29" t="n"/>
      <c r="D192" s="29" t="n"/>
      <c r="E192" s="29">
        <f>IF(D192="","",D192)</f>
        <v/>
      </c>
    </row>
    <row r="193" ht="15" customHeight="1" s="22">
      <c r="A193" s="29" t="n"/>
      <c r="B193" s="29" t="n"/>
      <c r="C193" s="29" t="n"/>
      <c r="D193" s="29" t="n"/>
      <c r="E193" s="29">
        <f>IF(D193="","",D193)</f>
        <v/>
      </c>
    </row>
    <row r="194" ht="15" customHeight="1" s="22">
      <c r="A194" s="29" t="n"/>
      <c r="B194" s="29" t="n"/>
      <c r="C194" s="29" t="n"/>
      <c r="D194" s="29" t="n"/>
      <c r="E194" s="29">
        <f>IF(D194="","",D194)</f>
        <v/>
      </c>
    </row>
    <row r="195" ht="15" customHeight="1" s="22">
      <c r="A195" s="29" t="n"/>
      <c r="B195" s="29" t="n"/>
      <c r="C195" s="29" t="n"/>
      <c r="D195" s="29" t="n"/>
      <c r="E195" s="29">
        <f>IF(D195="","",D195)</f>
        <v/>
      </c>
    </row>
    <row r="196" ht="15" customHeight="1" s="22">
      <c r="A196" s="29" t="n"/>
      <c r="B196" s="29" t="n"/>
      <c r="C196" s="29" t="n"/>
      <c r="D196" s="29" t="n"/>
      <c r="E196" s="29">
        <f>IF(D196="","",D196)</f>
        <v/>
      </c>
    </row>
    <row r="197" ht="15" customHeight="1" s="22">
      <c r="A197" s="29" t="n"/>
      <c r="B197" s="29" t="n"/>
      <c r="C197" s="29" t="n"/>
      <c r="D197" s="29" t="n"/>
      <c r="E197" s="29">
        <f>IF(D197="","",D197)</f>
        <v/>
      </c>
    </row>
    <row r="198" ht="15" customHeight="1" s="22">
      <c r="A198" s="29" t="n"/>
      <c r="B198" s="29" t="n"/>
      <c r="C198" s="29" t="n"/>
      <c r="D198" s="29" t="n"/>
      <c r="E198" s="29">
        <f>IF(D198="","",D198)</f>
        <v/>
      </c>
    </row>
    <row r="199" ht="15" customHeight="1" s="22">
      <c r="A199" s="29" t="n"/>
      <c r="B199" s="29" t="n"/>
      <c r="C199" s="29" t="n"/>
      <c r="D199" s="29" t="n"/>
      <c r="E199" s="29">
        <f>IF(D199="","",D199)</f>
        <v/>
      </c>
    </row>
    <row r="200" ht="15" customHeight="1" s="22">
      <c r="A200" s="29" t="n"/>
      <c r="B200" s="29" t="n"/>
      <c r="C200" s="29" t="n"/>
      <c r="D200" s="29" t="n"/>
      <c r="E200" s="29">
        <f>IF(D200="","",D200)</f>
        <v/>
      </c>
    </row>
    <row r="201" ht="15" customHeight="1" s="22">
      <c r="A201" s="29" t="n"/>
      <c r="B201" s="29" t="n"/>
      <c r="C201" s="29" t="n"/>
      <c r="D201" s="29" t="n"/>
      <c r="E201" s="29">
        <f>IF(D201="","",D201)</f>
        <v/>
      </c>
    </row>
    <row r="202" ht="15" customHeight="1" s="22">
      <c r="A202" s="29" t="n"/>
      <c r="B202" s="29" t="n"/>
      <c r="C202" s="29" t="n"/>
      <c r="D202" s="29" t="n"/>
      <c r="E202" s="29">
        <f>IF(D202="","",D202)</f>
        <v/>
      </c>
    </row>
    <row r="203" ht="15" customHeight="1" s="22">
      <c r="A203" s="29" t="n"/>
      <c r="B203" s="29" t="n"/>
      <c r="C203" s="29" t="n"/>
      <c r="D203" s="29" t="n"/>
      <c r="E203" s="29">
        <f>IF(D203="","",D203)</f>
        <v/>
      </c>
    </row>
    <row r="204" ht="15" customHeight="1" s="22">
      <c r="A204" s="29" t="n"/>
      <c r="B204" s="29" t="n"/>
      <c r="C204" s="29" t="n"/>
      <c r="D204" s="29" t="n"/>
      <c r="E204" s="29">
        <f>IF(D204="","",D204)</f>
        <v/>
      </c>
    </row>
    <row r="205" ht="15" customHeight="1" s="22">
      <c r="A205" s="29" t="n"/>
      <c r="B205" s="29" t="n"/>
      <c r="C205" s="29" t="n"/>
      <c r="D205" s="29" t="n"/>
      <c r="E205" s="29">
        <f>IF(D205="","",D205)</f>
        <v/>
      </c>
    </row>
    <row r="206" ht="15" customHeight="1" s="22">
      <c r="A206" s="29" t="n"/>
      <c r="B206" s="29" t="n"/>
      <c r="C206" s="29" t="n"/>
      <c r="D206" s="29" t="n"/>
      <c r="E206" s="29">
        <f>IF(D206="","",D206)</f>
        <v/>
      </c>
    </row>
    <row r="207" ht="15" customHeight="1" s="22">
      <c r="A207" s="29" t="n"/>
      <c r="B207" s="29" t="n"/>
      <c r="C207" s="29" t="n"/>
      <c r="D207" s="29" t="n"/>
      <c r="E207" s="29">
        <f>IF(D207="","",D207)</f>
        <v/>
      </c>
    </row>
    <row r="208" ht="15" customHeight="1" s="22">
      <c r="A208" s="29" t="n"/>
      <c r="B208" s="29" t="n"/>
      <c r="C208" s="29" t="n"/>
      <c r="D208" s="29" t="n"/>
      <c r="E208" s="29">
        <f>IF(D208="","",D208)</f>
        <v/>
      </c>
    </row>
    <row r="209" ht="15" customHeight="1" s="22">
      <c r="A209" s="29" t="n"/>
      <c r="B209" s="29" t="n"/>
      <c r="C209" s="29" t="n"/>
      <c r="D209" s="29" t="n"/>
      <c r="E209" s="29">
        <f>IF(D209="","",D209)</f>
        <v/>
      </c>
    </row>
    <row r="210" ht="15" customHeight="1" s="22">
      <c r="A210" s="29" t="n"/>
      <c r="B210" s="29" t="n"/>
      <c r="C210" s="29" t="n"/>
      <c r="D210" s="29" t="n"/>
      <c r="E210" s="29">
        <f>IF(D210="","",D210)</f>
        <v/>
      </c>
    </row>
    <row r="211" ht="15" customHeight="1" s="22">
      <c r="A211" s="29" t="n"/>
      <c r="B211" s="29" t="n"/>
      <c r="C211" s="29" t="n"/>
      <c r="D211" s="29" t="n"/>
      <c r="E211" s="29">
        <f>IF(D211="","",D211)</f>
        <v/>
      </c>
    </row>
    <row r="212" ht="15" customHeight="1" s="22">
      <c r="A212" s="29" t="n"/>
      <c r="B212" s="29" t="n"/>
      <c r="C212" s="29" t="n"/>
      <c r="D212" s="29" t="n"/>
      <c r="E212" s="29">
        <f>IF(D212="","",D212)</f>
        <v/>
      </c>
    </row>
    <row r="213" ht="15" customHeight="1" s="22">
      <c r="A213" s="29" t="n"/>
      <c r="B213" s="29" t="n"/>
      <c r="C213" s="29" t="n"/>
      <c r="D213" s="29" t="n"/>
      <c r="E213" s="29">
        <f>IF(D213="","",D213)</f>
        <v/>
      </c>
    </row>
    <row r="214" ht="15" customHeight="1" s="22">
      <c r="A214" s="29" t="n"/>
      <c r="B214" s="29" t="n"/>
      <c r="C214" s="29" t="n"/>
      <c r="D214" s="29" t="n"/>
      <c r="E214" s="29">
        <f>IF(D214="","",D214)</f>
        <v/>
      </c>
    </row>
    <row r="215" ht="15" customHeight="1" s="22">
      <c r="A215" s="29" t="n"/>
      <c r="B215" s="29" t="n"/>
      <c r="C215" s="29" t="n"/>
      <c r="D215" s="29" t="n"/>
      <c r="E215" s="29">
        <f>IF(D215="","",D215)</f>
        <v/>
      </c>
    </row>
    <row r="216" ht="15" customHeight="1" s="22">
      <c r="A216" s="29" t="n"/>
      <c r="B216" s="29" t="n"/>
      <c r="C216" s="29" t="n"/>
      <c r="D216" s="29" t="n"/>
      <c r="E216" s="29">
        <f>IF(D216="","",D216)</f>
        <v/>
      </c>
    </row>
    <row r="217" ht="15" customHeight="1" s="22">
      <c r="A217" s="29" t="n"/>
      <c r="B217" s="29" t="n"/>
      <c r="C217" s="29" t="n"/>
      <c r="D217" s="29" t="n"/>
      <c r="E217" s="29">
        <f>IF(D217="","",D217)</f>
        <v/>
      </c>
    </row>
    <row r="218" ht="15" customHeight="1" s="22">
      <c r="A218" s="29" t="n"/>
      <c r="B218" s="29" t="n"/>
      <c r="C218" s="29" t="n"/>
      <c r="D218" s="29" t="n"/>
      <c r="E218" s="29">
        <f>IF(D218="","",D218)</f>
        <v/>
      </c>
    </row>
    <row r="219" ht="15" customHeight="1" s="22">
      <c r="A219" s="29" t="n"/>
      <c r="B219" s="29" t="n"/>
      <c r="C219" s="29" t="n"/>
      <c r="D219" s="29" t="n"/>
      <c r="E219" s="29">
        <f>IF(D219="","",D219)</f>
        <v/>
      </c>
    </row>
    <row r="220" ht="15" customHeight="1" s="22">
      <c r="A220" s="29" t="n"/>
      <c r="B220" s="29" t="n"/>
      <c r="C220" s="29" t="n"/>
      <c r="D220" s="29" t="n"/>
      <c r="E220" s="29">
        <f>IF(D220="","",D220)</f>
        <v/>
      </c>
    </row>
    <row r="221" ht="15" customHeight="1" s="22">
      <c r="A221" s="29" t="n"/>
      <c r="B221" s="29" t="n"/>
      <c r="C221" s="29" t="n"/>
      <c r="D221" s="29" t="n"/>
      <c r="E221" s="29">
        <f>IF(D221="","",D221)</f>
        <v/>
      </c>
    </row>
    <row r="222" ht="15" customHeight="1" s="22">
      <c r="A222" s="29" t="n"/>
      <c r="B222" s="29" t="n"/>
      <c r="C222" s="29" t="n"/>
      <c r="D222" s="29" t="n"/>
      <c r="E222" s="29">
        <f>IF(D222="","",D222)</f>
        <v/>
      </c>
    </row>
    <row r="223" ht="15" customHeight="1" s="22">
      <c r="A223" s="29" t="n"/>
      <c r="B223" s="29" t="n"/>
      <c r="C223" s="29" t="n"/>
      <c r="D223" s="29" t="n"/>
      <c r="E223" s="29">
        <f>IF(D223="","",D223)</f>
        <v/>
      </c>
    </row>
    <row r="224" ht="15" customHeight="1" s="22">
      <c r="A224" s="29" t="n"/>
      <c r="B224" s="29" t="n"/>
      <c r="C224" s="29" t="n"/>
      <c r="D224" s="29" t="n"/>
      <c r="E224" s="29">
        <f>IF(D224="","",D224)</f>
        <v/>
      </c>
    </row>
    <row r="225" ht="15" customHeight="1" s="22">
      <c r="A225" s="29" t="n"/>
      <c r="B225" s="29" t="n"/>
      <c r="C225" s="29" t="n"/>
      <c r="D225" s="29" t="n"/>
      <c r="E225" s="29">
        <f>IF(D225="","",D225)</f>
        <v/>
      </c>
    </row>
    <row r="226" ht="15" customHeight="1" s="22">
      <c r="A226" s="29" t="n"/>
      <c r="B226" s="29" t="n"/>
      <c r="C226" s="29" t="n"/>
      <c r="D226" s="29" t="n"/>
      <c r="E226" s="29">
        <f>IF(D226="","",D226)</f>
        <v/>
      </c>
    </row>
    <row r="227" ht="15" customHeight="1" s="22">
      <c r="A227" s="29" t="n"/>
      <c r="B227" s="29" t="n"/>
      <c r="C227" s="29" t="n"/>
      <c r="D227" s="29" t="n"/>
      <c r="E227" s="29">
        <f>IF(D227="","",D227)</f>
        <v/>
      </c>
    </row>
    <row r="228" ht="15" customHeight="1" s="22">
      <c r="A228" s="29" t="n"/>
      <c r="B228" s="29" t="n"/>
      <c r="C228" s="29" t="n"/>
      <c r="D228" s="29" t="n"/>
      <c r="E228" s="29">
        <f>IF(D228="","",D228)</f>
        <v/>
      </c>
    </row>
    <row r="229" ht="15" customHeight="1" s="22">
      <c r="A229" s="29" t="n"/>
      <c r="B229" s="29" t="n"/>
      <c r="C229" s="29" t="n"/>
      <c r="D229" s="29" t="n"/>
      <c r="E229" s="29">
        <f>IF(D229="","",D229)</f>
        <v/>
      </c>
    </row>
    <row r="230" ht="15" customHeight="1" s="22">
      <c r="A230" s="29" t="n"/>
      <c r="B230" s="29" t="n"/>
      <c r="C230" s="29" t="n"/>
      <c r="D230" s="29" t="n"/>
      <c r="E230" s="29">
        <f>IF(D230="","",D230)</f>
        <v/>
      </c>
    </row>
    <row r="231" ht="15" customHeight="1" s="22">
      <c r="A231" s="29" t="n"/>
      <c r="B231" s="29" t="n"/>
      <c r="C231" s="29" t="n"/>
      <c r="D231" s="29" t="n"/>
      <c r="E231" s="29">
        <f>IF(D231="","",D231)</f>
        <v/>
      </c>
    </row>
    <row r="232" ht="15" customHeight="1" s="22">
      <c r="A232" s="29" t="n"/>
      <c r="B232" s="29" t="n"/>
      <c r="C232" s="29" t="n"/>
      <c r="D232" s="29" t="n"/>
      <c r="E232" s="29">
        <f>IF(D232="","",D232)</f>
        <v/>
      </c>
    </row>
    <row r="233" ht="15" customHeight="1" s="22">
      <c r="A233" s="29" t="n"/>
      <c r="B233" s="29" t="n"/>
      <c r="C233" s="29" t="n"/>
      <c r="D233" s="29" t="n"/>
      <c r="E233" s="29">
        <f>IF(D233="","",D233)</f>
        <v/>
      </c>
    </row>
    <row r="234" ht="15" customHeight="1" s="22">
      <c r="A234" s="29" t="n"/>
      <c r="B234" s="29" t="n"/>
      <c r="C234" s="29" t="n"/>
      <c r="D234" s="29" t="n"/>
      <c r="E234" s="29">
        <f>IF(D234="","",D234)</f>
        <v/>
      </c>
    </row>
    <row r="235" ht="15" customHeight="1" s="22">
      <c r="A235" s="29" t="n"/>
      <c r="B235" s="29" t="n"/>
      <c r="C235" s="29" t="n"/>
      <c r="D235" s="29" t="n"/>
      <c r="E235" s="29">
        <f>IF(D235="","",D235)</f>
        <v/>
      </c>
    </row>
    <row r="236" ht="15" customHeight="1" s="22">
      <c r="A236" s="29" t="n"/>
      <c r="B236" s="29" t="n"/>
      <c r="C236" s="29" t="n"/>
      <c r="D236" s="29" t="n"/>
      <c r="E236" s="29">
        <f>IF(D236="","",D236)</f>
        <v/>
      </c>
    </row>
    <row r="237" ht="15" customHeight="1" s="22">
      <c r="A237" s="29" t="n"/>
      <c r="B237" s="29" t="n"/>
      <c r="C237" s="29" t="n"/>
      <c r="D237" s="29" t="n"/>
      <c r="E237" s="29">
        <f>IF(D237="","",D237)</f>
        <v/>
      </c>
    </row>
    <row r="238" ht="15" customHeight="1" s="22">
      <c r="A238" s="29" t="n"/>
      <c r="B238" s="29" t="n"/>
      <c r="C238" s="29" t="n"/>
      <c r="D238" s="29" t="n"/>
      <c r="E238" s="29">
        <f>IF(D238="","",D238)</f>
        <v/>
      </c>
    </row>
    <row r="239" ht="15" customHeight="1" s="22">
      <c r="A239" s="29" t="n"/>
      <c r="B239" s="29" t="n"/>
      <c r="C239" s="29" t="n"/>
      <c r="D239" s="29" t="n"/>
      <c r="E239" s="29">
        <f>IF(D239="","",D239)</f>
        <v/>
      </c>
    </row>
    <row r="240" ht="15" customHeight="1" s="22">
      <c r="A240" s="29" t="n"/>
      <c r="B240" s="29" t="n"/>
      <c r="C240" s="29" t="n"/>
      <c r="D240" s="29" t="n"/>
      <c r="E240" s="29">
        <f>IF(D240="","",D240)</f>
        <v/>
      </c>
    </row>
    <row r="241" ht="15" customHeight="1" s="22">
      <c r="A241" s="29" t="n"/>
      <c r="B241" s="29" t="n"/>
      <c r="C241" s="29" t="n"/>
      <c r="D241" s="29" t="n"/>
      <c r="E241" s="29">
        <f>IF(D241="","",D241)</f>
        <v/>
      </c>
    </row>
    <row r="242" ht="15" customHeight="1" s="22">
      <c r="A242" s="29" t="n"/>
      <c r="B242" s="29" t="n"/>
      <c r="C242" s="29" t="n"/>
      <c r="D242" s="29" t="n"/>
      <c r="E242" s="29">
        <f>IF(D242="","",D242)</f>
        <v/>
      </c>
    </row>
    <row r="243" ht="15" customHeight="1" s="22">
      <c r="A243" s="29" t="n"/>
      <c r="B243" s="29" t="n"/>
      <c r="C243" s="29" t="n"/>
      <c r="D243" s="29" t="n"/>
      <c r="E243" s="29">
        <f>IF(D243="","",D243)</f>
        <v/>
      </c>
    </row>
    <row r="244" ht="15" customHeight="1" s="22">
      <c r="A244" s="29" t="n"/>
      <c r="B244" s="29" t="n"/>
      <c r="C244" s="29" t="n"/>
      <c r="D244" s="29" t="n"/>
      <c r="E244" s="29">
        <f>IF(D244="","",D244)</f>
        <v/>
      </c>
    </row>
    <row r="245" ht="15" customHeight="1" s="22">
      <c r="A245" s="29" t="n"/>
      <c r="B245" s="29" t="n"/>
      <c r="C245" s="29" t="n"/>
      <c r="D245" s="29" t="n"/>
      <c r="E245" s="29">
        <f>IF(D245="","",D245)</f>
        <v/>
      </c>
    </row>
    <row r="246" ht="15" customHeight="1" s="22">
      <c r="A246" s="29" t="n"/>
      <c r="B246" s="29" t="n"/>
      <c r="C246" s="29" t="n"/>
      <c r="D246" s="29" t="n"/>
      <c r="E246" s="29">
        <f>IF(D246="","",D246)</f>
        <v/>
      </c>
    </row>
    <row r="247" ht="15" customHeight="1" s="22">
      <c r="A247" s="29" t="n"/>
      <c r="B247" s="29" t="n"/>
      <c r="C247" s="29" t="n"/>
      <c r="D247" s="29" t="n"/>
      <c r="E247" s="29">
        <f>IF(D247="","",D247)</f>
        <v/>
      </c>
    </row>
    <row r="248" ht="15" customHeight="1" s="22">
      <c r="A248" s="29" t="n"/>
      <c r="B248" s="29" t="n"/>
      <c r="C248" s="29" t="n"/>
      <c r="D248" s="29" t="n"/>
      <c r="E248" s="29">
        <f>IF(D248="","",D248)</f>
        <v/>
      </c>
    </row>
    <row r="249" ht="15" customHeight="1" s="22">
      <c r="A249" s="29" t="n"/>
      <c r="B249" s="29" t="n"/>
      <c r="C249" s="29" t="n"/>
      <c r="D249" s="29" t="n"/>
      <c r="E249" s="29">
        <f>IF(D249="","",D249)</f>
        <v/>
      </c>
    </row>
    <row r="250" ht="15" customHeight="1" s="22">
      <c r="A250" s="29" t="n"/>
      <c r="B250" s="29" t="n"/>
      <c r="C250" s="29" t="n"/>
      <c r="D250" s="29" t="n"/>
      <c r="E250" s="29">
        <f>IF(D250="","",D250)</f>
        <v/>
      </c>
    </row>
    <row r="251" ht="15" customHeight="1" s="22">
      <c r="A251" s="29" t="n"/>
      <c r="B251" s="29" t="n"/>
      <c r="C251" s="29" t="n"/>
      <c r="D251" s="29" t="n"/>
      <c r="E251" s="29">
        <f>IF(D251="","",D251)</f>
        <v/>
      </c>
    </row>
    <row r="252" ht="15" customHeight="1" s="22">
      <c r="A252" s="29" t="n"/>
      <c r="B252" s="29" t="n"/>
      <c r="C252" s="29" t="n"/>
      <c r="D252" s="29" t="n"/>
      <c r="E252" s="29">
        <f>IF(D252="","",D252)</f>
        <v/>
      </c>
    </row>
    <row r="253" ht="15" customHeight="1" s="22">
      <c r="A253" s="29" t="n"/>
      <c r="B253" s="29" t="n"/>
      <c r="C253" s="29" t="n"/>
      <c r="D253" s="29" t="n"/>
      <c r="E253" s="29">
        <f>IF(D253="","",D253)</f>
        <v/>
      </c>
    </row>
    <row r="254" ht="15" customHeight="1" s="22">
      <c r="A254" s="29" t="n"/>
      <c r="B254" s="29" t="n"/>
      <c r="C254" s="29" t="n"/>
      <c r="D254" s="29" t="n"/>
      <c r="E254" s="29">
        <f>IF(D254="","",D254)</f>
        <v/>
      </c>
    </row>
    <row r="255" ht="15" customHeight="1" s="22">
      <c r="A255" s="29" t="n"/>
      <c r="B255" s="29" t="n"/>
      <c r="C255" s="29" t="n"/>
      <c r="D255" s="29" t="n"/>
      <c r="E255" s="29">
        <f>IF(D255="","",D255)</f>
        <v/>
      </c>
    </row>
    <row r="256" ht="15" customHeight="1" s="22">
      <c r="A256" s="29" t="n"/>
      <c r="B256" s="29" t="n"/>
      <c r="C256" s="29" t="n"/>
      <c r="D256" s="29" t="n"/>
      <c r="E256" s="29">
        <f>IF(D256="","",D256)</f>
        <v/>
      </c>
    </row>
    <row r="257" ht="15" customHeight="1" s="22">
      <c r="A257" s="29" t="n"/>
      <c r="B257" s="29" t="n"/>
      <c r="C257" s="29" t="n"/>
      <c r="D257" s="29" t="n"/>
      <c r="E257" s="29">
        <f>IF(D257="","",D257)</f>
        <v/>
      </c>
    </row>
    <row r="258" ht="15" customHeight="1" s="22">
      <c r="A258" s="29" t="n"/>
      <c r="B258" s="29" t="n"/>
      <c r="C258" s="29" t="n"/>
      <c r="D258" s="29" t="n"/>
      <c r="E258" s="29">
        <f>IF(D258="","",D258)</f>
        <v/>
      </c>
    </row>
    <row r="259" ht="15" customHeight="1" s="22">
      <c r="A259" s="29" t="n"/>
      <c r="B259" s="29" t="n"/>
      <c r="C259" s="29" t="n"/>
      <c r="D259" s="29" t="n"/>
      <c r="E259" s="29">
        <f>IF(D259="","",D259)</f>
        <v/>
      </c>
    </row>
    <row r="260" ht="15" customHeight="1" s="22">
      <c r="A260" s="29" t="n"/>
      <c r="B260" s="29" t="n"/>
      <c r="C260" s="29" t="n"/>
      <c r="D260" s="29" t="n"/>
      <c r="E260" s="29">
        <f>IF(D260="","",D260)</f>
        <v/>
      </c>
    </row>
    <row r="261" ht="15" customHeight="1" s="22">
      <c r="A261" s="29" t="n"/>
      <c r="B261" s="29" t="n"/>
      <c r="C261" s="29" t="n"/>
      <c r="D261" s="29" t="n"/>
      <c r="E261" s="29">
        <f>IF(D261="","",D261)</f>
        <v/>
      </c>
    </row>
    <row r="262" ht="15" customHeight="1" s="22">
      <c r="A262" s="29" t="n"/>
      <c r="B262" s="29" t="n"/>
      <c r="C262" s="29" t="n"/>
      <c r="D262" s="29" t="n"/>
      <c r="E262" s="29">
        <f>IF(D262="","",D262)</f>
        <v/>
      </c>
    </row>
    <row r="263" ht="15" customHeight="1" s="22">
      <c r="A263" s="29" t="n"/>
      <c r="B263" s="29" t="n"/>
      <c r="C263" s="29" t="n"/>
      <c r="D263" s="29" t="n"/>
      <c r="E263" s="29">
        <f>IF(D263="","",D263)</f>
        <v/>
      </c>
    </row>
    <row r="264" ht="15" customHeight="1" s="22">
      <c r="A264" s="29" t="n"/>
      <c r="B264" s="29" t="n"/>
      <c r="C264" s="29" t="n"/>
      <c r="D264" s="29" t="n"/>
      <c r="E264" s="29">
        <f>IF(D264="","",D264)</f>
        <v/>
      </c>
    </row>
    <row r="265" ht="15" customHeight="1" s="22">
      <c r="A265" s="29" t="n"/>
      <c r="B265" s="29" t="n"/>
      <c r="C265" s="29" t="n"/>
      <c r="D265" s="29" t="n"/>
      <c r="E265" s="29">
        <f>IF(D265="","",D265)</f>
        <v/>
      </c>
    </row>
    <row r="266" ht="15" customHeight="1" s="22">
      <c r="A266" s="29" t="n"/>
      <c r="B266" s="29" t="n"/>
      <c r="C266" s="29" t="n"/>
      <c r="D266" s="29" t="n"/>
      <c r="E266" s="29">
        <f>IF(D266="","",D266)</f>
        <v/>
      </c>
    </row>
    <row r="267" ht="15" customHeight="1" s="22">
      <c r="A267" s="29" t="n"/>
      <c r="B267" s="29" t="n"/>
      <c r="C267" s="29" t="n"/>
      <c r="D267" s="29" t="n"/>
      <c r="E267" s="29">
        <f>IF(D267="","",D267)</f>
        <v/>
      </c>
    </row>
    <row r="268" ht="15" customHeight="1" s="22">
      <c r="A268" s="29" t="n"/>
      <c r="B268" s="29" t="n"/>
      <c r="C268" s="29" t="n"/>
      <c r="D268" s="29" t="n"/>
      <c r="E268" s="29">
        <f>IF(D268="","",D268)</f>
        <v/>
      </c>
    </row>
    <row r="269" ht="15" customHeight="1" s="22">
      <c r="A269" s="29" t="n"/>
      <c r="B269" s="29" t="n"/>
      <c r="C269" s="29" t="n"/>
      <c r="D269" s="29" t="n"/>
      <c r="E269" s="29">
        <f>IF(D269="","",D269)</f>
        <v/>
      </c>
    </row>
    <row r="270" ht="15" customHeight="1" s="22">
      <c r="A270" s="29" t="n"/>
      <c r="B270" s="29" t="n"/>
      <c r="C270" s="29" t="n"/>
      <c r="D270" s="29" t="n"/>
      <c r="E270" s="29">
        <f>IF(D270="","",D270)</f>
        <v/>
      </c>
    </row>
    <row r="271" ht="15" customHeight="1" s="22">
      <c r="A271" s="29" t="n"/>
      <c r="B271" s="29" t="n"/>
      <c r="C271" s="29" t="n"/>
      <c r="D271" s="29" t="n"/>
      <c r="E271" s="29">
        <f>IF(D271="","",D271)</f>
        <v/>
      </c>
    </row>
    <row r="272" ht="15" customHeight="1" s="22">
      <c r="A272" s="29" t="n"/>
      <c r="B272" s="29" t="n"/>
      <c r="C272" s="29" t="n"/>
      <c r="D272" s="29" t="n"/>
      <c r="E272" s="29">
        <f>IF(D272="","",D272)</f>
        <v/>
      </c>
    </row>
    <row r="273" ht="15" customHeight="1" s="22">
      <c r="A273" s="29" t="n"/>
      <c r="B273" s="29" t="n"/>
      <c r="C273" s="29" t="n"/>
      <c r="D273" s="29" t="n"/>
      <c r="E273" s="29">
        <f>IF(D273="","",D273)</f>
        <v/>
      </c>
    </row>
    <row r="274" ht="15" customHeight="1" s="22">
      <c r="A274" s="29" t="n"/>
      <c r="B274" s="29" t="n"/>
      <c r="C274" s="29" t="n"/>
      <c r="D274" s="29" t="n"/>
      <c r="E274" s="29">
        <f>IF(D274="","",D274)</f>
        <v/>
      </c>
    </row>
    <row r="275" ht="15" customHeight="1" s="22">
      <c r="A275" s="29" t="n"/>
      <c r="B275" s="29" t="n"/>
      <c r="C275" s="29" t="n"/>
      <c r="D275" s="29" t="n"/>
      <c r="E275" s="29">
        <f>IF(D275="","",D275)</f>
        <v/>
      </c>
    </row>
    <row r="276" ht="15" customHeight="1" s="22">
      <c r="A276" s="29" t="n"/>
      <c r="B276" s="29" t="n"/>
      <c r="C276" s="29" t="n"/>
      <c r="D276" s="29" t="n"/>
      <c r="E276" s="29">
        <f>IF(D276="","",D276)</f>
        <v/>
      </c>
    </row>
    <row r="277" ht="15" customHeight="1" s="22">
      <c r="A277" s="29" t="n"/>
      <c r="B277" s="29" t="n"/>
      <c r="C277" s="29" t="n"/>
      <c r="D277" s="29" t="n"/>
      <c r="E277" s="29">
        <f>IF(D277="","",D277)</f>
        <v/>
      </c>
    </row>
    <row r="278" ht="15" customHeight="1" s="22">
      <c r="A278" s="29" t="n"/>
      <c r="B278" s="29" t="n"/>
      <c r="C278" s="29" t="n"/>
      <c r="D278" s="29" t="n"/>
      <c r="E278" s="29">
        <f>IF(D278="","",D278)</f>
        <v/>
      </c>
    </row>
    <row r="279" ht="15" customHeight="1" s="22">
      <c r="A279" s="29" t="n"/>
      <c r="B279" s="29" t="n"/>
      <c r="C279" s="29" t="n"/>
      <c r="D279" s="29" t="n"/>
      <c r="E279" s="29">
        <f>IF(D279="","",D279)</f>
        <v/>
      </c>
    </row>
    <row r="280" ht="15" customHeight="1" s="22">
      <c r="A280" s="29" t="n"/>
      <c r="B280" s="29" t="n"/>
      <c r="C280" s="29" t="n"/>
      <c r="D280" s="29" t="n"/>
      <c r="E280" s="29">
        <f>IF(D280="","",D280)</f>
        <v/>
      </c>
    </row>
    <row r="281" ht="15" customHeight="1" s="22">
      <c r="A281" s="29" t="n"/>
      <c r="B281" s="29" t="n"/>
      <c r="C281" s="29" t="n"/>
      <c r="D281" s="29" t="n"/>
      <c r="E281" s="29">
        <f>IF(D281="","",D281)</f>
        <v/>
      </c>
    </row>
    <row r="282" ht="15" customHeight="1" s="22">
      <c r="A282" s="29" t="n"/>
      <c r="B282" s="29" t="n"/>
      <c r="C282" s="29" t="n"/>
      <c r="D282" s="29" t="n"/>
      <c r="E282" s="29">
        <f>IF(D282="","",D282)</f>
        <v/>
      </c>
    </row>
    <row r="283" ht="15" customHeight="1" s="22">
      <c r="A283" s="29" t="n"/>
      <c r="B283" s="29" t="n"/>
      <c r="C283" s="29" t="n"/>
      <c r="D283" s="29" t="n"/>
      <c r="E283" s="29">
        <f>IF(D283="","",D283)</f>
        <v/>
      </c>
    </row>
    <row r="284" ht="15" customHeight="1" s="22">
      <c r="A284" s="29" t="n"/>
      <c r="B284" s="29" t="n"/>
      <c r="C284" s="29" t="n"/>
      <c r="D284" s="29" t="n"/>
      <c r="E284" s="29">
        <f>IF(D284="","",D284)</f>
        <v/>
      </c>
    </row>
    <row r="285" ht="15" customHeight="1" s="22">
      <c r="A285" s="29" t="n"/>
      <c r="B285" s="29" t="n"/>
      <c r="C285" s="29" t="n"/>
      <c r="D285" s="29" t="n"/>
      <c r="E285" s="29">
        <f>IF(D285="","",D285)</f>
        <v/>
      </c>
    </row>
    <row r="286" ht="15" customHeight="1" s="22">
      <c r="A286" s="29" t="n"/>
      <c r="B286" s="29" t="n"/>
      <c r="C286" s="29" t="n"/>
      <c r="D286" s="29" t="n"/>
      <c r="E286" s="29">
        <f>IF(D286="","",D286)</f>
        <v/>
      </c>
    </row>
    <row r="287" ht="15" customHeight="1" s="22">
      <c r="A287" s="29" t="n"/>
      <c r="B287" s="29" t="n"/>
      <c r="C287" s="29" t="n"/>
      <c r="D287" s="29" t="n"/>
      <c r="E287" s="29">
        <f>IF(D287="","",D287)</f>
        <v/>
      </c>
    </row>
    <row r="288" ht="15" customHeight="1" s="22">
      <c r="A288" s="29" t="n"/>
      <c r="B288" s="29" t="n"/>
      <c r="C288" s="29" t="n"/>
      <c r="D288" s="29" t="n"/>
      <c r="E288" s="29">
        <f>IF(D288="","",D288)</f>
        <v/>
      </c>
    </row>
    <row r="289" ht="15" customHeight="1" s="22">
      <c r="A289" s="29" t="n"/>
      <c r="B289" s="29" t="n"/>
      <c r="C289" s="29" t="n"/>
      <c r="D289" s="29" t="n"/>
      <c r="E289" s="29">
        <f>IF(D289="","",D289)</f>
        <v/>
      </c>
    </row>
    <row r="290" ht="15" customHeight="1" s="22">
      <c r="A290" s="29" t="n"/>
      <c r="B290" s="29" t="n"/>
      <c r="C290" s="29" t="n"/>
      <c r="D290" s="29" t="n"/>
      <c r="E290" s="29">
        <f>IF(D290="","",D290)</f>
        <v/>
      </c>
    </row>
    <row r="291" ht="15" customHeight="1" s="22">
      <c r="A291" s="29" t="n"/>
      <c r="B291" s="29" t="n"/>
      <c r="C291" s="29" t="n"/>
      <c r="D291" s="29" t="n"/>
      <c r="E291" s="29">
        <f>IF(D291="","",D291)</f>
        <v/>
      </c>
    </row>
    <row r="292" ht="15" customHeight="1" s="22">
      <c r="A292" s="29" t="n"/>
      <c r="B292" s="29" t="n"/>
      <c r="C292" s="29" t="n"/>
      <c r="D292" s="29" t="n"/>
      <c r="E292" s="29">
        <f>IF(D292="","",D292)</f>
        <v/>
      </c>
    </row>
    <row r="293" ht="15" customHeight="1" s="22">
      <c r="A293" s="29" t="n"/>
      <c r="B293" s="29" t="n"/>
      <c r="C293" s="29" t="n"/>
      <c r="D293" s="29" t="n"/>
      <c r="E293" s="29">
        <f>IF(D293="","",D293)</f>
        <v/>
      </c>
    </row>
    <row r="294" ht="15" customHeight="1" s="22">
      <c r="A294" s="29" t="n"/>
      <c r="B294" s="29" t="n"/>
      <c r="C294" s="29" t="n"/>
      <c r="D294" s="29" t="n"/>
      <c r="E294" s="29">
        <f>IF(D294="","",D294)</f>
        <v/>
      </c>
    </row>
    <row r="295" ht="15" customHeight="1" s="22">
      <c r="A295" s="29" t="n"/>
      <c r="B295" s="29" t="n"/>
      <c r="C295" s="29" t="n"/>
      <c r="D295" s="29" t="n"/>
      <c r="E295" s="29">
        <f>IF(D295="","",D295)</f>
        <v/>
      </c>
    </row>
    <row r="296" ht="15" customHeight="1" s="22">
      <c r="A296" s="29" t="n"/>
      <c r="B296" s="29" t="n"/>
      <c r="C296" s="29" t="n"/>
      <c r="D296" s="29" t="n"/>
      <c r="E296" s="29">
        <f>IF(D296="","",D296)</f>
        <v/>
      </c>
    </row>
    <row r="297" ht="15" customHeight="1" s="22">
      <c r="A297" s="29" t="n"/>
      <c r="B297" s="29" t="n"/>
      <c r="C297" s="29" t="n"/>
      <c r="D297" s="29" t="n"/>
      <c r="E297" s="29">
        <f>IF(D297="","",D297)</f>
        <v/>
      </c>
    </row>
    <row r="298" ht="15" customHeight="1" s="22">
      <c r="A298" s="29" t="n"/>
      <c r="B298" s="29" t="n"/>
      <c r="C298" s="29" t="n"/>
      <c r="D298" s="29" t="n"/>
      <c r="E298" s="29">
        <f>IF(D298="","",D298)</f>
        <v/>
      </c>
    </row>
    <row r="299" ht="15" customHeight="1" s="22">
      <c r="A299" s="29" t="n"/>
      <c r="B299" s="29" t="n"/>
      <c r="C299" s="29" t="n"/>
      <c r="D299" s="29" t="n"/>
      <c r="E299" s="29">
        <f>IF(D299="","",D299)</f>
        <v/>
      </c>
    </row>
    <row r="300" ht="15" customHeight="1" s="22">
      <c r="A300" s="29" t="n"/>
      <c r="B300" s="29" t="n"/>
      <c r="C300" s="29" t="n"/>
      <c r="D300" s="29" t="n"/>
      <c r="E300" s="29">
        <f>IF(D300="","",D300)</f>
        <v/>
      </c>
    </row>
  </sheetData>
  <autoFilter ref="A2:E300"/>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4" customWidth="1" style="21" min="1" max="1"/>
    <col width="17" customWidth="1" style="21" min="2" max="2"/>
    <col width="14" customWidth="1" style="21" min="3" max="4"/>
    <col width="19" customWidth="1" style="21" min="5" max="5"/>
    <col width="31" customWidth="1" style="21" min="6" max="6"/>
  </cols>
  <sheetData>
    <row r="1" ht="30" customHeight="1" s="22">
      <c r="A1" s="23" t="inlineStr">
        <is>
          <t>SALLES — DESCRIPTIF ET EQUIPEMENTS</t>
        </is>
      </c>
    </row>
    <row r="2" ht="31.5" customHeight="1" s="22">
      <c r="A2" s="28" t="inlineStr">
        <is>
          <t>ID salle</t>
        </is>
      </c>
      <c r="B2" s="28" t="inlineStr">
        <is>
          <t>Nom / libelle</t>
        </is>
      </c>
      <c r="C2" s="28" t="inlineStr">
        <is>
          <t>Type (*)</t>
        </is>
      </c>
      <c r="D2" s="28" t="inlineStr">
        <is>
          <t>Capacite</t>
        </is>
      </c>
      <c r="E2" s="28" t="inlineStr">
        <is>
          <t>Equipements (*)</t>
        </is>
      </c>
      <c r="F2" s="28" t="inlineStr">
        <is>
          <t>Batiment / localisation (*)</t>
        </is>
      </c>
    </row>
    <row r="3" ht="15" customHeight="1" s="22">
      <c r="A3" s="21" t="inlineStr">
        <is>
          <t>SC02</t>
        </is>
      </c>
      <c r="B3" s="21" t="inlineStr">
        <is>
          <t>Salle de cours N°2</t>
        </is>
      </c>
      <c r="C3" s="21" t="inlineStr">
        <is>
          <t>Cours</t>
        </is>
      </c>
      <c r="D3" s="21" t="n">
        <v>37</v>
      </c>
      <c r="E3" s="21" t="inlineStr"/>
      <c r="F3" s="21" t="inlineStr"/>
    </row>
    <row r="4" ht="15" customHeight="1" s="22">
      <c r="A4" s="21" t="inlineStr">
        <is>
          <t>SC04</t>
        </is>
      </c>
      <c r="B4" s="21" t="inlineStr">
        <is>
          <t>Salle de cours N°4</t>
        </is>
      </c>
      <c r="C4" s="21" t="inlineStr">
        <is>
          <t>Cours</t>
        </is>
      </c>
      <c r="D4" s="21" t="n">
        <v>86</v>
      </c>
      <c r="E4" s="21" t="inlineStr"/>
      <c r="F4" s="21" t="inlineStr"/>
    </row>
    <row r="5" ht="15" customHeight="1" s="22">
      <c r="A5" s="21" t="inlineStr">
        <is>
          <t>SC06</t>
        </is>
      </c>
      <c r="B5" s="21" t="inlineStr">
        <is>
          <t>Salle de cours N°6</t>
        </is>
      </c>
      <c r="C5" s="21" t="inlineStr">
        <is>
          <t>Cours</t>
        </is>
      </c>
      <c r="D5" s="21" t="n">
        <v>87</v>
      </c>
      <c r="E5" s="21" t="inlineStr"/>
      <c r="F5" s="21" t="inlineStr"/>
    </row>
    <row r="6" ht="15" customHeight="1" s="22">
      <c r="A6" s="21" t="inlineStr">
        <is>
          <t>SC07</t>
        </is>
      </c>
      <c r="B6" s="21" t="inlineStr">
        <is>
          <t>Salle de cours N°7</t>
        </is>
      </c>
      <c r="C6" s="21" t="inlineStr">
        <is>
          <t>Cours</t>
        </is>
      </c>
      <c r="D6" s="21" t="n">
        <v>19</v>
      </c>
      <c r="E6" s="21" t="inlineStr"/>
      <c r="F6" s="21" t="inlineStr"/>
    </row>
    <row r="7" ht="15" customHeight="1" s="22">
      <c r="A7" s="21" t="inlineStr">
        <is>
          <t>SC08</t>
        </is>
      </c>
      <c r="B7" s="21" t="inlineStr">
        <is>
          <t>Salle de cours N°8</t>
        </is>
      </c>
      <c r="C7" s="21" t="inlineStr">
        <is>
          <t>Cours</t>
        </is>
      </c>
      <c r="D7" s="21" t="n">
        <v>25</v>
      </c>
      <c r="E7" s="21" t="inlineStr"/>
      <c r="F7" s="21" t="inlineStr"/>
    </row>
    <row r="8" ht="15" customHeight="1" s="22">
      <c r="A8" s="21" t="inlineStr">
        <is>
          <t>SC09</t>
        </is>
      </c>
      <c r="B8" s="21" t="inlineStr">
        <is>
          <t>Salle de cours N°9</t>
        </is>
      </c>
      <c r="C8" s="21" t="inlineStr">
        <is>
          <t>Cours</t>
        </is>
      </c>
      <c r="D8" s="21" t="n">
        <v>50</v>
      </c>
      <c r="E8" s="21" t="inlineStr"/>
      <c r="F8" s="21" t="inlineStr"/>
    </row>
    <row r="9" ht="15" customHeight="1" s="22">
      <c r="A9" s="21" t="inlineStr">
        <is>
          <t>SC10</t>
        </is>
      </c>
      <c r="B9" s="21" t="inlineStr">
        <is>
          <t>Salle de cours N°10</t>
        </is>
      </c>
      <c r="C9" s="21" t="inlineStr">
        <is>
          <t>Cours</t>
        </is>
      </c>
      <c r="D9" s="21" t="n">
        <v>74</v>
      </c>
      <c r="E9" s="21" t="inlineStr"/>
      <c r="F9" s="21" t="inlineStr"/>
    </row>
    <row r="10" ht="15" customHeight="1" s="22">
      <c r="A10" s="21" t="inlineStr">
        <is>
          <t>TP1</t>
        </is>
      </c>
      <c r="B10" s="21" t="inlineStr">
        <is>
          <t>Salle de TP — Simulation néonatologie</t>
        </is>
      </c>
      <c r="C10" s="21" t="inlineStr">
        <is>
          <t>TP</t>
        </is>
      </c>
      <c r="D10" s="21" t="inlineStr"/>
      <c r="E10" s="21" t="inlineStr"/>
      <c r="F10" s="21" t="inlineStr"/>
    </row>
    <row r="11" ht="15" customHeight="1" s="22">
      <c r="A11" s="21" t="inlineStr">
        <is>
          <t>TP2</t>
        </is>
      </c>
      <c r="B11" s="21" t="inlineStr">
        <is>
          <t>Salle de TP — Simulation pédiatrie</t>
        </is>
      </c>
      <c r="C11" s="21" t="inlineStr">
        <is>
          <t>TP</t>
        </is>
      </c>
      <c r="D11" s="21" t="inlineStr"/>
      <c r="E11" s="21" t="inlineStr"/>
      <c r="F11" s="21" t="inlineStr"/>
    </row>
    <row r="12" ht="15" customHeight="1" s="22">
      <c r="A12" s="21" t="inlineStr">
        <is>
          <t>TP3</t>
        </is>
      </c>
      <c r="B12" s="21" t="inlineStr">
        <is>
          <t>Salle de TP — LMS</t>
        </is>
      </c>
      <c r="C12" s="21" t="inlineStr">
        <is>
          <t>TP</t>
        </is>
      </c>
      <c r="D12" s="21" t="inlineStr"/>
      <c r="E12" s="21" t="inlineStr"/>
      <c r="F12" s="21" t="inlineStr"/>
    </row>
    <row r="13" ht="15" customHeight="1" s="22">
      <c r="A13" s="21" t="inlineStr">
        <is>
          <t>TP4</t>
        </is>
      </c>
      <c r="B13" s="21" t="inlineStr">
        <is>
          <t>Salle de TP — Urgences réanimation</t>
        </is>
      </c>
      <c r="C13" s="21" t="inlineStr">
        <is>
          <t>TP</t>
        </is>
      </c>
      <c r="D13" s="21" t="inlineStr"/>
      <c r="E13" s="21" t="inlineStr"/>
      <c r="F13" s="21" t="inlineStr"/>
    </row>
    <row r="14" ht="15" customHeight="1" s="22">
      <c r="A14" s="21" t="inlineStr">
        <is>
          <t>TP5</t>
        </is>
      </c>
      <c r="B14" s="21" t="inlineStr">
        <is>
          <t>Salle de TP — Simulation accouchement</t>
        </is>
      </c>
      <c r="C14" s="21" t="inlineStr">
        <is>
          <t>TP</t>
        </is>
      </c>
      <c r="D14" s="21" t="inlineStr"/>
      <c r="E14" s="21" t="inlineStr"/>
      <c r="F14" s="21" t="inlineStr"/>
    </row>
    <row r="15" ht="15" customHeight="1" s="22">
      <c r="A15" s="21" t="inlineStr">
        <is>
          <t>TP6</t>
        </is>
      </c>
      <c r="B15" s="21" t="inlineStr">
        <is>
          <t>Salle de TP — Simulation hémorragies gynéco-obstétrique</t>
        </is>
      </c>
      <c r="C15" s="21" t="inlineStr">
        <is>
          <t>TP</t>
        </is>
      </c>
      <c r="D15" s="21" t="inlineStr"/>
      <c r="E15" s="21" t="inlineStr"/>
      <c r="F15" s="21" t="inlineStr"/>
    </row>
    <row r="16" ht="15" customHeight="1" s="22">
      <c r="A16" s="21" t="inlineStr">
        <is>
          <t>TP7</t>
        </is>
      </c>
      <c r="B16" s="21" t="inlineStr">
        <is>
          <t>Salle de TP — Soins de base</t>
        </is>
      </c>
      <c r="C16" s="21" t="inlineStr">
        <is>
          <t>TP</t>
        </is>
      </c>
      <c r="D16" s="21" t="inlineStr"/>
      <c r="E16" s="21" t="inlineStr"/>
      <c r="F16" s="21" t="inlineStr"/>
    </row>
    <row r="17" ht="15" customHeight="1" s="22">
      <c r="A17" s="21" t="inlineStr">
        <is>
          <t>TP0</t>
        </is>
      </c>
      <c r="B17" s="21" t="inlineStr">
        <is>
          <t>Salle de TP (à ventiler)</t>
        </is>
      </c>
      <c r="C17" s="21" t="inlineStr">
        <is>
          <t>TP</t>
        </is>
      </c>
      <c r="D17" s="21" t="inlineStr"/>
      <c r="E17" s="21" t="inlineStr"/>
      <c r="F17" s="21" t="inlineStr"/>
    </row>
    <row r="18" ht="15" customHeight="1" s="22">
      <c r="A18" s="21" t="inlineStr">
        <is>
          <t>SINFO</t>
        </is>
      </c>
      <c r="B18" s="21" t="inlineStr">
        <is>
          <t>Salle d'informatique</t>
        </is>
      </c>
      <c r="C18" s="21" t="inlineStr">
        <is>
          <t>Spécialisée</t>
        </is>
      </c>
      <c r="D18" s="21" t="n">
        <v>42</v>
      </c>
      <c r="E18" s="21" t="inlineStr"/>
      <c r="F18" s="21" t="inlineStr"/>
    </row>
    <row r="19" ht="15" customHeight="1" s="22">
      <c r="A19" s="21" t="inlineStr">
        <is>
          <t>SCONF</t>
        </is>
      </c>
      <c r="B19" s="21" t="inlineStr">
        <is>
          <t>Salle des conférences</t>
        </is>
      </c>
      <c r="C19" s="21" t="inlineStr">
        <is>
          <t>Spécialisée</t>
        </is>
      </c>
      <c r="D19" s="21" t="inlineStr"/>
      <c r="E19" s="21" t="inlineStr"/>
      <c r="F19" s="21" t="inlineStr"/>
    </row>
    <row r="20" ht="15" customHeight="1" s="22">
      <c r="A20" s="21" t="inlineStr">
        <is>
          <t>SREPRO</t>
        </is>
      </c>
      <c r="B20" s="21" t="inlineStr">
        <is>
          <t>Salle de reprographie</t>
        </is>
      </c>
      <c r="C20" s="21" t="inlineStr">
        <is>
          <t>Spécialisée</t>
        </is>
      </c>
      <c r="D20" s="21" t="inlineStr"/>
      <c r="E20" s="21" t="inlineStr"/>
      <c r="F20" s="21" t="inlineStr"/>
    </row>
    <row r="21" ht="15" customHeight="1" s="22">
      <c r="A21" s="21" t="inlineStr">
        <is>
          <t>SPROF</t>
        </is>
      </c>
      <c r="B21" s="21" t="inlineStr">
        <is>
          <t>Salle des profs</t>
        </is>
      </c>
      <c r="C21" s="21" t="inlineStr">
        <is>
          <t>Spécialisée</t>
        </is>
      </c>
      <c r="D21" s="21" t="inlineStr"/>
      <c r="E21" s="21" t="inlineStr"/>
      <c r="F21" s="21" t="inlineStr"/>
    </row>
    <row r="22" ht="15" customHeight="1" s="22">
      <c r="A22" s="21" t="inlineStr">
        <is>
          <t>B-DIR</t>
        </is>
      </c>
      <c r="B22" s="21" t="inlineStr">
        <is>
          <t>Bureau de la Direction</t>
        </is>
      </c>
      <c r="C22" s="21" t="inlineStr">
        <is>
          <t>Bureau</t>
        </is>
      </c>
      <c r="D22" s="21" t="inlineStr"/>
      <c r="E22" s="21" t="inlineStr"/>
      <c r="F22" s="21" t="inlineStr"/>
    </row>
    <row r="23" ht="15" customHeight="1" s="22">
      <c r="A23" s="21" t="inlineStr">
        <is>
          <t>B-DIRADJ</t>
        </is>
      </c>
      <c r="B23" s="21" t="inlineStr">
        <is>
          <t>Bureau du Directeur adjoint</t>
        </is>
      </c>
      <c r="C23" s="21" t="inlineStr">
        <is>
          <t>Bureau</t>
        </is>
      </c>
      <c r="D23" s="21" t="inlineStr"/>
      <c r="E23" s="21" t="inlineStr"/>
      <c r="F23" s="21" t="inlineStr"/>
    </row>
    <row r="24" ht="15" customHeight="1" s="22">
      <c r="A24" s="21" t="inlineStr">
        <is>
          <t>B-GEST</t>
        </is>
      </c>
      <c r="B24" s="21" t="inlineStr">
        <is>
          <t>Bureau du Gestionnaire</t>
        </is>
      </c>
      <c r="C24" s="21" t="inlineStr">
        <is>
          <t>Bureau</t>
        </is>
      </c>
      <c r="D24" s="21" t="inlineStr"/>
      <c r="E24" s="21" t="inlineStr"/>
      <c r="F24" s="21" t="inlineStr"/>
    </row>
    <row r="25" ht="15" customHeight="1" s="22">
      <c r="A25" s="21" t="inlineStr">
        <is>
          <t>B-AUF</t>
        </is>
      </c>
      <c r="B25" s="21" t="inlineStr">
        <is>
          <t>Bureau AUF</t>
        </is>
      </c>
      <c r="C25" s="21" t="inlineStr">
        <is>
          <t>Bureau</t>
        </is>
      </c>
      <c r="D25" s="21" t="inlineStr"/>
      <c r="E25" s="21" t="inlineStr"/>
      <c r="F25" s="21" t="inlineStr"/>
    </row>
    <row r="26" ht="15" customHeight="1" s="22">
      <c r="A26" s="21" t="inlineStr">
        <is>
          <t>B-ASSDIR</t>
        </is>
      </c>
      <c r="B26" s="21" t="inlineStr">
        <is>
          <t>Bureau de l'Assistant de direction</t>
        </is>
      </c>
      <c r="C26" s="21" t="inlineStr">
        <is>
          <t>Bureau</t>
        </is>
      </c>
      <c r="D26" s="21" t="inlineStr"/>
      <c r="E26" s="21" t="inlineStr"/>
      <c r="F26" s="21" t="inlineStr"/>
    </row>
    <row r="27" ht="15" customHeight="1" s="22">
      <c r="A27" s="21" t="inlineStr">
        <is>
          <t>B-SECR</t>
        </is>
      </c>
      <c r="B27" s="21" t="inlineStr">
        <is>
          <t>Bureau du Secrétariat</t>
        </is>
      </c>
      <c r="C27" s="21" t="inlineStr">
        <is>
          <t>Bureau</t>
        </is>
      </c>
      <c r="D27" s="21" t="inlineStr"/>
      <c r="E27" s="21" t="inlineStr"/>
      <c r="F27" s="21" t="inlineStr"/>
    </row>
    <row r="28" ht="15" customHeight="1" s="22">
      <c r="A28" s="21" t="inlineStr">
        <is>
          <t>B-AGSCO</t>
        </is>
      </c>
      <c r="B28" s="21" t="inlineStr">
        <is>
          <t>Bureau des Agents de scolarité</t>
        </is>
      </c>
      <c r="C28" s="21" t="inlineStr">
        <is>
          <t>Bureau</t>
        </is>
      </c>
      <c r="D28" s="21" t="inlineStr"/>
      <c r="E28" s="21" t="inlineStr"/>
      <c r="F28" s="21" t="inlineStr"/>
    </row>
    <row r="29" ht="15" customHeight="1" s="22">
      <c r="A29" s="21" t="inlineStr">
        <is>
          <t>B-CHSCO</t>
        </is>
      </c>
      <c r="B29" s="21" t="inlineStr">
        <is>
          <t>Bureau du Chef de la scolarité</t>
        </is>
      </c>
      <c r="C29" s="21" t="inlineStr">
        <is>
          <t>Bureau</t>
        </is>
      </c>
      <c r="D29" s="21" t="inlineStr"/>
      <c r="E29" s="21" t="inlineStr"/>
      <c r="F29" s="21" t="inlineStr"/>
    </row>
    <row r="30" ht="15" customHeight="1" s="22">
      <c r="A30" s="21" t="inlineStr">
        <is>
          <t>B-DSI</t>
        </is>
      </c>
      <c r="B30" s="21" t="inlineStr">
        <is>
          <t>Bureau du Chef de département Soins infirmiers</t>
        </is>
      </c>
      <c r="C30" s="21" t="inlineStr">
        <is>
          <t>Bureau</t>
        </is>
      </c>
      <c r="D30" s="21" t="inlineStr"/>
      <c r="E30" s="21" t="inlineStr"/>
      <c r="F30" s="21" t="inlineStr"/>
    </row>
    <row r="31" ht="15" customHeight="1" s="22">
      <c r="A31" s="21" t="inlineStr">
        <is>
          <t>B-DSO</t>
        </is>
      </c>
      <c r="B31" s="21" t="inlineStr">
        <is>
          <t>Bureau du Chef de département Soins obstétricaux</t>
        </is>
      </c>
      <c r="C31" s="21" t="inlineStr">
        <is>
          <t>Bureau</t>
        </is>
      </c>
      <c r="D31" s="21" t="inlineStr"/>
      <c r="E31" s="21" t="inlineStr"/>
      <c r="F31" s="21" t="inlineStr"/>
    </row>
    <row r="32" ht="15" customHeight="1" s="22">
      <c r="A32" s="21" t="inlineStr">
        <is>
          <t>B-DFC</t>
        </is>
      </c>
      <c r="B32" s="21" t="inlineStr">
        <is>
          <t>Bureau du Chef de département Formations continues</t>
        </is>
      </c>
      <c r="C32" s="21" t="inlineStr">
        <is>
          <t>Bureau</t>
        </is>
      </c>
      <c r="D32" s="21" t="inlineStr"/>
      <c r="E32" s="21" t="inlineStr"/>
      <c r="F32" s="21" t="inlineStr"/>
    </row>
    <row r="33" ht="15" customHeight="1" s="22">
      <c r="A33" s="21" t="inlineStr">
        <is>
          <t>DIV-MOB</t>
        </is>
      </c>
      <c r="B33" s="21" t="inlineStr">
        <is>
          <t>Mobiliers de bureau (non localisé)</t>
        </is>
      </c>
      <c r="C33" s="21" t="inlineStr">
        <is>
          <t>Divers</t>
        </is>
      </c>
      <c r="D33" s="21" t="inlineStr"/>
      <c r="E33" s="21" t="inlineStr"/>
      <c r="F33" s="21" t="inlineStr"/>
    </row>
    <row r="34" ht="15" customHeight="1" s="22"/>
    <row r="35" ht="15" customHeight="1" s="22"/>
    <row r="36" ht="15" customHeight="1" s="22"/>
    <row r="37" ht="15" customHeight="1" s="22"/>
    <row r="38" ht="15" customHeight="1" s="22"/>
    <row r="39" ht="15" customHeight="1" s="22"/>
    <row r="40" ht="15" customHeight="1" s="22"/>
    <row r="41" ht="15" customHeight="1" s="22"/>
    <row r="42" ht="15" customHeight="1" s="22"/>
    <row r="43" ht="15" customHeight="1" s="22"/>
    <row r="44" ht="15" customHeight="1" s="22"/>
    <row r="45" ht="15" customHeight="1" s="22"/>
    <row r="46" ht="15" customHeight="1" s="22"/>
    <row r="47" ht="15" customHeight="1" s="22"/>
    <row r="48" ht="15" customHeight="1" s="22"/>
    <row r="49" ht="15" customHeight="1" s="22"/>
    <row r="50" ht="15" customHeight="1" s="22"/>
    <row r="51" ht="15" customHeight="1" s="22"/>
    <row r="52" ht="15" customHeight="1" s="22"/>
    <row r="53" ht="15" customHeight="1" s="22"/>
    <row r="54" ht="15" customHeight="1" s="22"/>
    <row r="55" ht="15" customHeight="1" s="22"/>
    <row r="56" ht="15" customHeight="1" s="22"/>
    <row r="57" ht="15" customHeight="1" s="22"/>
    <row r="58" ht="15" customHeight="1" s="22"/>
    <row r="59" ht="15" customHeight="1" s="22"/>
    <row r="60" ht="15" customHeight="1" s="22"/>
    <row r="61" ht="15" customHeight="1" s="22"/>
    <row r="62" ht="15" customHeight="1" s="22"/>
    <row r="63" ht="15" customHeight="1" s="22"/>
    <row r="64" ht="15" customHeight="1" s="22"/>
    <row r="65" ht="15" customHeight="1" s="22"/>
    <row r="66" ht="15" customHeight="1" s="22"/>
    <row r="67" ht="15" customHeight="1" s="22"/>
    <row r="68" ht="15" customHeight="1" s="22"/>
    <row r="69" ht="15" customHeight="1" s="22"/>
    <row r="70" ht="15" customHeight="1" s="22"/>
    <row r="71" ht="15" customHeight="1" s="22"/>
    <row r="72" ht="15" customHeight="1" s="22"/>
    <row r="73" ht="15" customHeight="1" s="22"/>
    <row r="74" ht="15" customHeight="1" s="22"/>
    <row r="75" ht="15" customHeight="1" s="22"/>
    <row r="76" ht="15" customHeight="1" s="22"/>
    <row r="77" ht="15" customHeight="1" s="22"/>
    <row r="78" ht="15" customHeight="1" s="22"/>
    <row r="79" ht="15" customHeight="1" s="22"/>
    <row r="80" ht="15" customHeight="1" s="22"/>
    <row r="81" ht="15" customHeight="1" s="22"/>
    <row r="82" ht="15" customHeight="1" s="22"/>
    <row r="83" ht="15" customHeight="1" s="22"/>
    <row r="84" ht="15" customHeight="1" s="22"/>
    <row r="85" ht="15" customHeight="1" s="22"/>
    <row r="86" ht="15" customHeight="1" s="22"/>
    <row r="87" ht="15" customHeight="1" s="22"/>
    <row r="88" ht="15" customHeight="1" s="22"/>
    <row r="89" ht="15" customHeight="1" s="22"/>
    <row r="90" ht="15" customHeight="1" s="22"/>
    <row r="91" ht="15" customHeight="1" s="22"/>
    <row r="92" ht="15" customHeight="1" s="22"/>
    <row r="93" ht="15" customHeight="1" s="22"/>
    <row r="94" ht="15" customHeight="1" s="22"/>
    <row r="95" ht="15" customHeight="1" s="22"/>
    <row r="96" ht="15" customHeight="1" s="22"/>
    <row r="97" ht="15" customHeight="1" s="22"/>
    <row r="98" ht="15" customHeight="1" s="22"/>
    <row r="99" ht="15" customHeight="1" s="22"/>
    <row r="100" ht="15" customHeight="1" s="22"/>
    <row r="101" ht="15" customHeight="1" s="22"/>
    <row r="102" ht="15" customHeight="1" s="22"/>
    <row r="103" ht="15" customHeight="1" s="22"/>
    <row r="104" ht="15" customHeight="1" s="22"/>
    <row r="105" ht="15" customHeight="1" s="22"/>
    <row r="106" ht="15" customHeight="1" s="22"/>
    <row r="107" ht="15" customHeight="1" s="22"/>
    <row r="108" ht="15" customHeight="1" s="22"/>
    <row r="109" ht="15" customHeight="1" s="22"/>
    <row r="110" ht="15" customHeight="1" s="22"/>
    <row r="111" ht="15" customHeight="1" s="22"/>
    <row r="112" ht="15" customHeight="1" s="22"/>
    <row r="113" ht="15" customHeight="1" s="22"/>
    <row r="114" ht="15" customHeight="1" s="22"/>
    <row r="115" ht="15" customHeight="1" s="22"/>
    <row r="116" ht="15" customHeight="1" s="22"/>
    <row r="117" ht="15" customHeight="1" s="22"/>
    <row r="118" ht="15" customHeight="1" s="22"/>
    <row r="119" ht="15" customHeight="1" s="22"/>
    <row r="120" ht="15" customHeight="1" s="22"/>
    <row r="121" ht="15" customHeight="1" s="22"/>
    <row r="122" ht="15" customHeight="1" s="22"/>
    <row r="123" ht="15" customHeight="1" s="22"/>
    <row r="124" ht="15" customHeight="1" s="22"/>
    <row r="125" ht="15" customHeight="1" s="22"/>
    <row r="126" ht="15" customHeight="1" s="22"/>
    <row r="127" ht="15" customHeight="1" s="22"/>
    <row r="128" ht="15" customHeight="1" s="22"/>
    <row r="129" ht="15" customHeight="1" s="22"/>
    <row r="130" ht="15" customHeight="1" s="22"/>
    <row r="131" ht="15" customHeight="1" s="22"/>
    <row r="132" ht="15" customHeight="1" s="22"/>
    <row r="133" ht="15" customHeight="1" s="22"/>
    <row r="134" ht="15" customHeight="1" s="22"/>
    <row r="135" ht="15" customHeight="1" s="22"/>
    <row r="136" ht="15" customHeight="1" s="22"/>
    <row r="137" ht="15" customHeight="1" s="22"/>
    <row r="138" ht="15" customHeight="1" s="22"/>
    <row r="139" ht="15" customHeight="1" s="22"/>
    <row r="140" ht="15" customHeight="1" s="22"/>
    <row r="141" ht="15" customHeight="1" s="22"/>
    <row r="142" ht="15" customHeight="1" s="22"/>
    <row r="143" ht="15" customHeight="1" s="22"/>
    <row r="144" ht="15" customHeight="1" s="22"/>
    <row r="145" ht="15" customHeight="1" s="22"/>
    <row r="146" ht="15" customHeight="1" s="22"/>
    <row r="147" ht="15" customHeight="1" s="22"/>
    <row r="148" ht="15" customHeight="1" s="22"/>
    <row r="149" ht="15" customHeight="1" s="22"/>
    <row r="150" ht="15" customHeight="1" s="22"/>
    <row r="151" ht="15" customHeight="1" s="22"/>
    <row r="152" ht="15" customHeight="1" s="22"/>
    <row r="153" ht="15" customHeight="1" s="22"/>
    <row r="154" ht="15" customHeight="1" s="22"/>
    <row r="155" ht="15" customHeight="1" s="22"/>
    <row r="156" ht="15" customHeight="1" s="22"/>
    <row r="157" ht="15" customHeight="1" s="22"/>
    <row r="158" ht="15" customHeight="1" s="22"/>
    <row r="159" ht="15" customHeight="1" s="22"/>
    <row r="160" ht="15" customHeight="1" s="22"/>
    <row r="161" ht="15" customHeight="1" s="22"/>
    <row r="162" ht="15" customHeight="1" s="22"/>
    <row r="163" ht="15" customHeight="1" s="22"/>
    <row r="164" ht="15" customHeight="1" s="22"/>
    <row r="165" ht="15" customHeight="1" s="22"/>
    <row r="166" ht="15" customHeight="1" s="22"/>
    <row r="167" ht="15" customHeight="1" s="22"/>
    <row r="168" ht="15" customHeight="1" s="22"/>
    <row r="169" ht="15" customHeight="1" s="22"/>
    <row r="170" ht="15" customHeight="1" s="22"/>
    <row r="171" ht="15" customHeight="1" s="22"/>
    <row r="172" ht="15" customHeight="1" s="22"/>
    <row r="173" ht="15" customHeight="1" s="22"/>
    <row r="174" ht="15" customHeight="1" s="22"/>
    <row r="175" ht="15" customHeight="1" s="22"/>
    <row r="176" ht="15" customHeight="1" s="22"/>
    <row r="177" ht="15" customHeight="1" s="22"/>
    <row r="178" ht="15" customHeight="1" s="22"/>
    <row r="179" ht="15" customHeight="1" s="22"/>
    <row r="180" ht="15" customHeight="1" s="22"/>
    <row r="181" ht="15" customHeight="1" s="22"/>
    <row r="182" ht="15" customHeight="1" s="22"/>
    <row r="183" ht="15" customHeight="1" s="22"/>
    <row r="184" ht="15" customHeight="1" s="22"/>
    <row r="185" ht="15" customHeight="1" s="22"/>
    <row r="186" ht="15" customHeight="1" s="22"/>
    <row r="187" ht="15" customHeight="1" s="22"/>
    <row r="188" ht="15" customHeight="1" s="22"/>
    <row r="189" ht="15" customHeight="1" s="22"/>
    <row r="190" ht="15" customHeight="1" s="22"/>
    <row r="191" ht="15" customHeight="1" s="22"/>
    <row r="192" ht="15" customHeight="1" s="22"/>
    <row r="193" ht="15" customHeight="1" s="22"/>
    <row r="194" ht="15" customHeight="1" s="22"/>
    <row r="195" ht="15" customHeight="1" s="22"/>
    <row r="196" ht="15" customHeight="1" s="22"/>
    <row r="197" ht="15" customHeight="1" s="22"/>
    <row r="198" ht="15" customHeight="1" s="22"/>
    <row r="199" ht="15" customHeight="1" s="22"/>
    <row r="200" ht="15" customHeight="1" s="22"/>
    <row r="201" ht="15" customHeight="1" s="22"/>
    <row r="202" ht="15" customHeight="1" s="22"/>
    <row r="203" ht="15" customHeight="1" s="22"/>
    <row r="204" ht="15" customHeight="1" s="22"/>
    <row r="205" ht="15" customHeight="1" s="22"/>
    <row r="206" ht="15" customHeight="1" s="22"/>
    <row r="207" ht="15" customHeight="1" s="22"/>
    <row r="208" ht="15" customHeight="1" s="22"/>
    <row r="209" ht="15" customHeight="1" s="22"/>
    <row r="210" ht="15" customHeight="1" s="22"/>
    <row r="211" ht="15" customHeight="1" s="22"/>
    <row r="212" ht="15" customHeight="1" s="22"/>
    <row r="213" ht="15" customHeight="1" s="22"/>
    <row r="214" ht="15" customHeight="1" s="22"/>
    <row r="215" ht="15" customHeight="1" s="22"/>
    <row r="216" ht="15" customHeight="1" s="22"/>
    <row r="217" ht="15" customHeight="1" s="22"/>
    <row r="218" ht="15" customHeight="1" s="22"/>
    <row r="219" ht="15" customHeight="1" s="22"/>
    <row r="220" ht="15" customHeight="1" s="22"/>
    <row r="221" ht="15" customHeight="1" s="22"/>
    <row r="222" ht="15" customHeight="1" s="22"/>
    <row r="223" ht="15" customHeight="1" s="22"/>
    <row r="224" ht="15" customHeight="1" s="22"/>
    <row r="225" ht="15" customHeight="1" s="22"/>
    <row r="226" ht="15" customHeight="1" s="22"/>
    <row r="227" ht="15" customHeight="1" s="22"/>
    <row r="228" ht="15" customHeight="1" s="22"/>
    <row r="229" ht="15" customHeight="1" s="22"/>
    <row r="230" ht="15" customHeight="1" s="22"/>
    <row r="231" ht="15" customHeight="1" s="22"/>
    <row r="232" ht="15" customHeight="1" s="22"/>
    <row r="233" ht="15" customHeight="1" s="22"/>
    <row r="234" ht="15" customHeight="1" s="22"/>
    <row r="235" ht="15" customHeight="1" s="22"/>
    <row r="236" ht="15" customHeight="1" s="22"/>
    <row r="237" ht="15" customHeight="1" s="22"/>
    <row r="238" ht="15" customHeight="1" s="22"/>
    <row r="239" ht="15" customHeight="1" s="22"/>
    <row r="240" ht="15" customHeight="1" s="22"/>
    <row r="241" ht="15" customHeight="1" s="22"/>
    <row r="242" ht="15" customHeight="1" s="22"/>
    <row r="243" ht="15" customHeight="1" s="22"/>
    <row r="244" ht="15" customHeight="1" s="22"/>
    <row r="245" ht="15" customHeight="1" s="22"/>
    <row r="246" ht="15" customHeight="1" s="22"/>
    <row r="247" ht="15" customHeight="1" s="22"/>
    <row r="248" ht="15" customHeight="1" s="22"/>
    <row r="249" ht="15" customHeight="1" s="22"/>
    <row r="250" ht="15" customHeight="1" s="22"/>
    <row r="251" ht="15" customHeight="1" s="22"/>
    <row r="252" ht="15" customHeight="1" s="22"/>
    <row r="253" ht="15" customHeight="1" s="22"/>
    <row r="254" ht="15" customHeight="1" s="22"/>
    <row r="255" ht="15" customHeight="1" s="22"/>
    <row r="256" ht="15" customHeight="1" s="22"/>
    <row r="257" ht="15" customHeight="1" s="22"/>
    <row r="258" ht="15" customHeight="1" s="22"/>
    <row r="259" ht="15" customHeight="1" s="22"/>
    <row r="260" ht="15" customHeight="1" s="22"/>
    <row r="261" ht="15" customHeight="1" s="22"/>
    <row r="262" ht="15" customHeight="1" s="22"/>
    <row r="263" ht="15" customHeight="1" s="22"/>
    <row r="264" ht="15" customHeight="1" s="22"/>
    <row r="265" ht="15" customHeight="1" s="22"/>
    <row r="266" ht="15" customHeight="1" s="22"/>
    <row r="267" ht="15" customHeight="1" s="22"/>
    <row r="268" ht="15" customHeight="1" s="22"/>
    <row r="269" ht="15" customHeight="1" s="22"/>
    <row r="270" ht="15" customHeight="1" s="22"/>
    <row r="271" ht="15" customHeight="1" s="22"/>
    <row r="272" ht="15" customHeight="1" s="22"/>
    <row r="273" ht="15" customHeight="1" s="22"/>
    <row r="274" ht="15" customHeight="1" s="22"/>
    <row r="275" ht="15" customHeight="1" s="22"/>
    <row r="276" ht="15" customHeight="1" s="22"/>
    <row r="277" ht="15" customHeight="1" s="22"/>
    <row r="278" ht="15" customHeight="1" s="22"/>
    <row r="279" ht="15" customHeight="1" s="22"/>
    <row r="280" ht="15" customHeight="1" s="22"/>
    <row r="281" ht="15" customHeight="1" s="22"/>
    <row r="282" ht="15" customHeight="1" s="22"/>
    <row r="283" ht="15" customHeight="1" s="22"/>
    <row r="284" ht="15" customHeight="1" s="22"/>
    <row r="285" ht="15" customHeight="1" s="22"/>
    <row r="286" ht="15" customHeight="1" s="22"/>
    <row r="287" ht="15" customHeight="1" s="22"/>
    <row r="288" ht="15" customHeight="1" s="22"/>
    <row r="289" ht="15" customHeight="1" s="22"/>
    <row r="290" ht="15" customHeight="1" s="22"/>
    <row r="291" ht="15" customHeight="1" s="22"/>
    <row r="292" ht="15" customHeight="1" s="22"/>
    <row r="293" ht="15" customHeight="1" s="22"/>
    <row r="294" ht="15" customHeight="1" s="22"/>
    <row r="295" ht="15" customHeight="1" s="22"/>
    <row r="296" ht="15" customHeight="1" s="22"/>
    <row r="297" ht="15" customHeight="1" s="22"/>
    <row r="298" ht="15" customHeight="1" s="22"/>
    <row r="299" ht="15" customHeight="1" s="22"/>
    <row r="300" ht="15" customHeight="1" s="22"/>
  </sheetData>
  <autoFilter ref="A2:F300"/>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8" customWidth="1" style="21" min="1" max="1"/>
    <col width="14" customWidth="1" style="21" min="2" max="2"/>
    <col width="18" customWidth="1" style="21" min="3" max="3"/>
    <col width="25" customWidth="1" style="21" min="4" max="4"/>
    <col width="21" customWidth="1" style="21" min="5" max="5"/>
    <col width="23" customWidth="1" style="21" min="6" max="6"/>
    <col width="27" customWidth="1" style="21" min="7" max="7"/>
    <col width="25" customWidth="1" style="21" min="8" max="10"/>
    <col width="14" customWidth="1" style="21" min="11" max="12"/>
    <col width="21" customWidth="1" style="21" min="13" max="13"/>
    <col width="22" customWidth="1" style="21" min="14" max="14"/>
    <col width="17" customWidth="1" style="21" min="15" max="15"/>
    <col width="32" customWidth="1" style="21" min="16" max="16"/>
    <col width="16" customWidth="1" style="21" min="17" max="17"/>
  </cols>
  <sheetData>
    <row r="1" ht="30" customHeight="1" s="22">
      <c r="A1" s="23" t="inlineStr">
        <is>
          <t>TRESORERIE — RECETTES ET DEPENSES (KMF)</t>
        </is>
      </c>
    </row>
    <row r="2" ht="31.5" customHeight="1" s="22">
      <c r="A2" s="28" t="inlineStr">
        <is>
          <t>Date operation</t>
        </is>
      </c>
      <c r="B2" s="28" t="inlineStr">
        <is>
          <t>Sens (*)</t>
        </is>
      </c>
      <c r="C2" s="28" t="inlineStr">
        <is>
          <t>Categorie (**)</t>
        </is>
      </c>
      <c r="D2" s="28" t="inlineStr">
        <is>
          <t>Poste budgetaire (**)</t>
        </is>
      </c>
      <c r="E2" s="28" t="inlineStr">
        <is>
          <t>Mode paiement (*)</t>
        </is>
      </c>
      <c r="F2" s="28" t="inlineStr">
        <is>
          <t>Compte / caisse (*)</t>
        </is>
      </c>
      <c r="G2" s="28" t="inlineStr">
        <is>
          <t>Reference / N piece (*)</t>
        </is>
      </c>
      <c r="H2" s="28" t="inlineStr">
        <is>
          <t>Libelle / description</t>
        </is>
      </c>
      <c r="I2" s="28" t="inlineStr">
        <is>
          <t>Montant Recette (KMF)</t>
        </is>
      </c>
      <c r="J2" s="28" t="inlineStr">
        <is>
          <t>Montant Depense (KMF)</t>
        </is>
      </c>
      <c r="K2" s="28" t="inlineStr">
        <is>
          <t>Tiers (*)</t>
        </is>
      </c>
      <c r="L2" s="28" t="inlineStr">
        <is>
          <t>Statut (*)</t>
        </is>
      </c>
      <c r="M2" s="28" t="inlineStr">
        <is>
          <t>Date echeance (*)</t>
        </is>
      </c>
      <c r="N2" s="28" t="inlineStr">
        <is>
          <t>Date reglement (*)</t>
        </is>
      </c>
      <c r="O2" s="28" t="inlineStr">
        <is>
          <t>Saisi par (*)</t>
        </is>
      </c>
      <c r="P2" s="28" t="inlineStr">
        <is>
          <t>Source de financement / Bailleur (*)</t>
        </is>
      </c>
      <c r="Q2" s="28" t="inlineStr">
        <is>
          <t>Compte (**)</t>
        </is>
      </c>
      <c r="R2" s="21" t="inlineStr">
        <is>
          <t>Matricule</t>
        </is>
      </c>
      <c r="S2" s="21" t="inlineStr">
        <is>
          <t>Annee academique (*)</t>
        </is>
      </c>
    </row>
    <row r="3" ht="15" customHeight="1" s="22">
      <c r="A3" s="31" t="n"/>
      <c r="B3" s="29" t="n"/>
      <c r="C3" s="29" t="n"/>
      <c r="D3" s="29" t="n"/>
      <c r="E3" s="29" t="n"/>
      <c r="F3" s="29" t="n"/>
      <c r="G3" s="29" t="n"/>
      <c r="H3" s="29" t="n"/>
      <c r="I3" s="32" t="n"/>
      <c r="J3" s="32" t="n"/>
      <c r="K3" s="29" t="n"/>
      <c r="L3" s="29" t="n"/>
      <c r="M3" s="31" t="n"/>
      <c r="N3" s="31" t="n"/>
      <c r="O3" s="29" t="n"/>
      <c r="P3" s="29" t="n"/>
    </row>
    <row r="4" ht="15" customHeight="1" s="22">
      <c r="A4" s="31" t="n"/>
      <c r="B4" s="29" t="n"/>
      <c r="C4" s="29" t="n"/>
      <c r="D4" s="29" t="n"/>
      <c r="E4" s="29" t="n"/>
      <c r="F4" s="29" t="n"/>
      <c r="G4" s="29" t="n"/>
      <c r="H4" s="29" t="n"/>
      <c r="I4" s="32" t="n"/>
      <c r="J4" s="32" t="n"/>
      <c r="K4" s="29" t="n"/>
      <c r="L4" s="29" t="n"/>
      <c r="M4" s="31" t="n"/>
      <c r="N4" s="31" t="n"/>
      <c r="O4" s="29" t="n"/>
      <c r="P4" s="29" t="n"/>
    </row>
    <row r="5" ht="15" customHeight="1" s="22">
      <c r="A5" s="31" t="n"/>
      <c r="B5" s="29" t="n"/>
      <c r="C5" s="29" t="n"/>
      <c r="D5" s="29" t="n"/>
      <c r="E5" s="29" t="n"/>
      <c r="F5" s="29" t="n"/>
      <c r="G5" s="29" t="n"/>
      <c r="H5" s="29" t="n"/>
      <c r="I5" s="32" t="n"/>
      <c r="J5" s="32" t="n"/>
      <c r="K5" s="29" t="n"/>
      <c r="L5" s="29" t="n"/>
      <c r="M5" s="31" t="n"/>
      <c r="N5" s="31" t="n"/>
      <c r="O5" s="29" t="n"/>
      <c r="P5" s="29" t="n"/>
    </row>
    <row r="6" ht="15" customHeight="1" s="22">
      <c r="A6" s="31" t="n"/>
      <c r="B6" s="29" t="n"/>
      <c r="C6" s="29" t="n"/>
      <c r="D6" s="29" t="n"/>
      <c r="E6" s="29" t="n"/>
      <c r="F6" s="29" t="n"/>
      <c r="G6" s="29" t="n"/>
      <c r="H6" s="29" t="n"/>
      <c r="I6" s="32" t="n"/>
      <c r="J6" s="32" t="n"/>
      <c r="K6" s="29" t="n"/>
      <c r="L6" s="29" t="n"/>
      <c r="M6" s="31" t="n"/>
      <c r="N6" s="31" t="n"/>
      <c r="O6" s="29" t="n"/>
      <c r="P6" s="29" t="n"/>
    </row>
    <row r="7" ht="15" customHeight="1" s="22">
      <c r="A7" s="31" t="n"/>
      <c r="B7" s="29" t="n"/>
      <c r="C7" s="29" t="n"/>
      <c r="D7" s="29" t="n"/>
      <c r="E7" s="29" t="n"/>
      <c r="F7" s="29" t="n"/>
      <c r="G7" s="29" t="n"/>
      <c r="H7" s="29" t="n"/>
      <c r="I7" s="32" t="n"/>
      <c r="J7" s="32" t="n"/>
      <c r="K7" s="29" t="n"/>
      <c r="L7" s="29" t="n"/>
      <c r="M7" s="31" t="n"/>
      <c r="N7" s="31" t="n"/>
      <c r="O7" s="29" t="n"/>
      <c r="P7" s="29" t="n"/>
    </row>
    <row r="8" ht="15" customHeight="1" s="22">
      <c r="A8" s="31" t="n"/>
      <c r="B8" s="29" t="n"/>
      <c r="C8" s="29" t="n"/>
      <c r="D8" s="29" t="n"/>
      <c r="E8" s="29" t="n"/>
      <c r="F8" s="29" t="n"/>
      <c r="G8" s="29" t="n"/>
      <c r="H8" s="29" t="n"/>
      <c r="I8" s="32" t="n"/>
      <c r="J8" s="32" t="n"/>
      <c r="K8" s="29" t="n"/>
      <c r="L8" s="29" t="n"/>
      <c r="M8" s="31" t="n"/>
      <c r="N8" s="31" t="n"/>
      <c r="O8" s="29" t="n"/>
      <c r="P8" s="29" t="n"/>
    </row>
    <row r="9" ht="15" customHeight="1" s="22">
      <c r="A9" s="31" t="n"/>
      <c r="B9" s="29" t="n"/>
      <c r="C9" s="29" t="n"/>
      <c r="D9" s="29" t="n"/>
      <c r="E9" s="29" t="n"/>
      <c r="F9" s="29" t="n"/>
      <c r="G9" s="29" t="n"/>
      <c r="H9" s="29" t="n"/>
      <c r="I9" s="32" t="n"/>
      <c r="J9" s="32" t="n"/>
      <c r="K9" s="29" t="n"/>
      <c r="L9" s="29" t="n"/>
      <c r="M9" s="31" t="n"/>
      <c r="N9" s="31" t="n"/>
      <c r="O9" s="29" t="n"/>
      <c r="P9" s="29" t="n"/>
    </row>
    <row r="10" ht="15" customHeight="1" s="22">
      <c r="A10" s="31" t="n"/>
      <c r="B10" s="29" t="n"/>
      <c r="C10" s="29" t="n"/>
      <c r="D10" s="29" t="n"/>
      <c r="E10" s="29" t="n"/>
      <c r="F10" s="29" t="n"/>
      <c r="G10" s="29" t="n"/>
      <c r="H10" s="29" t="n"/>
      <c r="I10" s="32" t="n"/>
      <c r="J10" s="32" t="n"/>
      <c r="K10" s="29" t="n"/>
      <c r="L10" s="29" t="n"/>
      <c r="M10" s="31" t="n"/>
      <c r="N10" s="31" t="n"/>
      <c r="O10" s="29" t="n"/>
      <c r="P10" s="29" t="n"/>
    </row>
    <row r="11" ht="15" customHeight="1" s="22">
      <c r="A11" s="31" t="n"/>
      <c r="B11" s="29" t="n"/>
      <c r="C11" s="29" t="n"/>
      <c r="D11" s="29" t="n"/>
      <c r="E11" s="29" t="n"/>
      <c r="F11" s="29" t="n"/>
      <c r="G11" s="29" t="n"/>
      <c r="H11" s="29" t="n"/>
      <c r="I11" s="32" t="n"/>
      <c r="J11" s="32" t="n"/>
      <c r="K11" s="29" t="n"/>
      <c r="L11" s="29" t="n"/>
      <c r="M11" s="31" t="n"/>
      <c r="N11" s="31" t="n"/>
      <c r="O11" s="29" t="n"/>
      <c r="P11" s="29" t="n"/>
    </row>
    <row r="12" ht="15" customHeight="1" s="22">
      <c r="A12" s="31" t="n"/>
      <c r="B12" s="29" t="n"/>
      <c r="C12" s="29" t="n"/>
      <c r="D12" s="29" t="n"/>
      <c r="E12" s="29" t="n"/>
      <c r="F12" s="29" t="n"/>
      <c r="G12" s="29" t="n"/>
      <c r="H12" s="29" t="n"/>
      <c r="I12" s="32" t="n"/>
      <c r="J12" s="32" t="n"/>
      <c r="K12" s="29" t="n"/>
      <c r="L12" s="29" t="n"/>
      <c r="M12" s="31" t="n"/>
      <c r="N12" s="31" t="n"/>
      <c r="O12" s="29" t="n"/>
      <c r="P12" s="29" t="n"/>
    </row>
    <row r="13" ht="15" customHeight="1" s="22">
      <c r="A13" s="31" t="n"/>
      <c r="B13" s="29" t="n"/>
      <c r="C13" s="29" t="n"/>
      <c r="D13" s="29" t="n"/>
      <c r="E13" s="29" t="n"/>
      <c r="F13" s="29" t="n"/>
      <c r="G13" s="29" t="n"/>
      <c r="H13" s="29" t="n"/>
      <c r="I13" s="32" t="n"/>
      <c r="J13" s="32" t="n"/>
      <c r="K13" s="29" t="n"/>
      <c r="L13" s="29" t="n"/>
      <c r="M13" s="31" t="n"/>
      <c r="N13" s="31" t="n"/>
      <c r="O13" s="29" t="n"/>
      <c r="P13" s="29" t="n"/>
    </row>
    <row r="14" ht="15" customHeight="1" s="22">
      <c r="A14" s="31" t="n"/>
      <c r="B14" s="29" t="n"/>
      <c r="C14" s="29" t="n"/>
      <c r="D14" s="29" t="n"/>
      <c r="E14" s="29" t="n"/>
      <c r="F14" s="29" t="n"/>
      <c r="G14" s="29" t="n"/>
      <c r="H14" s="29" t="n"/>
      <c r="I14" s="32" t="n"/>
      <c r="J14" s="32" t="n"/>
      <c r="K14" s="29" t="n"/>
      <c r="L14" s="29" t="n"/>
      <c r="M14" s="31" t="n"/>
      <c r="N14" s="31" t="n"/>
      <c r="O14" s="29" t="n"/>
      <c r="P14" s="29" t="n"/>
    </row>
    <row r="15" ht="15" customHeight="1" s="22">
      <c r="A15" s="31" t="n"/>
      <c r="B15" s="29" t="n"/>
      <c r="C15" s="29" t="n"/>
      <c r="D15" s="29" t="n"/>
      <c r="E15" s="29" t="n"/>
      <c r="F15" s="29" t="n"/>
      <c r="G15" s="29" t="n"/>
      <c r="H15" s="29" t="n"/>
      <c r="I15" s="32" t="n"/>
      <c r="J15" s="32" t="n"/>
      <c r="K15" s="29" t="n"/>
      <c r="L15" s="29" t="n"/>
      <c r="M15" s="31" t="n"/>
      <c r="N15" s="31" t="n"/>
      <c r="O15" s="29" t="n"/>
      <c r="P15" s="29" t="n"/>
    </row>
    <row r="16" ht="15" customHeight="1" s="22">
      <c r="A16" s="31" t="n"/>
      <c r="B16" s="29" t="n"/>
      <c r="C16" s="29" t="n"/>
      <c r="D16" s="29" t="n"/>
      <c r="E16" s="29" t="n"/>
      <c r="F16" s="29" t="n"/>
      <c r="G16" s="29" t="n"/>
      <c r="H16" s="29" t="n"/>
      <c r="I16" s="32" t="n"/>
      <c r="J16" s="32" t="n"/>
      <c r="K16" s="29" t="n"/>
      <c r="L16" s="29" t="n"/>
      <c r="M16" s="31" t="n"/>
      <c r="N16" s="31" t="n"/>
      <c r="O16" s="29" t="n"/>
      <c r="P16" s="29" t="n"/>
    </row>
    <row r="17" ht="15" customHeight="1" s="22">
      <c r="A17" s="31" t="n"/>
      <c r="B17" s="29" t="n"/>
      <c r="C17" s="29" t="n"/>
      <c r="D17" s="29" t="n"/>
      <c r="E17" s="29" t="n"/>
      <c r="F17" s="29" t="n"/>
      <c r="G17" s="29" t="n"/>
      <c r="H17" s="29" t="n"/>
      <c r="I17" s="32" t="n"/>
      <c r="J17" s="32" t="n"/>
      <c r="K17" s="29" t="n"/>
      <c r="L17" s="29" t="n"/>
      <c r="M17" s="31" t="n"/>
      <c r="N17" s="31" t="n"/>
      <c r="O17" s="29" t="n"/>
      <c r="P17" s="29" t="n"/>
    </row>
    <row r="18" ht="15" customHeight="1" s="22">
      <c r="A18" s="31" t="n"/>
      <c r="B18" s="29" t="n"/>
      <c r="C18" s="29" t="n"/>
      <c r="D18" s="29" t="n"/>
      <c r="E18" s="29" t="n"/>
      <c r="F18" s="29" t="n"/>
      <c r="G18" s="29" t="n"/>
      <c r="H18" s="29" t="n"/>
      <c r="I18" s="32" t="n"/>
      <c r="J18" s="32" t="n"/>
      <c r="K18" s="29" t="n"/>
      <c r="L18" s="29" t="n"/>
      <c r="M18" s="31" t="n"/>
      <c r="N18" s="31" t="n"/>
      <c r="O18" s="29" t="n"/>
      <c r="P18" s="29" t="n"/>
    </row>
    <row r="19" ht="15" customHeight="1" s="22">
      <c r="A19" s="31" t="n"/>
      <c r="B19" s="29" t="n"/>
      <c r="C19" s="29" t="n"/>
      <c r="D19" s="29" t="n"/>
      <c r="E19" s="29" t="n"/>
      <c r="F19" s="29" t="n"/>
      <c r="G19" s="29" t="n"/>
      <c r="H19" s="29" t="n"/>
      <c r="I19" s="32" t="n"/>
      <c r="J19" s="32" t="n"/>
      <c r="K19" s="29" t="n"/>
      <c r="L19" s="29" t="n"/>
      <c r="M19" s="31" t="n"/>
      <c r="N19" s="31" t="n"/>
      <c r="O19" s="29" t="n"/>
      <c r="P19" s="29" t="n"/>
    </row>
    <row r="20" ht="15" customHeight="1" s="22">
      <c r="A20" s="31" t="n"/>
      <c r="B20" s="29" t="n"/>
      <c r="C20" s="29" t="n"/>
      <c r="D20" s="29" t="n"/>
      <c r="E20" s="29" t="n"/>
      <c r="F20" s="29" t="n"/>
      <c r="G20" s="29" t="n"/>
      <c r="H20" s="29" t="n"/>
      <c r="I20" s="32" t="n"/>
      <c r="J20" s="32" t="n"/>
      <c r="K20" s="29" t="n"/>
      <c r="L20" s="29" t="n"/>
      <c r="M20" s="31" t="n"/>
      <c r="N20" s="31" t="n"/>
      <c r="O20" s="29" t="n"/>
      <c r="P20" s="29" t="n"/>
    </row>
    <row r="21" ht="15" customHeight="1" s="22">
      <c r="A21" s="31" t="n"/>
      <c r="B21" s="29" t="n"/>
      <c r="C21" s="29" t="n"/>
      <c r="D21" s="29" t="n"/>
      <c r="E21" s="29" t="n"/>
      <c r="F21" s="29" t="n"/>
      <c r="G21" s="29" t="n"/>
      <c r="H21" s="29" t="n"/>
      <c r="I21" s="32" t="n"/>
      <c r="J21" s="32" t="n"/>
      <c r="K21" s="29" t="n"/>
      <c r="L21" s="29" t="n"/>
      <c r="M21" s="31" t="n"/>
      <c r="N21" s="31" t="n"/>
      <c r="O21" s="29" t="n"/>
      <c r="P21" s="29" t="n"/>
    </row>
    <row r="22" ht="15" customHeight="1" s="22">
      <c r="A22" s="31" t="n"/>
      <c r="B22" s="29" t="n"/>
      <c r="C22" s="29" t="n"/>
      <c r="D22" s="29" t="n"/>
      <c r="E22" s="29" t="n"/>
      <c r="F22" s="29" t="n"/>
      <c r="G22" s="29" t="n"/>
      <c r="H22" s="29" t="n"/>
      <c r="I22" s="32" t="n"/>
      <c r="J22" s="32" t="n"/>
      <c r="K22" s="29" t="n"/>
      <c r="L22" s="29" t="n"/>
      <c r="M22" s="31" t="n"/>
      <c r="N22" s="31" t="n"/>
      <c r="O22" s="29" t="n"/>
      <c r="P22" s="29" t="n"/>
    </row>
    <row r="23" ht="15" customHeight="1" s="22">
      <c r="A23" s="31" t="n"/>
      <c r="B23" s="29" t="n"/>
      <c r="C23" s="29" t="n"/>
      <c r="D23" s="29" t="n"/>
      <c r="E23" s="29" t="n"/>
      <c r="F23" s="29" t="n"/>
      <c r="G23" s="29" t="n"/>
      <c r="H23" s="29" t="n"/>
      <c r="I23" s="32" t="n"/>
      <c r="J23" s="32" t="n"/>
      <c r="K23" s="29" t="n"/>
      <c r="L23" s="29" t="n"/>
      <c r="M23" s="31" t="n"/>
      <c r="N23" s="31" t="n"/>
      <c r="O23" s="29" t="n"/>
      <c r="P23" s="29" t="n"/>
    </row>
    <row r="24" ht="15" customHeight="1" s="22">
      <c r="A24" s="31" t="n"/>
      <c r="B24" s="29" t="n"/>
      <c r="C24" s="29" t="n"/>
      <c r="D24" s="29" t="n"/>
      <c r="E24" s="29" t="n"/>
      <c r="F24" s="29" t="n"/>
      <c r="G24" s="29" t="n"/>
      <c r="H24" s="29" t="n"/>
      <c r="I24" s="32" t="n"/>
      <c r="J24" s="32" t="n"/>
      <c r="K24" s="29" t="n"/>
      <c r="L24" s="29" t="n"/>
      <c r="M24" s="31" t="n"/>
      <c r="N24" s="31" t="n"/>
      <c r="O24" s="29" t="n"/>
      <c r="P24" s="29" t="n"/>
    </row>
    <row r="25" ht="15" customHeight="1" s="22">
      <c r="A25" s="31" t="n"/>
      <c r="B25" s="29" t="n"/>
      <c r="C25" s="29" t="n"/>
      <c r="D25" s="29" t="n"/>
      <c r="E25" s="29" t="n"/>
      <c r="F25" s="29" t="n"/>
      <c r="G25" s="29" t="n"/>
      <c r="H25" s="29" t="n"/>
      <c r="I25" s="32" t="n"/>
      <c r="J25" s="32" t="n"/>
      <c r="K25" s="29" t="n"/>
      <c r="L25" s="29" t="n"/>
      <c r="M25" s="31" t="n"/>
      <c r="N25" s="31" t="n"/>
      <c r="O25" s="29" t="n"/>
      <c r="P25" s="29" t="n"/>
    </row>
    <row r="26" ht="15" customHeight="1" s="22">
      <c r="A26" s="31" t="n"/>
      <c r="B26" s="29" t="n"/>
      <c r="C26" s="29" t="n"/>
      <c r="D26" s="29" t="n"/>
      <c r="E26" s="29" t="n"/>
      <c r="F26" s="29" t="n"/>
      <c r="G26" s="29" t="n"/>
      <c r="H26" s="29" t="n"/>
      <c r="I26" s="32" t="n"/>
      <c r="J26" s="32" t="n"/>
      <c r="K26" s="29" t="n"/>
      <c r="L26" s="29" t="n"/>
      <c r="M26" s="31" t="n"/>
      <c r="N26" s="31" t="n"/>
      <c r="O26" s="29" t="n"/>
      <c r="P26" s="29" t="n"/>
    </row>
    <row r="27" ht="15" customHeight="1" s="22">
      <c r="A27" s="31" t="n"/>
      <c r="B27" s="29" t="n"/>
      <c r="C27" s="29" t="n"/>
      <c r="D27" s="29" t="n"/>
      <c r="E27" s="29" t="n"/>
      <c r="F27" s="29" t="n"/>
      <c r="G27" s="29" t="n"/>
      <c r="H27" s="29" t="n"/>
      <c r="I27" s="32" t="n"/>
      <c r="J27" s="32" t="n"/>
      <c r="K27" s="29" t="n"/>
      <c r="L27" s="29" t="n"/>
      <c r="M27" s="31" t="n"/>
      <c r="N27" s="31" t="n"/>
      <c r="O27" s="29" t="n"/>
      <c r="P27" s="29" t="n"/>
    </row>
    <row r="28" ht="15" customHeight="1" s="22">
      <c r="A28" s="31" t="n"/>
      <c r="B28" s="29" t="n"/>
      <c r="C28" s="29" t="n"/>
      <c r="D28" s="29" t="n"/>
      <c r="E28" s="29" t="n"/>
      <c r="F28" s="29" t="n"/>
      <c r="G28" s="29" t="n"/>
      <c r="H28" s="29" t="n"/>
      <c r="I28" s="32" t="n"/>
      <c r="J28" s="32" t="n"/>
      <c r="K28" s="29" t="n"/>
      <c r="L28" s="29" t="n"/>
      <c r="M28" s="31" t="n"/>
      <c r="N28" s="31" t="n"/>
      <c r="O28" s="29" t="n"/>
      <c r="P28" s="29" t="n"/>
    </row>
    <row r="29" ht="15" customHeight="1" s="22">
      <c r="A29" s="31" t="n"/>
      <c r="B29" s="29" t="n"/>
      <c r="C29" s="29" t="n"/>
      <c r="D29" s="29" t="n"/>
      <c r="E29" s="29" t="n"/>
      <c r="F29" s="29" t="n"/>
      <c r="G29" s="29" t="n"/>
      <c r="H29" s="29" t="n"/>
      <c r="I29" s="32" t="n"/>
      <c r="J29" s="32" t="n"/>
      <c r="K29" s="29" t="n"/>
      <c r="L29" s="29" t="n"/>
      <c r="M29" s="31" t="n"/>
      <c r="N29" s="31" t="n"/>
      <c r="O29" s="29" t="n"/>
      <c r="P29" s="29" t="n"/>
    </row>
    <row r="30" ht="15" customHeight="1" s="22">
      <c r="A30" s="31" t="n"/>
      <c r="B30" s="29" t="n"/>
      <c r="C30" s="29" t="n"/>
      <c r="D30" s="29" t="n"/>
      <c r="E30" s="29" t="n"/>
      <c r="F30" s="29" t="n"/>
      <c r="G30" s="29" t="n"/>
      <c r="H30" s="29" t="n"/>
      <c r="I30" s="32" t="n"/>
      <c r="J30" s="32" t="n"/>
      <c r="K30" s="29" t="n"/>
      <c r="L30" s="29" t="n"/>
      <c r="M30" s="31" t="n"/>
      <c r="N30" s="31" t="n"/>
      <c r="O30" s="29" t="n"/>
      <c r="P30" s="29" t="n"/>
    </row>
    <row r="31" ht="15" customHeight="1" s="22">
      <c r="A31" s="31" t="n"/>
      <c r="B31" s="29" t="n"/>
      <c r="C31" s="29" t="n"/>
      <c r="D31" s="29" t="n"/>
      <c r="E31" s="29" t="n"/>
      <c r="F31" s="29" t="n"/>
      <c r="G31" s="29" t="n"/>
      <c r="H31" s="29" t="n"/>
      <c r="I31" s="32" t="n"/>
      <c r="J31" s="32" t="n"/>
      <c r="K31" s="29" t="n"/>
      <c r="L31" s="29" t="n"/>
      <c r="M31" s="31" t="n"/>
      <c r="N31" s="31" t="n"/>
      <c r="O31" s="29" t="n"/>
      <c r="P31" s="29" t="n"/>
    </row>
    <row r="32" ht="15" customHeight="1" s="22">
      <c r="A32" s="31" t="n"/>
      <c r="B32" s="29" t="n"/>
      <c r="C32" s="29" t="n"/>
      <c r="D32" s="29" t="n"/>
      <c r="E32" s="29" t="n"/>
      <c r="F32" s="29" t="n"/>
      <c r="G32" s="29" t="n"/>
      <c r="H32" s="29" t="n"/>
      <c r="I32" s="32" t="n"/>
      <c r="J32" s="32" t="n"/>
      <c r="K32" s="29" t="n"/>
      <c r="L32" s="29" t="n"/>
      <c r="M32" s="31" t="n"/>
      <c r="N32" s="31" t="n"/>
      <c r="O32" s="29" t="n"/>
      <c r="P32" s="29" t="n"/>
    </row>
    <row r="33" ht="15" customHeight="1" s="22">
      <c r="A33" s="31" t="n"/>
      <c r="B33" s="29" t="n"/>
      <c r="C33" s="29" t="n"/>
      <c r="D33" s="29" t="n"/>
      <c r="E33" s="29" t="n"/>
      <c r="F33" s="29" t="n"/>
      <c r="G33" s="29" t="n"/>
      <c r="H33" s="29" t="n"/>
      <c r="I33" s="32" t="n"/>
      <c r="J33" s="32" t="n"/>
      <c r="K33" s="29" t="n"/>
      <c r="L33" s="29" t="n"/>
      <c r="M33" s="31" t="n"/>
      <c r="N33" s="31" t="n"/>
      <c r="O33" s="29" t="n"/>
      <c r="P33" s="29" t="n"/>
    </row>
    <row r="34" ht="15" customHeight="1" s="22">
      <c r="A34" s="31" t="n"/>
      <c r="B34" s="29" t="n"/>
      <c r="C34" s="29" t="n"/>
      <c r="D34" s="29" t="n"/>
      <c r="E34" s="29" t="n"/>
      <c r="F34" s="29" t="n"/>
      <c r="G34" s="29" t="n"/>
      <c r="H34" s="29" t="n"/>
      <c r="I34" s="32" t="n"/>
      <c r="J34" s="32" t="n"/>
      <c r="K34" s="29" t="n"/>
      <c r="L34" s="29" t="n"/>
      <c r="M34" s="31" t="n"/>
      <c r="N34" s="31" t="n"/>
      <c r="O34" s="29" t="n"/>
      <c r="P34" s="29" t="n"/>
    </row>
    <row r="35" ht="15" customHeight="1" s="22">
      <c r="A35" s="31" t="n"/>
      <c r="B35" s="29" t="n"/>
      <c r="C35" s="29" t="n"/>
      <c r="D35" s="29" t="n"/>
      <c r="E35" s="29" t="n"/>
      <c r="F35" s="29" t="n"/>
      <c r="G35" s="29" t="n"/>
      <c r="H35" s="29" t="n"/>
      <c r="I35" s="32" t="n"/>
      <c r="J35" s="32" t="n"/>
      <c r="K35" s="29" t="n"/>
      <c r="L35" s="29" t="n"/>
      <c r="M35" s="31" t="n"/>
      <c r="N35" s="31" t="n"/>
      <c r="O35" s="29" t="n"/>
      <c r="P35" s="29" t="n"/>
    </row>
    <row r="36" ht="15" customHeight="1" s="22">
      <c r="A36" s="31" t="n"/>
      <c r="B36" s="29" t="n"/>
      <c r="C36" s="29" t="n"/>
      <c r="D36" s="29" t="n"/>
      <c r="E36" s="29" t="n"/>
      <c r="F36" s="29" t="n"/>
      <c r="G36" s="29" t="n"/>
      <c r="H36" s="29" t="n"/>
      <c r="I36" s="32" t="n"/>
      <c r="J36" s="32" t="n"/>
      <c r="K36" s="29" t="n"/>
      <c r="L36" s="29" t="n"/>
      <c r="M36" s="31" t="n"/>
      <c r="N36" s="31" t="n"/>
      <c r="O36" s="29" t="n"/>
      <c r="P36" s="29" t="n"/>
    </row>
    <row r="37" ht="15" customHeight="1" s="22">
      <c r="A37" s="31" t="n"/>
      <c r="B37" s="29" t="n"/>
      <c r="C37" s="29" t="n"/>
      <c r="D37" s="29" t="n"/>
      <c r="E37" s="29" t="n"/>
      <c r="F37" s="29" t="n"/>
      <c r="G37" s="29" t="n"/>
      <c r="H37" s="29" t="n"/>
      <c r="I37" s="32" t="n"/>
      <c r="J37" s="32" t="n"/>
      <c r="K37" s="29" t="n"/>
      <c r="L37" s="29" t="n"/>
      <c r="M37" s="31" t="n"/>
      <c r="N37" s="31" t="n"/>
      <c r="O37" s="29" t="n"/>
      <c r="P37" s="29" t="n"/>
    </row>
    <row r="38" ht="15" customHeight="1" s="22">
      <c r="A38" s="31" t="n"/>
      <c r="B38" s="29" t="n"/>
      <c r="C38" s="29" t="n"/>
      <c r="D38" s="29" t="n"/>
      <c r="E38" s="29" t="n"/>
      <c r="F38" s="29" t="n"/>
      <c r="G38" s="29" t="n"/>
      <c r="H38" s="29" t="n"/>
      <c r="I38" s="32" t="n"/>
      <c r="J38" s="32" t="n"/>
      <c r="K38" s="29" t="n"/>
      <c r="L38" s="29" t="n"/>
      <c r="M38" s="31" t="n"/>
      <c r="N38" s="31" t="n"/>
      <c r="O38" s="29" t="n"/>
      <c r="P38" s="29" t="n"/>
    </row>
    <row r="39" ht="15" customHeight="1" s="22">
      <c r="A39" s="31" t="n"/>
      <c r="B39" s="29" t="n"/>
      <c r="C39" s="29" t="n"/>
      <c r="D39" s="29" t="n"/>
      <c r="E39" s="29" t="n"/>
      <c r="F39" s="29" t="n"/>
      <c r="G39" s="29" t="n"/>
      <c r="H39" s="29" t="n"/>
      <c r="I39" s="32" t="n"/>
      <c r="J39" s="32" t="n"/>
      <c r="K39" s="29" t="n"/>
      <c r="L39" s="29" t="n"/>
      <c r="M39" s="31" t="n"/>
      <c r="N39" s="31" t="n"/>
      <c r="O39" s="29" t="n"/>
      <c r="P39" s="29" t="n"/>
    </row>
    <row r="40" ht="15" customHeight="1" s="22">
      <c r="A40" s="31" t="n"/>
      <c r="B40" s="29" t="n"/>
      <c r="C40" s="29" t="n"/>
      <c r="D40" s="29" t="n"/>
      <c r="E40" s="29" t="n"/>
      <c r="F40" s="29" t="n"/>
      <c r="G40" s="29" t="n"/>
      <c r="H40" s="29" t="n"/>
      <c r="I40" s="32" t="n"/>
      <c r="J40" s="32" t="n"/>
      <c r="K40" s="29" t="n"/>
      <c r="L40" s="29" t="n"/>
      <c r="M40" s="31" t="n"/>
      <c r="N40" s="31" t="n"/>
      <c r="O40" s="29" t="n"/>
      <c r="P40" s="29" t="n"/>
    </row>
    <row r="41" ht="15" customHeight="1" s="22">
      <c r="A41" s="31" t="n"/>
      <c r="B41" s="29" t="n"/>
      <c r="C41" s="29" t="n"/>
      <c r="D41" s="29" t="n"/>
      <c r="E41" s="29" t="n"/>
      <c r="F41" s="29" t="n"/>
      <c r="G41" s="29" t="n"/>
      <c r="H41" s="29" t="n"/>
      <c r="I41" s="32" t="n"/>
      <c r="J41" s="32" t="n"/>
      <c r="K41" s="29" t="n"/>
      <c r="L41" s="29" t="n"/>
      <c r="M41" s="31" t="n"/>
      <c r="N41" s="31" t="n"/>
      <c r="O41" s="29" t="n"/>
      <c r="P41" s="29" t="n"/>
    </row>
    <row r="42" ht="15" customHeight="1" s="22">
      <c r="A42" s="31" t="n"/>
      <c r="B42" s="29" t="n"/>
      <c r="C42" s="29" t="n"/>
      <c r="D42" s="29" t="n"/>
      <c r="E42" s="29" t="n"/>
      <c r="F42" s="29" t="n"/>
      <c r="G42" s="29" t="n"/>
      <c r="H42" s="29" t="n"/>
      <c r="I42" s="32" t="n"/>
      <c r="J42" s="32" t="n"/>
      <c r="K42" s="29" t="n"/>
      <c r="L42" s="29" t="n"/>
      <c r="M42" s="31" t="n"/>
      <c r="N42" s="31" t="n"/>
      <c r="O42" s="29" t="n"/>
      <c r="P42" s="29" t="n"/>
    </row>
    <row r="43" ht="15" customHeight="1" s="22">
      <c r="A43" s="31" t="n"/>
      <c r="B43" s="29" t="n"/>
      <c r="C43" s="29" t="n"/>
      <c r="D43" s="29" t="n"/>
      <c r="E43" s="29" t="n"/>
      <c r="F43" s="29" t="n"/>
      <c r="G43" s="29" t="n"/>
      <c r="H43" s="29" t="n"/>
      <c r="I43" s="32" t="n"/>
      <c r="J43" s="32" t="n"/>
      <c r="K43" s="29" t="n"/>
      <c r="L43" s="29" t="n"/>
      <c r="M43" s="31" t="n"/>
      <c r="N43" s="31" t="n"/>
      <c r="O43" s="29" t="n"/>
      <c r="P43" s="29" t="n"/>
    </row>
    <row r="44" ht="15" customHeight="1" s="22">
      <c r="A44" s="31" t="n"/>
      <c r="B44" s="29" t="n"/>
      <c r="C44" s="29" t="n"/>
      <c r="D44" s="29" t="n"/>
      <c r="E44" s="29" t="n"/>
      <c r="F44" s="29" t="n"/>
      <c r="G44" s="29" t="n"/>
      <c r="H44" s="29" t="n"/>
      <c r="I44" s="32" t="n"/>
      <c r="J44" s="32" t="n"/>
      <c r="K44" s="29" t="n"/>
      <c r="L44" s="29" t="n"/>
      <c r="M44" s="31" t="n"/>
      <c r="N44" s="31" t="n"/>
      <c r="O44" s="29" t="n"/>
      <c r="P44" s="29" t="n"/>
    </row>
    <row r="45" ht="15" customHeight="1" s="22">
      <c r="A45" s="31" t="n"/>
      <c r="B45" s="29" t="n"/>
      <c r="C45" s="29" t="n"/>
      <c r="D45" s="29" t="n"/>
      <c r="E45" s="29" t="n"/>
      <c r="F45" s="29" t="n"/>
      <c r="G45" s="29" t="n"/>
      <c r="H45" s="29" t="n"/>
      <c r="I45" s="32" t="n"/>
      <c r="J45" s="32" t="n"/>
      <c r="K45" s="29" t="n"/>
      <c r="L45" s="29" t="n"/>
      <c r="M45" s="31" t="n"/>
      <c r="N45" s="31" t="n"/>
      <c r="O45" s="29" t="n"/>
      <c r="P45" s="29" t="n"/>
    </row>
    <row r="46" ht="15" customHeight="1" s="22">
      <c r="A46" s="31" t="n"/>
      <c r="B46" s="29" t="n"/>
      <c r="C46" s="29" t="n"/>
      <c r="D46" s="29" t="n"/>
      <c r="E46" s="29" t="n"/>
      <c r="F46" s="29" t="n"/>
      <c r="G46" s="29" t="n"/>
      <c r="H46" s="29" t="n"/>
      <c r="I46" s="32" t="n"/>
      <c r="J46" s="32" t="n"/>
      <c r="K46" s="29" t="n"/>
      <c r="L46" s="29" t="n"/>
      <c r="M46" s="31" t="n"/>
      <c r="N46" s="31" t="n"/>
      <c r="O46" s="29" t="n"/>
      <c r="P46" s="29" t="n"/>
    </row>
    <row r="47" ht="15" customHeight="1" s="22">
      <c r="A47" s="31" t="n"/>
      <c r="B47" s="29" t="n"/>
      <c r="C47" s="29" t="n"/>
      <c r="D47" s="29" t="n"/>
      <c r="E47" s="29" t="n"/>
      <c r="F47" s="29" t="n"/>
      <c r="G47" s="29" t="n"/>
      <c r="H47" s="29" t="n"/>
      <c r="I47" s="32" t="n"/>
      <c r="J47" s="32" t="n"/>
      <c r="K47" s="29" t="n"/>
      <c r="L47" s="29" t="n"/>
      <c r="M47" s="31" t="n"/>
      <c r="N47" s="31" t="n"/>
      <c r="O47" s="29" t="n"/>
      <c r="P47" s="29" t="n"/>
    </row>
    <row r="48" ht="15" customHeight="1" s="22">
      <c r="A48" s="31" t="n"/>
      <c r="B48" s="29" t="n"/>
      <c r="C48" s="29" t="n"/>
      <c r="D48" s="29" t="n"/>
      <c r="E48" s="29" t="n"/>
      <c r="F48" s="29" t="n"/>
      <c r="G48" s="29" t="n"/>
      <c r="H48" s="29" t="n"/>
      <c r="I48" s="32" t="n"/>
      <c r="J48" s="32" t="n"/>
      <c r="K48" s="29" t="n"/>
      <c r="L48" s="29" t="n"/>
      <c r="M48" s="31" t="n"/>
      <c r="N48" s="31" t="n"/>
      <c r="O48" s="29" t="n"/>
      <c r="P48" s="29" t="n"/>
    </row>
    <row r="49" ht="15" customHeight="1" s="22">
      <c r="A49" s="31" t="n"/>
      <c r="B49" s="29" t="n"/>
      <c r="C49" s="29" t="n"/>
      <c r="D49" s="29" t="n"/>
      <c r="E49" s="29" t="n"/>
      <c r="F49" s="29" t="n"/>
      <c r="G49" s="29" t="n"/>
      <c r="H49" s="29" t="n"/>
      <c r="I49" s="32" t="n"/>
      <c r="J49" s="32" t="n"/>
      <c r="K49" s="29" t="n"/>
      <c r="L49" s="29" t="n"/>
      <c r="M49" s="31" t="n"/>
      <c r="N49" s="31" t="n"/>
      <c r="O49" s="29" t="n"/>
      <c r="P49" s="29" t="n"/>
    </row>
    <row r="50" ht="15" customHeight="1" s="22">
      <c r="A50" s="31" t="n"/>
      <c r="B50" s="29" t="n"/>
      <c r="C50" s="29" t="n"/>
      <c r="D50" s="29" t="n"/>
      <c r="E50" s="29" t="n"/>
      <c r="F50" s="29" t="n"/>
      <c r="G50" s="29" t="n"/>
      <c r="H50" s="29" t="n"/>
      <c r="I50" s="32" t="n"/>
      <c r="J50" s="32" t="n"/>
      <c r="K50" s="29" t="n"/>
      <c r="L50" s="29" t="n"/>
      <c r="M50" s="31" t="n"/>
      <c r="N50" s="31" t="n"/>
      <c r="O50" s="29" t="n"/>
      <c r="P50" s="29" t="n"/>
    </row>
    <row r="51" ht="15" customHeight="1" s="22">
      <c r="A51" s="31" t="n"/>
      <c r="B51" s="29" t="n"/>
      <c r="C51" s="29" t="n"/>
      <c r="D51" s="29" t="n"/>
      <c r="E51" s="29" t="n"/>
      <c r="F51" s="29" t="n"/>
      <c r="G51" s="29" t="n"/>
      <c r="H51" s="29" t="n"/>
      <c r="I51" s="32" t="n"/>
      <c r="J51" s="32" t="n"/>
      <c r="K51" s="29" t="n"/>
      <c r="L51" s="29" t="n"/>
      <c r="M51" s="31" t="n"/>
      <c r="N51" s="31" t="n"/>
      <c r="O51" s="29" t="n"/>
      <c r="P51" s="29" t="n"/>
    </row>
    <row r="52" ht="15" customHeight="1" s="22">
      <c r="A52" s="31" t="n"/>
      <c r="B52" s="29" t="n"/>
      <c r="C52" s="29" t="n"/>
      <c r="D52" s="29" t="n"/>
      <c r="E52" s="29" t="n"/>
      <c r="F52" s="29" t="n"/>
      <c r="G52" s="29" t="n"/>
      <c r="H52" s="29" t="n"/>
      <c r="I52" s="32" t="n"/>
      <c r="J52" s="32" t="n"/>
      <c r="K52" s="29" t="n"/>
      <c r="L52" s="29" t="n"/>
      <c r="M52" s="31" t="n"/>
      <c r="N52" s="31" t="n"/>
      <c r="O52" s="29" t="n"/>
      <c r="P52" s="29" t="n"/>
    </row>
    <row r="53" ht="15" customHeight="1" s="22">
      <c r="A53" s="31" t="n"/>
      <c r="B53" s="29" t="n"/>
      <c r="C53" s="29" t="n"/>
      <c r="D53" s="29" t="n"/>
      <c r="E53" s="29" t="n"/>
      <c r="F53" s="29" t="n"/>
      <c r="G53" s="29" t="n"/>
      <c r="H53" s="29" t="n"/>
      <c r="I53" s="32" t="n"/>
      <c r="J53" s="32" t="n"/>
      <c r="K53" s="29" t="n"/>
      <c r="L53" s="29" t="n"/>
      <c r="M53" s="31" t="n"/>
      <c r="N53" s="31" t="n"/>
      <c r="O53" s="29" t="n"/>
      <c r="P53" s="29" t="n"/>
    </row>
    <row r="54" ht="15" customHeight="1" s="22">
      <c r="A54" s="31" t="n"/>
      <c r="B54" s="29" t="n"/>
      <c r="C54" s="29" t="n"/>
      <c r="D54" s="29" t="n"/>
      <c r="E54" s="29" t="n"/>
      <c r="F54" s="29" t="n"/>
      <c r="G54" s="29" t="n"/>
      <c r="H54" s="29" t="n"/>
      <c r="I54" s="32" t="n"/>
      <c r="J54" s="32" t="n"/>
      <c r="K54" s="29" t="n"/>
      <c r="L54" s="29" t="n"/>
      <c r="M54" s="31" t="n"/>
      <c r="N54" s="31" t="n"/>
      <c r="O54" s="29" t="n"/>
      <c r="P54" s="29" t="n"/>
    </row>
    <row r="55" ht="15" customHeight="1" s="22">
      <c r="A55" s="31" t="n"/>
      <c r="B55" s="29" t="n"/>
      <c r="C55" s="29" t="n"/>
      <c r="D55" s="29" t="n"/>
      <c r="E55" s="29" t="n"/>
      <c r="F55" s="29" t="n"/>
      <c r="G55" s="29" t="n"/>
      <c r="H55" s="29" t="n"/>
      <c r="I55" s="32" t="n"/>
      <c r="J55" s="32" t="n"/>
      <c r="K55" s="29" t="n"/>
      <c r="L55" s="29" t="n"/>
      <c r="M55" s="31" t="n"/>
      <c r="N55" s="31" t="n"/>
      <c r="O55" s="29" t="n"/>
      <c r="P55" s="29" t="n"/>
    </row>
    <row r="56" ht="15" customHeight="1" s="22">
      <c r="A56" s="31" t="n"/>
      <c r="B56" s="29" t="n"/>
      <c r="C56" s="29" t="n"/>
      <c r="D56" s="29" t="n"/>
      <c r="E56" s="29" t="n"/>
      <c r="F56" s="29" t="n"/>
      <c r="G56" s="29" t="n"/>
      <c r="H56" s="29" t="n"/>
      <c r="I56" s="32" t="n"/>
      <c r="J56" s="32" t="n"/>
      <c r="K56" s="29" t="n"/>
      <c r="L56" s="29" t="n"/>
      <c r="M56" s="31" t="n"/>
      <c r="N56" s="31" t="n"/>
      <c r="O56" s="29" t="n"/>
      <c r="P56" s="29" t="n"/>
    </row>
    <row r="57" ht="15" customHeight="1" s="22">
      <c r="A57" s="31" t="n"/>
      <c r="B57" s="29" t="n"/>
      <c r="C57" s="29" t="n"/>
      <c r="D57" s="29" t="n"/>
      <c r="E57" s="29" t="n"/>
      <c r="F57" s="29" t="n"/>
      <c r="G57" s="29" t="n"/>
      <c r="H57" s="29" t="n"/>
      <c r="I57" s="32" t="n"/>
      <c r="J57" s="32" t="n"/>
      <c r="K57" s="29" t="n"/>
      <c r="L57" s="29" t="n"/>
      <c r="M57" s="31" t="n"/>
      <c r="N57" s="31" t="n"/>
      <c r="O57" s="29" t="n"/>
      <c r="P57" s="29" t="n"/>
    </row>
    <row r="58" ht="15" customHeight="1" s="22">
      <c r="A58" s="31" t="n"/>
      <c r="B58" s="29" t="n"/>
      <c r="C58" s="29" t="n"/>
      <c r="D58" s="29" t="n"/>
      <c r="E58" s="29" t="n"/>
      <c r="F58" s="29" t="n"/>
      <c r="G58" s="29" t="n"/>
      <c r="H58" s="29" t="n"/>
      <c r="I58" s="32" t="n"/>
      <c r="J58" s="32" t="n"/>
      <c r="K58" s="29" t="n"/>
      <c r="L58" s="29" t="n"/>
      <c r="M58" s="31" t="n"/>
      <c r="N58" s="31" t="n"/>
      <c r="O58" s="29" t="n"/>
      <c r="P58" s="29" t="n"/>
    </row>
    <row r="59" ht="15" customHeight="1" s="22">
      <c r="A59" s="31" t="n"/>
      <c r="B59" s="29" t="n"/>
      <c r="C59" s="29" t="n"/>
      <c r="D59" s="29" t="n"/>
      <c r="E59" s="29" t="n"/>
      <c r="F59" s="29" t="n"/>
      <c r="G59" s="29" t="n"/>
      <c r="H59" s="29" t="n"/>
      <c r="I59" s="32" t="n"/>
      <c r="J59" s="32" t="n"/>
      <c r="K59" s="29" t="n"/>
      <c r="L59" s="29" t="n"/>
      <c r="M59" s="31" t="n"/>
      <c r="N59" s="31" t="n"/>
      <c r="O59" s="29" t="n"/>
      <c r="P59" s="29" t="n"/>
    </row>
    <row r="60" ht="15" customHeight="1" s="22">
      <c r="A60" s="31" t="n"/>
      <c r="B60" s="29" t="n"/>
      <c r="C60" s="29" t="n"/>
      <c r="D60" s="29" t="n"/>
      <c r="E60" s="29" t="n"/>
      <c r="F60" s="29" t="n"/>
      <c r="G60" s="29" t="n"/>
      <c r="H60" s="29" t="n"/>
      <c r="I60" s="32" t="n"/>
      <c r="J60" s="32" t="n"/>
      <c r="K60" s="29" t="n"/>
      <c r="L60" s="29" t="n"/>
      <c r="M60" s="31" t="n"/>
      <c r="N60" s="31" t="n"/>
      <c r="O60" s="29" t="n"/>
      <c r="P60" s="29" t="n"/>
    </row>
    <row r="61" ht="15" customHeight="1" s="22">
      <c r="A61" s="31" t="n"/>
      <c r="B61" s="29" t="n"/>
      <c r="C61" s="29" t="n"/>
      <c r="D61" s="29" t="n"/>
      <c r="E61" s="29" t="n"/>
      <c r="F61" s="29" t="n"/>
      <c r="G61" s="29" t="n"/>
      <c r="H61" s="29" t="n"/>
      <c r="I61" s="32" t="n"/>
      <c r="J61" s="32" t="n"/>
      <c r="K61" s="29" t="n"/>
      <c r="L61" s="29" t="n"/>
      <c r="M61" s="31" t="n"/>
      <c r="N61" s="31" t="n"/>
      <c r="O61" s="29" t="n"/>
      <c r="P61" s="29" t="n"/>
    </row>
    <row r="62" ht="15" customHeight="1" s="22">
      <c r="A62" s="31" t="n"/>
      <c r="B62" s="29" t="n"/>
      <c r="C62" s="29" t="n"/>
      <c r="D62" s="29" t="n"/>
      <c r="E62" s="29" t="n"/>
      <c r="F62" s="29" t="n"/>
      <c r="G62" s="29" t="n"/>
      <c r="H62" s="29" t="n"/>
      <c r="I62" s="32" t="n"/>
      <c r="J62" s="32" t="n"/>
      <c r="K62" s="29" t="n"/>
      <c r="L62" s="29" t="n"/>
      <c r="M62" s="31" t="n"/>
      <c r="N62" s="31" t="n"/>
      <c r="O62" s="29" t="n"/>
      <c r="P62" s="29" t="n"/>
    </row>
    <row r="63" ht="15" customHeight="1" s="22">
      <c r="A63" s="31" t="n"/>
      <c r="B63" s="29" t="n"/>
      <c r="C63" s="29" t="n"/>
      <c r="D63" s="29" t="n"/>
      <c r="E63" s="29" t="n"/>
      <c r="F63" s="29" t="n"/>
      <c r="G63" s="29" t="n"/>
      <c r="H63" s="29" t="n"/>
      <c r="I63" s="32" t="n"/>
      <c r="J63" s="32" t="n"/>
      <c r="K63" s="29" t="n"/>
      <c r="L63" s="29" t="n"/>
      <c r="M63" s="31" t="n"/>
      <c r="N63" s="31" t="n"/>
      <c r="O63" s="29" t="n"/>
      <c r="P63" s="29" t="n"/>
    </row>
    <row r="64" ht="15" customHeight="1" s="22">
      <c r="A64" s="31" t="n"/>
      <c r="B64" s="29" t="n"/>
      <c r="C64" s="29" t="n"/>
      <c r="D64" s="29" t="n"/>
      <c r="E64" s="29" t="n"/>
      <c r="F64" s="29" t="n"/>
      <c r="G64" s="29" t="n"/>
      <c r="H64" s="29" t="n"/>
      <c r="I64" s="32" t="n"/>
      <c r="J64" s="32" t="n"/>
      <c r="K64" s="29" t="n"/>
      <c r="L64" s="29" t="n"/>
      <c r="M64" s="31" t="n"/>
      <c r="N64" s="31" t="n"/>
      <c r="O64" s="29" t="n"/>
      <c r="P64" s="29" t="n"/>
    </row>
    <row r="65" ht="15" customHeight="1" s="22">
      <c r="A65" s="31" t="n"/>
      <c r="B65" s="29" t="n"/>
      <c r="C65" s="29" t="n"/>
      <c r="D65" s="29" t="n"/>
      <c r="E65" s="29" t="n"/>
      <c r="F65" s="29" t="n"/>
      <c r="G65" s="29" t="n"/>
      <c r="H65" s="29" t="n"/>
      <c r="I65" s="32" t="n"/>
      <c r="J65" s="32" t="n"/>
      <c r="K65" s="29" t="n"/>
      <c r="L65" s="29" t="n"/>
      <c r="M65" s="31" t="n"/>
      <c r="N65" s="31" t="n"/>
      <c r="O65" s="29" t="n"/>
      <c r="P65" s="29" t="n"/>
    </row>
    <row r="66" ht="15" customHeight="1" s="22">
      <c r="A66" s="31" t="n"/>
      <c r="B66" s="29" t="n"/>
      <c r="C66" s="29" t="n"/>
      <c r="D66" s="29" t="n"/>
      <c r="E66" s="29" t="n"/>
      <c r="F66" s="29" t="n"/>
      <c r="G66" s="29" t="n"/>
      <c r="H66" s="29" t="n"/>
      <c r="I66" s="32" t="n"/>
      <c r="J66" s="32" t="n"/>
      <c r="K66" s="29" t="n"/>
      <c r="L66" s="29" t="n"/>
      <c r="M66" s="31" t="n"/>
      <c r="N66" s="31" t="n"/>
      <c r="O66" s="29" t="n"/>
      <c r="P66" s="29" t="n"/>
    </row>
    <row r="67" ht="15" customHeight="1" s="22">
      <c r="A67" s="31" t="n"/>
      <c r="B67" s="29" t="n"/>
      <c r="C67" s="29" t="n"/>
      <c r="D67" s="29" t="n"/>
      <c r="E67" s="29" t="n"/>
      <c r="F67" s="29" t="n"/>
      <c r="G67" s="29" t="n"/>
      <c r="H67" s="29" t="n"/>
      <c r="I67" s="32" t="n"/>
      <c r="J67" s="32" t="n"/>
      <c r="K67" s="29" t="n"/>
      <c r="L67" s="29" t="n"/>
      <c r="M67" s="31" t="n"/>
      <c r="N67" s="31" t="n"/>
      <c r="O67" s="29" t="n"/>
      <c r="P67" s="29" t="n"/>
    </row>
    <row r="68" ht="15" customHeight="1" s="22">
      <c r="A68" s="31" t="n"/>
      <c r="B68" s="29" t="n"/>
      <c r="C68" s="29" t="n"/>
      <c r="D68" s="29" t="n"/>
      <c r="E68" s="29" t="n"/>
      <c r="F68" s="29" t="n"/>
      <c r="G68" s="29" t="n"/>
      <c r="H68" s="29" t="n"/>
      <c r="I68" s="32" t="n"/>
      <c r="J68" s="32" t="n"/>
      <c r="K68" s="29" t="n"/>
      <c r="L68" s="29" t="n"/>
      <c r="M68" s="31" t="n"/>
      <c r="N68" s="31" t="n"/>
      <c r="O68" s="29" t="n"/>
      <c r="P68" s="29" t="n"/>
    </row>
    <row r="69" ht="15" customHeight="1" s="22">
      <c r="A69" s="31" t="n"/>
      <c r="B69" s="29" t="n"/>
      <c r="C69" s="29" t="n"/>
      <c r="D69" s="29" t="n"/>
      <c r="E69" s="29" t="n"/>
      <c r="F69" s="29" t="n"/>
      <c r="G69" s="29" t="n"/>
      <c r="H69" s="29" t="n"/>
      <c r="I69" s="32" t="n"/>
      <c r="J69" s="32" t="n"/>
      <c r="K69" s="29" t="n"/>
      <c r="L69" s="29" t="n"/>
      <c r="M69" s="31" t="n"/>
      <c r="N69" s="31" t="n"/>
      <c r="O69" s="29" t="n"/>
      <c r="P69" s="29" t="n"/>
    </row>
    <row r="70" ht="15" customHeight="1" s="22">
      <c r="A70" s="31" t="n"/>
      <c r="B70" s="29" t="n"/>
      <c r="C70" s="29" t="n"/>
      <c r="D70" s="29" t="n"/>
      <c r="E70" s="29" t="n"/>
      <c r="F70" s="29" t="n"/>
      <c r="G70" s="29" t="n"/>
      <c r="H70" s="29" t="n"/>
      <c r="I70" s="32" t="n"/>
      <c r="J70" s="32" t="n"/>
      <c r="K70" s="29" t="n"/>
      <c r="L70" s="29" t="n"/>
      <c r="M70" s="31" t="n"/>
      <c r="N70" s="31" t="n"/>
      <c r="O70" s="29" t="n"/>
      <c r="P70" s="29" t="n"/>
    </row>
    <row r="71" ht="15" customHeight="1" s="22">
      <c r="A71" s="31" t="n"/>
      <c r="B71" s="29" t="n"/>
      <c r="C71" s="29" t="n"/>
      <c r="D71" s="29" t="n"/>
      <c r="E71" s="29" t="n"/>
      <c r="F71" s="29" t="n"/>
      <c r="G71" s="29" t="n"/>
      <c r="H71" s="29" t="n"/>
      <c r="I71" s="32" t="n"/>
      <c r="J71" s="32" t="n"/>
      <c r="K71" s="29" t="n"/>
      <c r="L71" s="29" t="n"/>
      <c r="M71" s="31" t="n"/>
      <c r="N71" s="31" t="n"/>
      <c r="O71" s="29" t="n"/>
      <c r="P71" s="29" t="n"/>
    </row>
    <row r="72" ht="15" customHeight="1" s="22">
      <c r="A72" s="31" t="n"/>
      <c r="B72" s="29" t="n"/>
      <c r="C72" s="29" t="n"/>
      <c r="D72" s="29" t="n"/>
      <c r="E72" s="29" t="n"/>
      <c r="F72" s="29" t="n"/>
      <c r="G72" s="29" t="n"/>
      <c r="H72" s="29" t="n"/>
      <c r="I72" s="32" t="n"/>
      <c r="J72" s="32" t="n"/>
      <c r="K72" s="29" t="n"/>
      <c r="L72" s="29" t="n"/>
      <c r="M72" s="31" t="n"/>
      <c r="N72" s="31" t="n"/>
      <c r="O72" s="29" t="n"/>
      <c r="P72" s="29" t="n"/>
    </row>
    <row r="73" ht="15" customHeight="1" s="22">
      <c r="A73" s="31" t="n"/>
      <c r="B73" s="29" t="n"/>
      <c r="C73" s="29" t="n"/>
      <c r="D73" s="29" t="n"/>
      <c r="E73" s="29" t="n"/>
      <c r="F73" s="29" t="n"/>
      <c r="G73" s="29" t="n"/>
      <c r="H73" s="29" t="n"/>
      <c r="I73" s="32" t="n"/>
      <c r="J73" s="32" t="n"/>
      <c r="K73" s="29" t="n"/>
      <c r="L73" s="29" t="n"/>
      <c r="M73" s="31" t="n"/>
      <c r="N73" s="31" t="n"/>
      <c r="O73" s="29" t="n"/>
      <c r="P73" s="29" t="n"/>
    </row>
    <row r="74" ht="15" customHeight="1" s="22">
      <c r="A74" s="31" t="n"/>
      <c r="B74" s="29" t="n"/>
      <c r="C74" s="29" t="n"/>
      <c r="D74" s="29" t="n"/>
      <c r="E74" s="29" t="n"/>
      <c r="F74" s="29" t="n"/>
      <c r="G74" s="29" t="n"/>
      <c r="H74" s="29" t="n"/>
      <c r="I74" s="32" t="n"/>
      <c r="J74" s="32" t="n"/>
      <c r="K74" s="29" t="n"/>
      <c r="L74" s="29" t="n"/>
      <c r="M74" s="31" t="n"/>
      <c r="N74" s="31" t="n"/>
      <c r="O74" s="29" t="n"/>
      <c r="P74" s="29" t="n"/>
    </row>
    <row r="75" ht="15" customHeight="1" s="22">
      <c r="A75" s="31" t="n"/>
      <c r="B75" s="29" t="n"/>
      <c r="C75" s="29" t="n"/>
      <c r="D75" s="29" t="n"/>
      <c r="E75" s="29" t="n"/>
      <c r="F75" s="29" t="n"/>
      <c r="G75" s="29" t="n"/>
      <c r="H75" s="29" t="n"/>
      <c r="I75" s="32" t="n"/>
      <c r="J75" s="32" t="n"/>
      <c r="K75" s="29" t="n"/>
      <c r="L75" s="29" t="n"/>
      <c r="M75" s="31" t="n"/>
      <c r="N75" s="31" t="n"/>
      <c r="O75" s="29" t="n"/>
      <c r="P75" s="29" t="n"/>
    </row>
    <row r="76" ht="15" customHeight="1" s="22">
      <c r="A76" s="31" t="n"/>
      <c r="B76" s="29" t="n"/>
      <c r="C76" s="29" t="n"/>
      <c r="D76" s="29" t="n"/>
      <c r="E76" s="29" t="n"/>
      <c r="F76" s="29" t="n"/>
      <c r="G76" s="29" t="n"/>
      <c r="H76" s="29" t="n"/>
      <c r="I76" s="32" t="n"/>
      <c r="J76" s="32" t="n"/>
      <c r="K76" s="29" t="n"/>
      <c r="L76" s="29" t="n"/>
      <c r="M76" s="31" t="n"/>
      <c r="N76" s="31" t="n"/>
      <c r="O76" s="29" t="n"/>
      <c r="P76" s="29" t="n"/>
    </row>
    <row r="77" ht="15" customHeight="1" s="22">
      <c r="A77" s="31" t="n"/>
      <c r="B77" s="29" t="n"/>
      <c r="C77" s="29" t="n"/>
      <c r="D77" s="29" t="n"/>
      <c r="E77" s="29" t="n"/>
      <c r="F77" s="29" t="n"/>
      <c r="G77" s="29" t="n"/>
      <c r="H77" s="29" t="n"/>
      <c r="I77" s="32" t="n"/>
      <c r="J77" s="32" t="n"/>
      <c r="K77" s="29" t="n"/>
      <c r="L77" s="29" t="n"/>
      <c r="M77" s="31" t="n"/>
      <c r="N77" s="31" t="n"/>
      <c r="O77" s="29" t="n"/>
      <c r="P77" s="29" t="n"/>
    </row>
    <row r="78" ht="15" customHeight="1" s="22">
      <c r="A78" s="31" t="n"/>
      <c r="B78" s="29" t="n"/>
      <c r="C78" s="29" t="n"/>
      <c r="D78" s="29" t="n"/>
      <c r="E78" s="29" t="n"/>
      <c r="F78" s="29" t="n"/>
      <c r="G78" s="29" t="n"/>
      <c r="H78" s="29" t="n"/>
      <c r="I78" s="32" t="n"/>
      <c r="J78" s="32" t="n"/>
      <c r="K78" s="29" t="n"/>
      <c r="L78" s="29" t="n"/>
      <c r="M78" s="31" t="n"/>
      <c r="N78" s="31" t="n"/>
      <c r="O78" s="29" t="n"/>
      <c r="P78" s="29" t="n"/>
    </row>
    <row r="79" ht="15" customHeight="1" s="22">
      <c r="A79" s="31" t="n"/>
      <c r="B79" s="29" t="n"/>
      <c r="C79" s="29" t="n"/>
      <c r="D79" s="29" t="n"/>
      <c r="E79" s="29" t="n"/>
      <c r="F79" s="29" t="n"/>
      <c r="G79" s="29" t="n"/>
      <c r="H79" s="29" t="n"/>
      <c r="I79" s="32" t="n"/>
      <c r="J79" s="32" t="n"/>
      <c r="K79" s="29" t="n"/>
      <c r="L79" s="29" t="n"/>
      <c r="M79" s="31" t="n"/>
      <c r="N79" s="31" t="n"/>
      <c r="O79" s="29" t="n"/>
      <c r="P79" s="29" t="n"/>
    </row>
    <row r="80" ht="15" customHeight="1" s="22">
      <c r="A80" s="31" t="n"/>
      <c r="B80" s="29" t="n"/>
      <c r="C80" s="29" t="n"/>
      <c r="D80" s="29" t="n"/>
      <c r="E80" s="29" t="n"/>
      <c r="F80" s="29" t="n"/>
      <c r="G80" s="29" t="n"/>
      <c r="H80" s="29" t="n"/>
      <c r="I80" s="32" t="n"/>
      <c r="J80" s="32" t="n"/>
      <c r="K80" s="29" t="n"/>
      <c r="L80" s="29" t="n"/>
      <c r="M80" s="31" t="n"/>
      <c r="N80" s="31" t="n"/>
      <c r="O80" s="29" t="n"/>
      <c r="P80" s="29" t="n"/>
    </row>
    <row r="81" ht="15" customHeight="1" s="22">
      <c r="A81" s="31" t="n"/>
      <c r="B81" s="29" t="n"/>
      <c r="C81" s="29" t="n"/>
      <c r="D81" s="29" t="n"/>
      <c r="E81" s="29" t="n"/>
      <c r="F81" s="29" t="n"/>
      <c r="G81" s="29" t="n"/>
      <c r="H81" s="29" t="n"/>
      <c r="I81" s="32" t="n"/>
      <c r="J81" s="32" t="n"/>
      <c r="K81" s="29" t="n"/>
      <c r="L81" s="29" t="n"/>
      <c r="M81" s="31" t="n"/>
      <c r="N81" s="31" t="n"/>
      <c r="O81" s="29" t="n"/>
      <c r="P81" s="29" t="n"/>
    </row>
    <row r="82" ht="15" customHeight="1" s="22">
      <c r="A82" s="31" t="n"/>
      <c r="B82" s="29" t="n"/>
      <c r="C82" s="29" t="n"/>
      <c r="D82" s="29" t="n"/>
      <c r="E82" s="29" t="n"/>
      <c r="F82" s="29" t="n"/>
      <c r="G82" s="29" t="n"/>
      <c r="H82" s="29" t="n"/>
      <c r="I82" s="32" t="n"/>
      <c r="J82" s="32" t="n"/>
      <c r="K82" s="29" t="n"/>
      <c r="L82" s="29" t="n"/>
      <c r="M82" s="31" t="n"/>
      <c r="N82" s="31" t="n"/>
      <c r="O82" s="29" t="n"/>
      <c r="P82" s="29" t="n"/>
    </row>
    <row r="83" ht="15" customHeight="1" s="22">
      <c r="A83" s="31" t="n"/>
      <c r="B83" s="29" t="n"/>
      <c r="C83" s="29" t="n"/>
      <c r="D83" s="29" t="n"/>
      <c r="E83" s="29" t="n"/>
      <c r="F83" s="29" t="n"/>
      <c r="G83" s="29" t="n"/>
      <c r="H83" s="29" t="n"/>
      <c r="I83" s="32" t="n"/>
      <c r="J83" s="32" t="n"/>
      <c r="K83" s="29" t="n"/>
      <c r="L83" s="29" t="n"/>
      <c r="M83" s="31" t="n"/>
      <c r="N83" s="31" t="n"/>
      <c r="O83" s="29" t="n"/>
      <c r="P83" s="29" t="n"/>
    </row>
    <row r="84" ht="15" customHeight="1" s="22">
      <c r="A84" s="31" t="n"/>
      <c r="B84" s="29" t="n"/>
      <c r="C84" s="29" t="n"/>
      <c r="D84" s="29" t="n"/>
      <c r="E84" s="29" t="n"/>
      <c r="F84" s="29" t="n"/>
      <c r="G84" s="29" t="n"/>
      <c r="H84" s="29" t="n"/>
      <c r="I84" s="32" t="n"/>
      <c r="J84" s="32" t="n"/>
      <c r="K84" s="29" t="n"/>
      <c r="L84" s="29" t="n"/>
      <c r="M84" s="31" t="n"/>
      <c r="N84" s="31" t="n"/>
      <c r="O84" s="29" t="n"/>
      <c r="P84" s="29" t="n"/>
    </row>
    <row r="85" ht="15" customHeight="1" s="22">
      <c r="A85" s="31" t="n"/>
      <c r="B85" s="29" t="n"/>
      <c r="C85" s="29" t="n"/>
      <c r="D85" s="29" t="n"/>
      <c r="E85" s="29" t="n"/>
      <c r="F85" s="29" t="n"/>
      <c r="G85" s="29" t="n"/>
      <c r="H85" s="29" t="n"/>
      <c r="I85" s="32" t="n"/>
      <c r="J85" s="32" t="n"/>
      <c r="K85" s="29" t="n"/>
      <c r="L85" s="29" t="n"/>
      <c r="M85" s="31" t="n"/>
      <c r="N85" s="31" t="n"/>
      <c r="O85" s="29" t="n"/>
      <c r="P85" s="29" t="n"/>
    </row>
    <row r="86" ht="15" customHeight="1" s="22">
      <c r="A86" s="31" t="n"/>
      <c r="B86" s="29" t="n"/>
      <c r="C86" s="29" t="n"/>
      <c r="D86" s="29" t="n"/>
      <c r="E86" s="29" t="n"/>
      <c r="F86" s="29" t="n"/>
      <c r="G86" s="29" t="n"/>
      <c r="H86" s="29" t="n"/>
      <c r="I86" s="32" t="n"/>
      <c r="J86" s="32" t="n"/>
      <c r="K86" s="29" t="n"/>
      <c r="L86" s="29" t="n"/>
      <c r="M86" s="31" t="n"/>
      <c r="N86" s="31" t="n"/>
      <c r="O86" s="29" t="n"/>
      <c r="P86" s="29" t="n"/>
    </row>
    <row r="87" ht="15" customHeight="1" s="22">
      <c r="A87" s="31" t="n"/>
      <c r="B87" s="29" t="n"/>
      <c r="C87" s="29" t="n"/>
      <c r="D87" s="29" t="n"/>
      <c r="E87" s="29" t="n"/>
      <c r="F87" s="29" t="n"/>
      <c r="G87" s="29" t="n"/>
      <c r="H87" s="29" t="n"/>
      <c r="I87" s="32" t="n"/>
      <c r="J87" s="32" t="n"/>
      <c r="K87" s="29" t="n"/>
      <c r="L87" s="29" t="n"/>
      <c r="M87" s="31" t="n"/>
      <c r="N87" s="31" t="n"/>
      <c r="O87" s="29" t="n"/>
      <c r="P87" s="29" t="n"/>
    </row>
    <row r="88" ht="15" customHeight="1" s="22">
      <c r="A88" s="31" t="n"/>
      <c r="B88" s="29" t="n"/>
      <c r="C88" s="29" t="n"/>
      <c r="D88" s="29" t="n"/>
      <c r="E88" s="29" t="n"/>
      <c r="F88" s="29" t="n"/>
      <c r="G88" s="29" t="n"/>
      <c r="H88" s="29" t="n"/>
      <c r="I88" s="32" t="n"/>
      <c r="J88" s="32" t="n"/>
      <c r="K88" s="29" t="n"/>
      <c r="L88" s="29" t="n"/>
      <c r="M88" s="31" t="n"/>
      <c r="N88" s="31" t="n"/>
      <c r="O88" s="29" t="n"/>
      <c r="P88" s="29" t="n"/>
    </row>
    <row r="89" ht="15" customHeight="1" s="22">
      <c r="A89" s="31" t="n"/>
      <c r="B89" s="29" t="n"/>
      <c r="C89" s="29" t="n"/>
      <c r="D89" s="29" t="n"/>
      <c r="E89" s="29" t="n"/>
      <c r="F89" s="29" t="n"/>
      <c r="G89" s="29" t="n"/>
      <c r="H89" s="29" t="n"/>
      <c r="I89" s="32" t="n"/>
      <c r="J89" s="32" t="n"/>
      <c r="K89" s="29" t="n"/>
      <c r="L89" s="29" t="n"/>
      <c r="M89" s="31" t="n"/>
      <c r="N89" s="31" t="n"/>
      <c r="O89" s="29" t="n"/>
      <c r="P89" s="29" t="n"/>
    </row>
    <row r="90" ht="15" customHeight="1" s="22">
      <c r="A90" s="31" t="n"/>
      <c r="B90" s="29" t="n"/>
      <c r="C90" s="29" t="n"/>
      <c r="D90" s="29" t="n"/>
      <c r="E90" s="29" t="n"/>
      <c r="F90" s="29" t="n"/>
      <c r="G90" s="29" t="n"/>
      <c r="H90" s="29" t="n"/>
      <c r="I90" s="32" t="n"/>
      <c r="J90" s="32" t="n"/>
      <c r="K90" s="29" t="n"/>
      <c r="L90" s="29" t="n"/>
      <c r="M90" s="31" t="n"/>
      <c r="N90" s="31" t="n"/>
      <c r="O90" s="29" t="n"/>
      <c r="P90" s="29" t="n"/>
    </row>
    <row r="91" ht="15" customHeight="1" s="22">
      <c r="A91" s="31" t="n"/>
      <c r="B91" s="29" t="n"/>
      <c r="C91" s="29" t="n"/>
      <c r="D91" s="29" t="n"/>
      <c r="E91" s="29" t="n"/>
      <c r="F91" s="29" t="n"/>
      <c r="G91" s="29" t="n"/>
      <c r="H91" s="29" t="n"/>
      <c r="I91" s="32" t="n"/>
      <c r="J91" s="32" t="n"/>
      <c r="K91" s="29" t="n"/>
      <c r="L91" s="29" t="n"/>
      <c r="M91" s="31" t="n"/>
      <c r="N91" s="31" t="n"/>
      <c r="O91" s="29" t="n"/>
      <c r="P91" s="29" t="n"/>
    </row>
    <row r="92" ht="15" customHeight="1" s="22">
      <c r="A92" s="31" t="n"/>
      <c r="B92" s="29" t="n"/>
      <c r="C92" s="29" t="n"/>
      <c r="D92" s="29" t="n"/>
      <c r="E92" s="29" t="n"/>
      <c r="F92" s="29" t="n"/>
      <c r="G92" s="29" t="n"/>
      <c r="H92" s="29" t="n"/>
      <c r="I92" s="32" t="n"/>
      <c r="J92" s="32" t="n"/>
      <c r="K92" s="29" t="n"/>
      <c r="L92" s="29" t="n"/>
      <c r="M92" s="31" t="n"/>
      <c r="N92" s="31" t="n"/>
      <c r="O92" s="29" t="n"/>
      <c r="P92" s="29" t="n"/>
    </row>
    <row r="93" ht="15" customHeight="1" s="22">
      <c r="A93" s="31" t="n"/>
      <c r="B93" s="29" t="n"/>
      <c r="C93" s="29" t="n"/>
      <c r="D93" s="29" t="n"/>
      <c r="E93" s="29" t="n"/>
      <c r="F93" s="29" t="n"/>
      <c r="G93" s="29" t="n"/>
      <c r="H93" s="29" t="n"/>
      <c r="I93" s="32" t="n"/>
      <c r="J93" s="32" t="n"/>
      <c r="K93" s="29" t="n"/>
      <c r="L93" s="29" t="n"/>
      <c r="M93" s="31" t="n"/>
      <c r="N93" s="31" t="n"/>
      <c r="O93" s="29" t="n"/>
      <c r="P93" s="29" t="n"/>
    </row>
    <row r="94" ht="15" customHeight="1" s="22">
      <c r="A94" s="31" t="n"/>
      <c r="B94" s="29" t="n"/>
      <c r="C94" s="29" t="n"/>
      <c r="D94" s="29" t="n"/>
      <c r="E94" s="29" t="n"/>
      <c r="F94" s="29" t="n"/>
      <c r="G94" s="29" t="n"/>
      <c r="H94" s="29" t="n"/>
      <c r="I94" s="32" t="n"/>
      <c r="J94" s="32" t="n"/>
      <c r="K94" s="29" t="n"/>
      <c r="L94" s="29" t="n"/>
      <c r="M94" s="31" t="n"/>
      <c r="N94" s="31" t="n"/>
      <c r="O94" s="29" t="n"/>
      <c r="P94" s="29" t="n"/>
    </row>
    <row r="95" ht="15" customHeight="1" s="22">
      <c r="A95" s="31" t="n"/>
      <c r="B95" s="29" t="n"/>
      <c r="C95" s="29" t="n"/>
      <c r="D95" s="29" t="n"/>
      <c r="E95" s="29" t="n"/>
      <c r="F95" s="29" t="n"/>
      <c r="G95" s="29" t="n"/>
      <c r="H95" s="29" t="n"/>
      <c r="I95" s="32" t="n"/>
      <c r="J95" s="32" t="n"/>
      <c r="K95" s="29" t="n"/>
      <c r="L95" s="29" t="n"/>
      <c r="M95" s="31" t="n"/>
      <c r="N95" s="31" t="n"/>
      <c r="O95" s="29" t="n"/>
      <c r="P95" s="29" t="n"/>
    </row>
    <row r="96" ht="15" customHeight="1" s="22">
      <c r="A96" s="31" t="n"/>
      <c r="B96" s="29" t="n"/>
      <c r="C96" s="29" t="n"/>
      <c r="D96" s="29" t="n"/>
      <c r="E96" s="29" t="n"/>
      <c r="F96" s="29" t="n"/>
      <c r="G96" s="29" t="n"/>
      <c r="H96" s="29" t="n"/>
      <c r="I96" s="32" t="n"/>
      <c r="J96" s="32" t="n"/>
      <c r="K96" s="29" t="n"/>
      <c r="L96" s="29" t="n"/>
      <c r="M96" s="31" t="n"/>
      <c r="N96" s="31" t="n"/>
      <c r="O96" s="29" t="n"/>
      <c r="P96" s="29" t="n"/>
    </row>
    <row r="97" ht="15" customHeight="1" s="22">
      <c r="A97" s="31" t="n"/>
      <c r="B97" s="29" t="n"/>
      <c r="C97" s="29" t="n"/>
      <c r="D97" s="29" t="n"/>
      <c r="E97" s="29" t="n"/>
      <c r="F97" s="29" t="n"/>
      <c r="G97" s="29" t="n"/>
      <c r="H97" s="29" t="n"/>
      <c r="I97" s="32" t="n"/>
      <c r="J97" s="32" t="n"/>
      <c r="K97" s="29" t="n"/>
      <c r="L97" s="29" t="n"/>
      <c r="M97" s="31" t="n"/>
      <c r="N97" s="31" t="n"/>
      <c r="O97" s="29" t="n"/>
      <c r="P97" s="29" t="n"/>
    </row>
    <row r="98" ht="15" customHeight="1" s="22">
      <c r="A98" s="31" t="n"/>
      <c r="B98" s="29" t="n"/>
      <c r="C98" s="29" t="n"/>
      <c r="D98" s="29" t="n"/>
      <c r="E98" s="29" t="n"/>
      <c r="F98" s="29" t="n"/>
      <c r="G98" s="29" t="n"/>
      <c r="H98" s="29" t="n"/>
      <c r="I98" s="32" t="n"/>
      <c r="J98" s="32" t="n"/>
      <c r="K98" s="29" t="n"/>
      <c r="L98" s="29" t="n"/>
      <c r="M98" s="31" t="n"/>
      <c r="N98" s="31" t="n"/>
      <c r="O98" s="29" t="n"/>
      <c r="P98" s="29" t="n"/>
    </row>
    <row r="99" ht="15" customHeight="1" s="22">
      <c r="A99" s="31" t="n"/>
      <c r="B99" s="29" t="n"/>
      <c r="C99" s="29" t="n"/>
      <c r="D99" s="29" t="n"/>
      <c r="E99" s="29" t="n"/>
      <c r="F99" s="29" t="n"/>
      <c r="G99" s="29" t="n"/>
      <c r="H99" s="29" t="n"/>
      <c r="I99" s="32" t="n"/>
      <c r="J99" s="32" t="n"/>
      <c r="K99" s="29" t="n"/>
      <c r="L99" s="29" t="n"/>
      <c r="M99" s="31" t="n"/>
      <c r="N99" s="31" t="n"/>
      <c r="O99" s="29" t="n"/>
      <c r="P99" s="29" t="n"/>
    </row>
    <row r="100" ht="15" customHeight="1" s="22">
      <c r="A100" s="31" t="n"/>
      <c r="B100" s="29" t="n"/>
      <c r="C100" s="29" t="n"/>
      <c r="D100" s="29" t="n"/>
      <c r="E100" s="29" t="n"/>
      <c r="F100" s="29" t="n"/>
      <c r="G100" s="29" t="n"/>
      <c r="H100" s="29" t="n"/>
      <c r="I100" s="32" t="n"/>
      <c r="J100" s="32" t="n"/>
      <c r="K100" s="29" t="n"/>
      <c r="L100" s="29" t="n"/>
      <c r="M100" s="31" t="n"/>
      <c r="N100" s="31" t="n"/>
      <c r="O100" s="29" t="n"/>
      <c r="P100" s="29" t="n"/>
    </row>
    <row r="101" ht="15" customHeight="1" s="22">
      <c r="A101" s="31" t="n"/>
      <c r="B101" s="29" t="n"/>
      <c r="C101" s="29" t="n"/>
      <c r="D101" s="29" t="n"/>
      <c r="E101" s="29" t="n"/>
      <c r="F101" s="29" t="n"/>
      <c r="G101" s="29" t="n"/>
      <c r="H101" s="29" t="n"/>
      <c r="I101" s="32" t="n"/>
      <c r="J101" s="32" t="n"/>
      <c r="K101" s="29" t="n"/>
      <c r="L101" s="29" t="n"/>
      <c r="M101" s="31" t="n"/>
      <c r="N101" s="31" t="n"/>
      <c r="O101" s="29" t="n"/>
      <c r="P101" s="29" t="n"/>
    </row>
    <row r="102" ht="15" customHeight="1" s="22">
      <c r="A102" s="31" t="n"/>
      <c r="B102" s="29" t="n"/>
      <c r="C102" s="29" t="n"/>
      <c r="D102" s="29" t="n"/>
      <c r="E102" s="29" t="n"/>
      <c r="F102" s="29" t="n"/>
      <c r="G102" s="29" t="n"/>
      <c r="H102" s="29" t="n"/>
      <c r="I102" s="32" t="n"/>
      <c r="J102" s="32" t="n"/>
      <c r="K102" s="29" t="n"/>
      <c r="L102" s="29" t="n"/>
      <c r="M102" s="31" t="n"/>
      <c r="N102" s="31" t="n"/>
      <c r="O102" s="29" t="n"/>
      <c r="P102" s="29" t="n"/>
    </row>
    <row r="103" ht="15" customHeight="1" s="22">
      <c r="A103" s="31" t="n"/>
      <c r="B103" s="29" t="n"/>
      <c r="C103" s="29" t="n"/>
      <c r="D103" s="29" t="n"/>
      <c r="E103" s="29" t="n"/>
      <c r="F103" s="29" t="n"/>
      <c r="G103" s="29" t="n"/>
      <c r="H103" s="29" t="n"/>
      <c r="I103" s="32" t="n"/>
      <c r="J103" s="32" t="n"/>
      <c r="K103" s="29" t="n"/>
      <c r="L103" s="29" t="n"/>
      <c r="M103" s="31" t="n"/>
      <c r="N103" s="31" t="n"/>
      <c r="O103" s="29" t="n"/>
      <c r="P103" s="29" t="n"/>
    </row>
    <row r="104" ht="15" customHeight="1" s="22">
      <c r="A104" s="31" t="n"/>
      <c r="B104" s="29" t="n"/>
      <c r="C104" s="29" t="n"/>
      <c r="D104" s="29" t="n"/>
      <c r="E104" s="29" t="n"/>
      <c r="F104" s="29" t="n"/>
      <c r="G104" s="29" t="n"/>
      <c r="H104" s="29" t="n"/>
      <c r="I104" s="32" t="n"/>
      <c r="J104" s="32" t="n"/>
      <c r="K104" s="29" t="n"/>
      <c r="L104" s="29" t="n"/>
      <c r="M104" s="31" t="n"/>
      <c r="N104" s="31" t="n"/>
      <c r="O104" s="29" t="n"/>
      <c r="P104" s="29" t="n"/>
    </row>
    <row r="105" ht="15" customHeight="1" s="22">
      <c r="A105" s="31" t="n"/>
      <c r="B105" s="29" t="n"/>
      <c r="C105" s="29" t="n"/>
      <c r="D105" s="29" t="n"/>
      <c r="E105" s="29" t="n"/>
      <c r="F105" s="29" t="n"/>
      <c r="G105" s="29" t="n"/>
      <c r="H105" s="29" t="n"/>
      <c r="I105" s="32" t="n"/>
      <c r="J105" s="32" t="n"/>
      <c r="K105" s="29" t="n"/>
      <c r="L105" s="29" t="n"/>
      <c r="M105" s="31" t="n"/>
      <c r="N105" s="31" t="n"/>
      <c r="O105" s="29" t="n"/>
      <c r="P105" s="29" t="n"/>
    </row>
    <row r="106" ht="15" customHeight="1" s="22">
      <c r="A106" s="31" t="n"/>
      <c r="B106" s="29" t="n"/>
      <c r="C106" s="29" t="n"/>
      <c r="D106" s="29" t="n"/>
      <c r="E106" s="29" t="n"/>
      <c r="F106" s="29" t="n"/>
      <c r="G106" s="29" t="n"/>
      <c r="H106" s="29" t="n"/>
      <c r="I106" s="32" t="n"/>
      <c r="J106" s="32" t="n"/>
      <c r="K106" s="29" t="n"/>
      <c r="L106" s="29" t="n"/>
      <c r="M106" s="31" t="n"/>
      <c r="N106" s="31" t="n"/>
      <c r="O106" s="29" t="n"/>
      <c r="P106" s="29" t="n"/>
    </row>
    <row r="107" ht="15" customHeight="1" s="22">
      <c r="A107" s="31" t="n"/>
      <c r="B107" s="29" t="n"/>
      <c r="C107" s="29" t="n"/>
      <c r="D107" s="29" t="n"/>
      <c r="E107" s="29" t="n"/>
      <c r="F107" s="29" t="n"/>
      <c r="G107" s="29" t="n"/>
      <c r="H107" s="29" t="n"/>
      <c r="I107" s="32" t="n"/>
      <c r="J107" s="32" t="n"/>
      <c r="K107" s="29" t="n"/>
      <c r="L107" s="29" t="n"/>
      <c r="M107" s="31" t="n"/>
      <c r="N107" s="31" t="n"/>
      <c r="O107" s="29" t="n"/>
      <c r="P107" s="29" t="n"/>
    </row>
    <row r="108" ht="15" customHeight="1" s="22">
      <c r="A108" s="31" t="n"/>
      <c r="B108" s="29" t="n"/>
      <c r="C108" s="29" t="n"/>
      <c r="D108" s="29" t="n"/>
      <c r="E108" s="29" t="n"/>
      <c r="F108" s="29" t="n"/>
      <c r="G108" s="29" t="n"/>
      <c r="H108" s="29" t="n"/>
      <c r="I108" s="32" t="n"/>
      <c r="J108" s="32" t="n"/>
      <c r="K108" s="29" t="n"/>
      <c r="L108" s="29" t="n"/>
      <c r="M108" s="31" t="n"/>
      <c r="N108" s="31" t="n"/>
      <c r="O108" s="29" t="n"/>
      <c r="P108" s="29" t="n"/>
    </row>
    <row r="109" ht="15" customHeight="1" s="22">
      <c r="A109" s="31" t="n"/>
      <c r="B109" s="29" t="n"/>
      <c r="C109" s="29" t="n"/>
      <c r="D109" s="29" t="n"/>
      <c r="E109" s="29" t="n"/>
      <c r="F109" s="29" t="n"/>
      <c r="G109" s="29" t="n"/>
      <c r="H109" s="29" t="n"/>
      <c r="I109" s="32" t="n"/>
      <c r="J109" s="32" t="n"/>
      <c r="K109" s="29" t="n"/>
      <c r="L109" s="29" t="n"/>
      <c r="M109" s="31" t="n"/>
      <c r="N109" s="31" t="n"/>
      <c r="O109" s="29" t="n"/>
      <c r="P109" s="29" t="n"/>
    </row>
    <row r="110" ht="15" customHeight="1" s="22">
      <c r="A110" s="31" t="n"/>
      <c r="B110" s="29" t="n"/>
      <c r="C110" s="29" t="n"/>
      <c r="D110" s="29" t="n"/>
      <c r="E110" s="29" t="n"/>
      <c r="F110" s="29" t="n"/>
      <c r="G110" s="29" t="n"/>
      <c r="H110" s="29" t="n"/>
      <c r="I110" s="32" t="n"/>
      <c r="J110" s="32" t="n"/>
      <c r="K110" s="29" t="n"/>
      <c r="L110" s="29" t="n"/>
      <c r="M110" s="31" t="n"/>
      <c r="N110" s="31" t="n"/>
      <c r="O110" s="29" t="n"/>
      <c r="P110" s="29" t="n"/>
    </row>
    <row r="111" ht="15" customHeight="1" s="22">
      <c r="A111" s="31" t="n"/>
      <c r="B111" s="29" t="n"/>
      <c r="C111" s="29" t="n"/>
      <c r="D111" s="29" t="n"/>
      <c r="E111" s="29" t="n"/>
      <c r="F111" s="29" t="n"/>
      <c r="G111" s="29" t="n"/>
      <c r="H111" s="29" t="n"/>
      <c r="I111" s="32" t="n"/>
      <c r="J111" s="32" t="n"/>
      <c r="K111" s="29" t="n"/>
      <c r="L111" s="29" t="n"/>
      <c r="M111" s="31" t="n"/>
      <c r="N111" s="31" t="n"/>
      <c r="O111" s="29" t="n"/>
      <c r="P111" s="29" t="n"/>
    </row>
    <row r="112" ht="15" customHeight="1" s="22">
      <c r="A112" s="31" t="n"/>
      <c r="B112" s="29" t="n"/>
      <c r="C112" s="29" t="n"/>
      <c r="D112" s="29" t="n"/>
      <c r="E112" s="29" t="n"/>
      <c r="F112" s="29" t="n"/>
      <c r="G112" s="29" t="n"/>
      <c r="H112" s="29" t="n"/>
      <c r="I112" s="32" t="n"/>
      <c r="J112" s="32" t="n"/>
      <c r="K112" s="29" t="n"/>
      <c r="L112" s="29" t="n"/>
      <c r="M112" s="31" t="n"/>
      <c r="N112" s="31" t="n"/>
      <c r="O112" s="29" t="n"/>
      <c r="P112" s="29" t="n"/>
    </row>
    <row r="113" ht="15" customHeight="1" s="22">
      <c r="A113" s="31" t="n"/>
      <c r="B113" s="29" t="n"/>
      <c r="C113" s="29" t="n"/>
      <c r="D113" s="29" t="n"/>
      <c r="E113" s="29" t="n"/>
      <c r="F113" s="29" t="n"/>
      <c r="G113" s="29" t="n"/>
      <c r="H113" s="29" t="n"/>
      <c r="I113" s="32" t="n"/>
      <c r="J113" s="32" t="n"/>
      <c r="K113" s="29" t="n"/>
      <c r="L113" s="29" t="n"/>
      <c r="M113" s="31" t="n"/>
      <c r="N113" s="31" t="n"/>
      <c r="O113" s="29" t="n"/>
      <c r="P113" s="29" t="n"/>
    </row>
    <row r="114" ht="15" customHeight="1" s="22">
      <c r="A114" s="31" t="n"/>
      <c r="B114" s="29" t="n"/>
      <c r="C114" s="29" t="n"/>
      <c r="D114" s="29" t="n"/>
      <c r="E114" s="29" t="n"/>
      <c r="F114" s="29" t="n"/>
      <c r="G114" s="29" t="n"/>
      <c r="H114" s="29" t="n"/>
      <c r="I114" s="32" t="n"/>
      <c r="J114" s="32" t="n"/>
      <c r="K114" s="29" t="n"/>
      <c r="L114" s="29" t="n"/>
      <c r="M114" s="31" t="n"/>
      <c r="N114" s="31" t="n"/>
      <c r="O114" s="29" t="n"/>
      <c r="P114" s="29" t="n"/>
    </row>
    <row r="115" ht="15" customHeight="1" s="22">
      <c r="A115" s="31" t="n"/>
      <c r="B115" s="29" t="n"/>
      <c r="C115" s="29" t="n"/>
      <c r="D115" s="29" t="n"/>
      <c r="E115" s="29" t="n"/>
      <c r="F115" s="29" t="n"/>
      <c r="G115" s="29" t="n"/>
      <c r="H115" s="29" t="n"/>
      <c r="I115" s="32" t="n"/>
      <c r="J115" s="32" t="n"/>
      <c r="K115" s="29" t="n"/>
      <c r="L115" s="29" t="n"/>
      <c r="M115" s="31" t="n"/>
      <c r="N115" s="31" t="n"/>
      <c r="O115" s="29" t="n"/>
      <c r="P115" s="29" t="n"/>
    </row>
    <row r="116" ht="15" customHeight="1" s="22">
      <c r="A116" s="31" t="n"/>
      <c r="B116" s="29" t="n"/>
      <c r="C116" s="29" t="n"/>
      <c r="D116" s="29" t="n"/>
      <c r="E116" s="29" t="n"/>
      <c r="F116" s="29" t="n"/>
      <c r="G116" s="29" t="n"/>
      <c r="H116" s="29" t="n"/>
      <c r="I116" s="32" t="n"/>
      <c r="J116" s="32" t="n"/>
      <c r="K116" s="29" t="n"/>
      <c r="L116" s="29" t="n"/>
      <c r="M116" s="31" t="n"/>
      <c r="N116" s="31" t="n"/>
      <c r="O116" s="29" t="n"/>
      <c r="P116" s="29" t="n"/>
    </row>
    <row r="117" ht="15" customHeight="1" s="22">
      <c r="A117" s="31" t="n"/>
      <c r="B117" s="29" t="n"/>
      <c r="C117" s="29" t="n"/>
      <c r="D117" s="29" t="n"/>
      <c r="E117" s="29" t="n"/>
      <c r="F117" s="29" t="n"/>
      <c r="G117" s="29" t="n"/>
      <c r="H117" s="29" t="n"/>
      <c r="I117" s="32" t="n"/>
      <c r="J117" s="32" t="n"/>
      <c r="K117" s="29" t="n"/>
      <c r="L117" s="29" t="n"/>
      <c r="M117" s="31" t="n"/>
      <c r="N117" s="31" t="n"/>
      <c r="O117" s="29" t="n"/>
      <c r="P117" s="29" t="n"/>
    </row>
    <row r="118" ht="15" customHeight="1" s="22">
      <c r="A118" s="31" t="n"/>
      <c r="B118" s="29" t="n"/>
      <c r="C118" s="29" t="n"/>
      <c r="D118" s="29" t="n"/>
      <c r="E118" s="29" t="n"/>
      <c r="F118" s="29" t="n"/>
      <c r="G118" s="29" t="n"/>
      <c r="H118" s="29" t="n"/>
      <c r="I118" s="32" t="n"/>
      <c r="J118" s="32" t="n"/>
      <c r="K118" s="29" t="n"/>
      <c r="L118" s="29" t="n"/>
      <c r="M118" s="31" t="n"/>
      <c r="N118" s="31" t="n"/>
      <c r="O118" s="29" t="n"/>
      <c r="P118" s="29" t="n"/>
    </row>
    <row r="119" ht="15" customHeight="1" s="22">
      <c r="A119" s="31" t="n"/>
      <c r="B119" s="29" t="n"/>
      <c r="C119" s="29" t="n"/>
      <c r="D119" s="29" t="n"/>
      <c r="E119" s="29" t="n"/>
      <c r="F119" s="29" t="n"/>
      <c r="G119" s="29" t="n"/>
      <c r="H119" s="29" t="n"/>
      <c r="I119" s="32" t="n"/>
      <c r="J119" s="32" t="n"/>
      <c r="K119" s="29" t="n"/>
      <c r="L119" s="29" t="n"/>
      <c r="M119" s="31" t="n"/>
      <c r="N119" s="31" t="n"/>
      <c r="O119" s="29" t="n"/>
      <c r="P119" s="29" t="n"/>
    </row>
    <row r="120" ht="15" customHeight="1" s="22">
      <c r="A120" s="31" t="n"/>
      <c r="B120" s="29" t="n"/>
      <c r="C120" s="29" t="n"/>
      <c r="D120" s="29" t="n"/>
      <c r="E120" s="29" t="n"/>
      <c r="F120" s="29" t="n"/>
      <c r="G120" s="29" t="n"/>
      <c r="H120" s="29" t="n"/>
      <c r="I120" s="32" t="n"/>
      <c r="J120" s="32" t="n"/>
      <c r="K120" s="29" t="n"/>
      <c r="L120" s="29" t="n"/>
      <c r="M120" s="31" t="n"/>
      <c r="N120" s="31" t="n"/>
      <c r="O120" s="29" t="n"/>
      <c r="P120" s="29" t="n"/>
    </row>
    <row r="121" ht="15" customHeight="1" s="22">
      <c r="A121" s="31" t="n"/>
      <c r="B121" s="29" t="n"/>
      <c r="C121" s="29" t="n"/>
      <c r="D121" s="29" t="n"/>
      <c r="E121" s="29" t="n"/>
      <c r="F121" s="29" t="n"/>
      <c r="G121" s="29" t="n"/>
      <c r="H121" s="29" t="n"/>
      <c r="I121" s="32" t="n"/>
      <c r="J121" s="32" t="n"/>
      <c r="K121" s="29" t="n"/>
      <c r="L121" s="29" t="n"/>
      <c r="M121" s="31" t="n"/>
      <c r="N121" s="31" t="n"/>
      <c r="O121" s="29" t="n"/>
      <c r="P121" s="29" t="n"/>
    </row>
    <row r="122" ht="15" customHeight="1" s="22">
      <c r="A122" s="31" t="n"/>
      <c r="B122" s="29" t="n"/>
      <c r="C122" s="29" t="n"/>
      <c r="D122" s="29" t="n"/>
      <c r="E122" s="29" t="n"/>
      <c r="F122" s="29" t="n"/>
      <c r="G122" s="29" t="n"/>
      <c r="H122" s="29" t="n"/>
      <c r="I122" s="32" t="n"/>
      <c r="J122" s="32" t="n"/>
      <c r="K122" s="29" t="n"/>
      <c r="L122" s="29" t="n"/>
      <c r="M122" s="31" t="n"/>
      <c r="N122" s="31" t="n"/>
      <c r="O122" s="29" t="n"/>
      <c r="P122" s="29" t="n"/>
    </row>
    <row r="123" ht="15" customHeight="1" s="22">
      <c r="A123" s="31" t="n"/>
      <c r="B123" s="29" t="n"/>
      <c r="C123" s="29" t="n"/>
      <c r="D123" s="29" t="n"/>
      <c r="E123" s="29" t="n"/>
      <c r="F123" s="29" t="n"/>
      <c r="G123" s="29" t="n"/>
      <c r="H123" s="29" t="n"/>
      <c r="I123" s="32" t="n"/>
      <c r="J123" s="32" t="n"/>
      <c r="K123" s="29" t="n"/>
      <c r="L123" s="29" t="n"/>
      <c r="M123" s="31" t="n"/>
      <c r="N123" s="31" t="n"/>
      <c r="O123" s="29" t="n"/>
      <c r="P123" s="29" t="n"/>
    </row>
    <row r="124" ht="15" customHeight="1" s="22">
      <c r="A124" s="31" t="n"/>
      <c r="B124" s="29" t="n"/>
      <c r="C124" s="29" t="n"/>
      <c r="D124" s="29" t="n"/>
      <c r="E124" s="29" t="n"/>
      <c r="F124" s="29" t="n"/>
      <c r="G124" s="29" t="n"/>
      <c r="H124" s="29" t="n"/>
      <c r="I124" s="32" t="n"/>
      <c r="J124" s="32" t="n"/>
      <c r="K124" s="29" t="n"/>
      <c r="L124" s="29" t="n"/>
      <c r="M124" s="31" t="n"/>
      <c r="N124" s="31" t="n"/>
      <c r="O124" s="29" t="n"/>
      <c r="P124" s="29" t="n"/>
    </row>
    <row r="125" ht="15" customHeight="1" s="22">
      <c r="A125" s="31" t="n"/>
      <c r="B125" s="29" t="n"/>
      <c r="C125" s="29" t="n"/>
      <c r="D125" s="29" t="n"/>
      <c r="E125" s="29" t="n"/>
      <c r="F125" s="29" t="n"/>
      <c r="G125" s="29" t="n"/>
      <c r="H125" s="29" t="n"/>
      <c r="I125" s="32" t="n"/>
      <c r="J125" s="32" t="n"/>
      <c r="K125" s="29" t="n"/>
      <c r="L125" s="29" t="n"/>
      <c r="M125" s="31" t="n"/>
      <c r="N125" s="31" t="n"/>
      <c r="O125" s="29" t="n"/>
      <c r="P125" s="29" t="n"/>
    </row>
    <row r="126" ht="15" customHeight="1" s="22">
      <c r="A126" s="31" t="n"/>
      <c r="B126" s="29" t="n"/>
      <c r="C126" s="29" t="n"/>
      <c r="D126" s="29" t="n"/>
      <c r="E126" s="29" t="n"/>
      <c r="F126" s="29" t="n"/>
      <c r="G126" s="29" t="n"/>
      <c r="H126" s="29" t="n"/>
      <c r="I126" s="32" t="n"/>
      <c r="J126" s="32" t="n"/>
      <c r="K126" s="29" t="n"/>
      <c r="L126" s="29" t="n"/>
      <c r="M126" s="31" t="n"/>
      <c r="N126" s="31" t="n"/>
      <c r="O126" s="29" t="n"/>
      <c r="P126" s="29" t="n"/>
    </row>
    <row r="127" ht="15" customHeight="1" s="22">
      <c r="A127" s="31" t="n"/>
      <c r="B127" s="29" t="n"/>
      <c r="C127" s="29" t="n"/>
      <c r="D127" s="29" t="n"/>
      <c r="E127" s="29" t="n"/>
      <c r="F127" s="29" t="n"/>
      <c r="G127" s="29" t="n"/>
      <c r="H127" s="29" t="n"/>
      <c r="I127" s="32" t="n"/>
      <c r="J127" s="32" t="n"/>
      <c r="K127" s="29" t="n"/>
      <c r="L127" s="29" t="n"/>
      <c r="M127" s="31" t="n"/>
      <c r="N127" s="31" t="n"/>
      <c r="O127" s="29" t="n"/>
      <c r="P127" s="29" t="n"/>
    </row>
    <row r="128" ht="15" customHeight="1" s="22">
      <c r="A128" s="31" t="n"/>
      <c r="B128" s="29" t="n"/>
      <c r="C128" s="29" t="n"/>
      <c r="D128" s="29" t="n"/>
      <c r="E128" s="29" t="n"/>
      <c r="F128" s="29" t="n"/>
      <c r="G128" s="29" t="n"/>
      <c r="H128" s="29" t="n"/>
      <c r="I128" s="32" t="n"/>
      <c r="J128" s="32" t="n"/>
      <c r="K128" s="29" t="n"/>
      <c r="L128" s="29" t="n"/>
      <c r="M128" s="31" t="n"/>
      <c r="N128" s="31" t="n"/>
      <c r="O128" s="29" t="n"/>
      <c r="P128" s="29" t="n"/>
    </row>
    <row r="129" ht="15" customHeight="1" s="22">
      <c r="A129" s="31" t="n"/>
      <c r="B129" s="29" t="n"/>
      <c r="C129" s="29" t="n"/>
      <c r="D129" s="29" t="n"/>
      <c r="E129" s="29" t="n"/>
      <c r="F129" s="29" t="n"/>
      <c r="G129" s="29" t="n"/>
      <c r="H129" s="29" t="n"/>
      <c r="I129" s="32" t="n"/>
      <c r="J129" s="32" t="n"/>
      <c r="K129" s="29" t="n"/>
      <c r="L129" s="29" t="n"/>
      <c r="M129" s="31" t="n"/>
      <c r="N129" s="31" t="n"/>
      <c r="O129" s="29" t="n"/>
      <c r="P129" s="29" t="n"/>
    </row>
    <row r="130" ht="15" customHeight="1" s="22">
      <c r="A130" s="31" t="n"/>
      <c r="B130" s="29" t="n"/>
      <c r="C130" s="29" t="n"/>
      <c r="D130" s="29" t="n"/>
      <c r="E130" s="29" t="n"/>
      <c r="F130" s="29" t="n"/>
      <c r="G130" s="29" t="n"/>
      <c r="H130" s="29" t="n"/>
      <c r="I130" s="32" t="n"/>
      <c r="J130" s="32" t="n"/>
      <c r="K130" s="29" t="n"/>
      <c r="L130" s="29" t="n"/>
      <c r="M130" s="31" t="n"/>
      <c r="N130" s="31" t="n"/>
      <c r="O130" s="29" t="n"/>
      <c r="P130" s="29" t="n"/>
    </row>
    <row r="131" ht="15" customHeight="1" s="22">
      <c r="A131" s="31" t="n"/>
      <c r="B131" s="29" t="n"/>
      <c r="C131" s="29" t="n"/>
      <c r="D131" s="29" t="n"/>
      <c r="E131" s="29" t="n"/>
      <c r="F131" s="29" t="n"/>
      <c r="G131" s="29" t="n"/>
      <c r="H131" s="29" t="n"/>
      <c r="I131" s="32" t="n"/>
      <c r="J131" s="32" t="n"/>
      <c r="K131" s="29" t="n"/>
      <c r="L131" s="29" t="n"/>
      <c r="M131" s="31" t="n"/>
      <c r="N131" s="31" t="n"/>
      <c r="O131" s="29" t="n"/>
      <c r="P131" s="29" t="n"/>
    </row>
    <row r="132" ht="15" customHeight="1" s="22">
      <c r="A132" s="31" t="n"/>
      <c r="B132" s="29" t="n"/>
      <c r="C132" s="29" t="n"/>
      <c r="D132" s="29" t="n"/>
      <c r="E132" s="29" t="n"/>
      <c r="F132" s="29" t="n"/>
      <c r="G132" s="29" t="n"/>
      <c r="H132" s="29" t="n"/>
      <c r="I132" s="32" t="n"/>
      <c r="J132" s="32" t="n"/>
      <c r="K132" s="29" t="n"/>
      <c r="L132" s="29" t="n"/>
      <c r="M132" s="31" t="n"/>
      <c r="N132" s="31" t="n"/>
      <c r="O132" s="29" t="n"/>
      <c r="P132" s="29" t="n"/>
    </row>
    <row r="133" ht="15" customHeight="1" s="22">
      <c r="A133" s="31" t="n"/>
      <c r="B133" s="29" t="n"/>
      <c r="C133" s="29" t="n"/>
      <c r="D133" s="29" t="n"/>
      <c r="E133" s="29" t="n"/>
      <c r="F133" s="29" t="n"/>
      <c r="G133" s="29" t="n"/>
      <c r="H133" s="29" t="n"/>
      <c r="I133" s="32" t="n"/>
      <c r="J133" s="32" t="n"/>
      <c r="K133" s="29" t="n"/>
      <c r="L133" s="29" t="n"/>
      <c r="M133" s="31" t="n"/>
      <c r="N133" s="31" t="n"/>
      <c r="O133" s="29" t="n"/>
      <c r="P133" s="29" t="n"/>
    </row>
    <row r="134" ht="15" customHeight="1" s="22">
      <c r="A134" s="31" t="n"/>
      <c r="B134" s="29" t="n"/>
      <c r="C134" s="29" t="n"/>
      <c r="D134" s="29" t="n"/>
      <c r="E134" s="29" t="n"/>
      <c r="F134" s="29" t="n"/>
      <c r="G134" s="29" t="n"/>
      <c r="H134" s="29" t="n"/>
      <c r="I134" s="32" t="n"/>
      <c r="J134" s="32" t="n"/>
      <c r="K134" s="29" t="n"/>
      <c r="L134" s="29" t="n"/>
      <c r="M134" s="31" t="n"/>
      <c r="N134" s="31" t="n"/>
      <c r="O134" s="29" t="n"/>
      <c r="P134" s="29" t="n"/>
    </row>
    <row r="135" ht="15" customHeight="1" s="22">
      <c r="A135" s="31" t="n"/>
      <c r="B135" s="29" t="n"/>
      <c r="C135" s="29" t="n"/>
      <c r="D135" s="29" t="n"/>
      <c r="E135" s="29" t="n"/>
      <c r="F135" s="29" t="n"/>
      <c r="G135" s="29" t="n"/>
      <c r="H135" s="29" t="n"/>
      <c r="I135" s="32" t="n"/>
      <c r="J135" s="32" t="n"/>
      <c r="K135" s="29" t="n"/>
      <c r="L135" s="29" t="n"/>
      <c r="M135" s="31" t="n"/>
      <c r="N135" s="31" t="n"/>
      <c r="O135" s="29" t="n"/>
      <c r="P135" s="29" t="n"/>
    </row>
    <row r="136" ht="15" customHeight="1" s="22">
      <c r="A136" s="31" t="n"/>
      <c r="B136" s="29" t="n"/>
      <c r="C136" s="29" t="n"/>
      <c r="D136" s="29" t="n"/>
      <c r="E136" s="29" t="n"/>
      <c r="F136" s="29" t="n"/>
      <c r="G136" s="29" t="n"/>
      <c r="H136" s="29" t="n"/>
      <c r="I136" s="32" t="n"/>
      <c r="J136" s="32" t="n"/>
      <c r="K136" s="29" t="n"/>
      <c r="L136" s="29" t="n"/>
      <c r="M136" s="31" t="n"/>
      <c r="N136" s="31" t="n"/>
      <c r="O136" s="29" t="n"/>
      <c r="P136" s="29" t="n"/>
    </row>
    <row r="137" ht="15" customHeight="1" s="22">
      <c r="A137" s="31" t="n"/>
      <c r="B137" s="29" t="n"/>
      <c r="C137" s="29" t="n"/>
      <c r="D137" s="29" t="n"/>
      <c r="E137" s="29" t="n"/>
      <c r="F137" s="29" t="n"/>
      <c r="G137" s="29" t="n"/>
      <c r="H137" s="29" t="n"/>
      <c r="I137" s="32" t="n"/>
      <c r="J137" s="32" t="n"/>
      <c r="K137" s="29" t="n"/>
      <c r="L137" s="29" t="n"/>
      <c r="M137" s="31" t="n"/>
      <c r="N137" s="31" t="n"/>
      <c r="O137" s="29" t="n"/>
      <c r="P137" s="29" t="n"/>
    </row>
    <row r="138" ht="15" customHeight="1" s="22">
      <c r="A138" s="31" t="n"/>
      <c r="B138" s="29" t="n"/>
      <c r="C138" s="29" t="n"/>
      <c r="D138" s="29" t="n"/>
      <c r="E138" s="29" t="n"/>
      <c r="F138" s="29" t="n"/>
      <c r="G138" s="29" t="n"/>
      <c r="H138" s="29" t="n"/>
      <c r="I138" s="32" t="n"/>
      <c r="J138" s="32" t="n"/>
      <c r="K138" s="29" t="n"/>
      <c r="L138" s="29" t="n"/>
      <c r="M138" s="31" t="n"/>
      <c r="N138" s="31" t="n"/>
      <c r="O138" s="29" t="n"/>
      <c r="P138" s="29" t="n"/>
    </row>
    <row r="139" ht="15" customHeight="1" s="22">
      <c r="A139" s="31" t="n"/>
      <c r="B139" s="29" t="n"/>
      <c r="C139" s="29" t="n"/>
      <c r="D139" s="29" t="n"/>
      <c r="E139" s="29" t="n"/>
      <c r="F139" s="29" t="n"/>
      <c r="G139" s="29" t="n"/>
      <c r="H139" s="29" t="n"/>
      <c r="I139" s="32" t="n"/>
      <c r="J139" s="32" t="n"/>
      <c r="K139" s="29" t="n"/>
      <c r="L139" s="29" t="n"/>
      <c r="M139" s="31" t="n"/>
      <c r="N139" s="31" t="n"/>
      <c r="O139" s="29" t="n"/>
      <c r="P139" s="29" t="n"/>
    </row>
    <row r="140" ht="15" customHeight="1" s="22">
      <c r="A140" s="31" t="n"/>
      <c r="B140" s="29" t="n"/>
      <c r="C140" s="29" t="n"/>
      <c r="D140" s="29" t="n"/>
      <c r="E140" s="29" t="n"/>
      <c r="F140" s="29" t="n"/>
      <c r="G140" s="29" t="n"/>
      <c r="H140" s="29" t="n"/>
      <c r="I140" s="32" t="n"/>
      <c r="J140" s="32" t="n"/>
      <c r="K140" s="29" t="n"/>
      <c r="L140" s="29" t="n"/>
      <c r="M140" s="31" t="n"/>
      <c r="N140" s="31" t="n"/>
      <c r="O140" s="29" t="n"/>
      <c r="P140" s="29" t="n"/>
    </row>
    <row r="141" ht="15" customHeight="1" s="22">
      <c r="A141" s="31" t="n"/>
      <c r="B141" s="29" t="n"/>
      <c r="C141" s="29" t="n"/>
      <c r="D141" s="29" t="n"/>
      <c r="E141" s="29" t="n"/>
      <c r="F141" s="29" t="n"/>
      <c r="G141" s="29" t="n"/>
      <c r="H141" s="29" t="n"/>
      <c r="I141" s="32" t="n"/>
      <c r="J141" s="32" t="n"/>
      <c r="K141" s="29" t="n"/>
      <c r="L141" s="29" t="n"/>
      <c r="M141" s="31" t="n"/>
      <c r="N141" s="31" t="n"/>
      <c r="O141" s="29" t="n"/>
      <c r="P141" s="29" t="n"/>
    </row>
    <row r="142" ht="15" customHeight="1" s="22">
      <c r="A142" s="31" t="n"/>
      <c r="B142" s="29" t="n"/>
      <c r="C142" s="29" t="n"/>
      <c r="D142" s="29" t="n"/>
      <c r="E142" s="29" t="n"/>
      <c r="F142" s="29" t="n"/>
      <c r="G142" s="29" t="n"/>
      <c r="H142" s="29" t="n"/>
      <c r="I142" s="32" t="n"/>
      <c r="J142" s="32" t="n"/>
      <c r="K142" s="29" t="n"/>
      <c r="L142" s="29" t="n"/>
      <c r="M142" s="31" t="n"/>
      <c r="N142" s="31" t="n"/>
      <c r="O142" s="29" t="n"/>
      <c r="P142" s="29" t="n"/>
    </row>
    <row r="143" ht="15" customHeight="1" s="22">
      <c r="A143" s="31" t="n"/>
      <c r="B143" s="29" t="n"/>
      <c r="C143" s="29" t="n"/>
      <c r="D143" s="29" t="n"/>
      <c r="E143" s="29" t="n"/>
      <c r="F143" s="29" t="n"/>
      <c r="G143" s="29" t="n"/>
      <c r="H143" s="29" t="n"/>
      <c r="I143" s="32" t="n"/>
      <c r="J143" s="32" t="n"/>
      <c r="K143" s="29" t="n"/>
      <c r="L143" s="29" t="n"/>
      <c r="M143" s="31" t="n"/>
      <c r="N143" s="31" t="n"/>
      <c r="O143" s="29" t="n"/>
      <c r="P143" s="29" t="n"/>
    </row>
    <row r="144" ht="15" customHeight="1" s="22">
      <c r="A144" s="31" t="n"/>
      <c r="B144" s="29" t="n"/>
      <c r="C144" s="29" t="n"/>
      <c r="D144" s="29" t="n"/>
      <c r="E144" s="29" t="n"/>
      <c r="F144" s="29" t="n"/>
      <c r="G144" s="29" t="n"/>
      <c r="H144" s="29" t="n"/>
      <c r="I144" s="32" t="n"/>
      <c r="J144" s="32" t="n"/>
      <c r="K144" s="29" t="n"/>
      <c r="L144" s="29" t="n"/>
      <c r="M144" s="31" t="n"/>
      <c r="N144" s="31" t="n"/>
      <c r="O144" s="29" t="n"/>
      <c r="P144" s="29" t="n"/>
    </row>
    <row r="145" ht="15" customHeight="1" s="22">
      <c r="A145" s="31" t="n"/>
      <c r="B145" s="29" t="n"/>
      <c r="C145" s="29" t="n"/>
      <c r="D145" s="29" t="n"/>
      <c r="E145" s="29" t="n"/>
      <c r="F145" s="29" t="n"/>
      <c r="G145" s="29" t="n"/>
      <c r="H145" s="29" t="n"/>
      <c r="I145" s="32" t="n"/>
      <c r="J145" s="32" t="n"/>
      <c r="K145" s="29" t="n"/>
      <c r="L145" s="29" t="n"/>
      <c r="M145" s="31" t="n"/>
      <c r="N145" s="31" t="n"/>
      <c r="O145" s="29" t="n"/>
      <c r="P145" s="29" t="n"/>
    </row>
    <row r="146" ht="15" customHeight="1" s="22">
      <c r="A146" s="31" t="n"/>
      <c r="B146" s="29" t="n"/>
      <c r="C146" s="29" t="n"/>
      <c r="D146" s="29" t="n"/>
      <c r="E146" s="29" t="n"/>
      <c r="F146" s="29" t="n"/>
      <c r="G146" s="29" t="n"/>
      <c r="H146" s="29" t="n"/>
      <c r="I146" s="32" t="n"/>
      <c r="J146" s="32" t="n"/>
      <c r="K146" s="29" t="n"/>
      <c r="L146" s="29" t="n"/>
      <c r="M146" s="31" t="n"/>
      <c r="N146" s="31" t="n"/>
      <c r="O146" s="29" t="n"/>
      <c r="P146" s="29" t="n"/>
    </row>
    <row r="147" ht="15" customHeight="1" s="22">
      <c r="A147" s="31" t="n"/>
      <c r="B147" s="29" t="n"/>
      <c r="C147" s="29" t="n"/>
      <c r="D147" s="29" t="n"/>
      <c r="E147" s="29" t="n"/>
      <c r="F147" s="29" t="n"/>
      <c r="G147" s="29" t="n"/>
      <c r="H147" s="29" t="n"/>
      <c r="I147" s="32" t="n"/>
      <c r="J147" s="32" t="n"/>
      <c r="K147" s="29" t="n"/>
      <c r="L147" s="29" t="n"/>
      <c r="M147" s="31" t="n"/>
      <c r="N147" s="31" t="n"/>
      <c r="O147" s="29" t="n"/>
      <c r="P147" s="29" t="n"/>
    </row>
    <row r="148" ht="15" customHeight="1" s="22">
      <c r="A148" s="31" t="n"/>
      <c r="B148" s="29" t="n"/>
      <c r="C148" s="29" t="n"/>
      <c r="D148" s="29" t="n"/>
      <c r="E148" s="29" t="n"/>
      <c r="F148" s="29" t="n"/>
      <c r="G148" s="29" t="n"/>
      <c r="H148" s="29" t="n"/>
      <c r="I148" s="32" t="n"/>
      <c r="J148" s="32" t="n"/>
      <c r="K148" s="29" t="n"/>
      <c r="L148" s="29" t="n"/>
      <c r="M148" s="31" t="n"/>
      <c r="N148" s="31" t="n"/>
      <c r="O148" s="29" t="n"/>
      <c r="P148" s="29" t="n"/>
    </row>
    <row r="149" ht="15" customHeight="1" s="22">
      <c r="A149" s="31" t="n"/>
      <c r="B149" s="29" t="n"/>
      <c r="C149" s="29" t="n"/>
      <c r="D149" s="29" t="n"/>
      <c r="E149" s="29" t="n"/>
      <c r="F149" s="29" t="n"/>
      <c r="G149" s="29" t="n"/>
      <c r="H149" s="29" t="n"/>
      <c r="I149" s="32" t="n"/>
      <c r="J149" s="32" t="n"/>
      <c r="K149" s="29" t="n"/>
      <c r="L149" s="29" t="n"/>
      <c r="M149" s="31" t="n"/>
      <c r="N149" s="31" t="n"/>
      <c r="O149" s="29" t="n"/>
      <c r="P149" s="29" t="n"/>
    </row>
    <row r="150" ht="15" customHeight="1" s="22">
      <c r="A150" s="31" t="n"/>
      <c r="B150" s="29" t="n"/>
      <c r="C150" s="29" t="n"/>
      <c r="D150" s="29" t="n"/>
      <c r="E150" s="29" t="n"/>
      <c r="F150" s="29" t="n"/>
      <c r="G150" s="29" t="n"/>
      <c r="H150" s="29" t="n"/>
      <c r="I150" s="32" t="n"/>
      <c r="J150" s="32" t="n"/>
      <c r="K150" s="29" t="n"/>
      <c r="L150" s="29" t="n"/>
      <c r="M150" s="31" t="n"/>
      <c r="N150" s="31" t="n"/>
      <c r="O150" s="29" t="n"/>
      <c r="P150" s="29" t="n"/>
    </row>
    <row r="151" ht="15" customHeight="1" s="22">
      <c r="A151" s="31" t="n"/>
      <c r="B151" s="29" t="n"/>
      <c r="C151" s="29" t="n"/>
      <c r="D151" s="29" t="n"/>
      <c r="E151" s="29" t="n"/>
      <c r="F151" s="29" t="n"/>
      <c r="G151" s="29" t="n"/>
      <c r="H151" s="29" t="n"/>
      <c r="I151" s="32" t="n"/>
      <c r="J151" s="32" t="n"/>
      <c r="K151" s="29" t="n"/>
      <c r="L151" s="29" t="n"/>
      <c r="M151" s="31" t="n"/>
      <c r="N151" s="31" t="n"/>
      <c r="O151" s="29" t="n"/>
      <c r="P151" s="29" t="n"/>
    </row>
    <row r="152" ht="15" customHeight="1" s="22">
      <c r="A152" s="31" t="n"/>
      <c r="B152" s="29" t="n"/>
      <c r="C152" s="29" t="n"/>
      <c r="D152" s="29" t="n"/>
      <c r="E152" s="29" t="n"/>
      <c r="F152" s="29" t="n"/>
      <c r="G152" s="29" t="n"/>
      <c r="H152" s="29" t="n"/>
      <c r="I152" s="32" t="n"/>
      <c r="J152" s="32" t="n"/>
      <c r="K152" s="29" t="n"/>
      <c r="L152" s="29" t="n"/>
      <c r="M152" s="31" t="n"/>
      <c r="N152" s="31" t="n"/>
      <c r="O152" s="29" t="n"/>
      <c r="P152" s="29" t="n"/>
    </row>
    <row r="153" ht="15" customHeight="1" s="22">
      <c r="A153" s="31" t="n"/>
      <c r="B153" s="29" t="n"/>
      <c r="C153" s="29" t="n"/>
      <c r="D153" s="29" t="n"/>
      <c r="E153" s="29" t="n"/>
      <c r="F153" s="29" t="n"/>
      <c r="G153" s="29" t="n"/>
      <c r="H153" s="29" t="n"/>
      <c r="I153" s="32" t="n"/>
      <c r="J153" s="32" t="n"/>
      <c r="K153" s="29" t="n"/>
      <c r="L153" s="29" t="n"/>
      <c r="M153" s="31" t="n"/>
      <c r="N153" s="31" t="n"/>
      <c r="O153" s="29" t="n"/>
      <c r="P153" s="29" t="n"/>
    </row>
    <row r="154" ht="15" customHeight="1" s="22">
      <c r="A154" s="31" t="n"/>
      <c r="B154" s="29" t="n"/>
      <c r="C154" s="29" t="n"/>
      <c r="D154" s="29" t="n"/>
      <c r="E154" s="29" t="n"/>
      <c r="F154" s="29" t="n"/>
      <c r="G154" s="29" t="n"/>
      <c r="H154" s="29" t="n"/>
      <c r="I154" s="32" t="n"/>
      <c r="J154" s="32" t="n"/>
      <c r="K154" s="29" t="n"/>
      <c r="L154" s="29" t="n"/>
      <c r="M154" s="31" t="n"/>
      <c r="N154" s="31" t="n"/>
      <c r="O154" s="29" t="n"/>
      <c r="P154" s="29" t="n"/>
    </row>
    <row r="155" ht="15" customHeight="1" s="22">
      <c r="A155" s="31" t="n"/>
      <c r="B155" s="29" t="n"/>
      <c r="C155" s="29" t="n"/>
      <c r="D155" s="29" t="n"/>
      <c r="E155" s="29" t="n"/>
      <c r="F155" s="29" t="n"/>
      <c r="G155" s="29" t="n"/>
      <c r="H155" s="29" t="n"/>
      <c r="I155" s="32" t="n"/>
      <c r="J155" s="32" t="n"/>
      <c r="K155" s="29" t="n"/>
      <c r="L155" s="29" t="n"/>
      <c r="M155" s="31" t="n"/>
      <c r="N155" s="31" t="n"/>
      <c r="O155" s="29" t="n"/>
      <c r="P155" s="29" t="n"/>
    </row>
    <row r="156" ht="15" customHeight="1" s="22">
      <c r="A156" s="31" t="n"/>
      <c r="B156" s="29" t="n"/>
      <c r="C156" s="29" t="n"/>
      <c r="D156" s="29" t="n"/>
      <c r="E156" s="29" t="n"/>
      <c r="F156" s="29" t="n"/>
      <c r="G156" s="29" t="n"/>
      <c r="H156" s="29" t="n"/>
      <c r="I156" s="32" t="n"/>
      <c r="J156" s="32" t="n"/>
      <c r="K156" s="29" t="n"/>
      <c r="L156" s="29" t="n"/>
      <c r="M156" s="31" t="n"/>
      <c r="N156" s="31" t="n"/>
      <c r="O156" s="29" t="n"/>
      <c r="P156" s="29" t="n"/>
    </row>
    <row r="157" ht="15" customHeight="1" s="22">
      <c r="A157" s="31" t="n"/>
      <c r="B157" s="29" t="n"/>
      <c r="C157" s="29" t="n"/>
      <c r="D157" s="29" t="n"/>
      <c r="E157" s="29" t="n"/>
      <c r="F157" s="29" t="n"/>
      <c r="G157" s="29" t="n"/>
      <c r="H157" s="29" t="n"/>
      <c r="I157" s="32" t="n"/>
      <c r="J157" s="32" t="n"/>
      <c r="K157" s="29" t="n"/>
      <c r="L157" s="29" t="n"/>
      <c r="M157" s="31" t="n"/>
      <c r="N157" s="31" t="n"/>
      <c r="O157" s="29" t="n"/>
      <c r="P157" s="29" t="n"/>
    </row>
    <row r="158" ht="15" customHeight="1" s="22">
      <c r="A158" s="31" t="n"/>
      <c r="B158" s="29" t="n"/>
      <c r="C158" s="29" t="n"/>
      <c r="D158" s="29" t="n"/>
      <c r="E158" s="29" t="n"/>
      <c r="F158" s="29" t="n"/>
      <c r="G158" s="29" t="n"/>
      <c r="H158" s="29" t="n"/>
      <c r="I158" s="32" t="n"/>
      <c r="J158" s="32" t="n"/>
      <c r="K158" s="29" t="n"/>
      <c r="L158" s="29" t="n"/>
      <c r="M158" s="31" t="n"/>
      <c r="N158" s="31" t="n"/>
      <c r="O158" s="29" t="n"/>
      <c r="P158" s="29" t="n"/>
    </row>
    <row r="159" ht="15" customHeight="1" s="22">
      <c r="A159" s="31" t="n"/>
      <c r="B159" s="29" t="n"/>
      <c r="C159" s="29" t="n"/>
      <c r="D159" s="29" t="n"/>
      <c r="E159" s="29" t="n"/>
      <c r="F159" s="29" t="n"/>
      <c r="G159" s="29" t="n"/>
      <c r="H159" s="29" t="n"/>
      <c r="I159" s="32" t="n"/>
      <c r="J159" s="32" t="n"/>
      <c r="K159" s="29" t="n"/>
      <c r="L159" s="29" t="n"/>
      <c r="M159" s="31" t="n"/>
      <c r="N159" s="31" t="n"/>
      <c r="O159" s="29" t="n"/>
      <c r="P159" s="29" t="n"/>
    </row>
    <row r="160" ht="15" customHeight="1" s="22">
      <c r="A160" s="31" t="n"/>
      <c r="B160" s="29" t="n"/>
      <c r="C160" s="29" t="n"/>
      <c r="D160" s="29" t="n"/>
      <c r="E160" s="29" t="n"/>
      <c r="F160" s="29" t="n"/>
      <c r="G160" s="29" t="n"/>
      <c r="H160" s="29" t="n"/>
      <c r="I160" s="32" t="n"/>
      <c r="J160" s="32" t="n"/>
      <c r="K160" s="29" t="n"/>
      <c r="L160" s="29" t="n"/>
      <c r="M160" s="31" t="n"/>
      <c r="N160" s="31" t="n"/>
      <c r="O160" s="29" t="n"/>
      <c r="P160" s="29" t="n"/>
    </row>
    <row r="161" ht="15" customHeight="1" s="22">
      <c r="A161" s="31" t="n"/>
      <c r="B161" s="29" t="n"/>
      <c r="C161" s="29" t="n"/>
      <c r="D161" s="29" t="n"/>
      <c r="E161" s="29" t="n"/>
      <c r="F161" s="29" t="n"/>
      <c r="G161" s="29" t="n"/>
      <c r="H161" s="29" t="n"/>
      <c r="I161" s="32" t="n"/>
      <c r="J161" s="32" t="n"/>
      <c r="K161" s="29" t="n"/>
      <c r="L161" s="29" t="n"/>
      <c r="M161" s="31" t="n"/>
      <c r="N161" s="31" t="n"/>
      <c r="O161" s="29" t="n"/>
      <c r="P161" s="29" t="n"/>
    </row>
    <row r="162" ht="15" customHeight="1" s="22">
      <c r="A162" s="31" t="n"/>
      <c r="B162" s="29" t="n"/>
      <c r="C162" s="29" t="n"/>
      <c r="D162" s="29" t="n"/>
      <c r="E162" s="29" t="n"/>
      <c r="F162" s="29" t="n"/>
      <c r="G162" s="29" t="n"/>
      <c r="H162" s="29" t="n"/>
      <c r="I162" s="32" t="n"/>
      <c r="J162" s="32" t="n"/>
      <c r="K162" s="29" t="n"/>
      <c r="L162" s="29" t="n"/>
      <c r="M162" s="31" t="n"/>
      <c r="N162" s="31" t="n"/>
      <c r="O162" s="29" t="n"/>
      <c r="P162" s="29" t="n"/>
    </row>
    <row r="163" ht="15" customHeight="1" s="22">
      <c r="A163" s="31" t="n"/>
      <c r="B163" s="29" t="n"/>
      <c r="C163" s="29" t="n"/>
      <c r="D163" s="29" t="n"/>
      <c r="E163" s="29" t="n"/>
      <c r="F163" s="29" t="n"/>
      <c r="G163" s="29" t="n"/>
      <c r="H163" s="29" t="n"/>
      <c r="I163" s="32" t="n"/>
      <c r="J163" s="32" t="n"/>
      <c r="K163" s="29" t="n"/>
      <c r="L163" s="29" t="n"/>
      <c r="M163" s="31" t="n"/>
      <c r="N163" s="31" t="n"/>
      <c r="O163" s="29" t="n"/>
      <c r="P163" s="29" t="n"/>
    </row>
    <row r="164" ht="15" customHeight="1" s="22">
      <c r="A164" s="31" t="n"/>
      <c r="B164" s="29" t="n"/>
      <c r="C164" s="29" t="n"/>
      <c r="D164" s="29" t="n"/>
      <c r="E164" s="29" t="n"/>
      <c r="F164" s="29" t="n"/>
      <c r="G164" s="29" t="n"/>
      <c r="H164" s="29" t="n"/>
      <c r="I164" s="32" t="n"/>
      <c r="J164" s="32" t="n"/>
      <c r="K164" s="29" t="n"/>
      <c r="L164" s="29" t="n"/>
      <c r="M164" s="31" t="n"/>
      <c r="N164" s="31" t="n"/>
      <c r="O164" s="29" t="n"/>
      <c r="P164" s="29" t="n"/>
    </row>
    <row r="165" ht="15" customHeight="1" s="22">
      <c r="A165" s="31" t="n"/>
      <c r="B165" s="29" t="n"/>
      <c r="C165" s="29" t="n"/>
      <c r="D165" s="29" t="n"/>
      <c r="E165" s="29" t="n"/>
      <c r="F165" s="29" t="n"/>
      <c r="G165" s="29" t="n"/>
      <c r="H165" s="29" t="n"/>
      <c r="I165" s="32" t="n"/>
      <c r="J165" s="32" t="n"/>
      <c r="K165" s="29" t="n"/>
      <c r="L165" s="29" t="n"/>
      <c r="M165" s="31" t="n"/>
      <c r="N165" s="31" t="n"/>
      <c r="O165" s="29" t="n"/>
      <c r="P165" s="29" t="n"/>
    </row>
    <row r="166" ht="15" customHeight="1" s="22">
      <c r="A166" s="31" t="n"/>
      <c r="B166" s="29" t="n"/>
      <c r="C166" s="29" t="n"/>
      <c r="D166" s="29" t="n"/>
      <c r="E166" s="29" t="n"/>
      <c r="F166" s="29" t="n"/>
      <c r="G166" s="29" t="n"/>
      <c r="H166" s="29" t="n"/>
      <c r="I166" s="32" t="n"/>
      <c r="J166" s="32" t="n"/>
      <c r="K166" s="29" t="n"/>
      <c r="L166" s="29" t="n"/>
      <c r="M166" s="31" t="n"/>
      <c r="N166" s="31" t="n"/>
      <c r="O166" s="29" t="n"/>
      <c r="P166" s="29" t="n"/>
    </row>
    <row r="167" ht="15" customHeight="1" s="22">
      <c r="A167" s="31" t="n"/>
      <c r="B167" s="29" t="n"/>
      <c r="C167" s="29" t="n"/>
      <c r="D167" s="29" t="n"/>
      <c r="E167" s="29" t="n"/>
      <c r="F167" s="29" t="n"/>
      <c r="G167" s="29" t="n"/>
      <c r="H167" s="29" t="n"/>
      <c r="I167" s="32" t="n"/>
      <c r="J167" s="32" t="n"/>
      <c r="K167" s="29" t="n"/>
      <c r="L167" s="29" t="n"/>
      <c r="M167" s="31" t="n"/>
      <c r="N167" s="31" t="n"/>
      <c r="O167" s="29" t="n"/>
      <c r="P167" s="29" t="n"/>
    </row>
    <row r="168" ht="15" customHeight="1" s="22">
      <c r="A168" s="31" t="n"/>
      <c r="B168" s="29" t="n"/>
      <c r="C168" s="29" t="n"/>
      <c r="D168" s="29" t="n"/>
      <c r="E168" s="29" t="n"/>
      <c r="F168" s="29" t="n"/>
      <c r="G168" s="29" t="n"/>
      <c r="H168" s="29" t="n"/>
      <c r="I168" s="32" t="n"/>
      <c r="J168" s="32" t="n"/>
      <c r="K168" s="29" t="n"/>
      <c r="L168" s="29" t="n"/>
      <c r="M168" s="31" t="n"/>
      <c r="N168" s="31" t="n"/>
      <c r="O168" s="29" t="n"/>
      <c r="P168" s="29" t="n"/>
    </row>
    <row r="169" ht="15" customHeight="1" s="22">
      <c r="A169" s="31" t="n"/>
      <c r="B169" s="29" t="n"/>
      <c r="C169" s="29" t="n"/>
      <c r="D169" s="29" t="n"/>
      <c r="E169" s="29" t="n"/>
      <c r="F169" s="29" t="n"/>
      <c r="G169" s="29" t="n"/>
      <c r="H169" s="29" t="n"/>
      <c r="I169" s="32" t="n"/>
      <c r="J169" s="32" t="n"/>
      <c r="K169" s="29" t="n"/>
      <c r="L169" s="29" t="n"/>
      <c r="M169" s="31" t="n"/>
      <c r="N169" s="31" t="n"/>
      <c r="O169" s="29" t="n"/>
      <c r="P169" s="29" t="n"/>
    </row>
    <row r="170" ht="15" customHeight="1" s="22">
      <c r="A170" s="31" t="n"/>
      <c r="B170" s="29" t="n"/>
      <c r="C170" s="29" t="n"/>
      <c r="D170" s="29" t="n"/>
      <c r="E170" s="29" t="n"/>
      <c r="F170" s="29" t="n"/>
      <c r="G170" s="29" t="n"/>
      <c r="H170" s="29" t="n"/>
      <c r="I170" s="32" t="n"/>
      <c r="J170" s="32" t="n"/>
      <c r="K170" s="29" t="n"/>
      <c r="L170" s="29" t="n"/>
      <c r="M170" s="31" t="n"/>
      <c r="N170" s="31" t="n"/>
      <c r="O170" s="29" t="n"/>
      <c r="P170" s="29" t="n"/>
    </row>
    <row r="171" ht="15" customHeight="1" s="22">
      <c r="A171" s="31" t="n"/>
      <c r="B171" s="29" t="n"/>
      <c r="C171" s="29" t="n"/>
      <c r="D171" s="29" t="n"/>
      <c r="E171" s="29" t="n"/>
      <c r="F171" s="29" t="n"/>
      <c r="G171" s="29" t="n"/>
      <c r="H171" s="29" t="n"/>
      <c r="I171" s="32" t="n"/>
      <c r="J171" s="32" t="n"/>
      <c r="K171" s="29" t="n"/>
      <c r="L171" s="29" t="n"/>
      <c r="M171" s="31" t="n"/>
      <c r="N171" s="31" t="n"/>
      <c r="O171" s="29" t="n"/>
      <c r="P171" s="29" t="n"/>
    </row>
    <row r="172" ht="15" customHeight="1" s="22">
      <c r="A172" s="31" t="n"/>
      <c r="B172" s="29" t="n"/>
      <c r="C172" s="29" t="n"/>
      <c r="D172" s="29" t="n"/>
      <c r="E172" s="29" t="n"/>
      <c r="F172" s="29" t="n"/>
      <c r="G172" s="29" t="n"/>
      <c r="H172" s="29" t="n"/>
      <c r="I172" s="32" t="n"/>
      <c r="J172" s="32" t="n"/>
      <c r="K172" s="29" t="n"/>
      <c r="L172" s="29" t="n"/>
      <c r="M172" s="31" t="n"/>
      <c r="N172" s="31" t="n"/>
      <c r="O172" s="29" t="n"/>
      <c r="P172" s="29" t="n"/>
    </row>
    <row r="173" ht="15" customHeight="1" s="22">
      <c r="A173" s="31" t="n"/>
      <c r="B173" s="29" t="n"/>
      <c r="C173" s="29" t="n"/>
      <c r="D173" s="29" t="n"/>
      <c r="E173" s="29" t="n"/>
      <c r="F173" s="29" t="n"/>
      <c r="G173" s="29" t="n"/>
      <c r="H173" s="29" t="n"/>
      <c r="I173" s="32" t="n"/>
      <c r="J173" s="32" t="n"/>
      <c r="K173" s="29" t="n"/>
      <c r="L173" s="29" t="n"/>
      <c r="M173" s="31" t="n"/>
      <c r="N173" s="31" t="n"/>
      <c r="O173" s="29" t="n"/>
      <c r="P173" s="29" t="n"/>
    </row>
    <row r="174" ht="15" customHeight="1" s="22">
      <c r="A174" s="31" t="n"/>
      <c r="B174" s="29" t="n"/>
      <c r="C174" s="29" t="n"/>
      <c r="D174" s="29" t="n"/>
      <c r="E174" s="29" t="n"/>
      <c r="F174" s="29" t="n"/>
      <c r="G174" s="29" t="n"/>
      <c r="H174" s="29" t="n"/>
      <c r="I174" s="32" t="n"/>
      <c r="J174" s="32" t="n"/>
      <c r="K174" s="29" t="n"/>
      <c r="L174" s="29" t="n"/>
      <c r="M174" s="31" t="n"/>
      <c r="N174" s="31" t="n"/>
      <c r="O174" s="29" t="n"/>
      <c r="P174" s="29" t="n"/>
    </row>
    <row r="175" ht="15" customHeight="1" s="22">
      <c r="A175" s="31" t="n"/>
      <c r="B175" s="29" t="n"/>
      <c r="C175" s="29" t="n"/>
      <c r="D175" s="29" t="n"/>
      <c r="E175" s="29" t="n"/>
      <c r="F175" s="29" t="n"/>
      <c r="G175" s="29" t="n"/>
      <c r="H175" s="29" t="n"/>
      <c r="I175" s="32" t="n"/>
      <c r="J175" s="32" t="n"/>
      <c r="K175" s="29" t="n"/>
      <c r="L175" s="29" t="n"/>
      <c r="M175" s="31" t="n"/>
      <c r="N175" s="31" t="n"/>
      <c r="O175" s="29" t="n"/>
      <c r="P175" s="29" t="n"/>
    </row>
    <row r="176" ht="15" customHeight="1" s="22">
      <c r="A176" s="31" t="n"/>
      <c r="B176" s="29" t="n"/>
      <c r="C176" s="29" t="n"/>
      <c r="D176" s="29" t="n"/>
      <c r="E176" s="29" t="n"/>
      <c r="F176" s="29" t="n"/>
      <c r="G176" s="29" t="n"/>
      <c r="H176" s="29" t="n"/>
      <c r="I176" s="32" t="n"/>
      <c r="J176" s="32" t="n"/>
      <c r="K176" s="29" t="n"/>
      <c r="L176" s="29" t="n"/>
      <c r="M176" s="31" t="n"/>
      <c r="N176" s="31" t="n"/>
      <c r="O176" s="29" t="n"/>
      <c r="P176" s="29" t="n"/>
    </row>
    <row r="177" ht="15" customHeight="1" s="22">
      <c r="A177" s="31" t="n"/>
      <c r="B177" s="29" t="n"/>
      <c r="C177" s="29" t="n"/>
      <c r="D177" s="29" t="n"/>
      <c r="E177" s="29" t="n"/>
      <c r="F177" s="29" t="n"/>
      <c r="G177" s="29" t="n"/>
      <c r="H177" s="29" t="n"/>
      <c r="I177" s="32" t="n"/>
      <c r="J177" s="32" t="n"/>
      <c r="K177" s="29" t="n"/>
      <c r="L177" s="29" t="n"/>
      <c r="M177" s="31" t="n"/>
      <c r="N177" s="31" t="n"/>
      <c r="O177" s="29" t="n"/>
      <c r="P177" s="29" t="n"/>
    </row>
    <row r="178" ht="15" customHeight="1" s="22">
      <c r="A178" s="31" t="n"/>
      <c r="B178" s="29" t="n"/>
      <c r="C178" s="29" t="n"/>
      <c r="D178" s="29" t="n"/>
      <c r="E178" s="29" t="n"/>
      <c r="F178" s="29" t="n"/>
      <c r="G178" s="29" t="n"/>
      <c r="H178" s="29" t="n"/>
      <c r="I178" s="32" t="n"/>
      <c r="J178" s="32" t="n"/>
      <c r="K178" s="29" t="n"/>
      <c r="L178" s="29" t="n"/>
      <c r="M178" s="31" t="n"/>
      <c r="N178" s="31" t="n"/>
      <c r="O178" s="29" t="n"/>
      <c r="P178" s="29" t="n"/>
    </row>
    <row r="179" ht="15" customHeight="1" s="22">
      <c r="A179" s="31" t="n"/>
      <c r="B179" s="29" t="n"/>
      <c r="C179" s="29" t="n"/>
      <c r="D179" s="29" t="n"/>
      <c r="E179" s="29" t="n"/>
      <c r="F179" s="29" t="n"/>
      <c r="G179" s="29" t="n"/>
      <c r="H179" s="29" t="n"/>
      <c r="I179" s="32" t="n"/>
      <c r="J179" s="32" t="n"/>
      <c r="K179" s="29" t="n"/>
      <c r="L179" s="29" t="n"/>
      <c r="M179" s="31" t="n"/>
      <c r="N179" s="31" t="n"/>
      <c r="O179" s="29" t="n"/>
      <c r="P179" s="29" t="n"/>
    </row>
    <row r="180" ht="15" customHeight="1" s="22">
      <c r="A180" s="31" t="n"/>
      <c r="B180" s="29" t="n"/>
      <c r="C180" s="29" t="n"/>
      <c r="D180" s="29" t="n"/>
      <c r="E180" s="29" t="n"/>
      <c r="F180" s="29" t="n"/>
      <c r="G180" s="29" t="n"/>
      <c r="H180" s="29" t="n"/>
      <c r="I180" s="32" t="n"/>
      <c r="J180" s="32" t="n"/>
      <c r="K180" s="29" t="n"/>
      <c r="L180" s="29" t="n"/>
      <c r="M180" s="31" t="n"/>
      <c r="N180" s="31" t="n"/>
      <c r="O180" s="29" t="n"/>
      <c r="P180" s="29" t="n"/>
    </row>
    <row r="181" ht="15" customHeight="1" s="22">
      <c r="A181" s="31" t="n"/>
      <c r="B181" s="29" t="n"/>
      <c r="C181" s="29" t="n"/>
      <c r="D181" s="29" t="n"/>
      <c r="E181" s="29" t="n"/>
      <c r="F181" s="29" t="n"/>
      <c r="G181" s="29" t="n"/>
      <c r="H181" s="29" t="n"/>
      <c r="I181" s="32" t="n"/>
      <c r="J181" s="32" t="n"/>
      <c r="K181" s="29" t="n"/>
      <c r="L181" s="29" t="n"/>
      <c r="M181" s="31" t="n"/>
      <c r="N181" s="31" t="n"/>
      <c r="O181" s="29" t="n"/>
      <c r="P181" s="29" t="n"/>
    </row>
    <row r="182" ht="15" customHeight="1" s="22">
      <c r="A182" s="31" t="n"/>
      <c r="B182" s="29" t="n"/>
      <c r="C182" s="29" t="n"/>
      <c r="D182" s="29" t="n"/>
      <c r="E182" s="29" t="n"/>
      <c r="F182" s="29" t="n"/>
      <c r="G182" s="29" t="n"/>
      <c r="H182" s="29" t="n"/>
      <c r="I182" s="32" t="n"/>
      <c r="J182" s="32" t="n"/>
      <c r="K182" s="29" t="n"/>
      <c r="L182" s="29" t="n"/>
      <c r="M182" s="31" t="n"/>
      <c r="N182" s="31" t="n"/>
      <c r="O182" s="29" t="n"/>
      <c r="P182" s="29" t="n"/>
    </row>
    <row r="183" ht="15" customHeight="1" s="22">
      <c r="A183" s="31" t="n"/>
      <c r="B183" s="29" t="n"/>
      <c r="C183" s="29" t="n"/>
      <c r="D183" s="29" t="n"/>
      <c r="E183" s="29" t="n"/>
      <c r="F183" s="29" t="n"/>
      <c r="G183" s="29" t="n"/>
      <c r="H183" s="29" t="n"/>
      <c r="I183" s="32" t="n"/>
      <c r="J183" s="32" t="n"/>
      <c r="K183" s="29" t="n"/>
      <c r="L183" s="29" t="n"/>
      <c r="M183" s="31" t="n"/>
      <c r="N183" s="31" t="n"/>
      <c r="O183" s="29" t="n"/>
      <c r="P183" s="29" t="n"/>
    </row>
    <row r="184" ht="15" customHeight="1" s="22">
      <c r="A184" s="31" t="n"/>
      <c r="B184" s="29" t="n"/>
      <c r="C184" s="29" t="n"/>
      <c r="D184" s="29" t="n"/>
      <c r="E184" s="29" t="n"/>
      <c r="F184" s="29" t="n"/>
      <c r="G184" s="29" t="n"/>
      <c r="H184" s="29" t="n"/>
      <c r="I184" s="32" t="n"/>
      <c r="J184" s="32" t="n"/>
      <c r="K184" s="29" t="n"/>
      <c r="L184" s="29" t="n"/>
      <c r="M184" s="31" t="n"/>
      <c r="N184" s="31" t="n"/>
      <c r="O184" s="29" t="n"/>
      <c r="P184" s="29" t="n"/>
    </row>
    <row r="185" ht="15" customHeight="1" s="22">
      <c r="A185" s="31" t="n"/>
      <c r="B185" s="29" t="n"/>
      <c r="C185" s="29" t="n"/>
      <c r="D185" s="29" t="n"/>
      <c r="E185" s="29" t="n"/>
      <c r="F185" s="29" t="n"/>
      <c r="G185" s="29" t="n"/>
      <c r="H185" s="29" t="n"/>
      <c r="I185" s="32" t="n"/>
      <c r="J185" s="32" t="n"/>
      <c r="K185" s="29" t="n"/>
      <c r="L185" s="29" t="n"/>
      <c r="M185" s="31" t="n"/>
      <c r="N185" s="31" t="n"/>
      <c r="O185" s="29" t="n"/>
      <c r="P185" s="29" t="n"/>
    </row>
    <row r="186" ht="15" customHeight="1" s="22">
      <c r="A186" s="31" t="n"/>
      <c r="B186" s="29" t="n"/>
      <c r="C186" s="29" t="n"/>
      <c r="D186" s="29" t="n"/>
      <c r="E186" s="29" t="n"/>
      <c r="F186" s="29" t="n"/>
      <c r="G186" s="29" t="n"/>
      <c r="H186" s="29" t="n"/>
      <c r="I186" s="32" t="n"/>
      <c r="J186" s="32" t="n"/>
      <c r="K186" s="29" t="n"/>
      <c r="L186" s="29" t="n"/>
      <c r="M186" s="31" t="n"/>
      <c r="N186" s="31" t="n"/>
      <c r="O186" s="29" t="n"/>
      <c r="P186" s="29" t="n"/>
    </row>
    <row r="187" ht="15" customHeight="1" s="22">
      <c r="A187" s="31" t="n"/>
      <c r="B187" s="29" t="n"/>
      <c r="C187" s="29" t="n"/>
      <c r="D187" s="29" t="n"/>
      <c r="E187" s="29" t="n"/>
      <c r="F187" s="29" t="n"/>
      <c r="G187" s="29" t="n"/>
      <c r="H187" s="29" t="n"/>
      <c r="I187" s="32" t="n"/>
      <c r="J187" s="32" t="n"/>
      <c r="K187" s="29" t="n"/>
      <c r="L187" s="29" t="n"/>
      <c r="M187" s="31" t="n"/>
      <c r="N187" s="31" t="n"/>
      <c r="O187" s="29" t="n"/>
      <c r="P187" s="29" t="n"/>
    </row>
    <row r="188" ht="15" customHeight="1" s="22">
      <c r="A188" s="31" t="n"/>
      <c r="B188" s="29" t="n"/>
      <c r="C188" s="29" t="n"/>
      <c r="D188" s="29" t="n"/>
      <c r="E188" s="29" t="n"/>
      <c r="F188" s="29" t="n"/>
      <c r="G188" s="29" t="n"/>
      <c r="H188" s="29" t="n"/>
      <c r="I188" s="32" t="n"/>
      <c r="J188" s="32" t="n"/>
      <c r="K188" s="29" t="n"/>
      <c r="L188" s="29" t="n"/>
      <c r="M188" s="31" t="n"/>
      <c r="N188" s="31" t="n"/>
      <c r="O188" s="29" t="n"/>
      <c r="P188" s="29" t="n"/>
    </row>
    <row r="189" ht="15" customHeight="1" s="22">
      <c r="A189" s="31" t="n"/>
      <c r="B189" s="29" t="n"/>
      <c r="C189" s="29" t="n"/>
      <c r="D189" s="29" t="n"/>
      <c r="E189" s="29" t="n"/>
      <c r="F189" s="29" t="n"/>
      <c r="G189" s="29" t="n"/>
      <c r="H189" s="29" t="n"/>
      <c r="I189" s="32" t="n"/>
      <c r="J189" s="32" t="n"/>
      <c r="K189" s="29" t="n"/>
      <c r="L189" s="29" t="n"/>
      <c r="M189" s="31" t="n"/>
      <c r="N189" s="31" t="n"/>
      <c r="O189" s="29" t="n"/>
      <c r="P189" s="29" t="n"/>
    </row>
    <row r="190" ht="15" customHeight="1" s="22">
      <c r="A190" s="31" t="n"/>
      <c r="B190" s="29" t="n"/>
      <c r="C190" s="29" t="n"/>
      <c r="D190" s="29" t="n"/>
      <c r="E190" s="29" t="n"/>
      <c r="F190" s="29" t="n"/>
      <c r="G190" s="29" t="n"/>
      <c r="H190" s="29" t="n"/>
      <c r="I190" s="32" t="n"/>
      <c r="J190" s="32" t="n"/>
      <c r="K190" s="29" t="n"/>
      <c r="L190" s="29" t="n"/>
      <c r="M190" s="31" t="n"/>
      <c r="N190" s="31" t="n"/>
      <c r="O190" s="29" t="n"/>
      <c r="P190" s="29" t="n"/>
    </row>
    <row r="191" ht="15" customHeight="1" s="22">
      <c r="A191" s="31" t="n"/>
      <c r="B191" s="29" t="n"/>
      <c r="C191" s="29" t="n"/>
      <c r="D191" s="29" t="n"/>
      <c r="E191" s="29" t="n"/>
      <c r="F191" s="29" t="n"/>
      <c r="G191" s="29" t="n"/>
      <c r="H191" s="29" t="n"/>
      <c r="I191" s="32" t="n"/>
      <c r="J191" s="32" t="n"/>
      <c r="K191" s="29" t="n"/>
      <c r="L191" s="29" t="n"/>
      <c r="M191" s="31" t="n"/>
      <c r="N191" s="31" t="n"/>
      <c r="O191" s="29" t="n"/>
      <c r="P191" s="29" t="n"/>
    </row>
    <row r="192" ht="15" customHeight="1" s="22">
      <c r="A192" s="31" t="n"/>
      <c r="B192" s="29" t="n"/>
      <c r="C192" s="29" t="n"/>
      <c r="D192" s="29" t="n"/>
      <c r="E192" s="29" t="n"/>
      <c r="F192" s="29" t="n"/>
      <c r="G192" s="29" t="n"/>
      <c r="H192" s="29" t="n"/>
      <c r="I192" s="32" t="n"/>
      <c r="J192" s="32" t="n"/>
      <c r="K192" s="29" t="n"/>
      <c r="L192" s="29" t="n"/>
      <c r="M192" s="31" t="n"/>
      <c r="N192" s="31" t="n"/>
      <c r="O192" s="29" t="n"/>
      <c r="P192" s="29" t="n"/>
    </row>
    <row r="193" ht="15" customHeight="1" s="22">
      <c r="A193" s="31" t="n"/>
      <c r="B193" s="29" t="n"/>
      <c r="C193" s="29" t="n"/>
      <c r="D193" s="29" t="n"/>
      <c r="E193" s="29" t="n"/>
      <c r="F193" s="29" t="n"/>
      <c r="G193" s="29" t="n"/>
      <c r="H193" s="29" t="n"/>
      <c r="I193" s="32" t="n"/>
      <c r="J193" s="32" t="n"/>
      <c r="K193" s="29" t="n"/>
      <c r="L193" s="29" t="n"/>
      <c r="M193" s="31" t="n"/>
      <c r="N193" s="31" t="n"/>
      <c r="O193" s="29" t="n"/>
      <c r="P193" s="29" t="n"/>
    </row>
    <row r="194" ht="15" customHeight="1" s="22">
      <c r="A194" s="31" t="n"/>
      <c r="B194" s="29" t="n"/>
      <c r="C194" s="29" t="n"/>
      <c r="D194" s="29" t="n"/>
      <c r="E194" s="29" t="n"/>
      <c r="F194" s="29" t="n"/>
      <c r="G194" s="29" t="n"/>
      <c r="H194" s="29" t="n"/>
      <c r="I194" s="32" t="n"/>
      <c r="J194" s="32" t="n"/>
      <c r="K194" s="29" t="n"/>
      <c r="L194" s="29" t="n"/>
      <c r="M194" s="31" t="n"/>
      <c r="N194" s="31" t="n"/>
      <c r="O194" s="29" t="n"/>
      <c r="P194" s="29" t="n"/>
    </row>
    <row r="195" ht="15" customHeight="1" s="22">
      <c r="A195" s="31" t="n"/>
      <c r="B195" s="29" t="n"/>
      <c r="C195" s="29" t="n"/>
      <c r="D195" s="29" t="n"/>
      <c r="E195" s="29" t="n"/>
      <c r="F195" s="29" t="n"/>
      <c r="G195" s="29" t="n"/>
      <c r="H195" s="29" t="n"/>
      <c r="I195" s="32" t="n"/>
      <c r="J195" s="32" t="n"/>
      <c r="K195" s="29" t="n"/>
      <c r="L195" s="29" t="n"/>
      <c r="M195" s="31" t="n"/>
      <c r="N195" s="31" t="n"/>
      <c r="O195" s="29" t="n"/>
      <c r="P195" s="29" t="n"/>
    </row>
    <row r="196" ht="15" customHeight="1" s="22">
      <c r="A196" s="31" t="n"/>
      <c r="B196" s="29" t="n"/>
      <c r="C196" s="29" t="n"/>
      <c r="D196" s="29" t="n"/>
      <c r="E196" s="29" t="n"/>
      <c r="F196" s="29" t="n"/>
      <c r="G196" s="29" t="n"/>
      <c r="H196" s="29" t="n"/>
      <c r="I196" s="32" t="n"/>
      <c r="J196" s="32" t="n"/>
      <c r="K196" s="29" t="n"/>
      <c r="L196" s="29" t="n"/>
      <c r="M196" s="31" t="n"/>
      <c r="N196" s="31" t="n"/>
      <c r="O196" s="29" t="n"/>
      <c r="P196" s="29" t="n"/>
    </row>
    <row r="197" ht="15" customHeight="1" s="22">
      <c r="A197" s="31" t="n"/>
      <c r="B197" s="29" t="n"/>
      <c r="C197" s="29" t="n"/>
      <c r="D197" s="29" t="n"/>
      <c r="E197" s="29" t="n"/>
      <c r="F197" s="29" t="n"/>
      <c r="G197" s="29" t="n"/>
      <c r="H197" s="29" t="n"/>
      <c r="I197" s="32" t="n"/>
      <c r="J197" s="32" t="n"/>
      <c r="K197" s="29" t="n"/>
      <c r="L197" s="29" t="n"/>
      <c r="M197" s="31" t="n"/>
      <c r="N197" s="31" t="n"/>
      <c r="O197" s="29" t="n"/>
      <c r="P197" s="29" t="n"/>
    </row>
    <row r="198" ht="15" customHeight="1" s="22">
      <c r="A198" s="31" t="n"/>
      <c r="B198" s="29" t="n"/>
      <c r="C198" s="29" t="n"/>
      <c r="D198" s="29" t="n"/>
      <c r="E198" s="29" t="n"/>
      <c r="F198" s="29" t="n"/>
      <c r="G198" s="29" t="n"/>
      <c r="H198" s="29" t="n"/>
      <c r="I198" s="32" t="n"/>
      <c r="J198" s="32" t="n"/>
      <c r="K198" s="29" t="n"/>
      <c r="L198" s="29" t="n"/>
      <c r="M198" s="31" t="n"/>
      <c r="N198" s="31" t="n"/>
      <c r="O198" s="29" t="n"/>
      <c r="P198" s="29" t="n"/>
    </row>
    <row r="199" ht="15" customHeight="1" s="22">
      <c r="A199" s="31" t="n"/>
      <c r="B199" s="29" t="n"/>
      <c r="C199" s="29" t="n"/>
      <c r="D199" s="29" t="n"/>
      <c r="E199" s="29" t="n"/>
      <c r="F199" s="29" t="n"/>
      <c r="G199" s="29" t="n"/>
      <c r="H199" s="29" t="n"/>
      <c r="I199" s="32" t="n"/>
      <c r="J199" s="32" t="n"/>
      <c r="K199" s="29" t="n"/>
      <c r="L199" s="29" t="n"/>
      <c r="M199" s="31" t="n"/>
      <c r="N199" s="31" t="n"/>
      <c r="O199" s="29" t="n"/>
      <c r="P199" s="29" t="n"/>
    </row>
    <row r="200" ht="15" customHeight="1" s="22">
      <c r="A200" s="31" t="n"/>
      <c r="B200" s="29" t="n"/>
      <c r="C200" s="29" t="n"/>
      <c r="D200" s="29" t="n"/>
      <c r="E200" s="29" t="n"/>
      <c r="F200" s="29" t="n"/>
      <c r="G200" s="29" t="n"/>
      <c r="H200" s="29" t="n"/>
      <c r="I200" s="32" t="n"/>
      <c r="J200" s="32" t="n"/>
      <c r="K200" s="29" t="n"/>
      <c r="L200" s="29" t="n"/>
      <c r="M200" s="31" t="n"/>
      <c r="N200" s="31" t="n"/>
      <c r="O200" s="29" t="n"/>
      <c r="P200" s="29" t="n"/>
    </row>
    <row r="201" ht="15" customHeight="1" s="22">
      <c r="A201" s="31" t="n"/>
      <c r="B201" s="29" t="n"/>
      <c r="C201" s="29" t="n"/>
      <c r="D201" s="29" t="n"/>
      <c r="E201" s="29" t="n"/>
      <c r="F201" s="29" t="n"/>
      <c r="G201" s="29" t="n"/>
      <c r="H201" s="29" t="n"/>
      <c r="I201" s="32" t="n"/>
      <c r="J201" s="32" t="n"/>
      <c r="K201" s="29" t="n"/>
      <c r="L201" s="29" t="n"/>
      <c r="M201" s="31" t="n"/>
      <c r="N201" s="31" t="n"/>
      <c r="O201" s="29" t="n"/>
      <c r="P201" s="29" t="n"/>
    </row>
    <row r="202" ht="15" customHeight="1" s="22">
      <c r="A202" s="31" t="n"/>
      <c r="B202" s="29" t="n"/>
      <c r="C202" s="29" t="n"/>
      <c r="D202" s="29" t="n"/>
      <c r="E202" s="29" t="n"/>
      <c r="F202" s="29" t="n"/>
      <c r="G202" s="29" t="n"/>
      <c r="H202" s="29" t="n"/>
      <c r="I202" s="32" t="n"/>
      <c r="J202" s="32" t="n"/>
      <c r="K202" s="29" t="n"/>
      <c r="L202" s="29" t="n"/>
      <c r="M202" s="31" t="n"/>
      <c r="N202" s="31" t="n"/>
      <c r="O202" s="29" t="n"/>
      <c r="P202" s="29" t="n"/>
    </row>
    <row r="203" ht="15" customHeight="1" s="22">
      <c r="A203" s="31" t="n"/>
      <c r="B203" s="29" t="n"/>
      <c r="C203" s="29" t="n"/>
      <c r="D203" s="29" t="n"/>
      <c r="E203" s="29" t="n"/>
      <c r="F203" s="29" t="n"/>
      <c r="G203" s="29" t="n"/>
      <c r="H203" s="29" t="n"/>
      <c r="I203" s="32" t="n"/>
      <c r="J203" s="32" t="n"/>
      <c r="K203" s="29" t="n"/>
      <c r="L203" s="29" t="n"/>
      <c r="M203" s="31" t="n"/>
      <c r="N203" s="31" t="n"/>
      <c r="O203" s="29" t="n"/>
      <c r="P203" s="29" t="n"/>
    </row>
    <row r="204" ht="15" customHeight="1" s="22">
      <c r="A204" s="31" t="n"/>
      <c r="B204" s="29" t="n"/>
      <c r="C204" s="29" t="n"/>
      <c r="D204" s="29" t="n"/>
      <c r="E204" s="29" t="n"/>
      <c r="F204" s="29" t="n"/>
      <c r="G204" s="29" t="n"/>
      <c r="H204" s="29" t="n"/>
      <c r="I204" s="32" t="n"/>
      <c r="J204" s="32" t="n"/>
      <c r="K204" s="29" t="n"/>
      <c r="L204" s="29" t="n"/>
      <c r="M204" s="31" t="n"/>
      <c r="N204" s="31" t="n"/>
      <c r="O204" s="29" t="n"/>
      <c r="P204" s="29" t="n"/>
    </row>
    <row r="205" ht="15" customHeight="1" s="22">
      <c r="A205" s="31" t="n"/>
      <c r="B205" s="29" t="n"/>
      <c r="C205" s="29" t="n"/>
      <c r="D205" s="29" t="n"/>
      <c r="E205" s="29" t="n"/>
      <c r="F205" s="29" t="n"/>
      <c r="G205" s="29" t="n"/>
      <c r="H205" s="29" t="n"/>
      <c r="I205" s="32" t="n"/>
      <c r="J205" s="32" t="n"/>
      <c r="K205" s="29" t="n"/>
      <c r="L205" s="29" t="n"/>
      <c r="M205" s="31" t="n"/>
      <c r="N205" s="31" t="n"/>
      <c r="O205" s="29" t="n"/>
      <c r="P205" s="29" t="n"/>
    </row>
    <row r="206" ht="15" customHeight="1" s="22">
      <c r="A206" s="31" t="n"/>
      <c r="B206" s="29" t="n"/>
      <c r="C206" s="29" t="n"/>
      <c r="D206" s="29" t="n"/>
      <c r="E206" s="29" t="n"/>
      <c r="F206" s="29" t="n"/>
      <c r="G206" s="29" t="n"/>
      <c r="H206" s="29" t="n"/>
      <c r="I206" s="32" t="n"/>
      <c r="J206" s="32" t="n"/>
      <c r="K206" s="29" t="n"/>
      <c r="L206" s="29" t="n"/>
      <c r="M206" s="31" t="n"/>
      <c r="N206" s="31" t="n"/>
      <c r="O206" s="29" t="n"/>
      <c r="P206" s="29" t="n"/>
    </row>
    <row r="207" ht="15" customHeight="1" s="22">
      <c r="A207" s="31" t="n"/>
      <c r="B207" s="29" t="n"/>
      <c r="C207" s="29" t="n"/>
      <c r="D207" s="29" t="n"/>
      <c r="E207" s="29" t="n"/>
      <c r="F207" s="29" t="n"/>
      <c r="G207" s="29" t="n"/>
      <c r="H207" s="29" t="n"/>
      <c r="I207" s="32" t="n"/>
      <c r="J207" s="32" t="n"/>
      <c r="K207" s="29" t="n"/>
      <c r="L207" s="29" t="n"/>
      <c r="M207" s="31" t="n"/>
      <c r="N207" s="31" t="n"/>
      <c r="O207" s="29" t="n"/>
      <c r="P207" s="29" t="n"/>
    </row>
    <row r="208" ht="15" customHeight="1" s="22">
      <c r="A208" s="31" t="n"/>
      <c r="B208" s="29" t="n"/>
      <c r="C208" s="29" t="n"/>
      <c r="D208" s="29" t="n"/>
      <c r="E208" s="29" t="n"/>
      <c r="F208" s="29" t="n"/>
      <c r="G208" s="29" t="n"/>
      <c r="H208" s="29" t="n"/>
      <c r="I208" s="32" t="n"/>
      <c r="J208" s="32" t="n"/>
      <c r="K208" s="29" t="n"/>
      <c r="L208" s="29" t="n"/>
      <c r="M208" s="31" t="n"/>
      <c r="N208" s="31" t="n"/>
      <c r="O208" s="29" t="n"/>
      <c r="P208" s="29" t="n"/>
    </row>
    <row r="209" ht="15" customHeight="1" s="22">
      <c r="A209" s="31" t="n"/>
      <c r="B209" s="29" t="n"/>
      <c r="C209" s="29" t="n"/>
      <c r="D209" s="29" t="n"/>
      <c r="E209" s="29" t="n"/>
      <c r="F209" s="29" t="n"/>
      <c r="G209" s="29" t="n"/>
      <c r="H209" s="29" t="n"/>
      <c r="I209" s="32" t="n"/>
      <c r="J209" s="32" t="n"/>
      <c r="K209" s="29" t="n"/>
      <c r="L209" s="29" t="n"/>
      <c r="M209" s="31" t="n"/>
      <c r="N209" s="31" t="n"/>
      <c r="O209" s="29" t="n"/>
      <c r="P209" s="29" t="n"/>
    </row>
    <row r="210" ht="15" customHeight="1" s="22">
      <c r="A210" s="31" t="n"/>
      <c r="B210" s="29" t="n"/>
      <c r="C210" s="29" t="n"/>
      <c r="D210" s="29" t="n"/>
      <c r="E210" s="29" t="n"/>
      <c r="F210" s="29" t="n"/>
      <c r="G210" s="29" t="n"/>
      <c r="H210" s="29" t="n"/>
      <c r="I210" s="32" t="n"/>
      <c r="J210" s="32" t="n"/>
      <c r="K210" s="29" t="n"/>
      <c r="L210" s="29" t="n"/>
      <c r="M210" s="31" t="n"/>
      <c r="N210" s="31" t="n"/>
      <c r="O210" s="29" t="n"/>
      <c r="P210" s="29" t="n"/>
    </row>
    <row r="211" ht="15" customHeight="1" s="22">
      <c r="A211" s="31" t="n"/>
      <c r="B211" s="29" t="n"/>
      <c r="C211" s="29" t="n"/>
      <c r="D211" s="29" t="n"/>
      <c r="E211" s="29" t="n"/>
      <c r="F211" s="29" t="n"/>
      <c r="G211" s="29" t="n"/>
      <c r="H211" s="29" t="n"/>
      <c r="I211" s="32" t="n"/>
      <c r="J211" s="32" t="n"/>
      <c r="K211" s="29" t="n"/>
      <c r="L211" s="29" t="n"/>
      <c r="M211" s="31" t="n"/>
      <c r="N211" s="31" t="n"/>
      <c r="O211" s="29" t="n"/>
      <c r="P211" s="29" t="n"/>
    </row>
    <row r="212" ht="15" customHeight="1" s="22">
      <c r="A212" s="31" t="n"/>
      <c r="B212" s="29" t="n"/>
      <c r="C212" s="29" t="n"/>
      <c r="D212" s="29" t="n"/>
      <c r="E212" s="29" t="n"/>
      <c r="F212" s="29" t="n"/>
      <c r="G212" s="29" t="n"/>
      <c r="H212" s="29" t="n"/>
      <c r="I212" s="32" t="n"/>
      <c r="J212" s="32" t="n"/>
      <c r="K212" s="29" t="n"/>
      <c r="L212" s="29" t="n"/>
      <c r="M212" s="31" t="n"/>
      <c r="N212" s="31" t="n"/>
      <c r="O212" s="29" t="n"/>
      <c r="P212" s="29" t="n"/>
    </row>
    <row r="213" ht="15" customHeight="1" s="22">
      <c r="A213" s="31" t="n"/>
      <c r="B213" s="29" t="n"/>
      <c r="C213" s="29" t="n"/>
      <c r="D213" s="29" t="n"/>
      <c r="E213" s="29" t="n"/>
      <c r="F213" s="29" t="n"/>
      <c r="G213" s="29" t="n"/>
      <c r="H213" s="29" t="n"/>
      <c r="I213" s="32" t="n"/>
      <c r="J213" s="32" t="n"/>
      <c r="K213" s="29" t="n"/>
      <c r="L213" s="29" t="n"/>
      <c r="M213" s="31" t="n"/>
      <c r="N213" s="31" t="n"/>
      <c r="O213" s="29" t="n"/>
      <c r="P213" s="29" t="n"/>
    </row>
    <row r="214" ht="15" customHeight="1" s="22">
      <c r="A214" s="31" t="n"/>
      <c r="B214" s="29" t="n"/>
      <c r="C214" s="29" t="n"/>
      <c r="D214" s="29" t="n"/>
      <c r="E214" s="29" t="n"/>
      <c r="F214" s="29" t="n"/>
      <c r="G214" s="29" t="n"/>
      <c r="H214" s="29" t="n"/>
      <c r="I214" s="32" t="n"/>
      <c r="J214" s="32" t="n"/>
      <c r="K214" s="29" t="n"/>
      <c r="L214" s="29" t="n"/>
      <c r="M214" s="31" t="n"/>
      <c r="N214" s="31" t="n"/>
      <c r="O214" s="29" t="n"/>
      <c r="P214" s="29" t="n"/>
    </row>
    <row r="215" ht="15" customHeight="1" s="22">
      <c r="A215" s="31" t="n"/>
      <c r="B215" s="29" t="n"/>
      <c r="C215" s="29" t="n"/>
      <c r="D215" s="29" t="n"/>
      <c r="E215" s="29" t="n"/>
      <c r="F215" s="29" t="n"/>
      <c r="G215" s="29" t="n"/>
      <c r="H215" s="29" t="n"/>
      <c r="I215" s="32" t="n"/>
      <c r="J215" s="32" t="n"/>
      <c r="K215" s="29" t="n"/>
      <c r="L215" s="29" t="n"/>
      <c r="M215" s="31" t="n"/>
      <c r="N215" s="31" t="n"/>
      <c r="O215" s="29" t="n"/>
      <c r="P215" s="29" t="n"/>
    </row>
    <row r="216" ht="15" customHeight="1" s="22">
      <c r="A216" s="31" t="n"/>
      <c r="B216" s="29" t="n"/>
      <c r="C216" s="29" t="n"/>
      <c r="D216" s="29" t="n"/>
      <c r="E216" s="29" t="n"/>
      <c r="F216" s="29" t="n"/>
      <c r="G216" s="29" t="n"/>
      <c r="H216" s="29" t="n"/>
      <c r="I216" s="32" t="n"/>
      <c r="J216" s="32" t="n"/>
      <c r="K216" s="29" t="n"/>
      <c r="L216" s="29" t="n"/>
      <c r="M216" s="31" t="n"/>
      <c r="N216" s="31" t="n"/>
      <c r="O216" s="29" t="n"/>
      <c r="P216" s="29" t="n"/>
    </row>
    <row r="217" ht="15" customHeight="1" s="22">
      <c r="A217" s="31" t="n"/>
      <c r="B217" s="29" t="n"/>
      <c r="C217" s="29" t="n"/>
      <c r="D217" s="29" t="n"/>
      <c r="E217" s="29" t="n"/>
      <c r="F217" s="29" t="n"/>
      <c r="G217" s="29" t="n"/>
      <c r="H217" s="29" t="n"/>
      <c r="I217" s="32" t="n"/>
      <c r="J217" s="32" t="n"/>
      <c r="K217" s="29" t="n"/>
      <c r="L217" s="29" t="n"/>
      <c r="M217" s="31" t="n"/>
      <c r="N217" s="31" t="n"/>
      <c r="O217" s="29" t="n"/>
      <c r="P217" s="29" t="n"/>
    </row>
    <row r="218" ht="15" customHeight="1" s="22">
      <c r="A218" s="31" t="n"/>
      <c r="B218" s="29" t="n"/>
      <c r="C218" s="29" t="n"/>
      <c r="D218" s="29" t="n"/>
      <c r="E218" s="29" t="n"/>
      <c r="F218" s="29" t="n"/>
      <c r="G218" s="29" t="n"/>
      <c r="H218" s="29" t="n"/>
      <c r="I218" s="32" t="n"/>
      <c r="J218" s="32" t="n"/>
      <c r="K218" s="29" t="n"/>
      <c r="L218" s="29" t="n"/>
      <c r="M218" s="31" t="n"/>
      <c r="N218" s="31" t="n"/>
      <c r="O218" s="29" t="n"/>
      <c r="P218" s="29" t="n"/>
    </row>
    <row r="219" ht="15" customHeight="1" s="22">
      <c r="A219" s="31" t="n"/>
      <c r="B219" s="29" t="n"/>
      <c r="C219" s="29" t="n"/>
      <c r="D219" s="29" t="n"/>
      <c r="E219" s="29" t="n"/>
      <c r="F219" s="29" t="n"/>
      <c r="G219" s="29" t="n"/>
      <c r="H219" s="29" t="n"/>
      <c r="I219" s="32" t="n"/>
      <c r="J219" s="32" t="n"/>
      <c r="K219" s="29" t="n"/>
      <c r="L219" s="29" t="n"/>
      <c r="M219" s="31" t="n"/>
      <c r="N219" s="31" t="n"/>
      <c r="O219" s="29" t="n"/>
      <c r="P219" s="29" t="n"/>
    </row>
    <row r="220" ht="15" customHeight="1" s="22">
      <c r="A220" s="31" t="n"/>
      <c r="B220" s="29" t="n"/>
      <c r="C220" s="29" t="n"/>
      <c r="D220" s="29" t="n"/>
      <c r="E220" s="29" t="n"/>
      <c r="F220" s="29" t="n"/>
      <c r="G220" s="29" t="n"/>
      <c r="H220" s="29" t="n"/>
      <c r="I220" s="32" t="n"/>
      <c r="J220" s="32" t="n"/>
      <c r="K220" s="29" t="n"/>
      <c r="L220" s="29" t="n"/>
      <c r="M220" s="31" t="n"/>
      <c r="N220" s="31" t="n"/>
      <c r="O220" s="29" t="n"/>
      <c r="P220" s="29" t="n"/>
    </row>
    <row r="221" ht="15" customHeight="1" s="22">
      <c r="A221" s="31" t="n"/>
      <c r="B221" s="29" t="n"/>
      <c r="C221" s="29" t="n"/>
      <c r="D221" s="29" t="n"/>
      <c r="E221" s="29" t="n"/>
      <c r="F221" s="29" t="n"/>
      <c r="G221" s="29" t="n"/>
      <c r="H221" s="29" t="n"/>
      <c r="I221" s="32" t="n"/>
      <c r="J221" s="32" t="n"/>
      <c r="K221" s="29" t="n"/>
      <c r="L221" s="29" t="n"/>
      <c r="M221" s="31" t="n"/>
      <c r="N221" s="31" t="n"/>
      <c r="O221" s="29" t="n"/>
      <c r="P221" s="29" t="n"/>
    </row>
    <row r="222" ht="15" customHeight="1" s="22">
      <c r="A222" s="31" t="n"/>
      <c r="B222" s="29" t="n"/>
      <c r="C222" s="29" t="n"/>
      <c r="D222" s="29" t="n"/>
      <c r="E222" s="29" t="n"/>
      <c r="F222" s="29" t="n"/>
      <c r="G222" s="29" t="n"/>
      <c r="H222" s="29" t="n"/>
      <c r="I222" s="32" t="n"/>
      <c r="J222" s="32" t="n"/>
      <c r="K222" s="29" t="n"/>
      <c r="L222" s="29" t="n"/>
      <c r="M222" s="31" t="n"/>
      <c r="N222" s="31" t="n"/>
      <c r="O222" s="29" t="n"/>
      <c r="P222" s="29" t="n"/>
    </row>
    <row r="223" ht="15" customHeight="1" s="22">
      <c r="A223" s="31" t="n"/>
      <c r="B223" s="29" t="n"/>
      <c r="C223" s="29" t="n"/>
      <c r="D223" s="29" t="n"/>
      <c r="E223" s="29" t="n"/>
      <c r="F223" s="29" t="n"/>
      <c r="G223" s="29" t="n"/>
      <c r="H223" s="29" t="n"/>
      <c r="I223" s="32" t="n"/>
      <c r="J223" s="32" t="n"/>
      <c r="K223" s="29" t="n"/>
      <c r="L223" s="29" t="n"/>
      <c r="M223" s="31" t="n"/>
      <c r="N223" s="31" t="n"/>
      <c r="O223" s="29" t="n"/>
      <c r="P223" s="29" t="n"/>
    </row>
    <row r="224" ht="15" customHeight="1" s="22">
      <c r="A224" s="31" t="n"/>
      <c r="B224" s="29" t="n"/>
      <c r="C224" s="29" t="n"/>
      <c r="D224" s="29" t="n"/>
      <c r="E224" s="29" t="n"/>
      <c r="F224" s="29" t="n"/>
      <c r="G224" s="29" t="n"/>
      <c r="H224" s="29" t="n"/>
      <c r="I224" s="32" t="n"/>
      <c r="J224" s="32" t="n"/>
      <c r="K224" s="29" t="n"/>
      <c r="L224" s="29" t="n"/>
      <c r="M224" s="31" t="n"/>
      <c r="N224" s="31" t="n"/>
      <c r="O224" s="29" t="n"/>
      <c r="P224" s="29" t="n"/>
    </row>
    <row r="225" ht="15" customHeight="1" s="22">
      <c r="A225" s="31" t="n"/>
      <c r="B225" s="29" t="n"/>
      <c r="C225" s="29" t="n"/>
      <c r="D225" s="29" t="n"/>
      <c r="E225" s="29" t="n"/>
      <c r="F225" s="29" t="n"/>
      <c r="G225" s="29" t="n"/>
      <c r="H225" s="29" t="n"/>
      <c r="I225" s="32" t="n"/>
      <c r="J225" s="32" t="n"/>
      <c r="K225" s="29" t="n"/>
      <c r="L225" s="29" t="n"/>
      <c r="M225" s="31" t="n"/>
      <c r="N225" s="31" t="n"/>
      <c r="O225" s="29" t="n"/>
      <c r="P225" s="29" t="n"/>
    </row>
    <row r="226" ht="15" customHeight="1" s="22">
      <c r="A226" s="31" t="n"/>
      <c r="B226" s="29" t="n"/>
      <c r="C226" s="29" t="n"/>
      <c r="D226" s="29" t="n"/>
      <c r="E226" s="29" t="n"/>
      <c r="F226" s="29" t="n"/>
      <c r="G226" s="29" t="n"/>
      <c r="H226" s="29" t="n"/>
      <c r="I226" s="32" t="n"/>
      <c r="J226" s="32" t="n"/>
      <c r="K226" s="29" t="n"/>
      <c r="L226" s="29" t="n"/>
      <c r="M226" s="31" t="n"/>
      <c r="N226" s="31" t="n"/>
      <c r="O226" s="29" t="n"/>
      <c r="P226" s="29" t="n"/>
    </row>
    <row r="227" ht="15" customHeight="1" s="22">
      <c r="A227" s="31" t="n"/>
      <c r="B227" s="29" t="n"/>
      <c r="C227" s="29" t="n"/>
      <c r="D227" s="29" t="n"/>
      <c r="E227" s="29" t="n"/>
      <c r="F227" s="29" t="n"/>
      <c r="G227" s="29" t="n"/>
      <c r="H227" s="29" t="n"/>
      <c r="I227" s="32" t="n"/>
      <c r="J227" s="32" t="n"/>
      <c r="K227" s="29" t="n"/>
      <c r="L227" s="29" t="n"/>
      <c r="M227" s="31" t="n"/>
      <c r="N227" s="31" t="n"/>
      <c r="O227" s="29" t="n"/>
      <c r="P227" s="29" t="n"/>
    </row>
    <row r="228" ht="15" customHeight="1" s="22">
      <c r="A228" s="31" t="n"/>
      <c r="B228" s="29" t="n"/>
      <c r="C228" s="29" t="n"/>
      <c r="D228" s="29" t="n"/>
      <c r="E228" s="29" t="n"/>
      <c r="F228" s="29" t="n"/>
      <c r="G228" s="29" t="n"/>
      <c r="H228" s="29" t="n"/>
      <c r="I228" s="32" t="n"/>
      <c r="J228" s="32" t="n"/>
      <c r="K228" s="29" t="n"/>
      <c r="L228" s="29" t="n"/>
      <c r="M228" s="31" t="n"/>
      <c r="N228" s="31" t="n"/>
      <c r="O228" s="29" t="n"/>
      <c r="P228" s="29" t="n"/>
    </row>
    <row r="229" ht="15" customHeight="1" s="22">
      <c r="A229" s="31" t="n"/>
      <c r="B229" s="29" t="n"/>
      <c r="C229" s="29" t="n"/>
      <c r="D229" s="29" t="n"/>
      <c r="E229" s="29" t="n"/>
      <c r="F229" s="29" t="n"/>
      <c r="G229" s="29" t="n"/>
      <c r="H229" s="29" t="n"/>
      <c r="I229" s="32" t="n"/>
      <c r="J229" s="32" t="n"/>
      <c r="K229" s="29" t="n"/>
      <c r="L229" s="29" t="n"/>
      <c r="M229" s="31" t="n"/>
      <c r="N229" s="31" t="n"/>
      <c r="O229" s="29" t="n"/>
      <c r="P229" s="29" t="n"/>
    </row>
    <row r="230" ht="15" customHeight="1" s="22">
      <c r="A230" s="31" t="n"/>
      <c r="B230" s="29" t="n"/>
      <c r="C230" s="29" t="n"/>
      <c r="D230" s="29" t="n"/>
      <c r="E230" s="29" t="n"/>
      <c r="F230" s="29" t="n"/>
      <c r="G230" s="29" t="n"/>
      <c r="H230" s="29" t="n"/>
      <c r="I230" s="32" t="n"/>
      <c r="J230" s="32" t="n"/>
      <c r="K230" s="29" t="n"/>
      <c r="L230" s="29" t="n"/>
      <c r="M230" s="31" t="n"/>
      <c r="N230" s="31" t="n"/>
      <c r="O230" s="29" t="n"/>
      <c r="P230" s="29" t="n"/>
    </row>
    <row r="231" ht="15" customHeight="1" s="22">
      <c r="A231" s="31" t="n"/>
      <c r="B231" s="29" t="n"/>
      <c r="C231" s="29" t="n"/>
      <c r="D231" s="29" t="n"/>
      <c r="E231" s="29" t="n"/>
      <c r="F231" s="29" t="n"/>
      <c r="G231" s="29" t="n"/>
      <c r="H231" s="29" t="n"/>
      <c r="I231" s="32" t="n"/>
      <c r="J231" s="32" t="n"/>
      <c r="K231" s="29" t="n"/>
      <c r="L231" s="29" t="n"/>
      <c r="M231" s="31" t="n"/>
      <c r="N231" s="31" t="n"/>
      <c r="O231" s="29" t="n"/>
      <c r="P231" s="29" t="n"/>
    </row>
    <row r="232" ht="15" customHeight="1" s="22">
      <c r="A232" s="31" t="n"/>
      <c r="B232" s="29" t="n"/>
      <c r="C232" s="29" t="n"/>
      <c r="D232" s="29" t="n"/>
      <c r="E232" s="29" t="n"/>
      <c r="F232" s="29" t="n"/>
      <c r="G232" s="29" t="n"/>
      <c r="H232" s="29" t="n"/>
      <c r="I232" s="32" t="n"/>
      <c r="J232" s="32" t="n"/>
      <c r="K232" s="29" t="n"/>
      <c r="L232" s="29" t="n"/>
      <c r="M232" s="31" t="n"/>
      <c r="N232" s="31" t="n"/>
      <c r="O232" s="29" t="n"/>
      <c r="P232" s="29" t="n"/>
    </row>
    <row r="233" ht="15" customHeight="1" s="22">
      <c r="A233" s="31" t="n"/>
      <c r="B233" s="29" t="n"/>
      <c r="C233" s="29" t="n"/>
      <c r="D233" s="29" t="n"/>
      <c r="E233" s="29" t="n"/>
      <c r="F233" s="29" t="n"/>
      <c r="G233" s="29" t="n"/>
      <c r="H233" s="29" t="n"/>
      <c r="I233" s="32" t="n"/>
      <c r="J233" s="32" t="n"/>
      <c r="K233" s="29" t="n"/>
      <c r="L233" s="29" t="n"/>
      <c r="M233" s="31" t="n"/>
      <c r="N233" s="31" t="n"/>
      <c r="O233" s="29" t="n"/>
      <c r="P233" s="29" t="n"/>
    </row>
    <row r="234" ht="15" customHeight="1" s="22">
      <c r="A234" s="31" t="n"/>
      <c r="B234" s="29" t="n"/>
      <c r="C234" s="29" t="n"/>
      <c r="D234" s="29" t="n"/>
      <c r="E234" s="29" t="n"/>
      <c r="F234" s="29" t="n"/>
      <c r="G234" s="29" t="n"/>
      <c r="H234" s="29" t="n"/>
      <c r="I234" s="32" t="n"/>
      <c r="J234" s="32" t="n"/>
      <c r="K234" s="29" t="n"/>
      <c r="L234" s="29" t="n"/>
      <c r="M234" s="31" t="n"/>
      <c r="N234" s="31" t="n"/>
      <c r="O234" s="29" t="n"/>
      <c r="P234" s="29" t="n"/>
    </row>
    <row r="235" ht="15" customHeight="1" s="22">
      <c r="A235" s="31" t="n"/>
      <c r="B235" s="29" t="n"/>
      <c r="C235" s="29" t="n"/>
      <c r="D235" s="29" t="n"/>
      <c r="E235" s="29" t="n"/>
      <c r="F235" s="29" t="n"/>
      <c r="G235" s="29" t="n"/>
      <c r="H235" s="29" t="n"/>
      <c r="I235" s="32" t="n"/>
      <c r="J235" s="32" t="n"/>
      <c r="K235" s="29" t="n"/>
      <c r="L235" s="29" t="n"/>
      <c r="M235" s="31" t="n"/>
      <c r="N235" s="31" t="n"/>
      <c r="O235" s="29" t="n"/>
      <c r="P235" s="29" t="n"/>
    </row>
    <row r="236" ht="15" customHeight="1" s="22">
      <c r="A236" s="31" t="n"/>
      <c r="B236" s="29" t="n"/>
      <c r="C236" s="29" t="n"/>
      <c r="D236" s="29" t="n"/>
      <c r="E236" s="29" t="n"/>
      <c r="F236" s="29" t="n"/>
      <c r="G236" s="29" t="n"/>
      <c r="H236" s="29" t="n"/>
      <c r="I236" s="32" t="n"/>
      <c r="J236" s="32" t="n"/>
      <c r="K236" s="29" t="n"/>
      <c r="L236" s="29" t="n"/>
      <c r="M236" s="31" t="n"/>
      <c r="N236" s="31" t="n"/>
      <c r="O236" s="29" t="n"/>
      <c r="P236" s="29" t="n"/>
    </row>
    <row r="237" ht="15" customHeight="1" s="22">
      <c r="A237" s="31" t="n"/>
      <c r="B237" s="29" t="n"/>
      <c r="C237" s="29" t="n"/>
      <c r="D237" s="29" t="n"/>
      <c r="E237" s="29" t="n"/>
      <c r="F237" s="29" t="n"/>
      <c r="G237" s="29" t="n"/>
      <c r="H237" s="29" t="n"/>
      <c r="I237" s="32" t="n"/>
      <c r="J237" s="32" t="n"/>
      <c r="K237" s="29" t="n"/>
      <c r="L237" s="29" t="n"/>
      <c r="M237" s="31" t="n"/>
      <c r="N237" s="31" t="n"/>
      <c r="O237" s="29" t="n"/>
      <c r="P237" s="29" t="n"/>
    </row>
    <row r="238" ht="15" customHeight="1" s="22">
      <c r="A238" s="31" t="n"/>
      <c r="B238" s="29" t="n"/>
      <c r="C238" s="29" t="n"/>
      <c r="D238" s="29" t="n"/>
      <c r="E238" s="29" t="n"/>
      <c r="F238" s="29" t="n"/>
      <c r="G238" s="29" t="n"/>
      <c r="H238" s="29" t="n"/>
      <c r="I238" s="32" t="n"/>
      <c r="J238" s="32" t="n"/>
      <c r="K238" s="29" t="n"/>
      <c r="L238" s="29" t="n"/>
      <c r="M238" s="31" t="n"/>
      <c r="N238" s="31" t="n"/>
      <c r="O238" s="29" t="n"/>
      <c r="P238" s="29" t="n"/>
    </row>
    <row r="239" ht="15" customHeight="1" s="22">
      <c r="A239" s="31" t="n"/>
      <c r="B239" s="29" t="n"/>
      <c r="C239" s="29" t="n"/>
      <c r="D239" s="29" t="n"/>
      <c r="E239" s="29" t="n"/>
      <c r="F239" s="29" t="n"/>
      <c r="G239" s="29" t="n"/>
      <c r="H239" s="29" t="n"/>
      <c r="I239" s="32" t="n"/>
      <c r="J239" s="32" t="n"/>
      <c r="K239" s="29" t="n"/>
      <c r="L239" s="29" t="n"/>
      <c r="M239" s="31" t="n"/>
      <c r="N239" s="31" t="n"/>
      <c r="O239" s="29" t="n"/>
      <c r="P239" s="29" t="n"/>
    </row>
    <row r="240" ht="15" customHeight="1" s="22">
      <c r="A240" s="31" t="n"/>
      <c r="B240" s="29" t="n"/>
      <c r="C240" s="29" t="n"/>
      <c r="D240" s="29" t="n"/>
      <c r="E240" s="29" t="n"/>
      <c r="F240" s="29" t="n"/>
      <c r="G240" s="29" t="n"/>
      <c r="H240" s="29" t="n"/>
      <c r="I240" s="32" t="n"/>
      <c r="J240" s="32" t="n"/>
      <c r="K240" s="29" t="n"/>
      <c r="L240" s="29" t="n"/>
      <c r="M240" s="31" t="n"/>
      <c r="N240" s="31" t="n"/>
      <c r="O240" s="29" t="n"/>
      <c r="P240" s="29" t="n"/>
    </row>
    <row r="241" ht="15" customHeight="1" s="22">
      <c r="A241" s="31" t="n"/>
      <c r="B241" s="29" t="n"/>
      <c r="C241" s="29" t="n"/>
      <c r="D241" s="29" t="n"/>
      <c r="E241" s="29" t="n"/>
      <c r="F241" s="29" t="n"/>
      <c r="G241" s="29" t="n"/>
      <c r="H241" s="29" t="n"/>
      <c r="I241" s="32" t="n"/>
      <c r="J241" s="32" t="n"/>
      <c r="K241" s="29" t="n"/>
      <c r="L241" s="29" t="n"/>
      <c r="M241" s="31" t="n"/>
      <c r="N241" s="31" t="n"/>
      <c r="O241" s="29" t="n"/>
      <c r="P241" s="29" t="n"/>
    </row>
    <row r="242" ht="15" customHeight="1" s="22">
      <c r="A242" s="31" t="n"/>
      <c r="B242" s="29" t="n"/>
      <c r="C242" s="29" t="n"/>
      <c r="D242" s="29" t="n"/>
      <c r="E242" s="29" t="n"/>
      <c r="F242" s="29" t="n"/>
      <c r="G242" s="29" t="n"/>
      <c r="H242" s="29" t="n"/>
      <c r="I242" s="32" t="n"/>
      <c r="J242" s="32" t="n"/>
      <c r="K242" s="29" t="n"/>
      <c r="L242" s="29" t="n"/>
      <c r="M242" s="31" t="n"/>
      <c r="N242" s="31" t="n"/>
      <c r="O242" s="29" t="n"/>
      <c r="P242" s="29" t="n"/>
    </row>
    <row r="243" ht="15" customHeight="1" s="22">
      <c r="A243" s="31" t="n"/>
      <c r="B243" s="29" t="n"/>
      <c r="C243" s="29" t="n"/>
      <c r="D243" s="29" t="n"/>
      <c r="E243" s="29" t="n"/>
      <c r="F243" s="29" t="n"/>
      <c r="G243" s="29" t="n"/>
      <c r="H243" s="29" t="n"/>
      <c r="I243" s="32" t="n"/>
      <c r="J243" s="32" t="n"/>
      <c r="K243" s="29" t="n"/>
      <c r="L243" s="29" t="n"/>
      <c r="M243" s="31" t="n"/>
      <c r="N243" s="31" t="n"/>
      <c r="O243" s="29" t="n"/>
      <c r="P243" s="29" t="n"/>
    </row>
    <row r="244" ht="15" customHeight="1" s="22">
      <c r="A244" s="31" t="n"/>
      <c r="B244" s="29" t="n"/>
      <c r="C244" s="29" t="n"/>
      <c r="D244" s="29" t="n"/>
      <c r="E244" s="29" t="n"/>
      <c r="F244" s="29" t="n"/>
      <c r="G244" s="29" t="n"/>
      <c r="H244" s="29" t="n"/>
      <c r="I244" s="32" t="n"/>
      <c r="J244" s="32" t="n"/>
      <c r="K244" s="29" t="n"/>
      <c r="L244" s="29" t="n"/>
      <c r="M244" s="31" t="n"/>
      <c r="N244" s="31" t="n"/>
      <c r="O244" s="29" t="n"/>
      <c r="P244" s="29" t="n"/>
    </row>
    <row r="245" ht="15" customHeight="1" s="22">
      <c r="A245" s="31" t="n"/>
      <c r="B245" s="29" t="n"/>
      <c r="C245" s="29" t="n"/>
      <c r="D245" s="29" t="n"/>
      <c r="E245" s="29" t="n"/>
      <c r="F245" s="29" t="n"/>
      <c r="G245" s="29" t="n"/>
      <c r="H245" s="29" t="n"/>
      <c r="I245" s="32" t="n"/>
      <c r="J245" s="32" t="n"/>
      <c r="K245" s="29" t="n"/>
      <c r="L245" s="29" t="n"/>
      <c r="M245" s="31" t="n"/>
      <c r="N245" s="31" t="n"/>
      <c r="O245" s="29" t="n"/>
      <c r="P245" s="29" t="n"/>
    </row>
    <row r="246" ht="15" customHeight="1" s="22">
      <c r="A246" s="31" t="n"/>
      <c r="B246" s="29" t="n"/>
      <c r="C246" s="29" t="n"/>
      <c r="D246" s="29" t="n"/>
      <c r="E246" s="29" t="n"/>
      <c r="F246" s="29" t="n"/>
      <c r="G246" s="29" t="n"/>
      <c r="H246" s="29" t="n"/>
      <c r="I246" s="32" t="n"/>
      <c r="J246" s="32" t="n"/>
      <c r="K246" s="29" t="n"/>
      <c r="L246" s="29" t="n"/>
      <c r="M246" s="31" t="n"/>
      <c r="N246" s="31" t="n"/>
      <c r="O246" s="29" t="n"/>
      <c r="P246" s="29" t="n"/>
    </row>
    <row r="247" ht="15" customHeight="1" s="22">
      <c r="A247" s="31" t="n"/>
      <c r="B247" s="29" t="n"/>
      <c r="C247" s="29" t="n"/>
      <c r="D247" s="29" t="n"/>
      <c r="E247" s="29" t="n"/>
      <c r="F247" s="29" t="n"/>
      <c r="G247" s="29" t="n"/>
      <c r="H247" s="29" t="n"/>
      <c r="I247" s="32" t="n"/>
      <c r="J247" s="32" t="n"/>
      <c r="K247" s="29" t="n"/>
      <c r="L247" s="29" t="n"/>
      <c r="M247" s="31" t="n"/>
      <c r="N247" s="31" t="n"/>
      <c r="O247" s="29" t="n"/>
      <c r="P247" s="29" t="n"/>
    </row>
    <row r="248" ht="15" customHeight="1" s="22">
      <c r="A248" s="31" t="n"/>
      <c r="B248" s="29" t="n"/>
      <c r="C248" s="29" t="n"/>
      <c r="D248" s="29" t="n"/>
      <c r="E248" s="29" t="n"/>
      <c r="F248" s="29" t="n"/>
      <c r="G248" s="29" t="n"/>
      <c r="H248" s="29" t="n"/>
      <c r="I248" s="32" t="n"/>
      <c r="J248" s="32" t="n"/>
      <c r="K248" s="29" t="n"/>
      <c r="L248" s="29" t="n"/>
      <c r="M248" s="31" t="n"/>
      <c r="N248" s="31" t="n"/>
      <c r="O248" s="29" t="n"/>
      <c r="P248" s="29" t="n"/>
    </row>
    <row r="249" ht="15" customHeight="1" s="22">
      <c r="A249" s="31" t="n"/>
      <c r="B249" s="29" t="n"/>
      <c r="C249" s="29" t="n"/>
      <c r="D249" s="29" t="n"/>
      <c r="E249" s="29" t="n"/>
      <c r="F249" s="29" t="n"/>
      <c r="G249" s="29" t="n"/>
      <c r="H249" s="29" t="n"/>
      <c r="I249" s="32" t="n"/>
      <c r="J249" s="32" t="n"/>
      <c r="K249" s="29" t="n"/>
      <c r="L249" s="29" t="n"/>
      <c r="M249" s="31" t="n"/>
      <c r="N249" s="31" t="n"/>
      <c r="O249" s="29" t="n"/>
      <c r="P249" s="29" t="n"/>
    </row>
    <row r="250" ht="15" customHeight="1" s="22">
      <c r="A250" s="31" t="n"/>
      <c r="B250" s="29" t="n"/>
      <c r="C250" s="29" t="n"/>
      <c r="D250" s="29" t="n"/>
      <c r="E250" s="29" t="n"/>
      <c r="F250" s="29" t="n"/>
      <c r="G250" s="29" t="n"/>
      <c r="H250" s="29" t="n"/>
      <c r="I250" s="32" t="n"/>
      <c r="J250" s="32" t="n"/>
      <c r="K250" s="29" t="n"/>
      <c r="L250" s="29" t="n"/>
      <c r="M250" s="31" t="n"/>
      <c r="N250" s="31" t="n"/>
      <c r="O250" s="29" t="n"/>
      <c r="P250" s="29" t="n"/>
    </row>
    <row r="251" ht="15" customHeight="1" s="22">
      <c r="A251" s="31" t="n"/>
      <c r="B251" s="29" t="n"/>
      <c r="C251" s="29" t="n"/>
      <c r="D251" s="29" t="n"/>
      <c r="E251" s="29" t="n"/>
      <c r="F251" s="29" t="n"/>
      <c r="G251" s="29" t="n"/>
      <c r="H251" s="29" t="n"/>
      <c r="I251" s="32" t="n"/>
      <c r="J251" s="32" t="n"/>
      <c r="K251" s="29" t="n"/>
      <c r="L251" s="29" t="n"/>
      <c r="M251" s="31" t="n"/>
      <c r="N251" s="31" t="n"/>
      <c r="O251" s="29" t="n"/>
      <c r="P251" s="29" t="n"/>
    </row>
    <row r="252" ht="15" customHeight="1" s="22">
      <c r="A252" s="31" t="n"/>
      <c r="B252" s="29" t="n"/>
      <c r="C252" s="29" t="n"/>
      <c r="D252" s="29" t="n"/>
      <c r="E252" s="29" t="n"/>
      <c r="F252" s="29" t="n"/>
      <c r="G252" s="29" t="n"/>
      <c r="H252" s="29" t="n"/>
      <c r="I252" s="32" t="n"/>
      <c r="J252" s="32" t="n"/>
      <c r="K252" s="29" t="n"/>
      <c r="L252" s="29" t="n"/>
      <c r="M252" s="31" t="n"/>
      <c r="N252" s="31" t="n"/>
      <c r="O252" s="29" t="n"/>
      <c r="P252" s="29" t="n"/>
    </row>
    <row r="253" ht="15" customHeight="1" s="22">
      <c r="A253" s="31" t="n"/>
      <c r="B253" s="29" t="n"/>
      <c r="C253" s="29" t="n"/>
      <c r="D253" s="29" t="n"/>
      <c r="E253" s="29" t="n"/>
      <c r="F253" s="29" t="n"/>
      <c r="G253" s="29" t="n"/>
      <c r="H253" s="29" t="n"/>
      <c r="I253" s="32" t="n"/>
      <c r="J253" s="32" t="n"/>
      <c r="K253" s="29" t="n"/>
      <c r="L253" s="29" t="n"/>
      <c r="M253" s="31" t="n"/>
      <c r="N253" s="31" t="n"/>
      <c r="O253" s="29" t="n"/>
      <c r="P253" s="29" t="n"/>
    </row>
    <row r="254" ht="15" customHeight="1" s="22">
      <c r="A254" s="31" t="n"/>
      <c r="B254" s="29" t="n"/>
      <c r="C254" s="29" t="n"/>
      <c r="D254" s="29" t="n"/>
      <c r="E254" s="29" t="n"/>
      <c r="F254" s="29" t="n"/>
      <c r="G254" s="29" t="n"/>
      <c r="H254" s="29" t="n"/>
      <c r="I254" s="32" t="n"/>
      <c r="J254" s="32" t="n"/>
      <c r="K254" s="29" t="n"/>
      <c r="L254" s="29" t="n"/>
      <c r="M254" s="31" t="n"/>
      <c r="N254" s="31" t="n"/>
      <c r="O254" s="29" t="n"/>
      <c r="P254" s="29" t="n"/>
    </row>
    <row r="255" ht="15" customHeight="1" s="22">
      <c r="A255" s="31" t="n"/>
      <c r="B255" s="29" t="n"/>
      <c r="C255" s="29" t="n"/>
      <c r="D255" s="29" t="n"/>
      <c r="E255" s="29" t="n"/>
      <c r="F255" s="29" t="n"/>
      <c r="G255" s="29" t="n"/>
      <c r="H255" s="29" t="n"/>
      <c r="I255" s="32" t="n"/>
      <c r="J255" s="32" t="n"/>
      <c r="K255" s="29" t="n"/>
      <c r="L255" s="29" t="n"/>
      <c r="M255" s="31" t="n"/>
      <c r="N255" s="31" t="n"/>
      <c r="O255" s="29" t="n"/>
      <c r="P255" s="29" t="n"/>
    </row>
    <row r="256" ht="15" customHeight="1" s="22">
      <c r="A256" s="31" t="n"/>
      <c r="B256" s="29" t="n"/>
      <c r="C256" s="29" t="n"/>
      <c r="D256" s="29" t="n"/>
      <c r="E256" s="29" t="n"/>
      <c r="F256" s="29" t="n"/>
      <c r="G256" s="29" t="n"/>
      <c r="H256" s="29" t="n"/>
      <c r="I256" s="32" t="n"/>
      <c r="J256" s="32" t="n"/>
      <c r="K256" s="29" t="n"/>
      <c r="L256" s="29" t="n"/>
      <c r="M256" s="31" t="n"/>
      <c r="N256" s="31" t="n"/>
      <c r="O256" s="29" t="n"/>
      <c r="P256" s="29" t="n"/>
    </row>
    <row r="257" ht="15" customHeight="1" s="22">
      <c r="A257" s="31" t="n"/>
      <c r="B257" s="29" t="n"/>
      <c r="C257" s="29" t="n"/>
      <c r="D257" s="29" t="n"/>
      <c r="E257" s="29" t="n"/>
      <c r="F257" s="29" t="n"/>
      <c r="G257" s="29" t="n"/>
      <c r="H257" s="29" t="n"/>
      <c r="I257" s="32" t="n"/>
      <c r="J257" s="32" t="n"/>
      <c r="K257" s="29" t="n"/>
      <c r="L257" s="29" t="n"/>
      <c r="M257" s="31" t="n"/>
      <c r="N257" s="31" t="n"/>
      <c r="O257" s="29" t="n"/>
      <c r="P257" s="29" t="n"/>
    </row>
    <row r="258" ht="15" customHeight="1" s="22">
      <c r="A258" s="31" t="n"/>
      <c r="B258" s="29" t="n"/>
      <c r="C258" s="29" t="n"/>
      <c r="D258" s="29" t="n"/>
      <c r="E258" s="29" t="n"/>
      <c r="F258" s="29" t="n"/>
      <c r="G258" s="29" t="n"/>
      <c r="H258" s="29" t="n"/>
      <c r="I258" s="32" t="n"/>
      <c r="J258" s="32" t="n"/>
      <c r="K258" s="29" t="n"/>
      <c r="L258" s="29" t="n"/>
      <c r="M258" s="31" t="n"/>
      <c r="N258" s="31" t="n"/>
      <c r="O258" s="29" t="n"/>
      <c r="P258" s="29" t="n"/>
    </row>
    <row r="259" ht="15" customHeight="1" s="22">
      <c r="A259" s="31" t="n"/>
      <c r="B259" s="29" t="n"/>
      <c r="C259" s="29" t="n"/>
      <c r="D259" s="29" t="n"/>
      <c r="E259" s="29" t="n"/>
      <c r="F259" s="29" t="n"/>
      <c r="G259" s="29" t="n"/>
      <c r="H259" s="29" t="n"/>
      <c r="I259" s="32" t="n"/>
      <c r="J259" s="32" t="n"/>
      <c r="K259" s="29" t="n"/>
      <c r="L259" s="29" t="n"/>
      <c r="M259" s="31" t="n"/>
      <c r="N259" s="31" t="n"/>
      <c r="O259" s="29" t="n"/>
      <c r="P259" s="29" t="n"/>
    </row>
    <row r="260" ht="15" customHeight="1" s="22">
      <c r="A260" s="31" t="n"/>
      <c r="B260" s="29" t="n"/>
      <c r="C260" s="29" t="n"/>
      <c r="D260" s="29" t="n"/>
      <c r="E260" s="29" t="n"/>
      <c r="F260" s="29" t="n"/>
      <c r="G260" s="29" t="n"/>
      <c r="H260" s="29" t="n"/>
      <c r="I260" s="32" t="n"/>
      <c r="J260" s="32" t="n"/>
      <c r="K260" s="29" t="n"/>
      <c r="L260" s="29" t="n"/>
      <c r="M260" s="31" t="n"/>
      <c r="N260" s="31" t="n"/>
      <c r="O260" s="29" t="n"/>
      <c r="P260" s="29" t="n"/>
    </row>
    <row r="261" ht="15" customHeight="1" s="22">
      <c r="A261" s="31" t="n"/>
      <c r="B261" s="29" t="n"/>
      <c r="C261" s="29" t="n"/>
      <c r="D261" s="29" t="n"/>
      <c r="E261" s="29" t="n"/>
      <c r="F261" s="29" t="n"/>
      <c r="G261" s="29" t="n"/>
      <c r="H261" s="29" t="n"/>
      <c r="I261" s="32" t="n"/>
      <c r="J261" s="32" t="n"/>
      <c r="K261" s="29" t="n"/>
      <c r="L261" s="29" t="n"/>
      <c r="M261" s="31" t="n"/>
      <c r="N261" s="31" t="n"/>
      <c r="O261" s="29" t="n"/>
      <c r="P261" s="29" t="n"/>
    </row>
    <row r="262" ht="15" customHeight="1" s="22">
      <c r="A262" s="31" t="n"/>
      <c r="B262" s="29" t="n"/>
      <c r="C262" s="29" t="n"/>
      <c r="D262" s="29" t="n"/>
      <c r="E262" s="29" t="n"/>
      <c r="F262" s="29" t="n"/>
      <c r="G262" s="29" t="n"/>
      <c r="H262" s="29" t="n"/>
      <c r="I262" s="32" t="n"/>
      <c r="J262" s="32" t="n"/>
      <c r="K262" s="29" t="n"/>
      <c r="L262" s="29" t="n"/>
      <c r="M262" s="31" t="n"/>
      <c r="N262" s="31" t="n"/>
      <c r="O262" s="29" t="n"/>
      <c r="P262" s="29" t="n"/>
    </row>
    <row r="263" ht="15" customHeight="1" s="22">
      <c r="A263" s="31" t="n"/>
      <c r="B263" s="29" t="n"/>
      <c r="C263" s="29" t="n"/>
      <c r="D263" s="29" t="n"/>
      <c r="E263" s="29" t="n"/>
      <c r="F263" s="29" t="n"/>
      <c r="G263" s="29" t="n"/>
      <c r="H263" s="29" t="n"/>
      <c r="I263" s="32" t="n"/>
      <c r="J263" s="32" t="n"/>
      <c r="K263" s="29" t="n"/>
      <c r="L263" s="29" t="n"/>
      <c r="M263" s="31" t="n"/>
      <c r="N263" s="31" t="n"/>
      <c r="O263" s="29" t="n"/>
      <c r="P263" s="29" t="n"/>
    </row>
    <row r="264" ht="15" customHeight="1" s="22">
      <c r="A264" s="31" t="n"/>
      <c r="B264" s="29" t="n"/>
      <c r="C264" s="29" t="n"/>
      <c r="D264" s="29" t="n"/>
      <c r="E264" s="29" t="n"/>
      <c r="F264" s="29" t="n"/>
      <c r="G264" s="29" t="n"/>
      <c r="H264" s="29" t="n"/>
      <c r="I264" s="32" t="n"/>
      <c r="J264" s="32" t="n"/>
      <c r="K264" s="29" t="n"/>
      <c r="L264" s="29" t="n"/>
      <c r="M264" s="31" t="n"/>
      <c r="N264" s="31" t="n"/>
      <c r="O264" s="29" t="n"/>
      <c r="P264" s="29" t="n"/>
    </row>
    <row r="265" ht="15" customHeight="1" s="22">
      <c r="A265" s="31" t="n"/>
      <c r="B265" s="29" t="n"/>
      <c r="C265" s="29" t="n"/>
      <c r="D265" s="29" t="n"/>
      <c r="E265" s="29" t="n"/>
      <c r="F265" s="29" t="n"/>
      <c r="G265" s="29" t="n"/>
      <c r="H265" s="29" t="n"/>
      <c r="I265" s="32" t="n"/>
      <c r="J265" s="32" t="n"/>
      <c r="K265" s="29" t="n"/>
      <c r="L265" s="29" t="n"/>
      <c r="M265" s="31" t="n"/>
      <c r="N265" s="31" t="n"/>
      <c r="O265" s="29" t="n"/>
      <c r="P265" s="29" t="n"/>
    </row>
    <row r="266" ht="15" customHeight="1" s="22">
      <c r="A266" s="31" t="n"/>
      <c r="B266" s="29" t="n"/>
      <c r="C266" s="29" t="n"/>
      <c r="D266" s="29" t="n"/>
      <c r="E266" s="29" t="n"/>
      <c r="F266" s="29" t="n"/>
      <c r="G266" s="29" t="n"/>
      <c r="H266" s="29" t="n"/>
      <c r="I266" s="32" t="n"/>
      <c r="J266" s="32" t="n"/>
      <c r="K266" s="29" t="n"/>
      <c r="L266" s="29" t="n"/>
      <c r="M266" s="31" t="n"/>
      <c r="N266" s="31" t="n"/>
      <c r="O266" s="29" t="n"/>
      <c r="P266" s="29" t="n"/>
    </row>
    <row r="267" ht="15" customHeight="1" s="22">
      <c r="A267" s="31" t="n"/>
      <c r="B267" s="29" t="n"/>
      <c r="C267" s="29" t="n"/>
      <c r="D267" s="29" t="n"/>
      <c r="E267" s="29" t="n"/>
      <c r="F267" s="29" t="n"/>
      <c r="G267" s="29" t="n"/>
      <c r="H267" s="29" t="n"/>
      <c r="I267" s="32" t="n"/>
      <c r="J267" s="32" t="n"/>
      <c r="K267" s="29" t="n"/>
      <c r="L267" s="29" t="n"/>
      <c r="M267" s="31" t="n"/>
      <c r="N267" s="31" t="n"/>
      <c r="O267" s="29" t="n"/>
      <c r="P267" s="29" t="n"/>
    </row>
    <row r="268" ht="15" customHeight="1" s="22">
      <c r="A268" s="31" t="n"/>
      <c r="B268" s="29" t="n"/>
      <c r="C268" s="29" t="n"/>
      <c r="D268" s="29" t="n"/>
      <c r="E268" s="29" t="n"/>
      <c r="F268" s="29" t="n"/>
      <c r="G268" s="29" t="n"/>
      <c r="H268" s="29" t="n"/>
      <c r="I268" s="32" t="n"/>
      <c r="J268" s="32" t="n"/>
      <c r="K268" s="29" t="n"/>
      <c r="L268" s="29" t="n"/>
      <c r="M268" s="31" t="n"/>
      <c r="N268" s="31" t="n"/>
      <c r="O268" s="29" t="n"/>
      <c r="P268" s="29" t="n"/>
    </row>
    <row r="269" ht="15" customHeight="1" s="22">
      <c r="A269" s="31" t="n"/>
      <c r="B269" s="29" t="n"/>
      <c r="C269" s="29" t="n"/>
      <c r="D269" s="29" t="n"/>
      <c r="E269" s="29" t="n"/>
      <c r="F269" s="29" t="n"/>
      <c r="G269" s="29" t="n"/>
      <c r="H269" s="29" t="n"/>
      <c r="I269" s="32" t="n"/>
      <c r="J269" s="32" t="n"/>
      <c r="K269" s="29" t="n"/>
      <c r="L269" s="29" t="n"/>
      <c r="M269" s="31" t="n"/>
      <c r="N269" s="31" t="n"/>
      <c r="O269" s="29" t="n"/>
      <c r="P269" s="29" t="n"/>
    </row>
    <row r="270" ht="15" customHeight="1" s="22">
      <c r="A270" s="31" t="n"/>
      <c r="B270" s="29" t="n"/>
      <c r="C270" s="29" t="n"/>
      <c r="D270" s="29" t="n"/>
      <c r="E270" s="29" t="n"/>
      <c r="F270" s="29" t="n"/>
      <c r="G270" s="29" t="n"/>
      <c r="H270" s="29" t="n"/>
      <c r="I270" s="32" t="n"/>
      <c r="J270" s="32" t="n"/>
      <c r="K270" s="29" t="n"/>
      <c r="L270" s="29" t="n"/>
      <c r="M270" s="31" t="n"/>
      <c r="N270" s="31" t="n"/>
      <c r="O270" s="29" t="n"/>
      <c r="P270" s="29" t="n"/>
    </row>
    <row r="271" ht="15" customHeight="1" s="22">
      <c r="A271" s="31" t="n"/>
      <c r="B271" s="29" t="n"/>
      <c r="C271" s="29" t="n"/>
      <c r="D271" s="29" t="n"/>
      <c r="E271" s="29" t="n"/>
      <c r="F271" s="29" t="n"/>
      <c r="G271" s="29" t="n"/>
      <c r="H271" s="29" t="n"/>
      <c r="I271" s="32" t="n"/>
      <c r="J271" s="32" t="n"/>
      <c r="K271" s="29" t="n"/>
      <c r="L271" s="29" t="n"/>
      <c r="M271" s="31" t="n"/>
      <c r="N271" s="31" t="n"/>
      <c r="O271" s="29" t="n"/>
      <c r="P271" s="29" t="n"/>
    </row>
    <row r="272" ht="15" customHeight="1" s="22">
      <c r="A272" s="31" t="n"/>
      <c r="B272" s="29" t="n"/>
      <c r="C272" s="29" t="n"/>
      <c r="D272" s="29" t="n"/>
      <c r="E272" s="29" t="n"/>
      <c r="F272" s="29" t="n"/>
      <c r="G272" s="29" t="n"/>
      <c r="H272" s="29" t="n"/>
      <c r="I272" s="32" t="n"/>
      <c r="J272" s="32" t="n"/>
      <c r="K272" s="29" t="n"/>
      <c r="L272" s="29" t="n"/>
      <c r="M272" s="31" t="n"/>
      <c r="N272" s="31" t="n"/>
      <c r="O272" s="29" t="n"/>
      <c r="P272" s="29" t="n"/>
    </row>
    <row r="273" ht="15" customHeight="1" s="22">
      <c r="A273" s="31" t="n"/>
      <c r="B273" s="29" t="n"/>
      <c r="C273" s="29" t="n"/>
      <c r="D273" s="29" t="n"/>
      <c r="E273" s="29" t="n"/>
      <c r="F273" s="29" t="n"/>
      <c r="G273" s="29" t="n"/>
      <c r="H273" s="29" t="n"/>
      <c r="I273" s="32" t="n"/>
      <c r="J273" s="32" t="n"/>
      <c r="K273" s="29" t="n"/>
      <c r="L273" s="29" t="n"/>
      <c r="M273" s="31" t="n"/>
      <c r="N273" s="31" t="n"/>
      <c r="O273" s="29" t="n"/>
      <c r="P273" s="29" t="n"/>
    </row>
    <row r="274" ht="15" customHeight="1" s="22">
      <c r="A274" s="31" t="n"/>
      <c r="B274" s="29" t="n"/>
      <c r="C274" s="29" t="n"/>
      <c r="D274" s="29" t="n"/>
      <c r="E274" s="29" t="n"/>
      <c r="F274" s="29" t="n"/>
      <c r="G274" s="29" t="n"/>
      <c r="H274" s="29" t="n"/>
      <c r="I274" s="32" t="n"/>
      <c r="J274" s="32" t="n"/>
      <c r="K274" s="29" t="n"/>
      <c r="L274" s="29" t="n"/>
      <c r="M274" s="31" t="n"/>
      <c r="N274" s="31" t="n"/>
      <c r="O274" s="29" t="n"/>
      <c r="P274" s="29" t="n"/>
    </row>
    <row r="275" ht="15" customHeight="1" s="22">
      <c r="A275" s="31" t="n"/>
      <c r="B275" s="29" t="n"/>
      <c r="C275" s="29" t="n"/>
      <c r="D275" s="29" t="n"/>
      <c r="E275" s="29" t="n"/>
      <c r="F275" s="29" t="n"/>
      <c r="G275" s="29" t="n"/>
      <c r="H275" s="29" t="n"/>
      <c r="I275" s="32" t="n"/>
      <c r="J275" s="32" t="n"/>
      <c r="K275" s="29" t="n"/>
      <c r="L275" s="29" t="n"/>
      <c r="M275" s="31" t="n"/>
      <c r="N275" s="31" t="n"/>
      <c r="O275" s="29" t="n"/>
      <c r="P275" s="29" t="n"/>
    </row>
    <row r="276" ht="15" customHeight="1" s="22">
      <c r="A276" s="31" t="n"/>
      <c r="B276" s="29" t="n"/>
      <c r="C276" s="29" t="n"/>
      <c r="D276" s="29" t="n"/>
      <c r="E276" s="29" t="n"/>
      <c r="F276" s="29" t="n"/>
      <c r="G276" s="29" t="n"/>
      <c r="H276" s="29" t="n"/>
      <c r="I276" s="32" t="n"/>
      <c r="J276" s="32" t="n"/>
      <c r="K276" s="29" t="n"/>
      <c r="L276" s="29" t="n"/>
      <c r="M276" s="31" t="n"/>
      <c r="N276" s="31" t="n"/>
      <c r="O276" s="29" t="n"/>
      <c r="P276" s="29" t="n"/>
    </row>
    <row r="277" ht="15" customHeight="1" s="22">
      <c r="A277" s="31" t="n"/>
      <c r="B277" s="29" t="n"/>
      <c r="C277" s="29" t="n"/>
      <c r="D277" s="29" t="n"/>
      <c r="E277" s="29" t="n"/>
      <c r="F277" s="29" t="n"/>
      <c r="G277" s="29" t="n"/>
      <c r="H277" s="29" t="n"/>
      <c r="I277" s="32" t="n"/>
      <c r="J277" s="32" t="n"/>
      <c r="K277" s="29" t="n"/>
      <c r="L277" s="29" t="n"/>
      <c r="M277" s="31" t="n"/>
      <c r="N277" s="31" t="n"/>
      <c r="O277" s="29" t="n"/>
      <c r="P277" s="29" t="n"/>
    </row>
    <row r="278" ht="15" customHeight="1" s="22">
      <c r="A278" s="31" t="n"/>
      <c r="B278" s="29" t="n"/>
      <c r="C278" s="29" t="n"/>
      <c r="D278" s="29" t="n"/>
      <c r="E278" s="29" t="n"/>
      <c r="F278" s="29" t="n"/>
      <c r="G278" s="29" t="n"/>
      <c r="H278" s="29" t="n"/>
      <c r="I278" s="32" t="n"/>
      <c r="J278" s="32" t="n"/>
      <c r="K278" s="29" t="n"/>
      <c r="L278" s="29" t="n"/>
      <c r="M278" s="31" t="n"/>
      <c r="N278" s="31" t="n"/>
      <c r="O278" s="29" t="n"/>
      <c r="P278" s="29" t="n"/>
    </row>
    <row r="279" ht="15" customHeight="1" s="22">
      <c r="A279" s="31" t="n"/>
      <c r="B279" s="29" t="n"/>
      <c r="C279" s="29" t="n"/>
      <c r="D279" s="29" t="n"/>
      <c r="E279" s="29" t="n"/>
      <c r="F279" s="29" t="n"/>
      <c r="G279" s="29" t="n"/>
      <c r="H279" s="29" t="n"/>
      <c r="I279" s="32" t="n"/>
      <c r="J279" s="32" t="n"/>
      <c r="K279" s="29" t="n"/>
      <c r="L279" s="29" t="n"/>
      <c r="M279" s="31" t="n"/>
      <c r="N279" s="31" t="n"/>
      <c r="O279" s="29" t="n"/>
      <c r="P279" s="29" t="n"/>
    </row>
    <row r="280" ht="15" customHeight="1" s="22">
      <c r="A280" s="31" t="n"/>
      <c r="B280" s="29" t="n"/>
      <c r="C280" s="29" t="n"/>
      <c r="D280" s="29" t="n"/>
      <c r="E280" s="29" t="n"/>
      <c r="F280" s="29" t="n"/>
      <c r="G280" s="29" t="n"/>
      <c r="H280" s="29" t="n"/>
      <c r="I280" s="32" t="n"/>
      <c r="J280" s="32" t="n"/>
      <c r="K280" s="29" t="n"/>
      <c r="L280" s="29" t="n"/>
      <c r="M280" s="31" t="n"/>
      <c r="N280" s="31" t="n"/>
      <c r="O280" s="29" t="n"/>
      <c r="P280" s="29" t="n"/>
    </row>
    <row r="281" ht="15" customHeight="1" s="22">
      <c r="A281" s="31" t="n"/>
      <c r="B281" s="29" t="n"/>
      <c r="C281" s="29" t="n"/>
      <c r="D281" s="29" t="n"/>
      <c r="E281" s="29" t="n"/>
      <c r="F281" s="29" t="n"/>
      <c r="G281" s="29" t="n"/>
      <c r="H281" s="29" t="n"/>
      <c r="I281" s="32" t="n"/>
      <c r="J281" s="32" t="n"/>
      <c r="K281" s="29" t="n"/>
      <c r="L281" s="29" t="n"/>
      <c r="M281" s="31" t="n"/>
      <c r="N281" s="31" t="n"/>
      <c r="O281" s="29" t="n"/>
      <c r="P281" s="29" t="n"/>
    </row>
    <row r="282" ht="15" customHeight="1" s="22">
      <c r="A282" s="31" t="n"/>
      <c r="B282" s="29" t="n"/>
      <c r="C282" s="29" t="n"/>
      <c r="D282" s="29" t="n"/>
      <c r="E282" s="29" t="n"/>
      <c r="F282" s="29" t="n"/>
      <c r="G282" s="29" t="n"/>
      <c r="H282" s="29" t="n"/>
      <c r="I282" s="32" t="n"/>
      <c r="J282" s="32" t="n"/>
      <c r="K282" s="29" t="n"/>
      <c r="L282" s="29" t="n"/>
      <c r="M282" s="31" t="n"/>
      <c r="N282" s="31" t="n"/>
      <c r="O282" s="29" t="n"/>
      <c r="P282" s="29" t="n"/>
    </row>
    <row r="283" ht="15" customHeight="1" s="22">
      <c r="A283" s="31" t="n"/>
      <c r="B283" s="29" t="n"/>
      <c r="C283" s="29" t="n"/>
      <c r="D283" s="29" t="n"/>
      <c r="E283" s="29" t="n"/>
      <c r="F283" s="29" t="n"/>
      <c r="G283" s="29" t="n"/>
      <c r="H283" s="29" t="n"/>
      <c r="I283" s="32" t="n"/>
      <c r="J283" s="32" t="n"/>
      <c r="K283" s="29" t="n"/>
      <c r="L283" s="29" t="n"/>
      <c r="M283" s="31" t="n"/>
      <c r="N283" s="31" t="n"/>
      <c r="O283" s="29" t="n"/>
      <c r="P283" s="29" t="n"/>
    </row>
    <row r="284" ht="15" customHeight="1" s="22">
      <c r="A284" s="31" t="n"/>
      <c r="B284" s="29" t="n"/>
      <c r="C284" s="29" t="n"/>
      <c r="D284" s="29" t="n"/>
      <c r="E284" s="29" t="n"/>
      <c r="F284" s="29" t="n"/>
      <c r="G284" s="29" t="n"/>
      <c r="H284" s="29" t="n"/>
      <c r="I284" s="32" t="n"/>
      <c r="J284" s="32" t="n"/>
      <c r="K284" s="29" t="n"/>
      <c r="L284" s="29" t="n"/>
      <c r="M284" s="31" t="n"/>
      <c r="N284" s="31" t="n"/>
      <c r="O284" s="29" t="n"/>
      <c r="P284" s="29" t="n"/>
    </row>
    <row r="285" ht="15" customHeight="1" s="22">
      <c r="A285" s="31" t="n"/>
      <c r="B285" s="29" t="n"/>
      <c r="C285" s="29" t="n"/>
      <c r="D285" s="29" t="n"/>
      <c r="E285" s="29" t="n"/>
      <c r="F285" s="29" t="n"/>
      <c r="G285" s="29" t="n"/>
      <c r="H285" s="29" t="n"/>
      <c r="I285" s="32" t="n"/>
      <c r="J285" s="32" t="n"/>
      <c r="K285" s="29" t="n"/>
      <c r="L285" s="29" t="n"/>
      <c r="M285" s="31" t="n"/>
      <c r="N285" s="31" t="n"/>
      <c r="O285" s="29" t="n"/>
      <c r="P285" s="29" t="n"/>
    </row>
    <row r="286" ht="15" customHeight="1" s="22">
      <c r="A286" s="31" t="n"/>
      <c r="B286" s="29" t="n"/>
      <c r="C286" s="29" t="n"/>
      <c r="D286" s="29" t="n"/>
      <c r="E286" s="29" t="n"/>
      <c r="F286" s="29" t="n"/>
      <c r="G286" s="29" t="n"/>
      <c r="H286" s="29" t="n"/>
      <c r="I286" s="32" t="n"/>
      <c r="J286" s="32" t="n"/>
      <c r="K286" s="29" t="n"/>
      <c r="L286" s="29" t="n"/>
      <c r="M286" s="31" t="n"/>
      <c r="N286" s="31" t="n"/>
      <c r="O286" s="29" t="n"/>
      <c r="P286" s="29" t="n"/>
    </row>
    <row r="287" ht="15" customHeight="1" s="22">
      <c r="A287" s="31" t="n"/>
      <c r="B287" s="29" t="n"/>
      <c r="C287" s="29" t="n"/>
      <c r="D287" s="29" t="n"/>
      <c r="E287" s="29" t="n"/>
      <c r="F287" s="29" t="n"/>
      <c r="G287" s="29" t="n"/>
      <c r="H287" s="29" t="n"/>
      <c r="I287" s="32" t="n"/>
      <c r="J287" s="32" t="n"/>
      <c r="K287" s="29" t="n"/>
      <c r="L287" s="29" t="n"/>
      <c r="M287" s="31" t="n"/>
      <c r="N287" s="31" t="n"/>
      <c r="O287" s="29" t="n"/>
      <c r="P287" s="29" t="n"/>
    </row>
    <row r="288" ht="15" customHeight="1" s="22">
      <c r="A288" s="31" t="n"/>
      <c r="B288" s="29" t="n"/>
      <c r="C288" s="29" t="n"/>
      <c r="D288" s="29" t="n"/>
      <c r="E288" s="29" t="n"/>
      <c r="F288" s="29" t="n"/>
      <c r="G288" s="29" t="n"/>
      <c r="H288" s="29" t="n"/>
      <c r="I288" s="32" t="n"/>
      <c r="J288" s="32" t="n"/>
      <c r="K288" s="29" t="n"/>
      <c r="L288" s="29" t="n"/>
      <c r="M288" s="31" t="n"/>
      <c r="N288" s="31" t="n"/>
      <c r="O288" s="29" t="n"/>
      <c r="P288" s="29" t="n"/>
    </row>
    <row r="289" ht="15" customHeight="1" s="22">
      <c r="A289" s="31" t="n"/>
      <c r="B289" s="29" t="n"/>
      <c r="C289" s="29" t="n"/>
      <c r="D289" s="29" t="n"/>
      <c r="E289" s="29" t="n"/>
      <c r="F289" s="29" t="n"/>
      <c r="G289" s="29" t="n"/>
      <c r="H289" s="29" t="n"/>
      <c r="I289" s="32" t="n"/>
      <c r="J289" s="32" t="n"/>
      <c r="K289" s="29" t="n"/>
      <c r="L289" s="29" t="n"/>
      <c r="M289" s="31" t="n"/>
      <c r="N289" s="31" t="n"/>
      <c r="O289" s="29" t="n"/>
      <c r="P289" s="29" t="n"/>
    </row>
    <row r="290" ht="15" customHeight="1" s="22">
      <c r="A290" s="31" t="n"/>
      <c r="B290" s="29" t="n"/>
      <c r="C290" s="29" t="n"/>
      <c r="D290" s="29" t="n"/>
      <c r="E290" s="29" t="n"/>
      <c r="F290" s="29" t="n"/>
      <c r="G290" s="29" t="n"/>
      <c r="H290" s="29" t="n"/>
      <c r="I290" s="32" t="n"/>
      <c r="J290" s="32" t="n"/>
      <c r="K290" s="29" t="n"/>
      <c r="L290" s="29" t="n"/>
      <c r="M290" s="31" t="n"/>
      <c r="N290" s="31" t="n"/>
      <c r="O290" s="29" t="n"/>
      <c r="P290" s="29" t="n"/>
    </row>
    <row r="291" ht="15" customHeight="1" s="22">
      <c r="A291" s="31" t="n"/>
      <c r="B291" s="29" t="n"/>
      <c r="C291" s="29" t="n"/>
      <c r="D291" s="29" t="n"/>
      <c r="E291" s="29" t="n"/>
      <c r="F291" s="29" t="n"/>
      <c r="G291" s="29" t="n"/>
      <c r="H291" s="29" t="n"/>
      <c r="I291" s="32" t="n"/>
      <c r="J291" s="32" t="n"/>
      <c r="K291" s="29" t="n"/>
      <c r="L291" s="29" t="n"/>
      <c r="M291" s="31" t="n"/>
      <c r="N291" s="31" t="n"/>
      <c r="O291" s="29" t="n"/>
      <c r="P291" s="29" t="n"/>
    </row>
    <row r="292" ht="15" customHeight="1" s="22">
      <c r="A292" s="31" t="n"/>
      <c r="B292" s="29" t="n"/>
      <c r="C292" s="29" t="n"/>
      <c r="D292" s="29" t="n"/>
      <c r="E292" s="29" t="n"/>
      <c r="F292" s="29" t="n"/>
      <c r="G292" s="29" t="n"/>
      <c r="H292" s="29" t="n"/>
      <c r="I292" s="32" t="n"/>
      <c r="J292" s="32" t="n"/>
      <c r="K292" s="29" t="n"/>
      <c r="L292" s="29" t="n"/>
      <c r="M292" s="31" t="n"/>
      <c r="N292" s="31" t="n"/>
      <c r="O292" s="29" t="n"/>
      <c r="P292" s="29" t="n"/>
    </row>
    <row r="293" ht="15" customHeight="1" s="22">
      <c r="A293" s="31" t="n"/>
      <c r="B293" s="29" t="n"/>
      <c r="C293" s="29" t="n"/>
      <c r="D293" s="29" t="n"/>
      <c r="E293" s="29" t="n"/>
      <c r="F293" s="29" t="n"/>
      <c r="G293" s="29" t="n"/>
      <c r="H293" s="29" t="n"/>
      <c r="I293" s="32" t="n"/>
      <c r="J293" s="32" t="n"/>
      <c r="K293" s="29" t="n"/>
      <c r="L293" s="29" t="n"/>
      <c r="M293" s="31" t="n"/>
      <c r="N293" s="31" t="n"/>
      <c r="O293" s="29" t="n"/>
      <c r="P293" s="29" t="n"/>
    </row>
    <row r="294" ht="15" customHeight="1" s="22">
      <c r="A294" s="31" t="n"/>
      <c r="B294" s="29" t="n"/>
      <c r="C294" s="29" t="n"/>
      <c r="D294" s="29" t="n"/>
      <c r="E294" s="29" t="n"/>
      <c r="F294" s="29" t="n"/>
      <c r="G294" s="29" t="n"/>
      <c r="H294" s="29" t="n"/>
      <c r="I294" s="32" t="n"/>
      <c r="J294" s="32" t="n"/>
      <c r="K294" s="29" t="n"/>
      <c r="L294" s="29" t="n"/>
      <c r="M294" s="31" t="n"/>
      <c r="N294" s="31" t="n"/>
      <c r="O294" s="29" t="n"/>
      <c r="P294" s="29" t="n"/>
    </row>
    <row r="295" ht="15" customHeight="1" s="22">
      <c r="A295" s="31" t="n"/>
      <c r="B295" s="29" t="n"/>
      <c r="C295" s="29" t="n"/>
      <c r="D295" s="29" t="n"/>
      <c r="E295" s="29" t="n"/>
      <c r="F295" s="29" t="n"/>
      <c r="G295" s="29" t="n"/>
      <c r="H295" s="29" t="n"/>
      <c r="I295" s="32" t="n"/>
      <c r="J295" s="32" t="n"/>
      <c r="K295" s="29" t="n"/>
      <c r="L295" s="29" t="n"/>
      <c r="M295" s="31" t="n"/>
      <c r="N295" s="31" t="n"/>
      <c r="O295" s="29" t="n"/>
      <c r="P295" s="29" t="n"/>
    </row>
    <row r="296" ht="15" customHeight="1" s="22">
      <c r="A296" s="31" t="n"/>
      <c r="B296" s="29" t="n"/>
      <c r="C296" s="29" t="n"/>
      <c r="D296" s="29" t="n"/>
      <c r="E296" s="29" t="n"/>
      <c r="F296" s="29" t="n"/>
      <c r="G296" s="29" t="n"/>
      <c r="H296" s="29" t="n"/>
      <c r="I296" s="32" t="n"/>
      <c r="J296" s="32" t="n"/>
      <c r="K296" s="29" t="n"/>
      <c r="L296" s="29" t="n"/>
      <c r="M296" s="31" t="n"/>
      <c r="N296" s="31" t="n"/>
      <c r="O296" s="29" t="n"/>
      <c r="P296" s="29" t="n"/>
    </row>
    <row r="297" ht="15" customHeight="1" s="22">
      <c r="A297" s="31" t="n"/>
      <c r="B297" s="29" t="n"/>
      <c r="C297" s="29" t="n"/>
      <c r="D297" s="29" t="n"/>
      <c r="E297" s="29" t="n"/>
      <c r="F297" s="29" t="n"/>
      <c r="G297" s="29" t="n"/>
      <c r="H297" s="29" t="n"/>
      <c r="I297" s="32" t="n"/>
      <c r="J297" s="32" t="n"/>
      <c r="K297" s="29" t="n"/>
      <c r="L297" s="29" t="n"/>
      <c r="M297" s="31" t="n"/>
      <c r="N297" s="31" t="n"/>
      <c r="O297" s="29" t="n"/>
      <c r="P297" s="29" t="n"/>
    </row>
    <row r="298" ht="15" customHeight="1" s="22">
      <c r="A298" s="31" t="n"/>
      <c r="B298" s="29" t="n"/>
      <c r="C298" s="29" t="n"/>
      <c r="D298" s="29" t="n"/>
      <c r="E298" s="29" t="n"/>
      <c r="F298" s="29" t="n"/>
      <c r="G298" s="29" t="n"/>
      <c r="H298" s="29" t="n"/>
      <c r="I298" s="32" t="n"/>
      <c r="J298" s="32" t="n"/>
      <c r="K298" s="29" t="n"/>
      <c r="L298" s="29" t="n"/>
      <c r="M298" s="31" t="n"/>
      <c r="N298" s="31" t="n"/>
      <c r="O298" s="29" t="n"/>
      <c r="P298" s="29" t="n"/>
    </row>
    <row r="299" ht="15" customHeight="1" s="22">
      <c r="A299" s="31" t="n"/>
      <c r="B299" s="29" t="n"/>
      <c r="C299" s="29" t="n"/>
      <c r="D299" s="29" t="n"/>
      <c r="E299" s="29" t="n"/>
      <c r="F299" s="29" t="n"/>
      <c r="G299" s="29" t="n"/>
      <c r="H299" s="29" t="n"/>
      <c r="I299" s="32" t="n"/>
      <c r="J299" s="32" t="n"/>
      <c r="K299" s="29" t="n"/>
      <c r="L299" s="29" t="n"/>
      <c r="M299" s="31" t="n"/>
      <c r="N299" s="31" t="n"/>
      <c r="O299" s="29" t="n"/>
      <c r="P299" s="29" t="n"/>
    </row>
    <row r="300" ht="15" customHeight="1" s="22">
      <c r="A300" s="31" t="n"/>
      <c r="B300" s="29" t="n"/>
      <c r="C300" s="29" t="n"/>
      <c r="D300" s="29" t="n"/>
      <c r="E300" s="29" t="n"/>
      <c r="F300" s="29" t="n"/>
      <c r="G300" s="29" t="n"/>
      <c r="H300" s="29" t="n"/>
      <c r="I300" s="32" t="n"/>
      <c r="J300" s="32" t="n"/>
      <c r="K300" s="29" t="n"/>
      <c r="L300" s="29" t="n"/>
      <c r="M300" s="31" t="n"/>
      <c r="N300" s="31" t="n"/>
      <c r="O300" s="29" t="n"/>
      <c r="P300" s="29" t="n"/>
    </row>
  </sheetData>
  <autoFilter ref="A2:P300"/>
  <mergeCells count="1">
    <mergeCell ref="A1:O1"/>
  </mergeCells>
  <dataValidations count="3">
    <dataValidation sqref="B3:B300" showDropDown="0" showInputMessage="0" showErrorMessage="0" allowBlank="1" type="list" errorStyle="stop" operator="between">
      <formula1>"Recette,Depense"</formula1>
      <formula2>0</formula2>
    </dataValidation>
    <dataValidation sqref="C3:C300" showDropDown="0" showInputMessage="0" showErrorMessage="0" allowBlank="1" type="list" errorStyle="stop" operator="between">
      <formula1>INDIRECT($B3)</formula1>
      <formula2>0</formula2>
    </dataValidation>
    <dataValidation sqref="L3:L300" showDropDown="0" showInputMessage="0" showErrorMessage="0" allowBlank="1" type="list" errorStyle="stop" operator="between">
      <formula1>"Previsionnel,Realise"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5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30" customWidth="1" style="21" min="1" max="1"/>
    <col width="14" customWidth="1" style="21" min="2" max="2"/>
    <col width="27" customWidth="1" style="21" min="3" max="4"/>
  </cols>
  <sheetData>
    <row r="1" ht="30" customHeight="1" s="22">
      <c r="A1" s="23" t="inlineStr">
        <is>
          <t>COMPTES ET CAISSES — SOLDES</t>
        </is>
      </c>
    </row>
    <row r="2" ht="31.5" customHeight="1" s="22">
      <c r="A2" s="28" t="inlineStr">
        <is>
          <t>Nom du compte / caisse (*)</t>
        </is>
      </c>
      <c r="B2" s="28" t="inlineStr">
        <is>
          <t>Type (*)</t>
        </is>
      </c>
      <c r="C2" s="28" t="inlineStr">
        <is>
          <t>Solde initial (KMF) (*)</t>
        </is>
      </c>
      <c r="D2" s="28" t="inlineStr">
        <is>
          <t>Solde courant (KMF) (*)</t>
        </is>
      </c>
    </row>
    <row r="3" ht="15" customHeight="1" s="22">
      <c r="A3" s="29" t="inlineStr">
        <is>
          <t>Compte bancaire UDC-EMSP-ODS (BIC-Comores)</t>
        </is>
      </c>
      <c r="B3" s="29" t="inlineStr">
        <is>
          <t>Banque</t>
        </is>
      </c>
      <c r="C3" s="32" t="n"/>
      <c r="D3" s="32">
        <f>IF(A3="","",C3+SUMIF(F1_Mouvements!$F$3:$F$50000,A3,F1_Mouvements!$I$3:$I$50000)-SUMIF(F1_Mouvements!$F$3:$F$50000,A3,F1_Mouvements!$J$3:$J$50000))</f>
        <v/>
      </c>
    </row>
    <row r="4" ht="15" customHeight="1" s="22">
      <c r="A4" s="29" t="inlineStr">
        <is>
          <t>Caisse EMSP</t>
        </is>
      </c>
      <c r="B4" s="29" t="inlineStr">
        <is>
          <t>Caisse</t>
        </is>
      </c>
      <c r="C4" s="32" t="n"/>
      <c r="D4" s="32">
        <f>IF(A4="","",C4+SUMIF(F1_Mouvements!$F$3:$F$50000,A4,F1_Mouvements!$I$3:$I$50000)-SUMIF(F1_Mouvements!$F$3:$F$50000,A4,F1_Mouvements!$J$3:$J$50000))</f>
        <v/>
      </c>
    </row>
    <row r="5" ht="15" customHeight="1" s="22">
      <c r="A5" s="29" t="n"/>
      <c r="B5" s="29" t="n"/>
      <c r="C5" s="32" t="n"/>
      <c r="D5" s="32">
        <f>IF(A5="","",C5+SUMIF(F1_Mouvements!$F$3:$F$50000,A5,F1_Mouvements!$I$3:$I$50000)-SUMIF(F1_Mouvements!$F$3:$F$50000,A5,F1_Mouvements!$J$3:$J$50000))</f>
        <v/>
      </c>
    </row>
    <row r="6" ht="15" customHeight="1" s="22">
      <c r="A6" s="29" t="n"/>
      <c r="B6" s="29" t="n"/>
      <c r="C6" s="32" t="n"/>
      <c r="D6" s="32">
        <f>IF(A6="","",C6+SUMIF(F1_Mouvements!$F$3:$F$50000,A6,F1_Mouvements!$I$3:$I$50000)-SUMIF(F1_Mouvements!$F$3:$F$50000,A6,F1_Mouvements!$J$3:$J$50000))</f>
        <v/>
      </c>
    </row>
    <row r="7" ht="15" customHeight="1" s="22">
      <c r="A7" s="29" t="n"/>
      <c r="B7" s="29" t="n"/>
      <c r="C7" s="32" t="n"/>
      <c r="D7" s="32">
        <f>IF(A7="","",C7+SUMIF(F1_Mouvements!$F$3:$F$50000,A7,F1_Mouvements!$I$3:$I$50000)-SUMIF(F1_Mouvements!$F$3:$F$50000,A7,F1_Mouvements!$J$3:$J$50000))</f>
        <v/>
      </c>
    </row>
    <row r="8" ht="15" customHeight="1" s="22">
      <c r="A8" s="29" t="n"/>
      <c r="B8" s="29" t="n"/>
      <c r="C8" s="32" t="n"/>
      <c r="D8" s="32">
        <f>IF(A8="","",C8+SUMIF(F1_Mouvements!$F$3:$F$50000,A8,F1_Mouvements!$I$3:$I$50000)-SUMIF(F1_Mouvements!$F$3:$F$50000,A8,F1_Mouvements!$J$3:$J$50000))</f>
        <v/>
      </c>
    </row>
    <row r="9" ht="15" customHeight="1" s="22">
      <c r="A9" s="29" t="n"/>
      <c r="B9" s="29" t="n"/>
      <c r="C9" s="32" t="n"/>
      <c r="D9" s="32">
        <f>IF(A9="","",C9+SUMIF(F1_Mouvements!$F$3:$F$50000,A9,F1_Mouvements!$I$3:$I$50000)-SUMIF(F1_Mouvements!$F$3:$F$50000,A9,F1_Mouvements!$J$3:$J$50000))</f>
        <v/>
      </c>
    </row>
    <row r="10" ht="15" customHeight="1" s="22">
      <c r="A10" s="29" t="n"/>
      <c r="B10" s="29" t="n"/>
      <c r="C10" s="32" t="n"/>
      <c r="D10" s="32">
        <f>IF(A10="","",C10+SUMIF(F1_Mouvements!$F$3:$F$50000,A10,F1_Mouvements!$I$3:$I$50000)-SUMIF(F1_Mouvements!$F$3:$F$50000,A10,F1_Mouvements!$J$3:$J$50000))</f>
        <v/>
      </c>
    </row>
    <row r="11" ht="15" customHeight="1" s="22">
      <c r="A11" s="29" t="n"/>
      <c r="B11" s="29" t="n"/>
      <c r="C11" s="32" t="n"/>
      <c r="D11" s="32">
        <f>IF(A11="","",C11+SUMIF(F1_Mouvements!$F$3:$F$50000,A11,F1_Mouvements!$I$3:$I$50000)-SUMIF(F1_Mouvements!$F$3:$F$50000,A11,F1_Mouvements!$J$3:$J$50000))</f>
        <v/>
      </c>
    </row>
    <row r="12" ht="15" customHeight="1" s="22">
      <c r="A12" s="29" t="n"/>
      <c r="B12" s="29" t="n"/>
      <c r="C12" s="32" t="n"/>
      <c r="D12" s="32">
        <f>IF(A12="","",C12+SUMIF(F1_Mouvements!$F$3:$F$50000,A12,F1_Mouvements!$I$3:$I$50000)-SUMIF(F1_Mouvements!$F$3:$F$50000,A12,F1_Mouvements!$J$3:$J$50000))</f>
        <v/>
      </c>
    </row>
    <row r="13" ht="15" customHeight="1" s="22">
      <c r="A13" s="29" t="n"/>
      <c r="B13" s="29" t="n"/>
      <c r="C13" s="32" t="n"/>
      <c r="D13" s="32">
        <f>IF(A13="","",C13+SUMIF(F1_Mouvements!$F$3:$F$50000,A13,F1_Mouvements!$I$3:$I$50000)-SUMIF(F1_Mouvements!$F$3:$F$50000,A13,F1_Mouvements!$J$3:$J$50000))</f>
        <v/>
      </c>
    </row>
    <row r="14" ht="15" customHeight="1" s="22">
      <c r="A14" s="29" t="n"/>
      <c r="B14" s="29" t="n"/>
      <c r="C14" s="32" t="n"/>
      <c r="D14" s="32">
        <f>IF(A14="","",C14+SUMIF(F1_Mouvements!$F$3:$F$50000,A14,F1_Mouvements!$I$3:$I$50000)-SUMIF(F1_Mouvements!$F$3:$F$50000,A14,F1_Mouvements!$J$3:$J$50000))</f>
        <v/>
      </c>
    </row>
    <row r="15" ht="15" customHeight="1" s="22">
      <c r="A15" s="29" t="n"/>
      <c r="B15" s="29" t="n"/>
      <c r="C15" s="32" t="n"/>
      <c r="D15" s="32">
        <f>IF(A15="","",C15+SUMIF(F1_Mouvements!$F$3:$F$50000,A15,F1_Mouvements!$I$3:$I$50000)-SUMIF(F1_Mouvements!$F$3:$F$50000,A15,F1_Mouvements!$J$3:$J$50000))</f>
        <v/>
      </c>
    </row>
    <row r="16" ht="15" customHeight="1" s="22">
      <c r="A16" s="29" t="n"/>
      <c r="B16" s="29" t="n"/>
      <c r="C16" s="32" t="n"/>
      <c r="D16" s="32">
        <f>IF(A16="","",C16+SUMIF(F1_Mouvements!$F$3:$F$50000,A16,F1_Mouvements!$I$3:$I$50000)-SUMIF(F1_Mouvements!$F$3:$F$50000,A16,F1_Mouvements!$J$3:$J$50000))</f>
        <v/>
      </c>
    </row>
    <row r="17" ht="15" customHeight="1" s="22">
      <c r="A17" s="29" t="n"/>
      <c r="B17" s="29" t="n"/>
      <c r="C17" s="32" t="n"/>
      <c r="D17" s="32">
        <f>IF(A17="","",C17+SUMIF(F1_Mouvements!$F$3:$F$50000,A17,F1_Mouvements!$I$3:$I$50000)-SUMIF(F1_Mouvements!$F$3:$F$50000,A17,F1_Mouvements!$J$3:$J$50000))</f>
        <v/>
      </c>
    </row>
    <row r="18" ht="15" customHeight="1" s="22">
      <c r="A18" s="29" t="n"/>
      <c r="B18" s="29" t="n"/>
      <c r="C18" s="32" t="n"/>
      <c r="D18" s="32">
        <f>IF(A18="","",C18+SUMIF(F1_Mouvements!$F$3:$F$50000,A18,F1_Mouvements!$I$3:$I$50000)-SUMIF(F1_Mouvements!$F$3:$F$50000,A18,F1_Mouvements!$J$3:$J$50000))</f>
        <v/>
      </c>
    </row>
    <row r="19" ht="15" customHeight="1" s="22">
      <c r="A19" s="29" t="n"/>
      <c r="B19" s="29" t="n"/>
      <c r="C19" s="32" t="n"/>
      <c r="D19" s="32">
        <f>IF(A19="","",C19+SUMIF(F1_Mouvements!$F$3:$F$50000,A19,F1_Mouvements!$I$3:$I$50000)-SUMIF(F1_Mouvements!$F$3:$F$50000,A19,F1_Mouvements!$J$3:$J$50000))</f>
        <v/>
      </c>
    </row>
    <row r="20" ht="15" customHeight="1" s="22">
      <c r="A20" s="29" t="n"/>
      <c r="B20" s="29" t="n"/>
      <c r="C20" s="32" t="n"/>
      <c r="D20" s="32">
        <f>IF(A20="","",C20+SUMIF(F1_Mouvements!$F$3:$F$50000,A20,F1_Mouvements!$I$3:$I$50000)-SUMIF(F1_Mouvements!$F$3:$F$50000,A20,F1_Mouvements!$J$3:$J$50000))</f>
        <v/>
      </c>
    </row>
    <row r="21" ht="15" customHeight="1" s="22">
      <c r="A21" s="29" t="n"/>
      <c r="B21" s="29" t="n"/>
      <c r="C21" s="32" t="n"/>
      <c r="D21" s="32">
        <f>IF(A21="","",C21+SUMIF(F1_Mouvements!$F$3:$F$50000,A21,F1_Mouvements!$I$3:$I$50000)-SUMIF(F1_Mouvements!$F$3:$F$50000,A21,F1_Mouvements!$J$3:$J$50000))</f>
        <v/>
      </c>
    </row>
    <row r="22" ht="15" customHeight="1" s="22">
      <c r="A22" s="29" t="n"/>
      <c r="B22" s="29" t="n"/>
      <c r="C22" s="32" t="n"/>
      <c r="D22" s="32">
        <f>IF(A22="","",C22+SUMIF(F1_Mouvements!$F$3:$F$50000,A22,F1_Mouvements!$I$3:$I$50000)-SUMIF(F1_Mouvements!$F$3:$F$50000,A22,F1_Mouvements!$J$3:$J$50000))</f>
        <v/>
      </c>
    </row>
    <row r="23" ht="15" customHeight="1" s="22">
      <c r="A23" s="29" t="n"/>
      <c r="B23" s="29" t="n"/>
      <c r="C23" s="32" t="n"/>
      <c r="D23" s="32">
        <f>IF(A23="","",C23+SUMIF(F1_Mouvements!$F$3:$F$50000,A23,F1_Mouvements!$I$3:$I$50000)-SUMIF(F1_Mouvements!$F$3:$F$50000,A23,F1_Mouvements!$J$3:$J$50000))</f>
        <v/>
      </c>
    </row>
    <row r="24" ht="15" customHeight="1" s="22">
      <c r="A24" s="29" t="n"/>
      <c r="B24" s="29" t="n"/>
      <c r="C24" s="32" t="n"/>
      <c r="D24" s="32">
        <f>IF(A24="","",C24+SUMIF(F1_Mouvements!$F$3:$F$50000,A24,F1_Mouvements!$I$3:$I$50000)-SUMIF(F1_Mouvements!$F$3:$F$50000,A24,F1_Mouvements!$J$3:$J$50000))</f>
        <v/>
      </c>
    </row>
    <row r="25" ht="15" customHeight="1" s="22">
      <c r="A25" s="29" t="n"/>
      <c r="B25" s="29" t="n"/>
      <c r="C25" s="32" t="n"/>
      <c r="D25" s="32">
        <f>IF(A25="","",C25+SUMIF(F1_Mouvements!$F$3:$F$50000,A25,F1_Mouvements!$I$3:$I$50000)-SUMIF(F1_Mouvements!$F$3:$F$50000,A25,F1_Mouvements!$J$3:$J$50000))</f>
        <v/>
      </c>
    </row>
    <row r="26" ht="15" customHeight="1" s="22">
      <c r="A26" s="29" t="n"/>
      <c r="B26" s="29" t="n"/>
      <c r="C26" s="32" t="n"/>
      <c r="D26" s="32">
        <f>IF(A26="","",C26+SUMIF(F1_Mouvements!$F$3:$F$50000,A26,F1_Mouvements!$I$3:$I$50000)-SUMIF(F1_Mouvements!$F$3:$F$50000,A26,F1_Mouvements!$J$3:$J$50000))</f>
        <v/>
      </c>
    </row>
    <row r="27" ht="15" customHeight="1" s="22">
      <c r="A27" s="29" t="n"/>
      <c r="B27" s="29" t="n"/>
      <c r="C27" s="32" t="n"/>
      <c r="D27" s="32">
        <f>IF(A27="","",C27+SUMIF(F1_Mouvements!$F$3:$F$50000,A27,F1_Mouvements!$I$3:$I$50000)-SUMIF(F1_Mouvements!$F$3:$F$50000,A27,F1_Mouvements!$J$3:$J$50000))</f>
        <v/>
      </c>
    </row>
    <row r="28" ht="15" customHeight="1" s="22">
      <c r="A28" s="29" t="n"/>
      <c r="B28" s="29" t="n"/>
      <c r="C28" s="32" t="n"/>
      <c r="D28" s="32">
        <f>IF(A28="","",C28+SUMIF(F1_Mouvements!$F$3:$F$50000,A28,F1_Mouvements!$I$3:$I$50000)-SUMIF(F1_Mouvements!$F$3:$F$50000,A28,F1_Mouvements!$J$3:$J$50000))</f>
        <v/>
      </c>
    </row>
    <row r="29" ht="15" customHeight="1" s="22">
      <c r="A29" s="29" t="n"/>
      <c r="B29" s="29" t="n"/>
      <c r="C29" s="32" t="n"/>
      <c r="D29" s="32">
        <f>IF(A29="","",C29+SUMIF(F1_Mouvements!$F$3:$F$50000,A29,F1_Mouvements!$I$3:$I$50000)-SUMIF(F1_Mouvements!$F$3:$F$50000,A29,F1_Mouvements!$J$3:$J$50000))</f>
        <v/>
      </c>
    </row>
    <row r="30" ht="15" customHeight="1" s="22">
      <c r="A30" s="29" t="n"/>
      <c r="B30" s="29" t="n"/>
      <c r="C30" s="32" t="n"/>
      <c r="D30" s="32">
        <f>IF(A30="","",C30+SUMIF(F1_Mouvements!$F$3:$F$50000,A30,F1_Mouvements!$I$3:$I$50000)-SUMIF(F1_Mouvements!$F$3:$F$50000,A30,F1_Mouvements!$J$3:$J$50000))</f>
        <v/>
      </c>
    </row>
    <row r="31" ht="15" customHeight="1" s="22">
      <c r="A31" s="29" t="n"/>
      <c r="B31" s="29" t="n"/>
      <c r="C31" s="32" t="n"/>
      <c r="D31" s="32">
        <f>IF(A31="","",C31+SUMIF(F1_Mouvements!$F$3:$F$50000,A31,F1_Mouvements!$I$3:$I$50000)-SUMIF(F1_Mouvements!$F$3:$F$50000,A31,F1_Mouvements!$J$3:$J$50000))</f>
        <v/>
      </c>
    </row>
    <row r="32" ht="15" customHeight="1" s="22">
      <c r="A32" s="29" t="n"/>
      <c r="B32" s="29" t="n"/>
      <c r="C32" s="32" t="n"/>
      <c r="D32" s="32">
        <f>IF(A32="","",C32+SUMIF(F1_Mouvements!$F$3:$F$50000,A32,F1_Mouvements!$I$3:$I$50000)-SUMIF(F1_Mouvements!$F$3:$F$50000,A32,F1_Mouvements!$J$3:$J$50000))</f>
        <v/>
      </c>
    </row>
    <row r="33" ht="15" customHeight="1" s="22">
      <c r="A33" s="29" t="n"/>
      <c r="B33" s="29" t="n"/>
      <c r="C33" s="32" t="n"/>
      <c r="D33" s="32">
        <f>IF(A33="","",C33+SUMIF(F1_Mouvements!$F$3:$F$50000,A33,F1_Mouvements!$I$3:$I$50000)-SUMIF(F1_Mouvements!$F$3:$F$50000,A33,F1_Mouvements!$J$3:$J$50000))</f>
        <v/>
      </c>
    </row>
    <row r="34" ht="15" customHeight="1" s="22">
      <c r="A34" s="29" t="n"/>
      <c r="B34" s="29" t="n"/>
      <c r="C34" s="32" t="n"/>
      <c r="D34" s="32">
        <f>IF(A34="","",C34+SUMIF(F1_Mouvements!$F$3:$F$50000,A34,F1_Mouvements!$I$3:$I$50000)-SUMIF(F1_Mouvements!$F$3:$F$50000,A34,F1_Mouvements!$J$3:$J$50000))</f>
        <v/>
      </c>
    </row>
    <row r="35" ht="15" customHeight="1" s="22">
      <c r="A35" s="29" t="n"/>
      <c r="B35" s="29" t="n"/>
      <c r="C35" s="32" t="n"/>
      <c r="D35" s="32">
        <f>IF(A35="","",C35+SUMIF(F1_Mouvements!$F$3:$F$50000,A35,F1_Mouvements!$I$3:$I$50000)-SUMIF(F1_Mouvements!$F$3:$F$50000,A35,F1_Mouvements!$J$3:$J$50000))</f>
        <v/>
      </c>
    </row>
    <row r="36" ht="15" customHeight="1" s="22">
      <c r="A36" s="29" t="n"/>
      <c r="B36" s="29" t="n"/>
      <c r="C36" s="32" t="n"/>
      <c r="D36" s="32">
        <f>IF(A36="","",C36+SUMIF(F1_Mouvements!$F$3:$F$50000,A36,F1_Mouvements!$I$3:$I$50000)-SUMIF(F1_Mouvements!$F$3:$F$50000,A36,F1_Mouvements!$J$3:$J$50000))</f>
        <v/>
      </c>
    </row>
    <row r="37" ht="15" customHeight="1" s="22">
      <c r="A37" s="29" t="n"/>
      <c r="B37" s="29" t="n"/>
      <c r="C37" s="32" t="n"/>
      <c r="D37" s="32">
        <f>IF(A37="","",C37+SUMIF(F1_Mouvements!$F$3:$F$50000,A37,F1_Mouvements!$I$3:$I$50000)-SUMIF(F1_Mouvements!$F$3:$F$50000,A37,F1_Mouvements!$J$3:$J$50000))</f>
        <v/>
      </c>
    </row>
    <row r="38" ht="15" customHeight="1" s="22">
      <c r="A38" s="29" t="n"/>
      <c r="B38" s="29" t="n"/>
      <c r="C38" s="32" t="n"/>
      <c r="D38" s="32">
        <f>IF(A38="","",C38+SUMIF(F1_Mouvements!$F$3:$F$50000,A38,F1_Mouvements!$I$3:$I$50000)-SUMIF(F1_Mouvements!$F$3:$F$50000,A38,F1_Mouvements!$J$3:$J$50000))</f>
        <v/>
      </c>
    </row>
    <row r="39" ht="15" customHeight="1" s="22">
      <c r="A39" s="29" t="n"/>
      <c r="B39" s="29" t="n"/>
      <c r="C39" s="32" t="n"/>
      <c r="D39" s="32">
        <f>IF(A39="","",C39+SUMIF(F1_Mouvements!$F$3:$F$50000,A39,F1_Mouvements!$I$3:$I$50000)-SUMIF(F1_Mouvements!$F$3:$F$50000,A39,F1_Mouvements!$J$3:$J$50000))</f>
        <v/>
      </c>
    </row>
    <row r="40" ht="15" customHeight="1" s="22">
      <c r="A40" s="29" t="n"/>
      <c r="B40" s="29" t="n"/>
      <c r="C40" s="32" t="n"/>
      <c r="D40" s="32">
        <f>IF(A40="","",C40+SUMIF(F1_Mouvements!$F$3:$F$50000,A40,F1_Mouvements!$I$3:$I$50000)-SUMIF(F1_Mouvements!$F$3:$F$50000,A40,F1_Mouvements!$J$3:$J$50000))</f>
        <v/>
      </c>
    </row>
    <row r="41" ht="15" customHeight="1" s="22">
      <c r="A41" s="29" t="n"/>
      <c r="B41" s="29" t="n"/>
      <c r="C41" s="32" t="n"/>
      <c r="D41" s="32">
        <f>IF(A41="","",C41+SUMIF(F1_Mouvements!$F$3:$F$50000,A41,F1_Mouvements!$I$3:$I$50000)-SUMIF(F1_Mouvements!$F$3:$F$50000,A41,F1_Mouvements!$J$3:$J$50000))</f>
        <v/>
      </c>
    </row>
    <row r="42" ht="15" customHeight="1" s="22">
      <c r="A42" s="29" t="n"/>
      <c r="B42" s="29" t="n"/>
      <c r="C42" s="32" t="n"/>
      <c r="D42" s="32">
        <f>IF(A42="","",C42+SUMIF(F1_Mouvements!$F$3:$F$50000,A42,F1_Mouvements!$I$3:$I$50000)-SUMIF(F1_Mouvements!$F$3:$F$50000,A42,F1_Mouvements!$J$3:$J$50000))</f>
        <v/>
      </c>
    </row>
    <row r="43" ht="15" customHeight="1" s="22">
      <c r="A43" s="29" t="n"/>
      <c r="B43" s="29" t="n"/>
      <c r="C43" s="32" t="n"/>
      <c r="D43" s="32">
        <f>IF(A43="","",C43+SUMIF(F1_Mouvements!$F$3:$F$50000,A43,F1_Mouvements!$I$3:$I$50000)-SUMIF(F1_Mouvements!$F$3:$F$50000,A43,F1_Mouvements!$J$3:$J$50000))</f>
        <v/>
      </c>
    </row>
    <row r="44" ht="15" customHeight="1" s="22">
      <c r="A44" s="29" t="n"/>
      <c r="B44" s="29" t="n"/>
      <c r="C44" s="32" t="n"/>
      <c r="D44" s="32">
        <f>IF(A44="","",C44+SUMIF(F1_Mouvements!$F$3:$F$50000,A44,F1_Mouvements!$I$3:$I$50000)-SUMIF(F1_Mouvements!$F$3:$F$50000,A44,F1_Mouvements!$J$3:$J$50000))</f>
        <v/>
      </c>
    </row>
    <row r="45" ht="15" customHeight="1" s="22">
      <c r="A45" s="29" t="n"/>
      <c r="B45" s="29" t="n"/>
      <c r="C45" s="32" t="n"/>
      <c r="D45" s="32">
        <f>IF(A45="","",C45+SUMIF(F1_Mouvements!$F$3:$F$50000,A45,F1_Mouvements!$I$3:$I$50000)-SUMIF(F1_Mouvements!$F$3:$F$50000,A45,F1_Mouvements!$J$3:$J$50000))</f>
        <v/>
      </c>
    </row>
    <row r="46" ht="15" customHeight="1" s="22">
      <c r="A46" s="29" t="n"/>
      <c r="B46" s="29" t="n"/>
      <c r="C46" s="32" t="n"/>
      <c r="D46" s="32">
        <f>IF(A46="","",C46+SUMIF(F1_Mouvements!$F$3:$F$50000,A46,F1_Mouvements!$I$3:$I$50000)-SUMIF(F1_Mouvements!$F$3:$F$50000,A46,F1_Mouvements!$J$3:$J$50000))</f>
        <v/>
      </c>
    </row>
    <row r="47" ht="15" customHeight="1" s="22">
      <c r="A47" s="29" t="n"/>
      <c r="B47" s="29" t="n"/>
      <c r="C47" s="32" t="n"/>
      <c r="D47" s="32">
        <f>IF(A47="","",C47+SUMIF(F1_Mouvements!$F$3:$F$50000,A47,F1_Mouvements!$I$3:$I$50000)-SUMIF(F1_Mouvements!$F$3:$F$50000,A47,F1_Mouvements!$J$3:$J$50000))</f>
        <v/>
      </c>
    </row>
    <row r="48" ht="15" customHeight="1" s="22">
      <c r="A48" s="29" t="n"/>
      <c r="B48" s="29" t="n"/>
      <c r="C48" s="32" t="n"/>
      <c r="D48" s="32">
        <f>IF(A48="","",C48+SUMIF(F1_Mouvements!$F$3:$F$50000,A48,F1_Mouvements!$I$3:$I$50000)-SUMIF(F1_Mouvements!$F$3:$F$50000,A48,F1_Mouvements!$J$3:$J$50000))</f>
        <v/>
      </c>
    </row>
    <row r="49" ht="15" customHeight="1" s="22">
      <c r="A49" s="29" t="n"/>
      <c r="B49" s="29" t="n"/>
      <c r="C49" s="32" t="n"/>
      <c r="D49" s="32">
        <f>IF(A49="","",C49+SUMIF(F1_Mouvements!$F$3:$F$50000,A49,F1_Mouvements!$I$3:$I$50000)-SUMIF(F1_Mouvements!$F$3:$F$50000,A49,F1_Mouvements!$J$3:$J$50000))</f>
        <v/>
      </c>
    </row>
    <row r="50" ht="15" customHeight="1" s="22">
      <c r="A50" s="29" t="n"/>
      <c r="B50" s="29" t="n"/>
      <c r="C50" s="32" t="n"/>
      <c r="D50" s="32">
        <f>IF(A50="","",C50+SUMIF(F1_Mouvements!$F$3:$F$50000,A50,F1_Mouvements!$I$3:$I$50000)-SUMIF(F1_Mouvements!$F$3:$F$50000,A50,F1_Mouvements!$J$3:$J$50000))</f>
        <v/>
      </c>
    </row>
    <row r="51" ht="15" customHeight="1" s="22">
      <c r="A51" s="29" t="n"/>
      <c r="B51" s="29" t="n"/>
      <c r="C51" s="32" t="n"/>
      <c r="D51" s="32">
        <f>IF(A51="","",C51+SUMIF(F1_Mouvements!$F$3:$F$50000,A51,F1_Mouvements!$I$3:$I$50000)-SUMIF(F1_Mouvements!$F$3:$F$50000,A51,F1_Mouvements!$J$3:$J$50000))</f>
        <v/>
      </c>
    </row>
  </sheetData>
  <autoFilter ref="A2:D51"/>
  <mergeCells count="1">
    <mergeCell ref="A1:D1"/>
  </mergeCells>
  <dataValidations count="1">
    <dataValidation sqref="B3:B51" showDropDown="0" showInputMessage="0" showErrorMessage="0" allowBlank="1" type="list" errorStyle="stop" operator="between">
      <formula1>"Banque,Caisse,Autre"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N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4" customWidth="1" style="21" min="1" max="1"/>
    <col width="20" customWidth="1" style="21" min="2" max="2"/>
    <col width="18" customWidth="1" style="21" min="3" max="3"/>
    <col width="21" customWidth="1" style="21" min="4" max="4"/>
    <col width="15" customWidth="1" style="21" min="5" max="5"/>
    <col width="14" customWidth="1" style="21" min="6" max="7"/>
    <col width="24" customWidth="1" style="21" min="9" max="14"/>
  </cols>
  <sheetData>
    <row r="1" ht="30" customHeight="1" s="22">
      <c r="A1" s="23" t="inlineStr">
        <is>
          <t>PLAN D'ACTION — SUIVI DES ECARTS ET AXES DE PROGRES</t>
        </is>
      </c>
    </row>
    <row r="2" ht="31.5" customHeight="1" s="22">
      <c r="A2" s="28" t="inlineStr">
        <is>
          <t>N</t>
        </is>
      </c>
      <c r="B2" s="28" t="inlineStr">
        <is>
          <t>Domaine / module</t>
        </is>
      </c>
      <c r="C2" s="28" t="inlineStr">
        <is>
          <t>Ecart constate</t>
        </is>
      </c>
      <c r="D2" s="28" t="inlineStr">
        <is>
          <t>Action corrective</t>
        </is>
      </c>
      <c r="E2" s="28" t="inlineStr">
        <is>
          <t>Responsable</t>
        </is>
      </c>
      <c r="F2" s="28" t="inlineStr">
        <is>
          <t>Echeance</t>
        </is>
      </c>
      <c r="G2" s="28" t="inlineStr">
        <is>
          <t>Statut</t>
        </is>
      </c>
      <c r="H2" s="28" t="inlineStr">
        <is>
          <t>Type d'écart</t>
        </is>
      </c>
      <c r="I2" s="28" t="inlineStr">
        <is>
          <t>Axe / thème</t>
        </is>
      </c>
      <c r="J2" s="28" t="inlineStr">
        <is>
          <t>Objectif (résultat attendu)</t>
        </is>
      </c>
      <c r="K2" s="28" t="inlineStr">
        <is>
          <t>Priorité</t>
        </is>
      </c>
      <c r="L2" s="28" t="inlineStr">
        <is>
          <t>Temporalité</t>
        </is>
      </c>
      <c r="M2" s="28" t="inlineStr">
        <is>
          <t>Indicateur de réussite et preuves</t>
        </is>
      </c>
      <c r="N2" s="28" t="inlineStr">
        <is>
          <t>Observations</t>
        </is>
      </c>
    </row>
    <row r="3" ht="15" customHeight="1" s="22">
      <c r="A3" s="29" t="n"/>
      <c r="B3" s="29" t="n"/>
      <c r="C3" s="29" t="n"/>
      <c r="D3" s="29" t="n"/>
      <c r="E3" s="29" t="n"/>
      <c r="F3" s="31" t="n"/>
      <c r="G3" s="29" t="n"/>
    </row>
    <row r="4" ht="15" customHeight="1" s="22">
      <c r="A4" s="29" t="n"/>
      <c r="B4" s="29" t="n"/>
      <c r="C4" s="29" t="n"/>
      <c r="D4" s="29" t="n"/>
      <c r="E4" s="29" t="n"/>
      <c r="F4" s="31" t="n"/>
      <c r="G4" s="29" t="n"/>
    </row>
    <row r="5" ht="15" customHeight="1" s="22">
      <c r="A5" s="29" t="n"/>
      <c r="B5" s="29" t="n"/>
      <c r="C5" s="29" t="n"/>
      <c r="D5" s="29" t="n"/>
      <c r="E5" s="29" t="n"/>
      <c r="F5" s="31" t="n"/>
      <c r="G5" s="29" t="n"/>
    </row>
    <row r="6" ht="15" customHeight="1" s="22">
      <c r="A6" s="29" t="n"/>
      <c r="B6" s="29" t="n"/>
      <c r="C6" s="29" t="n"/>
      <c r="D6" s="29" t="n"/>
      <c r="E6" s="29" t="n"/>
      <c r="F6" s="31" t="n"/>
      <c r="G6" s="29" t="n"/>
    </row>
    <row r="7" ht="15" customHeight="1" s="22">
      <c r="A7" s="29" t="n"/>
      <c r="B7" s="29" t="n"/>
      <c r="C7" s="29" t="n"/>
      <c r="D7" s="29" t="n"/>
      <c r="E7" s="29" t="n"/>
      <c r="F7" s="31" t="n"/>
      <c r="G7" s="29" t="n"/>
    </row>
    <row r="8" ht="15" customHeight="1" s="22">
      <c r="A8" s="29" t="n"/>
      <c r="B8" s="29" t="n"/>
      <c r="C8" s="29" t="n"/>
      <c r="D8" s="29" t="n"/>
      <c r="E8" s="29" t="n"/>
      <c r="F8" s="31" t="n"/>
      <c r="G8" s="29" t="n"/>
    </row>
    <row r="9" ht="15" customHeight="1" s="22">
      <c r="A9" s="29" t="n"/>
      <c r="B9" s="29" t="n"/>
      <c r="C9" s="29" t="n"/>
      <c r="D9" s="29" t="n"/>
      <c r="E9" s="29" t="n"/>
      <c r="F9" s="31" t="n"/>
      <c r="G9" s="29" t="n"/>
    </row>
    <row r="10" ht="15" customHeight="1" s="22">
      <c r="A10" s="29" t="n"/>
      <c r="B10" s="29" t="n"/>
      <c r="C10" s="29" t="n"/>
      <c r="D10" s="29" t="n"/>
      <c r="E10" s="29" t="n"/>
      <c r="F10" s="31" t="n"/>
      <c r="G10" s="29" t="n"/>
    </row>
    <row r="11" ht="15" customHeight="1" s="22">
      <c r="A11" s="29" t="n"/>
      <c r="B11" s="29" t="n"/>
      <c r="C11" s="29" t="n"/>
      <c r="D11" s="29" t="n"/>
      <c r="E11" s="29" t="n"/>
      <c r="F11" s="31" t="n"/>
      <c r="G11" s="29" t="n"/>
    </row>
    <row r="12" ht="15" customHeight="1" s="22">
      <c r="A12" s="29" t="n"/>
      <c r="B12" s="29" t="n"/>
      <c r="C12" s="29" t="n"/>
      <c r="D12" s="29" t="n"/>
      <c r="E12" s="29" t="n"/>
      <c r="F12" s="31" t="n"/>
      <c r="G12" s="29" t="n"/>
    </row>
    <row r="13" ht="15" customHeight="1" s="22">
      <c r="A13" s="29" t="n"/>
      <c r="B13" s="29" t="n"/>
      <c r="C13" s="29" t="n"/>
      <c r="D13" s="29" t="n"/>
      <c r="E13" s="29" t="n"/>
      <c r="F13" s="31" t="n"/>
      <c r="G13" s="29" t="n"/>
    </row>
    <row r="14" ht="15" customHeight="1" s="22">
      <c r="A14" s="29" t="n"/>
      <c r="B14" s="29" t="n"/>
      <c r="C14" s="29" t="n"/>
      <c r="D14" s="29" t="n"/>
      <c r="E14" s="29" t="n"/>
      <c r="F14" s="31" t="n"/>
      <c r="G14" s="29" t="n"/>
    </row>
    <row r="15" ht="15" customHeight="1" s="22">
      <c r="A15" s="29" t="n"/>
      <c r="B15" s="29" t="n"/>
      <c r="C15" s="29" t="n"/>
      <c r="D15" s="29" t="n"/>
      <c r="E15" s="29" t="n"/>
      <c r="F15" s="31" t="n"/>
      <c r="G15" s="29" t="n"/>
    </row>
    <row r="16" ht="15" customHeight="1" s="22">
      <c r="A16" s="29" t="n"/>
      <c r="B16" s="29" t="n"/>
      <c r="C16" s="29" t="n"/>
      <c r="D16" s="29" t="n"/>
      <c r="E16" s="29" t="n"/>
      <c r="F16" s="31" t="n"/>
      <c r="G16" s="29" t="n"/>
    </row>
    <row r="17" ht="15" customHeight="1" s="22">
      <c r="A17" s="29" t="n"/>
      <c r="B17" s="29" t="n"/>
      <c r="C17" s="29" t="n"/>
      <c r="D17" s="29" t="n"/>
      <c r="E17" s="29" t="n"/>
      <c r="F17" s="31" t="n"/>
      <c r="G17" s="29" t="n"/>
    </row>
    <row r="18" ht="15" customHeight="1" s="22">
      <c r="A18" s="29" t="n"/>
      <c r="B18" s="29" t="n"/>
      <c r="C18" s="29" t="n"/>
      <c r="D18" s="29" t="n"/>
      <c r="E18" s="29" t="n"/>
      <c r="F18" s="31" t="n"/>
      <c r="G18" s="29" t="n"/>
    </row>
    <row r="19" ht="15" customHeight="1" s="22">
      <c r="A19" s="29" t="n"/>
      <c r="B19" s="29" t="n"/>
      <c r="C19" s="29" t="n"/>
      <c r="D19" s="29" t="n"/>
      <c r="E19" s="29" t="n"/>
      <c r="F19" s="31" t="n"/>
      <c r="G19" s="29" t="n"/>
    </row>
    <row r="20" ht="15" customHeight="1" s="22">
      <c r="A20" s="29" t="n"/>
      <c r="B20" s="29" t="n"/>
      <c r="C20" s="29" t="n"/>
      <c r="D20" s="29" t="n"/>
      <c r="E20" s="29" t="n"/>
      <c r="F20" s="31" t="n"/>
      <c r="G20" s="29" t="n"/>
    </row>
    <row r="21" ht="15" customHeight="1" s="22">
      <c r="A21" s="29" t="n"/>
      <c r="B21" s="29" t="n"/>
      <c r="C21" s="29" t="n"/>
      <c r="D21" s="29" t="n"/>
      <c r="E21" s="29" t="n"/>
      <c r="F21" s="31" t="n"/>
      <c r="G21" s="29" t="n"/>
    </row>
    <row r="22" ht="15" customHeight="1" s="22">
      <c r="A22" s="29" t="n"/>
      <c r="B22" s="29" t="n"/>
      <c r="C22" s="29" t="n"/>
      <c r="D22" s="29" t="n"/>
      <c r="E22" s="29" t="n"/>
      <c r="F22" s="31" t="n"/>
      <c r="G22" s="29" t="n"/>
    </row>
    <row r="23" ht="15" customHeight="1" s="22">
      <c r="A23" s="29" t="n"/>
      <c r="B23" s="29" t="n"/>
      <c r="C23" s="29" t="n"/>
      <c r="D23" s="29" t="n"/>
      <c r="E23" s="29" t="n"/>
      <c r="F23" s="31" t="n"/>
      <c r="G23" s="29" t="n"/>
    </row>
    <row r="24" ht="15" customHeight="1" s="22">
      <c r="A24" s="29" t="n"/>
      <c r="B24" s="29" t="n"/>
      <c r="C24" s="29" t="n"/>
      <c r="D24" s="29" t="n"/>
      <c r="E24" s="29" t="n"/>
      <c r="F24" s="31" t="n"/>
      <c r="G24" s="29" t="n"/>
    </row>
    <row r="25" ht="15" customHeight="1" s="22">
      <c r="A25" s="29" t="n"/>
      <c r="B25" s="29" t="n"/>
      <c r="C25" s="29" t="n"/>
      <c r="D25" s="29" t="n"/>
      <c r="E25" s="29" t="n"/>
      <c r="F25" s="31" t="n"/>
      <c r="G25" s="29" t="n"/>
    </row>
    <row r="26" ht="15" customHeight="1" s="22">
      <c r="A26" s="29" t="n"/>
      <c r="B26" s="29" t="n"/>
      <c r="C26" s="29" t="n"/>
      <c r="D26" s="29" t="n"/>
      <c r="E26" s="29" t="n"/>
      <c r="F26" s="31" t="n"/>
      <c r="G26" s="29" t="n"/>
    </row>
    <row r="27" ht="15" customHeight="1" s="22">
      <c r="A27" s="29" t="n"/>
      <c r="B27" s="29" t="n"/>
      <c r="C27" s="29" t="n"/>
      <c r="D27" s="29" t="n"/>
      <c r="E27" s="29" t="n"/>
      <c r="F27" s="31" t="n"/>
      <c r="G27" s="29" t="n"/>
    </row>
    <row r="28" ht="15" customHeight="1" s="22">
      <c r="A28" s="29" t="n"/>
      <c r="B28" s="29" t="n"/>
      <c r="C28" s="29" t="n"/>
      <c r="D28" s="29" t="n"/>
      <c r="E28" s="29" t="n"/>
      <c r="F28" s="31" t="n"/>
      <c r="G28" s="29" t="n"/>
    </row>
    <row r="29" ht="15" customHeight="1" s="22">
      <c r="A29" s="29" t="n"/>
      <c r="B29" s="29" t="n"/>
      <c r="C29" s="29" t="n"/>
      <c r="D29" s="29" t="n"/>
      <c r="E29" s="29" t="n"/>
      <c r="F29" s="31" t="n"/>
      <c r="G29" s="29" t="n"/>
    </row>
    <row r="30" ht="15" customHeight="1" s="22">
      <c r="A30" s="29" t="n"/>
      <c r="B30" s="29" t="n"/>
      <c r="C30" s="29" t="n"/>
      <c r="D30" s="29" t="n"/>
      <c r="E30" s="29" t="n"/>
      <c r="F30" s="31" t="n"/>
      <c r="G30" s="29" t="n"/>
    </row>
    <row r="31" ht="15" customHeight="1" s="22">
      <c r="A31" s="29" t="n"/>
      <c r="B31" s="29" t="n"/>
      <c r="C31" s="29" t="n"/>
      <c r="D31" s="29" t="n"/>
      <c r="E31" s="29" t="n"/>
      <c r="F31" s="31" t="n"/>
      <c r="G31" s="29" t="n"/>
    </row>
    <row r="32" ht="15" customHeight="1" s="22">
      <c r="A32" s="29" t="n"/>
      <c r="B32" s="29" t="n"/>
      <c r="C32" s="29" t="n"/>
      <c r="D32" s="29" t="n"/>
      <c r="E32" s="29" t="n"/>
      <c r="F32" s="31" t="n"/>
      <c r="G32" s="29" t="n"/>
    </row>
    <row r="33" ht="15" customHeight="1" s="22">
      <c r="A33" s="29" t="n"/>
      <c r="B33" s="29" t="n"/>
      <c r="C33" s="29" t="n"/>
      <c r="D33" s="29" t="n"/>
      <c r="E33" s="29" t="n"/>
      <c r="F33" s="31" t="n"/>
      <c r="G33" s="29" t="n"/>
    </row>
    <row r="34" ht="15" customHeight="1" s="22">
      <c r="A34" s="29" t="n"/>
      <c r="B34" s="29" t="n"/>
      <c r="C34" s="29" t="n"/>
      <c r="D34" s="29" t="n"/>
      <c r="E34" s="29" t="n"/>
      <c r="F34" s="31" t="n"/>
      <c r="G34" s="29" t="n"/>
    </row>
    <row r="35" ht="15" customHeight="1" s="22">
      <c r="A35" s="29" t="n"/>
      <c r="B35" s="29" t="n"/>
      <c r="C35" s="29" t="n"/>
      <c r="D35" s="29" t="n"/>
      <c r="E35" s="29" t="n"/>
      <c r="F35" s="31" t="n"/>
      <c r="G35" s="29" t="n"/>
    </row>
    <row r="36" ht="15" customHeight="1" s="22">
      <c r="A36" s="29" t="n"/>
      <c r="B36" s="29" t="n"/>
      <c r="C36" s="29" t="n"/>
      <c r="D36" s="29" t="n"/>
      <c r="E36" s="29" t="n"/>
      <c r="F36" s="31" t="n"/>
      <c r="G36" s="29" t="n"/>
    </row>
    <row r="37" ht="15" customHeight="1" s="22">
      <c r="A37" s="29" t="n"/>
      <c r="B37" s="29" t="n"/>
      <c r="C37" s="29" t="n"/>
      <c r="D37" s="29" t="n"/>
      <c r="E37" s="29" t="n"/>
      <c r="F37" s="31" t="n"/>
      <c r="G37" s="29" t="n"/>
    </row>
    <row r="38" ht="15" customHeight="1" s="22">
      <c r="A38" s="29" t="n"/>
      <c r="B38" s="29" t="n"/>
      <c r="C38" s="29" t="n"/>
      <c r="D38" s="29" t="n"/>
      <c r="E38" s="29" t="n"/>
      <c r="F38" s="31" t="n"/>
      <c r="G38" s="29" t="n"/>
    </row>
    <row r="39" ht="15" customHeight="1" s="22">
      <c r="A39" s="29" t="n"/>
      <c r="B39" s="29" t="n"/>
      <c r="C39" s="29" t="n"/>
      <c r="D39" s="29" t="n"/>
      <c r="E39" s="29" t="n"/>
      <c r="F39" s="31" t="n"/>
      <c r="G39" s="29" t="n"/>
    </row>
    <row r="40" ht="15" customHeight="1" s="22">
      <c r="A40" s="29" t="n"/>
      <c r="B40" s="29" t="n"/>
      <c r="C40" s="29" t="n"/>
      <c r="D40" s="29" t="n"/>
      <c r="E40" s="29" t="n"/>
      <c r="F40" s="31" t="n"/>
      <c r="G40" s="29" t="n"/>
    </row>
    <row r="41" ht="15" customHeight="1" s="22">
      <c r="A41" s="29" t="n"/>
      <c r="B41" s="29" t="n"/>
      <c r="C41" s="29" t="n"/>
      <c r="D41" s="29" t="n"/>
      <c r="E41" s="29" t="n"/>
      <c r="F41" s="31" t="n"/>
      <c r="G41" s="29" t="n"/>
    </row>
    <row r="42" ht="15" customHeight="1" s="22">
      <c r="A42" s="29" t="n"/>
      <c r="B42" s="29" t="n"/>
      <c r="C42" s="29" t="n"/>
      <c r="D42" s="29" t="n"/>
      <c r="E42" s="29" t="n"/>
      <c r="F42" s="31" t="n"/>
      <c r="G42" s="29" t="n"/>
    </row>
    <row r="43" ht="15" customHeight="1" s="22">
      <c r="A43" s="29" t="n"/>
      <c r="B43" s="29" t="n"/>
      <c r="C43" s="29" t="n"/>
      <c r="D43" s="29" t="n"/>
      <c r="E43" s="29" t="n"/>
      <c r="F43" s="31" t="n"/>
      <c r="G43" s="29" t="n"/>
    </row>
    <row r="44" ht="15" customHeight="1" s="22">
      <c r="A44" s="29" t="n"/>
      <c r="B44" s="29" t="n"/>
      <c r="C44" s="29" t="n"/>
      <c r="D44" s="29" t="n"/>
      <c r="E44" s="29" t="n"/>
      <c r="F44" s="31" t="n"/>
      <c r="G44" s="29" t="n"/>
    </row>
    <row r="45" ht="15" customHeight="1" s="22">
      <c r="A45" s="29" t="n"/>
      <c r="B45" s="29" t="n"/>
      <c r="C45" s="29" t="n"/>
      <c r="D45" s="29" t="n"/>
      <c r="E45" s="29" t="n"/>
      <c r="F45" s="31" t="n"/>
      <c r="G45" s="29" t="n"/>
    </row>
    <row r="46" ht="15" customHeight="1" s="22">
      <c r="A46" s="29" t="n"/>
      <c r="B46" s="29" t="n"/>
      <c r="C46" s="29" t="n"/>
      <c r="D46" s="29" t="n"/>
      <c r="E46" s="29" t="n"/>
      <c r="F46" s="31" t="n"/>
      <c r="G46" s="29" t="n"/>
    </row>
    <row r="47" ht="15" customHeight="1" s="22">
      <c r="A47" s="29" t="n"/>
      <c r="B47" s="29" t="n"/>
      <c r="C47" s="29" t="n"/>
      <c r="D47" s="29" t="n"/>
      <c r="E47" s="29" t="n"/>
      <c r="F47" s="31" t="n"/>
      <c r="G47" s="29" t="n"/>
    </row>
    <row r="48" ht="15" customHeight="1" s="22">
      <c r="A48" s="29" t="n"/>
      <c r="B48" s="29" t="n"/>
      <c r="C48" s="29" t="n"/>
      <c r="D48" s="29" t="n"/>
      <c r="E48" s="29" t="n"/>
      <c r="F48" s="31" t="n"/>
      <c r="G48" s="29" t="n"/>
    </row>
    <row r="49" ht="15" customHeight="1" s="22">
      <c r="A49" s="29" t="n"/>
      <c r="B49" s="29" t="n"/>
      <c r="C49" s="29" t="n"/>
      <c r="D49" s="29" t="n"/>
      <c r="E49" s="29" t="n"/>
      <c r="F49" s="31" t="n"/>
      <c r="G49" s="29" t="n"/>
    </row>
    <row r="50" ht="15" customHeight="1" s="22">
      <c r="A50" s="29" t="n"/>
      <c r="B50" s="29" t="n"/>
      <c r="C50" s="29" t="n"/>
      <c r="D50" s="29" t="n"/>
      <c r="E50" s="29" t="n"/>
      <c r="F50" s="31" t="n"/>
      <c r="G50" s="29" t="n"/>
    </row>
    <row r="51" ht="15" customHeight="1" s="22">
      <c r="A51" s="29" t="n"/>
      <c r="B51" s="29" t="n"/>
      <c r="C51" s="29" t="n"/>
      <c r="D51" s="29" t="n"/>
      <c r="E51" s="29" t="n"/>
      <c r="F51" s="31" t="n"/>
      <c r="G51" s="29" t="n"/>
    </row>
    <row r="52" ht="15" customHeight="1" s="22">
      <c r="A52" s="29" t="n"/>
      <c r="B52" s="29" t="n"/>
      <c r="C52" s="29" t="n"/>
      <c r="D52" s="29" t="n"/>
      <c r="E52" s="29" t="n"/>
      <c r="F52" s="31" t="n"/>
      <c r="G52" s="29" t="n"/>
    </row>
    <row r="53" ht="15" customHeight="1" s="22">
      <c r="A53" s="29" t="n"/>
      <c r="B53" s="29" t="n"/>
      <c r="C53" s="29" t="n"/>
      <c r="D53" s="29" t="n"/>
      <c r="E53" s="29" t="n"/>
      <c r="F53" s="31" t="n"/>
      <c r="G53" s="29" t="n"/>
    </row>
    <row r="54" ht="15" customHeight="1" s="22">
      <c r="A54" s="29" t="n"/>
      <c r="B54" s="29" t="n"/>
      <c r="C54" s="29" t="n"/>
      <c r="D54" s="29" t="n"/>
      <c r="E54" s="29" t="n"/>
      <c r="F54" s="31" t="n"/>
      <c r="G54" s="29" t="n"/>
    </row>
    <row r="55" ht="15" customHeight="1" s="22">
      <c r="A55" s="29" t="n"/>
      <c r="B55" s="29" t="n"/>
      <c r="C55" s="29" t="n"/>
      <c r="D55" s="29" t="n"/>
      <c r="E55" s="29" t="n"/>
      <c r="F55" s="31" t="n"/>
      <c r="G55" s="29" t="n"/>
    </row>
    <row r="56" ht="15" customHeight="1" s="22">
      <c r="A56" s="29" t="n"/>
      <c r="B56" s="29" t="n"/>
      <c r="C56" s="29" t="n"/>
      <c r="D56" s="29" t="n"/>
      <c r="E56" s="29" t="n"/>
      <c r="F56" s="31" t="n"/>
      <c r="G56" s="29" t="n"/>
    </row>
    <row r="57" ht="15" customHeight="1" s="22">
      <c r="A57" s="29" t="n"/>
      <c r="B57" s="29" t="n"/>
      <c r="C57" s="29" t="n"/>
      <c r="D57" s="29" t="n"/>
      <c r="E57" s="29" t="n"/>
      <c r="F57" s="31" t="n"/>
      <c r="G57" s="29" t="n"/>
    </row>
    <row r="58" ht="15" customHeight="1" s="22">
      <c r="A58" s="29" t="n"/>
      <c r="B58" s="29" t="n"/>
      <c r="C58" s="29" t="n"/>
      <c r="D58" s="29" t="n"/>
      <c r="E58" s="29" t="n"/>
      <c r="F58" s="31" t="n"/>
      <c r="G58" s="29" t="n"/>
    </row>
    <row r="59" ht="15" customHeight="1" s="22">
      <c r="A59" s="29" t="n"/>
      <c r="B59" s="29" t="n"/>
      <c r="C59" s="29" t="n"/>
      <c r="D59" s="29" t="n"/>
      <c r="E59" s="29" t="n"/>
      <c r="F59" s="31" t="n"/>
      <c r="G59" s="29" t="n"/>
    </row>
    <row r="60" ht="15" customHeight="1" s="22">
      <c r="A60" s="29" t="n"/>
      <c r="B60" s="29" t="n"/>
      <c r="C60" s="29" t="n"/>
      <c r="D60" s="29" t="n"/>
      <c r="E60" s="29" t="n"/>
      <c r="F60" s="31" t="n"/>
      <c r="G60" s="29" t="n"/>
    </row>
    <row r="61" ht="15" customHeight="1" s="22">
      <c r="A61" s="29" t="n"/>
      <c r="B61" s="29" t="n"/>
      <c r="C61" s="29" t="n"/>
      <c r="D61" s="29" t="n"/>
      <c r="E61" s="29" t="n"/>
      <c r="F61" s="31" t="n"/>
      <c r="G61" s="29" t="n"/>
    </row>
    <row r="62" ht="15" customHeight="1" s="22">
      <c r="A62" s="29" t="n"/>
      <c r="B62" s="29" t="n"/>
      <c r="C62" s="29" t="n"/>
      <c r="D62" s="29" t="n"/>
      <c r="E62" s="29" t="n"/>
      <c r="F62" s="31" t="n"/>
      <c r="G62" s="29" t="n"/>
    </row>
    <row r="63" ht="15" customHeight="1" s="22">
      <c r="A63" s="29" t="n"/>
      <c r="B63" s="29" t="n"/>
      <c r="C63" s="29" t="n"/>
      <c r="D63" s="29" t="n"/>
      <c r="E63" s="29" t="n"/>
      <c r="F63" s="31" t="n"/>
      <c r="G63" s="29" t="n"/>
    </row>
    <row r="64" ht="15" customHeight="1" s="22">
      <c r="A64" s="29" t="n"/>
      <c r="B64" s="29" t="n"/>
      <c r="C64" s="29" t="n"/>
      <c r="D64" s="29" t="n"/>
      <c r="E64" s="29" t="n"/>
      <c r="F64" s="31" t="n"/>
      <c r="G64" s="29" t="n"/>
    </row>
    <row r="65" ht="15" customHeight="1" s="22">
      <c r="A65" s="29" t="n"/>
      <c r="B65" s="29" t="n"/>
      <c r="C65" s="29" t="n"/>
      <c r="D65" s="29" t="n"/>
      <c r="E65" s="29" t="n"/>
      <c r="F65" s="31" t="n"/>
      <c r="G65" s="29" t="n"/>
    </row>
    <row r="66" ht="15" customHeight="1" s="22">
      <c r="A66" s="29" t="n"/>
      <c r="B66" s="29" t="n"/>
      <c r="C66" s="29" t="n"/>
      <c r="D66" s="29" t="n"/>
      <c r="E66" s="29" t="n"/>
      <c r="F66" s="31" t="n"/>
      <c r="G66" s="29" t="n"/>
    </row>
    <row r="67" ht="15" customHeight="1" s="22">
      <c r="A67" s="29" t="n"/>
      <c r="B67" s="29" t="n"/>
      <c r="C67" s="29" t="n"/>
      <c r="D67" s="29" t="n"/>
      <c r="E67" s="29" t="n"/>
      <c r="F67" s="31" t="n"/>
      <c r="G67" s="29" t="n"/>
    </row>
    <row r="68" ht="15" customHeight="1" s="22">
      <c r="A68" s="29" t="n"/>
      <c r="B68" s="29" t="n"/>
      <c r="C68" s="29" t="n"/>
      <c r="D68" s="29" t="n"/>
      <c r="E68" s="29" t="n"/>
      <c r="F68" s="31" t="n"/>
      <c r="G68" s="29" t="n"/>
    </row>
    <row r="69" ht="15" customHeight="1" s="22">
      <c r="A69" s="29" t="n"/>
      <c r="B69" s="29" t="n"/>
      <c r="C69" s="29" t="n"/>
      <c r="D69" s="29" t="n"/>
      <c r="E69" s="29" t="n"/>
      <c r="F69" s="31" t="n"/>
      <c r="G69" s="29" t="n"/>
    </row>
    <row r="70" ht="15" customHeight="1" s="22">
      <c r="A70" s="29" t="n"/>
      <c r="B70" s="29" t="n"/>
      <c r="C70" s="29" t="n"/>
      <c r="D70" s="29" t="n"/>
      <c r="E70" s="29" t="n"/>
      <c r="F70" s="31" t="n"/>
      <c r="G70" s="29" t="n"/>
    </row>
    <row r="71" ht="15" customHeight="1" s="22">
      <c r="A71" s="29" t="n"/>
      <c r="B71" s="29" t="n"/>
      <c r="C71" s="29" t="n"/>
      <c r="D71" s="29" t="n"/>
      <c r="E71" s="29" t="n"/>
      <c r="F71" s="31" t="n"/>
      <c r="G71" s="29" t="n"/>
    </row>
    <row r="72" ht="15" customHeight="1" s="22">
      <c r="A72" s="29" t="n"/>
      <c r="B72" s="29" t="n"/>
      <c r="C72" s="29" t="n"/>
      <c r="D72" s="29" t="n"/>
      <c r="E72" s="29" t="n"/>
      <c r="F72" s="31" t="n"/>
      <c r="G72" s="29" t="n"/>
    </row>
    <row r="73" ht="15" customHeight="1" s="22">
      <c r="A73" s="29" t="n"/>
      <c r="B73" s="29" t="n"/>
      <c r="C73" s="29" t="n"/>
      <c r="D73" s="29" t="n"/>
      <c r="E73" s="29" t="n"/>
      <c r="F73" s="31" t="n"/>
      <c r="G73" s="29" t="n"/>
    </row>
    <row r="74" ht="15" customHeight="1" s="22">
      <c r="A74" s="29" t="n"/>
      <c r="B74" s="29" t="n"/>
      <c r="C74" s="29" t="n"/>
      <c r="D74" s="29" t="n"/>
      <c r="E74" s="29" t="n"/>
      <c r="F74" s="31" t="n"/>
      <c r="G74" s="29" t="n"/>
    </row>
    <row r="75" ht="15" customHeight="1" s="22">
      <c r="A75" s="29" t="n"/>
      <c r="B75" s="29" t="n"/>
      <c r="C75" s="29" t="n"/>
      <c r="D75" s="29" t="n"/>
      <c r="E75" s="29" t="n"/>
      <c r="F75" s="31" t="n"/>
      <c r="G75" s="29" t="n"/>
    </row>
    <row r="76" ht="15" customHeight="1" s="22">
      <c r="A76" s="29" t="n"/>
      <c r="B76" s="29" t="n"/>
      <c r="C76" s="29" t="n"/>
      <c r="D76" s="29" t="n"/>
      <c r="E76" s="29" t="n"/>
      <c r="F76" s="31" t="n"/>
      <c r="G76" s="29" t="n"/>
    </row>
    <row r="77" ht="15" customHeight="1" s="22">
      <c r="A77" s="29" t="n"/>
      <c r="B77" s="29" t="n"/>
      <c r="C77" s="29" t="n"/>
      <c r="D77" s="29" t="n"/>
      <c r="E77" s="29" t="n"/>
      <c r="F77" s="31" t="n"/>
      <c r="G77" s="29" t="n"/>
    </row>
    <row r="78" ht="15" customHeight="1" s="22">
      <c r="A78" s="29" t="n"/>
      <c r="B78" s="29" t="n"/>
      <c r="C78" s="29" t="n"/>
      <c r="D78" s="29" t="n"/>
      <c r="E78" s="29" t="n"/>
      <c r="F78" s="31" t="n"/>
      <c r="G78" s="29" t="n"/>
    </row>
    <row r="79" ht="15" customHeight="1" s="22">
      <c r="A79" s="29" t="n"/>
      <c r="B79" s="29" t="n"/>
      <c r="C79" s="29" t="n"/>
      <c r="D79" s="29" t="n"/>
      <c r="E79" s="29" t="n"/>
      <c r="F79" s="31" t="n"/>
      <c r="G79" s="29" t="n"/>
    </row>
    <row r="80" ht="15" customHeight="1" s="22">
      <c r="A80" s="29" t="n"/>
      <c r="B80" s="29" t="n"/>
      <c r="C80" s="29" t="n"/>
      <c r="D80" s="29" t="n"/>
      <c r="E80" s="29" t="n"/>
      <c r="F80" s="31" t="n"/>
      <c r="G80" s="29" t="n"/>
    </row>
    <row r="81" ht="15" customHeight="1" s="22">
      <c r="A81" s="29" t="n"/>
      <c r="B81" s="29" t="n"/>
      <c r="C81" s="29" t="n"/>
      <c r="D81" s="29" t="n"/>
      <c r="E81" s="29" t="n"/>
      <c r="F81" s="31" t="n"/>
      <c r="G81" s="29" t="n"/>
    </row>
    <row r="82" ht="15" customHeight="1" s="22">
      <c r="A82" s="29" t="n"/>
      <c r="B82" s="29" t="n"/>
      <c r="C82" s="29" t="n"/>
      <c r="D82" s="29" t="n"/>
      <c r="E82" s="29" t="n"/>
      <c r="F82" s="31" t="n"/>
      <c r="G82" s="29" t="n"/>
    </row>
    <row r="83" ht="15" customHeight="1" s="22">
      <c r="A83" s="29" t="n"/>
      <c r="B83" s="29" t="n"/>
      <c r="C83" s="29" t="n"/>
      <c r="D83" s="29" t="n"/>
      <c r="E83" s="29" t="n"/>
      <c r="F83" s="31" t="n"/>
      <c r="G83" s="29" t="n"/>
    </row>
    <row r="84" ht="15" customHeight="1" s="22">
      <c r="A84" s="29" t="n"/>
      <c r="B84" s="29" t="n"/>
      <c r="C84" s="29" t="n"/>
      <c r="D84" s="29" t="n"/>
      <c r="E84" s="29" t="n"/>
      <c r="F84" s="31" t="n"/>
      <c r="G84" s="29" t="n"/>
    </row>
    <row r="85" ht="15" customHeight="1" s="22">
      <c r="A85" s="29" t="n"/>
      <c r="B85" s="29" t="n"/>
      <c r="C85" s="29" t="n"/>
      <c r="D85" s="29" t="n"/>
      <c r="E85" s="29" t="n"/>
      <c r="F85" s="31" t="n"/>
      <c r="G85" s="29" t="n"/>
    </row>
    <row r="86" ht="15" customHeight="1" s="22">
      <c r="A86" s="29" t="n"/>
      <c r="B86" s="29" t="n"/>
      <c r="C86" s="29" t="n"/>
      <c r="D86" s="29" t="n"/>
      <c r="E86" s="29" t="n"/>
      <c r="F86" s="31" t="n"/>
      <c r="G86" s="29" t="n"/>
    </row>
    <row r="87" ht="15" customHeight="1" s="22">
      <c r="A87" s="29" t="n"/>
      <c r="B87" s="29" t="n"/>
      <c r="C87" s="29" t="n"/>
      <c r="D87" s="29" t="n"/>
      <c r="E87" s="29" t="n"/>
      <c r="F87" s="31" t="n"/>
      <c r="G87" s="29" t="n"/>
    </row>
    <row r="88" ht="15" customHeight="1" s="22">
      <c r="A88" s="29" t="n"/>
      <c r="B88" s="29" t="n"/>
      <c r="C88" s="29" t="n"/>
      <c r="D88" s="29" t="n"/>
      <c r="E88" s="29" t="n"/>
      <c r="F88" s="31" t="n"/>
      <c r="G88" s="29" t="n"/>
    </row>
    <row r="89" ht="15" customHeight="1" s="22">
      <c r="A89" s="29" t="n"/>
      <c r="B89" s="29" t="n"/>
      <c r="C89" s="29" t="n"/>
      <c r="D89" s="29" t="n"/>
      <c r="E89" s="29" t="n"/>
      <c r="F89" s="31" t="n"/>
      <c r="G89" s="29" t="n"/>
    </row>
    <row r="90" ht="15" customHeight="1" s="22">
      <c r="A90" s="29" t="n"/>
      <c r="B90" s="29" t="n"/>
      <c r="C90" s="29" t="n"/>
      <c r="D90" s="29" t="n"/>
      <c r="E90" s="29" t="n"/>
      <c r="F90" s="31" t="n"/>
      <c r="G90" s="29" t="n"/>
    </row>
    <row r="91" ht="15" customHeight="1" s="22">
      <c r="A91" s="29" t="n"/>
      <c r="B91" s="29" t="n"/>
      <c r="C91" s="29" t="n"/>
      <c r="D91" s="29" t="n"/>
      <c r="E91" s="29" t="n"/>
      <c r="F91" s="31" t="n"/>
      <c r="G91" s="29" t="n"/>
    </row>
    <row r="92" ht="15" customHeight="1" s="22">
      <c r="A92" s="29" t="n"/>
      <c r="B92" s="29" t="n"/>
      <c r="C92" s="29" t="n"/>
      <c r="D92" s="29" t="n"/>
      <c r="E92" s="29" t="n"/>
      <c r="F92" s="31" t="n"/>
      <c r="G92" s="29" t="n"/>
    </row>
    <row r="93" ht="15" customHeight="1" s="22">
      <c r="A93" s="29" t="n"/>
      <c r="B93" s="29" t="n"/>
      <c r="C93" s="29" t="n"/>
      <c r="D93" s="29" t="n"/>
      <c r="E93" s="29" t="n"/>
      <c r="F93" s="31" t="n"/>
      <c r="G93" s="29" t="n"/>
    </row>
    <row r="94" ht="15" customHeight="1" s="22">
      <c r="A94" s="29" t="n"/>
      <c r="B94" s="29" t="n"/>
      <c r="C94" s="29" t="n"/>
      <c r="D94" s="29" t="n"/>
      <c r="E94" s="29" t="n"/>
      <c r="F94" s="31" t="n"/>
      <c r="G94" s="29" t="n"/>
    </row>
    <row r="95" ht="15" customHeight="1" s="22">
      <c r="A95" s="29" t="n"/>
      <c r="B95" s="29" t="n"/>
      <c r="C95" s="29" t="n"/>
      <c r="D95" s="29" t="n"/>
      <c r="E95" s="29" t="n"/>
      <c r="F95" s="31" t="n"/>
      <c r="G95" s="29" t="n"/>
    </row>
    <row r="96" ht="15" customHeight="1" s="22">
      <c r="A96" s="29" t="n"/>
      <c r="B96" s="29" t="n"/>
      <c r="C96" s="29" t="n"/>
      <c r="D96" s="29" t="n"/>
      <c r="E96" s="29" t="n"/>
      <c r="F96" s="31" t="n"/>
      <c r="G96" s="29" t="n"/>
    </row>
    <row r="97" ht="15" customHeight="1" s="22">
      <c r="A97" s="29" t="n"/>
      <c r="B97" s="29" t="n"/>
      <c r="C97" s="29" t="n"/>
      <c r="D97" s="29" t="n"/>
      <c r="E97" s="29" t="n"/>
      <c r="F97" s="31" t="n"/>
      <c r="G97" s="29" t="n"/>
    </row>
    <row r="98" ht="15" customHeight="1" s="22">
      <c r="A98" s="29" t="n"/>
      <c r="B98" s="29" t="n"/>
      <c r="C98" s="29" t="n"/>
      <c r="D98" s="29" t="n"/>
      <c r="E98" s="29" t="n"/>
      <c r="F98" s="31" t="n"/>
      <c r="G98" s="29" t="n"/>
    </row>
    <row r="99" ht="15" customHeight="1" s="22">
      <c r="A99" s="29" t="n"/>
      <c r="B99" s="29" t="n"/>
      <c r="C99" s="29" t="n"/>
      <c r="D99" s="29" t="n"/>
      <c r="E99" s="29" t="n"/>
      <c r="F99" s="31" t="n"/>
      <c r="G99" s="29" t="n"/>
    </row>
    <row r="100" ht="15" customHeight="1" s="22">
      <c r="A100" s="29" t="n"/>
      <c r="B100" s="29" t="n"/>
      <c r="C100" s="29" t="n"/>
      <c r="D100" s="29" t="n"/>
      <c r="E100" s="29" t="n"/>
      <c r="F100" s="31" t="n"/>
      <c r="G100" s="29" t="n"/>
    </row>
    <row r="101" ht="15" customHeight="1" s="22">
      <c r="A101" s="29" t="n"/>
      <c r="B101" s="29" t="n"/>
      <c r="C101" s="29" t="n"/>
      <c r="D101" s="29" t="n"/>
      <c r="E101" s="29" t="n"/>
      <c r="F101" s="31" t="n"/>
      <c r="G101" s="29" t="n"/>
    </row>
    <row r="102" ht="15" customHeight="1" s="22">
      <c r="A102" s="29" t="n"/>
      <c r="B102" s="29" t="n"/>
      <c r="C102" s="29" t="n"/>
      <c r="D102" s="29" t="n"/>
      <c r="E102" s="29" t="n"/>
      <c r="F102" s="31" t="n"/>
      <c r="G102" s="29" t="n"/>
    </row>
    <row r="103" ht="15" customHeight="1" s="22">
      <c r="A103" s="29" t="n"/>
      <c r="B103" s="29" t="n"/>
      <c r="C103" s="29" t="n"/>
      <c r="D103" s="29" t="n"/>
      <c r="E103" s="29" t="n"/>
      <c r="F103" s="31" t="n"/>
      <c r="G103" s="29" t="n"/>
    </row>
    <row r="104" ht="15" customHeight="1" s="22">
      <c r="A104" s="29" t="n"/>
      <c r="B104" s="29" t="n"/>
      <c r="C104" s="29" t="n"/>
      <c r="D104" s="29" t="n"/>
      <c r="E104" s="29" t="n"/>
      <c r="F104" s="31" t="n"/>
      <c r="G104" s="29" t="n"/>
    </row>
    <row r="105" ht="15" customHeight="1" s="22">
      <c r="A105" s="29" t="n"/>
      <c r="B105" s="29" t="n"/>
      <c r="C105" s="29" t="n"/>
      <c r="D105" s="29" t="n"/>
      <c r="E105" s="29" t="n"/>
      <c r="F105" s="31" t="n"/>
      <c r="G105" s="29" t="n"/>
    </row>
    <row r="106" ht="15" customHeight="1" s="22">
      <c r="A106" s="29" t="n"/>
      <c r="B106" s="29" t="n"/>
      <c r="C106" s="29" t="n"/>
      <c r="D106" s="29" t="n"/>
      <c r="E106" s="29" t="n"/>
      <c r="F106" s="31" t="n"/>
      <c r="G106" s="29" t="n"/>
    </row>
    <row r="107" ht="15" customHeight="1" s="22">
      <c r="A107" s="29" t="n"/>
      <c r="B107" s="29" t="n"/>
      <c r="C107" s="29" t="n"/>
      <c r="D107" s="29" t="n"/>
      <c r="E107" s="29" t="n"/>
      <c r="F107" s="31" t="n"/>
      <c r="G107" s="29" t="n"/>
    </row>
    <row r="108" ht="15" customHeight="1" s="22">
      <c r="A108" s="29" t="n"/>
      <c r="B108" s="29" t="n"/>
      <c r="C108" s="29" t="n"/>
      <c r="D108" s="29" t="n"/>
      <c r="E108" s="29" t="n"/>
      <c r="F108" s="31" t="n"/>
      <c r="G108" s="29" t="n"/>
    </row>
    <row r="109" ht="15" customHeight="1" s="22">
      <c r="A109" s="29" t="n"/>
      <c r="B109" s="29" t="n"/>
      <c r="C109" s="29" t="n"/>
      <c r="D109" s="29" t="n"/>
      <c r="E109" s="29" t="n"/>
      <c r="F109" s="31" t="n"/>
      <c r="G109" s="29" t="n"/>
    </row>
    <row r="110" ht="15" customHeight="1" s="22">
      <c r="A110" s="29" t="n"/>
      <c r="B110" s="29" t="n"/>
      <c r="C110" s="29" t="n"/>
      <c r="D110" s="29" t="n"/>
      <c r="E110" s="29" t="n"/>
      <c r="F110" s="31" t="n"/>
      <c r="G110" s="29" t="n"/>
    </row>
    <row r="111" ht="15" customHeight="1" s="22">
      <c r="A111" s="29" t="n"/>
      <c r="B111" s="29" t="n"/>
      <c r="C111" s="29" t="n"/>
      <c r="D111" s="29" t="n"/>
      <c r="E111" s="29" t="n"/>
      <c r="F111" s="31" t="n"/>
      <c r="G111" s="29" t="n"/>
    </row>
    <row r="112" ht="15" customHeight="1" s="22">
      <c r="A112" s="29" t="n"/>
      <c r="B112" s="29" t="n"/>
      <c r="C112" s="29" t="n"/>
      <c r="D112" s="29" t="n"/>
      <c r="E112" s="29" t="n"/>
      <c r="F112" s="31" t="n"/>
      <c r="G112" s="29" t="n"/>
    </row>
    <row r="113" ht="15" customHeight="1" s="22">
      <c r="A113" s="29" t="n"/>
      <c r="B113" s="29" t="n"/>
      <c r="C113" s="29" t="n"/>
      <c r="D113" s="29" t="n"/>
      <c r="E113" s="29" t="n"/>
      <c r="F113" s="31" t="n"/>
      <c r="G113" s="29" t="n"/>
    </row>
    <row r="114" ht="15" customHeight="1" s="22">
      <c r="A114" s="29" t="n"/>
      <c r="B114" s="29" t="n"/>
      <c r="C114" s="29" t="n"/>
      <c r="D114" s="29" t="n"/>
      <c r="E114" s="29" t="n"/>
      <c r="F114" s="31" t="n"/>
      <c r="G114" s="29" t="n"/>
    </row>
    <row r="115" ht="15" customHeight="1" s="22">
      <c r="A115" s="29" t="n"/>
      <c r="B115" s="29" t="n"/>
      <c r="C115" s="29" t="n"/>
      <c r="D115" s="29" t="n"/>
      <c r="E115" s="29" t="n"/>
      <c r="F115" s="31" t="n"/>
      <c r="G115" s="29" t="n"/>
    </row>
    <row r="116" ht="15" customHeight="1" s="22">
      <c r="A116" s="29" t="n"/>
      <c r="B116" s="29" t="n"/>
      <c r="C116" s="29" t="n"/>
      <c r="D116" s="29" t="n"/>
      <c r="E116" s="29" t="n"/>
      <c r="F116" s="31" t="n"/>
      <c r="G116" s="29" t="n"/>
    </row>
    <row r="117" ht="15" customHeight="1" s="22">
      <c r="A117" s="29" t="n"/>
      <c r="B117" s="29" t="n"/>
      <c r="C117" s="29" t="n"/>
      <c r="D117" s="29" t="n"/>
      <c r="E117" s="29" t="n"/>
      <c r="F117" s="31" t="n"/>
      <c r="G117" s="29" t="n"/>
    </row>
    <row r="118" ht="15" customHeight="1" s="22">
      <c r="A118" s="29" t="n"/>
      <c r="B118" s="29" t="n"/>
      <c r="C118" s="29" t="n"/>
      <c r="D118" s="29" t="n"/>
      <c r="E118" s="29" t="n"/>
      <c r="F118" s="31" t="n"/>
      <c r="G118" s="29" t="n"/>
    </row>
    <row r="119" ht="15" customHeight="1" s="22">
      <c r="A119" s="29" t="n"/>
      <c r="B119" s="29" t="n"/>
      <c r="C119" s="29" t="n"/>
      <c r="D119" s="29" t="n"/>
      <c r="E119" s="29" t="n"/>
      <c r="F119" s="31" t="n"/>
      <c r="G119" s="29" t="n"/>
    </row>
    <row r="120" ht="15" customHeight="1" s="22">
      <c r="A120" s="29" t="n"/>
      <c r="B120" s="29" t="n"/>
      <c r="C120" s="29" t="n"/>
      <c r="D120" s="29" t="n"/>
      <c r="E120" s="29" t="n"/>
      <c r="F120" s="31" t="n"/>
      <c r="G120" s="29" t="n"/>
    </row>
    <row r="121" ht="15" customHeight="1" s="22">
      <c r="A121" s="29" t="n"/>
      <c r="B121" s="29" t="n"/>
      <c r="C121" s="29" t="n"/>
      <c r="D121" s="29" t="n"/>
      <c r="E121" s="29" t="n"/>
      <c r="F121" s="31" t="n"/>
      <c r="G121" s="29" t="n"/>
    </row>
    <row r="122" ht="15" customHeight="1" s="22">
      <c r="A122" s="29" t="n"/>
      <c r="B122" s="29" t="n"/>
      <c r="C122" s="29" t="n"/>
      <c r="D122" s="29" t="n"/>
      <c r="E122" s="29" t="n"/>
      <c r="F122" s="31" t="n"/>
      <c r="G122" s="29" t="n"/>
    </row>
    <row r="123" ht="15" customHeight="1" s="22">
      <c r="A123" s="29" t="n"/>
      <c r="B123" s="29" t="n"/>
      <c r="C123" s="29" t="n"/>
      <c r="D123" s="29" t="n"/>
      <c r="E123" s="29" t="n"/>
      <c r="F123" s="31" t="n"/>
      <c r="G123" s="29" t="n"/>
    </row>
    <row r="124" ht="15" customHeight="1" s="22">
      <c r="A124" s="29" t="n"/>
      <c r="B124" s="29" t="n"/>
      <c r="C124" s="29" t="n"/>
      <c r="D124" s="29" t="n"/>
      <c r="E124" s="29" t="n"/>
      <c r="F124" s="31" t="n"/>
      <c r="G124" s="29" t="n"/>
    </row>
    <row r="125" ht="15" customHeight="1" s="22">
      <c r="A125" s="29" t="n"/>
      <c r="B125" s="29" t="n"/>
      <c r="C125" s="29" t="n"/>
      <c r="D125" s="29" t="n"/>
      <c r="E125" s="29" t="n"/>
      <c r="F125" s="31" t="n"/>
      <c r="G125" s="29" t="n"/>
    </row>
    <row r="126" ht="15" customHeight="1" s="22">
      <c r="A126" s="29" t="n"/>
      <c r="B126" s="29" t="n"/>
      <c r="C126" s="29" t="n"/>
      <c r="D126" s="29" t="n"/>
      <c r="E126" s="29" t="n"/>
      <c r="F126" s="31" t="n"/>
      <c r="G126" s="29" t="n"/>
    </row>
    <row r="127" ht="15" customHeight="1" s="22">
      <c r="A127" s="29" t="n"/>
      <c r="B127" s="29" t="n"/>
      <c r="C127" s="29" t="n"/>
      <c r="D127" s="29" t="n"/>
      <c r="E127" s="29" t="n"/>
      <c r="F127" s="31" t="n"/>
      <c r="G127" s="29" t="n"/>
    </row>
    <row r="128" ht="15" customHeight="1" s="22">
      <c r="A128" s="29" t="n"/>
      <c r="B128" s="29" t="n"/>
      <c r="C128" s="29" t="n"/>
      <c r="D128" s="29" t="n"/>
      <c r="E128" s="29" t="n"/>
      <c r="F128" s="31" t="n"/>
      <c r="G128" s="29" t="n"/>
    </row>
    <row r="129" ht="15" customHeight="1" s="22">
      <c r="A129" s="29" t="n"/>
      <c r="B129" s="29" t="n"/>
      <c r="C129" s="29" t="n"/>
      <c r="D129" s="29" t="n"/>
      <c r="E129" s="29" t="n"/>
      <c r="F129" s="31" t="n"/>
      <c r="G129" s="29" t="n"/>
    </row>
    <row r="130" ht="15" customHeight="1" s="22">
      <c r="A130" s="29" t="n"/>
      <c r="B130" s="29" t="n"/>
      <c r="C130" s="29" t="n"/>
      <c r="D130" s="29" t="n"/>
      <c r="E130" s="29" t="n"/>
      <c r="F130" s="31" t="n"/>
      <c r="G130" s="29" t="n"/>
    </row>
    <row r="131" ht="15" customHeight="1" s="22">
      <c r="A131" s="29" t="n"/>
      <c r="B131" s="29" t="n"/>
      <c r="C131" s="29" t="n"/>
      <c r="D131" s="29" t="n"/>
      <c r="E131" s="29" t="n"/>
      <c r="F131" s="31" t="n"/>
      <c r="G131" s="29" t="n"/>
    </row>
    <row r="132" ht="15" customHeight="1" s="22">
      <c r="A132" s="29" t="n"/>
      <c r="B132" s="29" t="n"/>
      <c r="C132" s="29" t="n"/>
      <c r="D132" s="29" t="n"/>
      <c r="E132" s="29" t="n"/>
      <c r="F132" s="31" t="n"/>
      <c r="G132" s="29" t="n"/>
    </row>
    <row r="133" ht="15" customHeight="1" s="22">
      <c r="A133" s="29" t="n"/>
      <c r="B133" s="29" t="n"/>
      <c r="C133" s="29" t="n"/>
      <c r="D133" s="29" t="n"/>
      <c r="E133" s="29" t="n"/>
      <c r="F133" s="31" t="n"/>
      <c r="G133" s="29" t="n"/>
    </row>
    <row r="134" ht="15" customHeight="1" s="22">
      <c r="A134" s="29" t="n"/>
      <c r="B134" s="29" t="n"/>
      <c r="C134" s="29" t="n"/>
      <c r="D134" s="29" t="n"/>
      <c r="E134" s="29" t="n"/>
      <c r="F134" s="31" t="n"/>
      <c r="G134" s="29" t="n"/>
    </row>
    <row r="135" ht="15" customHeight="1" s="22">
      <c r="A135" s="29" t="n"/>
      <c r="B135" s="29" t="n"/>
      <c r="C135" s="29" t="n"/>
      <c r="D135" s="29" t="n"/>
      <c r="E135" s="29" t="n"/>
      <c r="F135" s="31" t="n"/>
      <c r="G135" s="29" t="n"/>
    </row>
    <row r="136" ht="15" customHeight="1" s="22">
      <c r="A136" s="29" t="n"/>
      <c r="B136" s="29" t="n"/>
      <c r="C136" s="29" t="n"/>
      <c r="D136" s="29" t="n"/>
      <c r="E136" s="29" t="n"/>
      <c r="F136" s="31" t="n"/>
      <c r="G136" s="29" t="n"/>
    </row>
    <row r="137" ht="15" customHeight="1" s="22">
      <c r="A137" s="29" t="n"/>
      <c r="B137" s="29" t="n"/>
      <c r="C137" s="29" t="n"/>
      <c r="D137" s="29" t="n"/>
      <c r="E137" s="29" t="n"/>
      <c r="F137" s="31" t="n"/>
      <c r="G137" s="29" t="n"/>
    </row>
    <row r="138" ht="15" customHeight="1" s="22">
      <c r="A138" s="29" t="n"/>
      <c r="B138" s="29" t="n"/>
      <c r="C138" s="29" t="n"/>
      <c r="D138" s="29" t="n"/>
      <c r="E138" s="29" t="n"/>
      <c r="F138" s="31" t="n"/>
      <c r="G138" s="29" t="n"/>
    </row>
    <row r="139" ht="15" customHeight="1" s="22">
      <c r="A139" s="29" t="n"/>
      <c r="B139" s="29" t="n"/>
      <c r="C139" s="29" t="n"/>
      <c r="D139" s="29" t="n"/>
      <c r="E139" s="29" t="n"/>
      <c r="F139" s="31" t="n"/>
      <c r="G139" s="29" t="n"/>
    </row>
    <row r="140" ht="15" customHeight="1" s="22">
      <c r="A140" s="29" t="n"/>
      <c r="B140" s="29" t="n"/>
      <c r="C140" s="29" t="n"/>
      <c r="D140" s="29" t="n"/>
      <c r="E140" s="29" t="n"/>
      <c r="F140" s="31" t="n"/>
      <c r="G140" s="29" t="n"/>
    </row>
    <row r="141" ht="15" customHeight="1" s="22">
      <c r="A141" s="29" t="n"/>
      <c r="B141" s="29" t="n"/>
      <c r="C141" s="29" t="n"/>
      <c r="D141" s="29" t="n"/>
      <c r="E141" s="29" t="n"/>
      <c r="F141" s="31" t="n"/>
      <c r="G141" s="29" t="n"/>
    </row>
    <row r="142" ht="15" customHeight="1" s="22">
      <c r="A142" s="29" t="n"/>
      <c r="B142" s="29" t="n"/>
      <c r="C142" s="29" t="n"/>
      <c r="D142" s="29" t="n"/>
      <c r="E142" s="29" t="n"/>
      <c r="F142" s="31" t="n"/>
      <c r="G142" s="29" t="n"/>
    </row>
    <row r="143" ht="15" customHeight="1" s="22">
      <c r="A143" s="29" t="n"/>
      <c r="B143" s="29" t="n"/>
      <c r="C143" s="29" t="n"/>
      <c r="D143" s="29" t="n"/>
      <c r="E143" s="29" t="n"/>
      <c r="F143" s="31" t="n"/>
      <c r="G143" s="29" t="n"/>
    </row>
    <row r="144" ht="15" customHeight="1" s="22">
      <c r="A144" s="29" t="n"/>
      <c r="B144" s="29" t="n"/>
      <c r="C144" s="29" t="n"/>
      <c r="D144" s="29" t="n"/>
      <c r="E144" s="29" t="n"/>
      <c r="F144" s="31" t="n"/>
      <c r="G144" s="29" t="n"/>
    </row>
    <row r="145" ht="15" customHeight="1" s="22">
      <c r="A145" s="29" t="n"/>
      <c r="B145" s="29" t="n"/>
      <c r="C145" s="29" t="n"/>
      <c r="D145" s="29" t="n"/>
      <c r="E145" s="29" t="n"/>
      <c r="F145" s="31" t="n"/>
      <c r="G145" s="29" t="n"/>
    </row>
    <row r="146" ht="15" customHeight="1" s="22">
      <c r="A146" s="29" t="n"/>
      <c r="B146" s="29" t="n"/>
      <c r="C146" s="29" t="n"/>
      <c r="D146" s="29" t="n"/>
      <c r="E146" s="29" t="n"/>
      <c r="F146" s="31" t="n"/>
      <c r="G146" s="29" t="n"/>
    </row>
    <row r="147" ht="15" customHeight="1" s="22">
      <c r="A147" s="29" t="n"/>
      <c r="B147" s="29" t="n"/>
      <c r="C147" s="29" t="n"/>
      <c r="D147" s="29" t="n"/>
      <c r="E147" s="29" t="n"/>
      <c r="F147" s="31" t="n"/>
      <c r="G147" s="29" t="n"/>
    </row>
    <row r="148" ht="15" customHeight="1" s="22">
      <c r="A148" s="29" t="n"/>
      <c r="B148" s="29" t="n"/>
      <c r="C148" s="29" t="n"/>
      <c r="D148" s="29" t="n"/>
      <c r="E148" s="29" t="n"/>
      <c r="F148" s="31" t="n"/>
      <c r="G148" s="29" t="n"/>
    </row>
    <row r="149" ht="15" customHeight="1" s="22">
      <c r="A149" s="29" t="n"/>
      <c r="B149" s="29" t="n"/>
      <c r="C149" s="29" t="n"/>
      <c r="D149" s="29" t="n"/>
      <c r="E149" s="29" t="n"/>
      <c r="F149" s="31" t="n"/>
      <c r="G149" s="29" t="n"/>
    </row>
    <row r="150" ht="15" customHeight="1" s="22">
      <c r="A150" s="29" t="n"/>
      <c r="B150" s="29" t="n"/>
      <c r="C150" s="29" t="n"/>
      <c r="D150" s="29" t="n"/>
      <c r="E150" s="29" t="n"/>
      <c r="F150" s="31" t="n"/>
      <c r="G150" s="29" t="n"/>
    </row>
    <row r="151" ht="15" customHeight="1" s="22">
      <c r="A151" s="29" t="n"/>
      <c r="B151" s="29" t="n"/>
      <c r="C151" s="29" t="n"/>
      <c r="D151" s="29" t="n"/>
      <c r="E151" s="29" t="n"/>
      <c r="F151" s="31" t="n"/>
      <c r="G151" s="29" t="n"/>
    </row>
    <row r="152" ht="15" customHeight="1" s="22">
      <c r="A152" s="29" t="n"/>
      <c r="B152" s="29" t="n"/>
      <c r="C152" s="29" t="n"/>
      <c r="D152" s="29" t="n"/>
      <c r="E152" s="29" t="n"/>
      <c r="F152" s="31" t="n"/>
      <c r="G152" s="29" t="n"/>
    </row>
    <row r="153" ht="15" customHeight="1" s="22">
      <c r="A153" s="29" t="n"/>
      <c r="B153" s="29" t="n"/>
      <c r="C153" s="29" t="n"/>
      <c r="D153" s="29" t="n"/>
      <c r="E153" s="29" t="n"/>
      <c r="F153" s="31" t="n"/>
      <c r="G153" s="29" t="n"/>
    </row>
    <row r="154" ht="15" customHeight="1" s="22">
      <c r="A154" s="29" t="n"/>
      <c r="B154" s="29" t="n"/>
      <c r="C154" s="29" t="n"/>
      <c r="D154" s="29" t="n"/>
      <c r="E154" s="29" t="n"/>
      <c r="F154" s="31" t="n"/>
      <c r="G154" s="29" t="n"/>
    </row>
    <row r="155" ht="15" customHeight="1" s="22">
      <c r="A155" s="29" t="n"/>
      <c r="B155" s="29" t="n"/>
      <c r="C155" s="29" t="n"/>
      <c r="D155" s="29" t="n"/>
      <c r="E155" s="29" t="n"/>
      <c r="F155" s="31" t="n"/>
      <c r="G155" s="29" t="n"/>
    </row>
    <row r="156" ht="15" customHeight="1" s="22">
      <c r="A156" s="29" t="n"/>
      <c r="B156" s="29" t="n"/>
      <c r="C156" s="29" t="n"/>
      <c r="D156" s="29" t="n"/>
      <c r="E156" s="29" t="n"/>
      <c r="F156" s="31" t="n"/>
      <c r="G156" s="29" t="n"/>
    </row>
    <row r="157" ht="15" customHeight="1" s="22">
      <c r="A157" s="29" t="n"/>
      <c r="B157" s="29" t="n"/>
      <c r="C157" s="29" t="n"/>
      <c r="D157" s="29" t="n"/>
      <c r="E157" s="29" t="n"/>
      <c r="F157" s="31" t="n"/>
      <c r="G157" s="29" t="n"/>
    </row>
    <row r="158" ht="15" customHeight="1" s="22">
      <c r="A158" s="29" t="n"/>
      <c r="B158" s="29" t="n"/>
      <c r="C158" s="29" t="n"/>
      <c r="D158" s="29" t="n"/>
      <c r="E158" s="29" t="n"/>
      <c r="F158" s="31" t="n"/>
      <c r="G158" s="29" t="n"/>
    </row>
    <row r="159" ht="15" customHeight="1" s="22">
      <c r="A159" s="29" t="n"/>
      <c r="B159" s="29" t="n"/>
      <c r="C159" s="29" t="n"/>
      <c r="D159" s="29" t="n"/>
      <c r="E159" s="29" t="n"/>
      <c r="F159" s="31" t="n"/>
      <c r="G159" s="29" t="n"/>
    </row>
    <row r="160" ht="15" customHeight="1" s="22">
      <c r="A160" s="29" t="n"/>
      <c r="B160" s="29" t="n"/>
      <c r="C160" s="29" t="n"/>
      <c r="D160" s="29" t="n"/>
      <c r="E160" s="29" t="n"/>
      <c r="F160" s="31" t="n"/>
      <c r="G160" s="29" t="n"/>
    </row>
    <row r="161" ht="15" customHeight="1" s="22">
      <c r="A161" s="29" t="n"/>
      <c r="B161" s="29" t="n"/>
      <c r="C161" s="29" t="n"/>
      <c r="D161" s="29" t="n"/>
      <c r="E161" s="29" t="n"/>
      <c r="F161" s="31" t="n"/>
      <c r="G161" s="29" t="n"/>
    </row>
    <row r="162" ht="15" customHeight="1" s="22">
      <c r="A162" s="29" t="n"/>
      <c r="B162" s="29" t="n"/>
      <c r="C162" s="29" t="n"/>
      <c r="D162" s="29" t="n"/>
      <c r="E162" s="29" t="n"/>
      <c r="F162" s="31" t="n"/>
      <c r="G162" s="29" t="n"/>
    </row>
    <row r="163" ht="15" customHeight="1" s="22">
      <c r="A163" s="29" t="n"/>
      <c r="B163" s="29" t="n"/>
      <c r="C163" s="29" t="n"/>
      <c r="D163" s="29" t="n"/>
      <c r="E163" s="29" t="n"/>
      <c r="F163" s="31" t="n"/>
      <c r="G163" s="29" t="n"/>
    </row>
    <row r="164" ht="15" customHeight="1" s="22">
      <c r="A164" s="29" t="n"/>
      <c r="B164" s="29" t="n"/>
      <c r="C164" s="29" t="n"/>
      <c r="D164" s="29" t="n"/>
      <c r="E164" s="29" t="n"/>
      <c r="F164" s="31" t="n"/>
      <c r="G164" s="29" t="n"/>
    </row>
    <row r="165" ht="15" customHeight="1" s="22">
      <c r="A165" s="29" t="n"/>
      <c r="B165" s="29" t="n"/>
      <c r="C165" s="29" t="n"/>
      <c r="D165" s="29" t="n"/>
      <c r="E165" s="29" t="n"/>
      <c r="F165" s="31" t="n"/>
      <c r="G165" s="29" t="n"/>
    </row>
    <row r="166" ht="15" customHeight="1" s="22">
      <c r="A166" s="29" t="n"/>
      <c r="B166" s="29" t="n"/>
      <c r="C166" s="29" t="n"/>
      <c r="D166" s="29" t="n"/>
      <c r="E166" s="29" t="n"/>
      <c r="F166" s="31" t="n"/>
      <c r="G166" s="29" t="n"/>
    </row>
    <row r="167" ht="15" customHeight="1" s="22">
      <c r="A167" s="29" t="n"/>
      <c r="B167" s="29" t="n"/>
      <c r="C167" s="29" t="n"/>
      <c r="D167" s="29" t="n"/>
      <c r="E167" s="29" t="n"/>
      <c r="F167" s="31" t="n"/>
      <c r="G167" s="29" t="n"/>
    </row>
    <row r="168" ht="15" customHeight="1" s="22">
      <c r="A168" s="29" t="n"/>
      <c r="B168" s="29" t="n"/>
      <c r="C168" s="29" t="n"/>
      <c r="D168" s="29" t="n"/>
      <c r="E168" s="29" t="n"/>
      <c r="F168" s="31" t="n"/>
      <c r="G168" s="29" t="n"/>
    </row>
    <row r="169" ht="15" customHeight="1" s="22">
      <c r="A169" s="29" t="n"/>
      <c r="B169" s="29" t="n"/>
      <c r="C169" s="29" t="n"/>
      <c r="D169" s="29" t="n"/>
      <c r="E169" s="29" t="n"/>
      <c r="F169" s="31" t="n"/>
      <c r="G169" s="29" t="n"/>
    </row>
    <row r="170" ht="15" customHeight="1" s="22">
      <c r="A170" s="29" t="n"/>
      <c r="B170" s="29" t="n"/>
      <c r="C170" s="29" t="n"/>
      <c r="D170" s="29" t="n"/>
      <c r="E170" s="29" t="n"/>
      <c r="F170" s="31" t="n"/>
      <c r="G170" s="29" t="n"/>
    </row>
    <row r="171" ht="15" customHeight="1" s="22">
      <c r="A171" s="29" t="n"/>
      <c r="B171" s="29" t="n"/>
      <c r="C171" s="29" t="n"/>
      <c r="D171" s="29" t="n"/>
      <c r="E171" s="29" t="n"/>
      <c r="F171" s="31" t="n"/>
      <c r="G171" s="29" t="n"/>
    </row>
    <row r="172" ht="15" customHeight="1" s="22">
      <c r="A172" s="29" t="n"/>
      <c r="B172" s="29" t="n"/>
      <c r="C172" s="29" t="n"/>
      <c r="D172" s="29" t="n"/>
      <c r="E172" s="29" t="n"/>
      <c r="F172" s="31" t="n"/>
      <c r="G172" s="29" t="n"/>
    </row>
    <row r="173" ht="15" customHeight="1" s="22">
      <c r="A173" s="29" t="n"/>
      <c r="B173" s="29" t="n"/>
      <c r="C173" s="29" t="n"/>
      <c r="D173" s="29" t="n"/>
      <c r="E173" s="29" t="n"/>
      <c r="F173" s="31" t="n"/>
      <c r="G173" s="29" t="n"/>
    </row>
    <row r="174" ht="15" customHeight="1" s="22">
      <c r="A174" s="29" t="n"/>
      <c r="B174" s="29" t="n"/>
      <c r="C174" s="29" t="n"/>
      <c r="D174" s="29" t="n"/>
      <c r="E174" s="29" t="n"/>
      <c r="F174" s="31" t="n"/>
      <c r="G174" s="29" t="n"/>
    </row>
    <row r="175" ht="15" customHeight="1" s="22">
      <c r="A175" s="29" t="n"/>
      <c r="B175" s="29" t="n"/>
      <c r="C175" s="29" t="n"/>
      <c r="D175" s="29" t="n"/>
      <c r="E175" s="29" t="n"/>
      <c r="F175" s="31" t="n"/>
      <c r="G175" s="29" t="n"/>
    </row>
    <row r="176" ht="15" customHeight="1" s="22">
      <c r="A176" s="29" t="n"/>
      <c r="B176" s="29" t="n"/>
      <c r="C176" s="29" t="n"/>
      <c r="D176" s="29" t="n"/>
      <c r="E176" s="29" t="n"/>
      <c r="F176" s="31" t="n"/>
      <c r="G176" s="29" t="n"/>
    </row>
    <row r="177" ht="15" customHeight="1" s="22">
      <c r="A177" s="29" t="n"/>
      <c r="B177" s="29" t="n"/>
      <c r="C177" s="29" t="n"/>
      <c r="D177" s="29" t="n"/>
      <c r="E177" s="29" t="n"/>
      <c r="F177" s="31" t="n"/>
      <c r="G177" s="29" t="n"/>
    </row>
    <row r="178" ht="15" customHeight="1" s="22">
      <c r="A178" s="29" t="n"/>
      <c r="B178" s="29" t="n"/>
      <c r="C178" s="29" t="n"/>
      <c r="D178" s="29" t="n"/>
      <c r="E178" s="29" t="n"/>
      <c r="F178" s="31" t="n"/>
      <c r="G178" s="29" t="n"/>
    </row>
    <row r="179" ht="15" customHeight="1" s="22">
      <c r="A179" s="29" t="n"/>
      <c r="B179" s="29" t="n"/>
      <c r="C179" s="29" t="n"/>
      <c r="D179" s="29" t="n"/>
      <c r="E179" s="29" t="n"/>
      <c r="F179" s="31" t="n"/>
      <c r="G179" s="29" t="n"/>
    </row>
    <row r="180" ht="15" customHeight="1" s="22">
      <c r="A180" s="29" t="n"/>
      <c r="B180" s="29" t="n"/>
      <c r="C180" s="29" t="n"/>
      <c r="D180" s="29" t="n"/>
      <c r="E180" s="29" t="n"/>
      <c r="F180" s="31" t="n"/>
      <c r="G180" s="29" t="n"/>
    </row>
    <row r="181" ht="15" customHeight="1" s="22">
      <c r="A181" s="29" t="n"/>
      <c r="B181" s="29" t="n"/>
      <c r="C181" s="29" t="n"/>
      <c r="D181" s="29" t="n"/>
      <c r="E181" s="29" t="n"/>
      <c r="F181" s="31" t="n"/>
      <c r="G181" s="29" t="n"/>
    </row>
    <row r="182" ht="15" customHeight="1" s="22">
      <c r="A182" s="29" t="n"/>
      <c r="B182" s="29" t="n"/>
      <c r="C182" s="29" t="n"/>
      <c r="D182" s="29" t="n"/>
      <c r="E182" s="29" t="n"/>
      <c r="F182" s="31" t="n"/>
      <c r="G182" s="29" t="n"/>
    </row>
    <row r="183" ht="15" customHeight="1" s="22">
      <c r="A183" s="29" t="n"/>
      <c r="B183" s="29" t="n"/>
      <c r="C183" s="29" t="n"/>
      <c r="D183" s="29" t="n"/>
      <c r="E183" s="29" t="n"/>
      <c r="F183" s="31" t="n"/>
      <c r="G183" s="29" t="n"/>
    </row>
    <row r="184" ht="15" customHeight="1" s="22">
      <c r="A184" s="29" t="n"/>
      <c r="B184" s="29" t="n"/>
      <c r="C184" s="29" t="n"/>
      <c r="D184" s="29" t="n"/>
      <c r="E184" s="29" t="n"/>
      <c r="F184" s="31" t="n"/>
      <c r="G184" s="29" t="n"/>
    </row>
    <row r="185" ht="15" customHeight="1" s="22">
      <c r="A185" s="29" t="n"/>
      <c r="B185" s="29" t="n"/>
      <c r="C185" s="29" t="n"/>
      <c r="D185" s="29" t="n"/>
      <c r="E185" s="29" t="n"/>
      <c r="F185" s="31" t="n"/>
      <c r="G185" s="29" t="n"/>
    </row>
    <row r="186" ht="15" customHeight="1" s="22">
      <c r="A186" s="29" t="n"/>
      <c r="B186" s="29" t="n"/>
      <c r="C186" s="29" t="n"/>
      <c r="D186" s="29" t="n"/>
      <c r="E186" s="29" t="n"/>
      <c r="F186" s="31" t="n"/>
      <c r="G186" s="29" t="n"/>
    </row>
    <row r="187" ht="15" customHeight="1" s="22">
      <c r="A187" s="29" t="n"/>
      <c r="B187" s="29" t="n"/>
      <c r="C187" s="29" t="n"/>
      <c r="D187" s="29" t="n"/>
      <c r="E187" s="29" t="n"/>
      <c r="F187" s="31" t="n"/>
      <c r="G187" s="29" t="n"/>
    </row>
    <row r="188" ht="15" customHeight="1" s="22">
      <c r="A188" s="29" t="n"/>
      <c r="B188" s="29" t="n"/>
      <c r="C188" s="29" t="n"/>
      <c r="D188" s="29" t="n"/>
      <c r="E188" s="29" t="n"/>
      <c r="F188" s="31" t="n"/>
      <c r="G188" s="29" t="n"/>
    </row>
    <row r="189" ht="15" customHeight="1" s="22">
      <c r="A189" s="29" t="n"/>
      <c r="B189" s="29" t="n"/>
      <c r="C189" s="29" t="n"/>
      <c r="D189" s="29" t="n"/>
      <c r="E189" s="29" t="n"/>
      <c r="F189" s="31" t="n"/>
      <c r="G189" s="29" t="n"/>
    </row>
    <row r="190" ht="15" customHeight="1" s="22">
      <c r="A190" s="29" t="n"/>
      <c r="B190" s="29" t="n"/>
      <c r="C190" s="29" t="n"/>
      <c r="D190" s="29" t="n"/>
      <c r="E190" s="29" t="n"/>
      <c r="F190" s="31" t="n"/>
      <c r="G190" s="29" t="n"/>
    </row>
    <row r="191" ht="15" customHeight="1" s="22">
      <c r="A191" s="29" t="n"/>
      <c r="B191" s="29" t="n"/>
      <c r="C191" s="29" t="n"/>
      <c r="D191" s="29" t="n"/>
      <c r="E191" s="29" t="n"/>
      <c r="F191" s="31" t="n"/>
      <c r="G191" s="29" t="n"/>
    </row>
    <row r="192" ht="15" customHeight="1" s="22">
      <c r="A192" s="29" t="n"/>
      <c r="B192" s="29" t="n"/>
      <c r="C192" s="29" t="n"/>
      <c r="D192" s="29" t="n"/>
      <c r="E192" s="29" t="n"/>
      <c r="F192" s="31" t="n"/>
      <c r="G192" s="29" t="n"/>
    </row>
    <row r="193" ht="15" customHeight="1" s="22">
      <c r="A193" s="29" t="n"/>
      <c r="B193" s="29" t="n"/>
      <c r="C193" s="29" t="n"/>
      <c r="D193" s="29" t="n"/>
      <c r="E193" s="29" t="n"/>
      <c r="F193" s="31" t="n"/>
      <c r="G193" s="29" t="n"/>
    </row>
    <row r="194" ht="15" customHeight="1" s="22">
      <c r="A194" s="29" t="n"/>
      <c r="B194" s="29" t="n"/>
      <c r="C194" s="29" t="n"/>
      <c r="D194" s="29" t="n"/>
      <c r="E194" s="29" t="n"/>
      <c r="F194" s="31" t="n"/>
      <c r="G194" s="29" t="n"/>
    </row>
    <row r="195" ht="15" customHeight="1" s="22">
      <c r="A195" s="29" t="n"/>
      <c r="B195" s="29" t="n"/>
      <c r="C195" s="29" t="n"/>
      <c r="D195" s="29" t="n"/>
      <c r="E195" s="29" t="n"/>
      <c r="F195" s="31" t="n"/>
      <c r="G195" s="29" t="n"/>
    </row>
    <row r="196" ht="15" customHeight="1" s="22">
      <c r="A196" s="29" t="n"/>
      <c r="B196" s="29" t="n"/>
      <c r="C196" s="29" t="n"/>
      <c r="D196" s="29" t="n"/>
      <c r="E196" s="29" t="n"/>
      <c r="F196" s="31" t="n"/>
      <c r="G196" s="29" t="n"/>
    </row>
    <row r="197" ht="15" customHeight="1" s="22">
      <c r="A197" s="29" t="n"/>
      <c r="B197" s="29" t="n"/>
      <c r="C197" s="29" t="n"/>
      <c r="D197" s="29" t="n"/>
      <c r="E197" s="29" t="n"/>
      <c r="F197" s="31" t="n"/>
      <c r="G197" s="29" t="n"/>
    </row>
    <row r="198" ht="15" customHeight="1" s="22">
      <c r="A198" s="29" t="n"/>
      <c r="B198" s="29" t="n"/>
      <c r="C198" s="29" t="n"/>
      <c r="D198" s="29" t="n"/>
      <c r="E198" s="29" t="n"/>
      <c r="F198" s="31" t="n"/>
      <c r="G198" s="29" t="n"/>
    </row>
    <row r="199" ht="15" customHeight="1" s="22">
      <c r="A199" s="29" t="n"/>
      <c r="B199" s="29" t="n"/>
      <c r="C199" s="29" t="n"/>
      <c r="D199" s="29" t="n"/>
      <c r="E199" s="29" t="n"/>
      <c r="F199" s="31" t="n"/>
      <c r="G199" s="29" t="n"/>
    </row>
    <row r="200" ht="15" customHeight="1" s="22">
      <c r="A200" s="29" t="n"/>
      <c r="B200" s="29" t="n"/>
      <c r="C200" s="29" t="n"/>
      <c r="D200" s="29" t="n"/>
      <c r="E200" s="29" t="n"/>
      <c r="F200" s="31" t="n"/>
      <c r="G200" s="29" t="n"/>
    </row>
    <row r="201" ht="15" customHeight="1" s="22">
      <c r="A201" s="29" t="n"/>
      <c r="B201" s="29" t="n"/>
      <c r="C201" s="29" t="n"/>
      <c r="D201" s="29" t="n"/>
      <c r="E201" s="29" t="n"/>
      <c r="F201" s="31" t="n"/>
      <c r="G201" s="29" t="n"/>
    </row>
    <row r="202" ht="15" customHeight="1" s="22">
      <c r="A202" s="29" t="n"/>
      <c r="B202" s="29" t="n"/>
      <c r="C202" s="29" t="n"/>
      <c r="D202" s="29" t="n"/>
      <c r="E202" s="29" t="n"/>
      <c r="F202" s="31" t="n"/>
      <c r="G202" s="29" t="n"/>
    </row>
    <row r="203" ht="15" customHeight="1" s="22">
      <c r="A203" s="29" t="n"/>
      <c r="B203" s="29" t="n"/>
      <c r="C203" s="29" t="n"/>
      <c r="D203" s="29" t="n"/>
      <c r="E203" s="29" t="n"/>
      <c r="F203" s="31" t="n"/>
      <c r="G203" s="29" t="n"/>
    </row>
    <row r="204" ht="15" customHeight="1" s="22">
      <c r="A204" s="29" t="n"/>
      <c r="B204" s="29" t="n"/>
      <c r="C204" s="29" t="n"/>
      <c r="D204" s="29" t="n"/>
      <c r="E204" s="29" t="n"/>
      <c r="F204" s="31" t="n"/>
      <c r="G204" s="29" t="n"/>
    </row>
    <row r="205" ht="15" customHeight="1" s="22">
      <c r="A205" s="29" t="n"/>
      <c r="B205" s="29" t="n"/>
      <c r="C205" s="29" t="n"/>
      <c r="D205" s="29" t="n"/>
      <c r="E205" s="29" t="n"/>
      <c r="F205" s="31" t="n"/>
      <c r="G205" s="29" t="n"/>
    </row>
    <row r="206" ht="15" customHeight="1" s="22">
      <c r="A206" s="29" t="n"/>
      <c r="B206" s="29" t="n"/>
      <c r="C206" s="29" t="n"/>
      <c r="D206" s="29" t="n"/>
      <c r="E206" s="29" t="n"/>
      <c r="F206" s="31" t="n"/>
      <c r="G206" s="29" t="n"/>
    </row>
    <row r="207" ht="15" customHeight="1" s="22">
      <c r="A207" s="29" t="n"/>
      <c r="B207" s="29" t="n"/>
      <c r="C207" s="29" t="n"/>
      <c r="D207" s="29" t="n"/>
      <c r="E207" s="29" t="n"/>
      <c r="F207" s="31" t="n"/>
      <c r="G207" s="29" t="n"/>
    </row>
    <row r="208" ht="15" customHeight="1" s="22">
      <c r="A208" s="29" t="n"/>
      <c r="B208" s="29" t="n"/>
      <c r="C208" s="29" t="n"/>
      <c r="D208" s="29" t="n"/>
      <c r="E208" s="29" t="n"/>
      <c r="F208" s="31" t="n"/>
      <c r="G208" s="29" t="n"/>
    </row>
    <row r="209" ht="15" customHeight="1" s="22">
      <c r="A209" s="29" t="n"/>
      <c r="B209" s="29" t="n"/>
      <c r="C209" s="29" t="n"/>
      <c r="D209" s="29" t="n"/>
      <c r="E209" s="29" t="n"/>
      <c r="F209" s="31" t="n"/>
      <c r="G209" s="29" t="n"/>
    </row>
    <row r="210" ht="15" customHeight="1" s="22">
      <c r="A210" s="29" t="n"/>
      <c r="B210" s="29" t="n"/>
      <c r="C210" s="29" t="n"/>
      <c r="D210" s="29" t="n"/>
      <c r="E210" s="29" t="n"/>
      <c r="F210" s="31" t="n"/>
      <c r="G210" s="29" t="n"/>
    </row>
    <row r="211" ht="15" customHeight="1" s="22">
      <c r="A211" s="29" t="n"/>
      <c r="B211" s="29" t="n"/>
      <c r="C211" s="29" t="n"/>
      <c r="D211" s="29" t="n"/>
      <c r="E211" s="29" t="n"/>
      <c r="F211" s="31" t="n"/>
      <c r="G211" s="29" t="n"/>
    </row>
    <row r="212" ht="15" customHeight="1" s="22">
      <c r="A212" s="29" t="n"/>
      <c r="B212" s="29" t="n"/>
      <c r="C212" s="29" t="n"/>
      <c r="D212" s="29" t="n"/>
      <c r="E212" s="29" t="n"/>
      <c r="F212" s="31" t="n"/>
      <c r="G212" s="29" t="n"/>
    </row>
    <row r="213" ht="15" customHeight="1" s="22">
      <c r="A213" s="29" t="n"/>
      <c r="B213" s="29" t="n"/>
      <c r="C213" s="29" t="n"/>
      <c r="D213" s="29" t="n"/>
      <c r="E213" s="29" t="n"/>
      <c r="F213" s="31" t="n"/>
      <c r="G213" s="29" t="n"/>
    </row>
    <row r="214" ht="15" customHeight="1" s="22">
      <c r="A214" s="29" t="n"/>
      <c r="B214" s="29" t="n"/>
      <c r="C214" s="29" t="n"/>
      <c r="D214" s="29" t="n"/>
      <c r="E214" s="29" t="n"/>
      <c r="F214" s="31" t="n"/>
      <c r="G214" s="29" t="n"/>
    </row>
    <row r="215" ht="15" customHeight="1" s="22">
      <c r="A215" s="29" t="n"/>
      <c r="B215" s="29" t="n"/>
      <c r="C215" s="29" t="n"/>
      <c r="D215" s="29" t="n"/>
      <c r="E215" s="29" t="n"/>
      <c r="F215" s="31" t="n"/>
      <c r="G215" s="29" t="n"/>
    </row>
    <row r="216" ht="15" customHeight="1" s="22">
      <c r="A216" s="29" t="n"/>
      <c r="B216" s="29" t="n"/>
      <c r="C216" s="29" t="n"/>
      <c r="D216" s="29" t="n"/>
      <c r="E216" s="29" t="n"/>
      <c r="F216" s="31" t="n"/>
      <c r="G216" s="29" t="n"/>
    </row>
    <row r="217" ht="15" customHeight="1" s="22">
      <c r="A217" s="29" t="n"/>
      <c r="B217" s="29" t="n"/>
      <c r="C217" s="29" t="n"/>
      <c r="D217" s="29" t="n"/>
      <c r="E217" s="29" t="n"/>
      <c r="F217" s="31" t="n"/>
      <c r="G217" s="29" t="n"/>
    </row>
    <row r="218" ht="15" customHeight="1" s="22">
      <c r="A218" s="29" t="n"/>
      <c r="B218" s="29" t="n"/>
      <c r="C218" s="29" t="n"/>
      <c r="D218" s="29" t="n"/>
      <c r="E218" s="29" t="n"/>
      <c r="F218" s="31" t="n"/>
      <c r="G218" s="29" t="n"/>
    </row>
    <row r="219" ht="15" customHeight="1" s="22">
      <c r="A219" s="29" t="n"/>
      <c r="B219" s="29" t="n"/>
      <c r="C219" s="29" t="n"/>
      <c r="D219" s="29" t="n"/>
      <c r="E219" s="29" t="n"/>
      <c r="F219" s="31" t="n"/>
      <c r="G219" s="29" t="n"/>
    </row>
    <row r="220" ht="15" customHeight="1" s="22">
      <c r="A220" s="29" t="n"/>
      <c r="B220" s="29" t="n"/>
      <c r="C220" s="29" t="n"/>
      <c r="D220" s="29" t="n"/>
      <c r="E220" s="29" t="n"/>
      <c r="F220" s="31" t="n"/>
      <c r="G220" s="29" t="n"/>
    </row>
    <row r="221" ht="15" customHeight="1" s="22">
      <c r="A221" s="29" t="n"/>
      <c r="B221" s="29" t="n"/>
      <c r="C221" s="29" t="n"/>
      <c r="D221" s="29" t="n"/>
      <c r="E221" s="29" t="n"/>
      <c r="F221" s="31" t="n"/>
      <c r="G221" s="29" t="n"/>
    </row>
    <row r="222" ht="15" customHeight="1" s="22">
      <c r="A222" s="29" t="n"/>
      <c r="B222" s="29" t="n"/>
      <c r="C222" s="29" t="n"/>
      <c r="D222" s="29" t="n"/>
      <c r="E222" s="29" t="n"/>
      <c r="F222" s="31" t="n"/>
      <c r="G222" s="29" t="n"/>
    </row>
    <row r="223" ht="15" customHeight="1" s="22">
      <c r="A223" s="29" t="n"/>
      <c r="B223" s="29" t="n"/>
      <c r="C223" s="29" t="n"/>
      <c r="D223" s="29" t="n"/>
      <c r="E223" s="29" t="n"/>
      <c r="F223" s="31" t="n"/>
      <c r="G223" s="29" t="n"/>
    </row>
    <row r="224" ht="15" customHeight="1" s="22">
      <c r="A224" s="29" t="n"/>
      <c r="B224" s="29" t="n"/>
      <c r="C224" s="29" t="n"/>
      <c r="D224" s="29" t="n"/>
      <c r="E224" s="29" t="n"/>
      <c r="F224" s="31" t="n"/>
      <c r="G224" s="29" t="n"/>
    </row>
    <row r="225" ht="15" customHeight="1" s="22">
      <c r="A225" s="29" t="n"/>
      <c r="B225" s="29" t="n"/>
      <c r="C225" s="29" t="n"/>
      <c r="D225" s="29" t="n"/>
      <c r="E225" s="29" t="n"/>
      <c r="F225" s="31" t="n"/>
      <c r="G225" s="29" t="n"/>
    </row>
    <row r="226" ht="15" customHeight="1" s="22">
      <c r="A226" s="29" t="n"/>
      <c r="B226" s="29" t="n"/>
      <c r="C226" s="29" t="n"/>
      <c r="D226" s="29" t="n"/>
      <c r="E226" s="29" t="n"/>
      <c r="F226" s="31" t="n"/>
      <c r="G226" s="29" t="n"/>
    </row>
    <row r="227" ht="15" customHeight="1" s="22">
      <c r="A227" s="29" t="n"/>
      <c r="B227" s="29" t="n"/>
      <c r="C227" s="29" t="n"/>
      <c r="D227" s="29" t="n"/>
      <c r="E227" s="29" t="n"/>
      <c r="F227" s="31" t="n"/>
      <c r="G227" s="29" t="n"/>
    </row>
    <row r="228" ht="15" customHeight="1" s="22">
      <c r="A228" s="29" t="n"/>
      <c r="B228" s="29" t="n"/>
      <c r="C228" s="29" t="n"/>
      <c r="D228" s="29" t="n"/>
      <c r="E228" s="29" t="n"/>
      <c r="F228" s="31" t="n"/>
      <c r="G228" s="29" t="n"/>
    </row>
    <row r="229" ht="15" customHeight="1" s="22">
      <c r="A229" s="29" t="n"/>
      <c r="B229" s="29" t="n"/>
      <c r="C229" s="29" t="n"/>
      <c r="D229" s="29" t="n"/>
      <c r="E229" s="29" t="n"/>
      <c r="F229" s="31" t="n"/>
      <c r="G229" s="29" t="n"/>
    </row>
    <row r="230" ht="15" customHeight="1" s="22">
      <c r="A230" s="29" t="n"/>
      <c r="B230" s="29" t="n"/>
      <c r="C230" s="29" t="n"/>
      <c r="D230" s="29" t="n"/>
      <c r="E230" s="29" t="n"/>
      <c r="F230" s="31" t="n"/>
      <c r="G230" s="29" t="n"/>
    </row>
    <row r="231" ht="15" customHeight="1" s="22">
      <c r="A231" s="29" t="n"/>
      <c r="B231" s="29" t="n"/>
      <c r="C231" s="29" t="n"/>
      <c r="D231" s="29" t="n"/>
      <c r="E231" s="29" t="n"/>
      <c r="F231" s="31" t="n"/>
      <c r="G231" s="29" t="n"/>
    </row>
    <row r="232" ht="15" customHeight="1" s="22">
      <c r="A232" s="29" t="n"/>
      <c r="B232" s="29" t="n"/>
      <c r="C232" s="29" t="n"/>
      <c r="D232" s="29" t="n"/>
      <c r="E232" s="29" t="n"/>
      <c r="F232" s="31" t="n"/>
      <c r="G232" s="29" t="n"/>
    </row>
    <row r="233" ht="15" customHeight="1" s="22">
      <c r="A233" s="29" t="n"/>
      <c r="B233" s="29" t="n"/>
      <c r="C233" s="29" t="n"/>
      <c r="D233" s="29" t="n"/>
      <c r="E233" s="29" t="n"/>
      <c r="F233" s="31" t="n"/>
      <c r="G233" s="29" t="n"/>
    </row>
    <row r="234" ht="15" customHeight="1" s="22">
      <c r="A234" s="29" t="n"/>
      <c r="B234" s="29" t="n"/>
      <c r="C234" s="29" t="n"/>
      <c r="D234" s="29" t="n"/>
      <c r="E234" s="29" t="n"/>
      <c r="F234" s="31" t="n"/>
      <c r="G234" s="29" t="n"/>
    </row>
    <row r="235" ht="15" customHeight="1" s="22">
      <c r="A235" s="29" t="n"/>
      <c r="B235" s="29" t="n"/>
      <c r="C235" s="29" t="n"/>
      <c r="D235" s="29" t="n"/>
      <c r="E235" s="29" t="n"/>
      <c r="F235" s="31" t="n"/>
      <c r="G235" s="29" t="n"/>
    </row>
    <row r="236" ht="15" customHeight="1" s="22">
      <c r="A236" s="29" t="n"/>
      <c r="B236" s="29" t="n"/>
      <c r="C236" s="29" t="n"/>
      <c r="D236" s="29" t="n"/>
      <c r="E236" s="29" t="n"/>
      <c r="F236" s="31" t="n"/>
      <c r="G236" s="29" t="n"/>
    </row>
    <row r="237" ht="15" customHeight="1" s="22">
      <c r="A237" s="29" t="n"/>
      <c r="B237" s="29" t="n"/>
      <c r="C237" s="29" t="n"/>
      <c r="D237" s="29" t="n"/>
      <c r="E237" s="29" t="n"/>
      <c r="F237" s="31" t="n"/>
      <c r="G237" s="29" t="n"/>
    </row>
    <row r="238" ht="15" customHeight="1" s="22">
      <c r="A238" s="29" t="n"/>
      <c r="B238" s="29" t="n"/>
      <c r="C238" s="29" t="n"/>
      <c r="D238" s="29" t="n"/>
      <c r="E238" s="29" t="n"/>
      <c r="F238" s="31" t="n"/>
      <c r="G238" s="29" t="n"/>
    </row>
    <row r="239" ht="15" customHeight="1" s="22">
      <c r="A239" s="29" t="n"/>
      <c r="B239" s="29" t="n"/>
      <c r="C239" s="29" t="n"/>
      <c r="D239" s="29" t="n"/>
      <c r="E239" s="29" t="n"/>
      <c r="F239" s="31" t="n"/>
      <c r="G239" s="29" t="n"/>
    </row>
    <row r="240" ht="15" customHeight="1" s="22">
      <c r="A240" s="29" t="n"/>
      <c r="B240" s="29" t="n"/>
      <c r="C240" s="29" t="n"/>
      <c r="D240" s="29" t="n"/>
      <c r="E240" s="29" t="n"/>
      <c r="F240" s="31" t="n"/>
      <c r="G240" s="29" t="n"/>
    </row>
    <row r="241" ht="15" customHeight="1" s="22">
      <c r="A241" s="29" t="n"/>
      <c r="B241" s="29" t="n"/>
      <c r="C241" s="29" t="n"/>
      <c r="D241" s="29" t="n"/>
      <c r="E241" s="29" t="n"/>
      <c r="F241" s="31" t="n"/>
      <c r="G241" s="29" t="n"/>
    </row>
    <row r="242" ht="15" customHeight="1" s="22">
      <c r="A242" s="29" t="n"/>
      <c r="B242" s="29" t="n"/>
      <c r="C242" s="29" t="n"/>
      <c r="D242" s="29" t="n"/>
      <c r="E242" s="29" t="n"/>
      <c r="F242" s="31" t="n"/>
      <c r="G242" s="29" t="n"/>
    </row>
    <row r="243" ht="15" customHeight="1" s="22">
      <c r="A243" s="29" t="n"/>
      <c r="B243" s="29" t="n"/>
      <c r="C243" s="29" t="n"/>
      <c r="D243" s="29" t="n"/>
      <c r="E243" s="29" t="n"/>
      <c r="F243" s="31" t="n"/>
      <c r="G243" s="29" t="n"/>
    </row>
    <row r="244" ht="15" customHeight="1" s="22">
      <c r="A244" s="29" t="n"/>
      <c r="B244" s="29" t="n"/>
      <c r="C244" s="29" t="n"/>
      <c r="D244" s="29" t="n"/>
      <c r="E244" s="29" t="n"/>
      <c r="F244" s="31" t="n"/>
      <c r="G244" s="29" t="n"/>
    </row>
    <row r="245" ht="15" customHeight="1" s="22">
      <c r="A245" s="29" t="n"/>
      <c r="B245" s="29" t="n"/>
      <c r="C245" s="29" t="n"/>
      <c r="D245" s="29" t="n"/>
      <c r="E245" s="29" t="n"/>
      <c r="F245" s="31" t="n"/>
      <c r="G245" s="29" t="n"/>
    </row>
    <row r="246" ht="15" customHeight="1" s="22">
      <c r="A246" s="29" t="n"/>
      <c r="B246" s="29" t="n"/>
      <c r="C246" s="29" t="n"/>
      <c r="D246" s="29" t="n"/>
      <c r="E246" s="29" t="n"/>
      <c r="F246" s="31" t="n"/>
      <c r="G246" s="29" t="n"/>
    </row>
    <row r="247" ht="15" customHeight="1" s="22">
      <c r="A247" s="29" t="n"/>
      <c r="B247" s="29" t="n"/>
      <c r="C247" s="29" t="n"/>
      <c r="D247" s="29" t="n"/>
      <c r="E247" s="29" t="n"/>
      <c r="F247" s="31" t="n"/>
      <c r="G247" s="29" t="n"/>
    </row>
    <row r="248" ht="15" customHeight="1" s="22">
      <c r="A248" s="29" t="n"/>
      <c r="B248" s="29" t="n"/>
      <c r="C248" s="29" t="n"/>
      <c r="D248" s="29" t="n"/>
      <c r="E248" s="29" t="n"/>
      <c r="F248" s="31" t="n"/>
      <c r="G248" s="29" t="n"/>
    </row>
    <row r="249" ht="15" customHeight="1" s="22">
      <c r="A249" s="29" t="n"/>
      <c r="B249" s="29" t="n"/>
      <c r="C249" s="29" t="n"/>
      <c r="D249" s="29" t="n"/>
      <c r="E249" s="29" t="n"/>
      <c r="F249" s="31" t="n"/>
      <c r="G249" s="29" t="n"/>
    </row>
    <row r="250" ht="15" customHeight="1" s="22">
      <c r="A250" s="29" t="n"/>
      <c r="B250" s="29" t="n"/>
      <c r="C250" s="29" t="n"/>
      <c r="D250" s="29" t="n"/>
      <c r="E250" s="29" t="n"/>
      <c r="F250" s="31" t="n"/>
      <c r="G250" s="29" t="n"/>
    </row>
    <row r="251" ht="15" customHeight="1" s="22">
      <c r="A251" s="29" t="n"/>
      <c r="B251" s="29" t="n"/>
      <c r="C251" s="29" t="n"/>
      <c r="D251" s="29" t="n"/>
      <c r="E251" s="29" t="n"/>
      <c r="F251" s="31" t="n"/>
      <c r="G251" s="29" t="n"/>
    </row>
    <row r="252" ht="15" customHeight="1" s="22">
      <c r="A252" s="29" t="n"/>
      <c r="B252" s="29" t="n"/>
      <c r="C252" s="29" t="n"/>
      <c r="D252" s="29" t="n"/>
      <c r="E252" s="29" t="n"/>
      <c r="F252" s="31" t="n"/>
      <c r="G252" s="29" t="n"/>
    </row>
    <row r="253" ht="15" customHeight="1" s="22">
      <c r="A253" s="29" t="n"/>
      <c r="B253" s="29" t="n"/>
      <c r="C253" s="29" t="n"/>
      <c r="D253" s="29" t="n"/>
      <c r="E253" s="29" t="n"/>
      <c r="F253" s="31" t="n"/>
      <c r="G253" s="29" t="n"/>
    </row>
    <row r="254" ht="15" customHeight="1" s="22">
      <c r="A254" s="29" t="n"/>
      <c r="B254" s="29" t="n"/>
      <c r="C254" s="29" t="n"/>
      <c r="D254" s="29" t="n"/>
      <c r="E254" s="29" t="n"/>
      <c r="F254" s="31" t="n"/>
      <c r="G254" s="29" t="n"/>
    </row>
    <row r="255" ht="15" customHeight="1" s="22">
      <c r="A255" s="29" t="n"/>
      <c r="B255" s="29" t="n"/>
      <c r="C255" s="29" t="n"/>
      <c r="D255" s="29" t="n"/>
      <c r="E255" s="29" t="n"/>
      <c r="F255" s="31" t="n"/>
      <c r="G255" s="29" t="n"/>
    </row>
    <row r="256" ht="15" customHeight="1" s="22">
      <c r="A256" s="29" t="n"/>
      <c r="B256" s="29" t="n"/>
      <c r="C256" s="29" t="n"/>
      <c r="D256" s="29" t="n"/>
      <c r="E256" s="29" t="n"/>
      <c r="F256" s="31" t="n"/>
      <c r="G256" s="29" t="n"/>
    </row>
    <row r="257" ht="15" customHeight="1" s="22">
      <c r="A257" s="29" t="n"/>
      <c r="B257" s="29" t="n"/>
      <c r="C257" s="29" t="n"/>
      <c r="D257" s="29" t="n"/>
      <c r="E257" s="29" t="n"/>
      <c r="F257" s="31" t="n"/>
      <c r="G257" s="29" t="n"/>
    </row>
    <row r="258" ht="15" customHeight="1" s="22">
      <c r="A258" s="29" t="n"/>
      <c r="B258" s="29" t="n"/>
      <c r="C258" s="29" t="n"/>
      <c r="D258" s="29" t="n"/>
      <c r="E258" s="29" t="n"/>
      <c r="F258" s="31" t="n"/>
      <c r="G258" s="29" t="n"/>
    </row>
    <row r="259" ht="15" customHeight="1" s="22">
      <c r="A259" s="29" t="n"/>
      <c r="B259" s="29" t="n"/>
      <c r="C259" s="29" t="n"/>
      <c r="D259" s="29" t="n"/>
      <c r="E259" s="29" t="n"/>
      <c r="F259" s="31" t="n"/>
      <c r="G259" s="29" t="n"/>
    </row>
    <row r="260" ht="15" customHeight="1" s="22">
      <c r="A260" s="29" t="n"/>
      <c r="B260" s="29" t="n"/>
      <c r="C260" s="29" t="n"/>
      <c r="D260" s="29" t="n"/>
      <c r="E260" s="29" t="n"/>
      <c r="F260" s="31" t="n"/>
      <c r="G260" s="29" t="n"/>
    </row>
    <row r="261" ht="15" customHeight="1" s="22">
      <c r="A261" s="29" t="n"/>
      <c r="B261" s="29" t="n"/>
      <c r="C261" s="29" t="n"/>
      <c r="D261" s="29" t="n"/>
      <c r="E261" s="29" t="n"/>
      <c r="F261" s="31" t="n"/>
      <c r="G261" s="29" t="n"/>
    </row>
    <row r="262" ht="15" customHeight="1" s="22">
      <c r="A262" s="29" t="n"/>
      <c r="B262" s="29" t="n"/>
      <c r="C262" s="29" t="n"/>
      <c r="D262" s="29" t="n"/>
      <c r="E262" s="29" t="n"/>
      <c r="F262" s="31" t="n"/>
      <c r="G262" s="29" t="n"/>
    </row>
    <row r="263" ht="15" customHeight="1" s="22">
      <c r="A263" s="29" t="n"/>
      <c r="B263" s="29" t="n"/>
      <c r="C263" s="29" t="n"/>
      <c r="D263" s="29" t="n"/>
      <c r="E263" s="29" t="n"/>
      <c r="F263" s="31" t="n"/>
      <c r="G263" s="29" t="n"/>
    </row>
    <row r="264" ht="15" customHeight="1" s="22">
      <c r="A264" s="29" t="n"/>
      <c r="B264" s="29" t="n"/>
      <c r="C264" s="29" t="n"/>
      <c r="D264" s="29" t="n"/>
      <c r="E264" s="29" t="n"/>
      <c r="F264" s="31" t="n"/>
      <c r="G264" s="29" t="n"/>
    </row>
    <row r="265" ht="15" customHeight="1" s="22">
      <c r="A265" s="29" t="n"/>
      <c r="B265" s="29" t="n"/>
      <c r="C265" s="29" t="n"/>
      <c r="D265" s="29" t="n"/>
      <c r="E265" s="29" t="n"/>
      <c r="F265" s="31" t="n"/>
      <c r="G265" s="29" t="n"/>
    </row>
    <row r="266" ht="15" customHeight="1" s="22">
      <c r="A266" s="29" t="n"/>
      <c r="B266" s="29" t="n"/>
      <c r="C266" s="29" t="n"/>
      <c r="D266" s="29" t="n"/>
      <c r="E266" s="29" t="n"/>
      <c r="F266" s="31" t="n"/>
      <c r="G266" s="29" t="n"/>
    </row>
    <row r="267" ht="15" customHeight="1" s="22">
      <c r="A267" s="29" t="n"/>
      <c r="B267" s="29" t="n"/>
      <c r="C267" s="29" t="n"/>
      <c r="D267" s="29" t="n"/>
      <c r="E267" s="29" t="n"/>
      <c r="F267" s="31" t="n"/>
      <c r="G267" s="29" t="n"/>
    </row>
    <row r="268" ht="15" customHeight="1" s="22">
      <c r="A268" s="29" t="n"/>
      <c r="B268" s="29" t="n"/>
      <c r="C268" s="29" t="n"/>
      <c r="D268" s="29" t="n"/>
      <c r="E268" s="29" t="n"/>
      <c r="F268" s="31" t="n"/>
      <c r="G268" s="29" t="n"/>
    </row>
    <row r="269" ht="15" customHeight="1" s="22">
      <c r="A269" s="29" t="n"/>
      <c r="B269" s="29" t="n"/>
      <c r="C269" s="29" t="n"/>
      <c r="D269" s="29" t="n"/>
      <c r="E269" s="29" t="n"/>
      <c r="F269" s="31" t="n"/>
      <c r="G269" s="29" t="n"/>
    </row>
    <row r="270" ht="15" customHeight="1" s="22">
      <c r="A270" s="29" t="n"/>
      <c r="B270" s="29" t="n"/>
      <c r="C270" s="29" t="n"/>
      <c r="D270" s="29" t="n"/>
      <c r="E270" s="29" t="n"/>
      <c r="F270" s="31" t="n"/>
      <c r="G270" s="29" t="n"/>
    </row>
    <row r="271" ht="15" customHeight="1" s="22">
      <c r="A271" s="29" t="n"/>
      <c r="B271" s="29" t="n"/>
      <c r="C271" s="29" t="n"/>
      <c r="D271" s="29" t="n"/>
      <c r="E271" s="29" t="n"/>
      <c r="F271" s="31" t="n"/>
      <c r="G271" s="29" t="n"/>
    </row>
    <row r="272" ht="15" customHeight="1" s="22">
      <c r="A272" s="29" t="n"/>
      <c r="B272" s="29" t="n"/>
      <c r="C272" s="29" t="n"/>
      <c r="D272" s="29" t="n"/>
      <c r="E272" s="29" t="n"/>
      <c r="F272" s="31" t="n"/>
      <c r="G272" s="29" t="n"/>
    </row>
    <row r="273" ht="15" customHeight="1" s="22">
      <c r="A273" s="29" t="n"/>
      <c r="B273" s="29" t="n"/>
      <c r="C273" s="29" t="n"/>
      <c r="D273" s="29" t="n"/>
      <c r="E273" s="29" t="n"/>
      <c r="F273" s="31" t="n"/>
      <c r="G273" s="29" t="n"/>
    </row>
    <row r="274" ht="15" customHeight="1" s="22">
      <c r="A274" s="29" t="n"/>
      <c r="B274" s="29" t="n"/>
      <c r="C274" s="29" t="n"/>
      <c r="D274" s="29" t="n"/>
      <c r="E274" s="29" t="n"/>
      <c r="F274" s="31" t="n"/>
      <c r="G274" s="29" t="n"/>
    </row>
    <row r="275" ht="15" customHeight="1" s="22">
      <c r="A275" s="29" t="n"/>
      <c r="B275" s="29" t="n"/>
      <c r="C275" s="29" t="n"/>
      <c r="D275" s="29" t="n"/>
      <c r="E275" s="29" t="n"/>
      <c r="F275" s="31" t="n"/>
      <c r="G275" s="29" t="n"/>
    </row>
    <row r="276" ht="15" customHeight="1" s="22">
      <c r="A276" s="29" t="n"/>
      <c r="B276" s="29" t="n"/>
      <c r="C276" s="29" t="n"/>
      <c r="D276" s="29" t="n"/>
      <c r="E276" s="29" t="n"/>
      <c r="F276" s="31" t="n"/>
      <c r="G276" s="29" t="n"/>
    </row>
    <row r="277" ht="15" customHeight="1" s="22">
      <c r="A277" s="29" t="n"/>
      <c r="B277" s="29" t="n"/>
      <c r="C277" s="29" t="n"/>
      <c r="D277" s="29" t="n"/>
      <c r="E277" s="29" t="n"/>
      <c r="F277" s="31" t="n"/>
      <c r="G277" s="29" t="n"/>
    </row>
    <row r="278" ht="15" customHeight="1" s="22">
      <c r="A278" s="29" t="n"/>
      <c r="B278" s="29" t="n"/>
      <c r="C278" s="29" t="n"/>
      <c r="D278" s="29" t="n"/>
      <c r="E278" s="29" t="n"/>
      <c r="F278" s="31" t="n"/>
      <c r="G278" s="29" t="n"/>
    </row>
    <row r="279" ht="15" customHeight="1" s="22">
      <c r="A279" s="29" t="n"/>
      <c r="B279" s="29" t="n"/>
      <c r="C279" s="29" t="n"/>
      <c r="D279" s="29" t="n"/>
      <c r="E279" s="29" t="n"/>
      <c r="F279" s="31" t="n"/>
      <c r="G279" s="29" t="n"/>
    </row>
    <row r="280" ht="15" customHeight="1" s="22">
      <c r="A280" s="29" t="n"/>
      <c r="B280" s="29" t="n"/>
      <c r="C280" s="29" t="n"/>
      <c r="D280" s="29" t="n"/>
      <c r="E280" s="29" t="n"/>
      <c r="F280" s="31" t="n"/>
      <c r="G280" s="29" t="n"/>
    </row>
    <row r="281" ht="15" customHeight="1" s="22">
      <c r="A281" s="29" t="n"/>
      <c r="B281" s="29" t="n"/>
      <c r="C281" s="29" t="n"/>
      <c r="D281" s="29" t="n"/>
      <c r="E281" s="29" t="n"/>
      <c r="F281" s="31" t="n"/>
      <c r="G281" s="29" t="n"/>
    </row>
    <row r="282" ht="15" customHeight="1" s="22">
      <c r="A282" s="29" t="n"/>
      <c r="B282" s="29" t="n"/>
      <c r="C282" s="29" t="n"/>
      <c r="D282" s="29" t="n"/>
      <c r="E282" s="29" t="n"/>
      <c r="F282" s="31" t="n"/>
      <c r="G282" s="29" t="n"/>
    </row>
    <row r="283" ht="15" customHeight="1" s="22">
      <c r="A283" s="29" t="n"/>
      <c r="B283" s="29" t="n"/>
      <c r="C283" s="29" t="n"/>
      <c r="D283" s="29" t="n"/>
      <c r="E283" s="29" t="n"/>
      <c r="F283" s="31" t="n"/>
      <c r="G283" s="29" t="n"/>
    </row>
    <row r="284" ht="15" customHeight="1" s="22">
      <c r="A284" s="29" t="n"/>
      <c r="B284" s="29" t="n"/>
      <c r="C284" s="29" t="n"/>
      <c r="D284" s="29" t="n"/>
      <c r="E284" s="29" t="n"/>
      <c r="F284" s="31" t="n"/>
      <c r="G284" s="29" t="n"/>
    </row>
    <row r="285" ht="15" customHeight="1" s="22">
      <c r="A285" s="29" t="n"/>
      <c r="B285" s="29" t="n"/>
      <c r="C285" s="29" t="n"/>
      <c r="D285" s="29" t="n"/>
      <c r="E285" s="29" t="n"/>
      <c r="F285" s="31" t="n"/>
      <c r="G285" s="29" t="n"/>
    </row>
    <row r="286" ht="15" customHeight="1" s="22">
      <c r="A286" s="29" t="n"/>
      <c r="B286" s="29" t="n"/>
      <c r="C286" s="29" t="n"/>
      <c r="D286" s="29" t="n"/>
      <c r="E286" s="29" t="n"/>
      <c r="F286" s="31" t="n"/>
      <c r="G286" s="29" t="n"/>
    </row>
    <row r="287" ht="15" customHeight="1" s="22">
      <c r="A287" s="29" t="n"/>
      <c r="B287" s="29" t="n"/>
      <c r="C287" s="29" t="n"/>
      <c r="D287" s="29" t="n"/>
      <c r="E287" s="29" t="n"/>
      <c r="F287" s="31" t="n"/>
      <c r="G287" s="29" t="n"/>
    </row>
    <row r="288" ht="15" customHeight="1" s="22">
      <c r="A288" s="29" t="n"/>
      <c r="B288" s="29" t="n"/>
      <c r="C288" s="29" t="n"/>
      <c r="D288" s="29" t="n"/>
      <c r="E288" s="29" t="n"/>
      <c r="F288" s="31" t="n"/>
      <c r="G288" s="29" t="n"/>
    </row>
    <row r="289" ht="15" customHeight="1" s="22">
      <c r="A289" s="29" t="n"/>
      <c r="B289" s="29" t="n"/>
      <c r="C289" s="29" t="n"/>
      <c r="D289" s="29" t="n"/>
      <c r="E289" s="29" t="n"/>
      <c r="F289" s="31" t="n"/>
      <c r="G289" s="29" t="n"/>
    </row>
    <row r="290" ht="15" customHeight="1" s="22">
      <c r="A290" s="29" t="n"/>
      <c r="B290" s="29" t="n"/>
      <c r="C290" s="29" t="n"/>
      <c r="D290" s="29" t="n"/>
      <c r="E290" s="29" t="n"/>
      <c r="F290" s="31" t="n"/>
      <c r="G290" s="29" t="n"/>
    </row>
    <row r="291" ht="15" customHeight="1" s="22">
      <c r="A291" s="29" t="n"/>
      <c r="B291" s="29" t="n"/>
      <c r="C291" s="29" t="n"/>
      <c r="D291" s="29" t="n"/>
      <c r="E291" s="29" t="n"/>
      <c r="F291" s="31" t="n"/>
      <c r="G291" s="29" t="n"/>
    </row>
    <row r="292" ht="15" customHeight="1" s="22">
      <c r="A292" s="29" t="n"/>
      <c r="B292" s="29" t="n"/>
      <c r="C292" s="29" t="n"/>
      <c r="D292" s="29" t="n"/>
      <c r="E292" s="29" t="n"/>
      <c r="F292" s="31" t="n"/>
      <c r="G292" s="29" t="n"/>
    </row>
    <row r="293" ht="15" customHeight="1" s="22">
      <c r="A293" s="29" t="n"/>
      <c r="B293" s="29" t="n"/>
      <c r="C293" s="29" t="n"/>
      <c r="D293" s="29" t="n"/>
      <c r="E293" s="29" t="n"/>
      <c r="F293" s="31" t="n"/>
      <c r="G293" s="29" t="n"/>
    </row>
    <row r="294" ht="15" customHeight="1" s="22">
      <c r="A294" s="29" t="n"/>
      <c r="B294" s="29" t="n"/>
      <c r="C294" s="29" t="n"/>
      <c r="D294" s="29" t="n"/>
      <c r="E294" s="29" t="n"/>
      <c r="F294" s="31" t="n"/>
      <c r="G294" s="29" t="n"/>
    </row>
    <row r="295" ht="15" customHeight="1" s="22">
      <c r="A295" s="29" t="n"/>
      <c r="B295" s="29" t="n"/>
      <c r="C295" s="29" t="n"/>
      <c r="D295" s="29" t="n"/>
      <c r="E295" s="29" t="n"/>
      <c r="F295" s="31" t="n"/>
      <c r="G295" s="29" t="n"/>
    </row>
    <row r="296" ht="15" customHeight="1" s="22">
      <c r="A296" s="29" t="n"/>
      <c r="B296" s="29" t="n"/>
      <c r="C296" s="29" t="n"/>
      <c r="D296" s="29" t="n"/>
      <c r="E296" s="29" t="n"/>
      <c r="F296" s="31" t="n"/>
      <c r="G296" s="29" t="n"/>
    </row>
    <row r="297" ht="15" customHeight="1" s="22">
      <c r="A297" s="29" t="n"/>
      <c r="B297" s="29" t="n"/>
      <c r="C297" s="29" t="n"/>
      <c r="D297" s="29" t="n"/>
      <c r="E297" s="29" t="n"/>
      <c r="F297" s="31" t="n"/>
      <c r="G297" s="29" t="n"/>
    </row>
    <row r="298" ht="15" customHeight="1" s="22">
      <c r="A298" s="29" t="n"/>
      <c r="B298" s="29" t="n"/>
      <c r="C298" s="29" t="n"/>
      <c r="D298" s="29" t="n"/>
      <c r="E298" s="29" t="n"/>
      <c r="F298" s="31" t="n"/>
      <c r="G298" s="29" t="n"/>
    </row>
    <row r="299" ht="15" customHeight="1" s="22">
      <c r="A299" s="29" t="n"/>
      <c r="B299" s="29" t="n"/>
      <c r="C299" s="29" t="n"/>
      <c r="D299" s="29" t="n"/>
      <c r="E299" s="29" t="n"/>
      <c r="F299" s="31" t="n"/>
      <c r="G299" s="29" t="n"/>
    </row>
    <row r="300" ht="15" customHeight="1" s="22">
      <c r="A300" s="29" t="n"/>
      <c r="B300" s="29" t="n"/>
      <c r="C300" s="29" t="n"/>
      <c r="D300" s="29" t="n"/>
      <c r="E300" s="29" t="n"/>
      <c r="F300" s="31" t="n"/>
      <c r="G300" s="29" t="n"/>
    </row>
  </sheetData>
  <autoFilter ref="A2:G300"/>
  <mergeCells count="1">
    <mergeCell ref="A1:G1"/>
  </mergeCells>
  <dataValidations count="1">
    <dataValidation sqref="G3:G300" showDropDown="0" showInputMessage="0" showErrorMessage="0" allowBlank="1" type="list" errorStyle="stop" operator="between">
      <formula1>"A faire,En cours,Fait"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6" customWidth="1" style="21" min="1" max="1"/>
    <col width="14" customWidth="1" style="21" min="2" max="2"/>
    <col width="18" customWidth="1" style="21" min="3" max="3"/>
    <col width="27" customWidth="1" style="21" min="4" max="4"/>
    <col width="28" customWidth="1" style="21" min="5" max="5"/>
    <col width="32" customWidth="1" style="21" min="6" max="6"/>
  </cols>
  <sheetData>
    <row r="1" ht="30" customHeight="1" s="22">
      <c r="A1" s="23" t="inlineStr">
        <is>
          <t>BIBLIOTHEQUE DES DOCUMENTS OFFICIELS</t>
        </is>
      </c>
    </row>
    <row r="2" ht="31.5" customHeight="1" s="22">
      <c r="A2" s="28" t="inlineStr">
        <is>
          <t>Titre du document (**)</t>
        </is>
      </c>
      <c r="B2" s="28" t="inlineStr">
        <is>
          <t>Type (**)</t>
        </is>
      </c>
      <c r="C2" s="28" t="inlineStr">
        <is>
          <t>Reference (**)</t>
        </is>
      </c>
      <c r="D2" s="28" t="inlineStr">
        <is>
          <t>Chemin / lien local (*)</t>
        </is>
      </c>
      <c r="E2" s="28" t="inlineStr">
        <is>
          <t>Date de mise a jour (**)</t>
        </is>
      </c>
      <c r="F2" s="28" t="inlineStr">
        <is>
          <t>Responsable mise a jour (**)</t>
        </is>
      </c>
    </row>
    <row r="3" ht="15" customHeight="1" s="22">
      <c r="A3" s="29" t="n"/>
      <c r="B3" s="29" t="n"/>
      <c r="C3" s="29" t="n"/>
      <c r="D3" s="29" t="n"/>
      <c r="E3" s="31" t="n"/>
      <c r="F3" s="29" t="n"/>
    </row>
    <row r="4" ht="15" customHeight="1" s="22">
      <c r="A4" s="29" t="n"/>
      <c r="B4" s="29" t="n"/>
      <c r="C4" s="29" t="n"/>
      <c r="D4" s="29" t="n"/>
      <c r="E4" s="31" t="n"/>
      <c r="F4" s="29" t="n"/>
    </row>
    <row r="5" ht="15" customHeight="1" s="22">
      <c r="A5" s="29" t="n"/>
      <c r="B5" s="29" t="n"/>
      <c r="C5" s="29" t="n"/>
      <c r="D5" s="29" t="n"/>
      <c r="E5" s="31" t="n"/>
      <c r="F5" s="29" t="n"/>
    </row>
    <row r="6" ht="15" customHeight="1" s="22">
      <c r="A6" s="29" t="n"/>
      <c r="B6" s="29" t="n"/>
      <c r="C6" s="29" t="n"/>
      <c r="D6" s="29" t="n"/>
      <c r="E6" s="31" t="n"/>
      <c r="F6" s="29" t="n"/>
    </row>
    <row r="7" ht="15" customHeight="1" s="22">
      <c r="A7" s="29" t="n"/>
      <c r="B7" s="29" t="n"/>
      <c r="C7" s="29" t="n"/>
      <c r="D7" s="29" t="n"/>
      <c r="E7" s="31" t="n"/>
      <c r="F7" s="29" t="n"/>
    </row>
    <row r="8" ht="15" customHeight="1" s="22">
      <c r="A8" s="29" t="n"/>
      <c r="B8" s="29" t="n"/>
      <c r="C8" s="29" t="n"/>
      <c r="D8" s="29" t="n"/>
      <c r="E8" s="31" t="n"/>
      <c r="F8" s="29" t="n"/>
    </row>
    <row r="9" ht="15" customHeight="1" s="22">
      <c r="A9" s="29" t="n"/>
      <c r="B9" s="29" t="n"/>
      <c r="C9" s="29" t="n"/>
      <c r="D9" s="29" t="n"/>
      <c r="E9" s="31" t="n"/>
      <c r="F9" s="29" t="n"/>
    </row>
    <row r="10" ht="15" customHeight="1" s="22">
      <c r="A10" s="29" t="n"/>
      <c r="B10" s="29" t="n"/>
      <c r="C10" s="29" t="n"/>
      <c r="D10" s="29" t="n"/>
      <c r="E10" s="31" t="n"/>
      <c r="F10" s="29" t="n"/>
    </row>
    <row r="11" ht="15" customHeight="1" s="22">
      <c r="A11" s="29" t="n"/>
      <c r="B11" s="29" t="n"/>
      <c r="C11" s="29" t="n"/>
      <c r="D11" s="29" t="n"/>
      <c r="E11" s="31" t="n"/>
      <c r="F11" s="29" t="n"/>
    </row>
    <row r="12" ht="15" customHeight="1" s="22">
      <c r="A12" s="29" t="n"/>
      <c r="B12" s="29" t="n"/>
      <c r="C12" s="29" t="n"/>
      <c r="D12" s="29" t="n"/>
      <c r="E12" s="31" t="n"/>
      <c r="F12" s="29" t="n"/>
    </row>
    <row r="13" ht="15" customHeight="1" s="22">
      <c r="A13" s="29" t="n"/>
      <c r="B13" s="29" t="n"/>
      <c r="C13" s="29" t="n"/>
      <c r="D13" s="29" t="n"/>
      <c r="E13" s="31" t="n"/>
      <c r="F13" s="29" t="n"/>
    </row>
    <row r="14" ht="15" customHeight="1" s="22">
      <c r="A14" s="29" t="n"/>
      <c r="B14" s="29" t="n"/>
      <c r="C14" s="29" t="n"/>
      <c r="D14" s="29" t="n"/>
      <c r="E14" s="31" t="n"/>
      <c r="F14" s="29" t="n"/>
    </row>
    <row r="15" ht="15" customHeight="1" s="22">
      <c r="A15" s="29" t="n"/>
      <c r="B15" s="29" t="n"/>
      <c r="C15" s="29" t="n"/>
      <c r="D15" s="29" t="n"/>
      <c r="E15" s="31" t="n"/>
      <c r="F15" s="29" t="n"/>
    </row>
    <row r="16" ht="15" customHeight="1" s="22">
      <c r="A16" s="29" t="n"/>
      <c r="B16" s="29" t="n"/>
      <c r="C16" s="29" t="n"/>
      <c r="D16" s="29" t="n"/>
      <c r="E16" s="31" t="n"/>
      <c r="F16" s="29" t="n"/>
    </row>
    <row r="17" ht="15" customHeight="1" s="22">
      <c r="A17" s="29" t="n"/>
      <c r="B17" s="29" t="n"/>
      <c r="C17" s="29" t="n"/>
      <c r="D17" s="29" t="n"/>
      <c r="E17" s="31" t="n"/>
      <c r="F17" s="29" t="n"/>
    </row>
    <row r="18" ht="15" customHeight="1" s="22">
      <c r="A18" s="29" t="n"/>
      <c r="B18" s="29" t="n"/>
      <c r="C18" s="29" t="n"/>
      <c r="D18" s="29" t="n"/>
      <c r="E18" s="31" t="n"/>
      <c r="F18" s="29" t="n"/>
    </row>
    <row r="19" ht="15" customHeight="1" s="22">
      <c r="A19" s="29" t="n"/>
      <c r="B19" s="29" t="n"/>
      <c r="C19" s="29" t="n"/>
      <c r="D19" s="29" t="n"/>
      <c r="E19" s="31" t="n"/>
      <c r="F19" s="29" t="n"/>
    </row>
    <row r="20" ht="15" customHeight="1" s="22">
      <c r="A20" s="29" t="n"/>
      <c r="B20" s="29" t="n"/>
      <c r="C20" s="29" t="n"/>
      <c r="D20" s="29" t="n"/>
      <c r="E20" s="31" t="n"/>
      <c r="F20" s="29" t="n"/>
    </row>
    <row r="21" ht="15" customHeight="1" s="22">
      <c r="A21" s="29" t="n"/>
      <c r="B21" s="29" t="n"/>
      <c r="C21" s="29" t="n"/>
      <c r="D21" s="29" t="n"/>
      <c r="E21" s="31" t="n"/>
      <c r="F21" s="29" t="n"/>
    </row>
    <row r="22" ht="15" customHeight="1" s="22">
      <c r="A22" s="29" t="n"/>
      <c r="B22" s="29" t="n"/>
      <c r="C22" s="29" t="n"/>
      <c r="D22" s="29" t="n"/>
      <c r="E22" s="31" t="n"/>
      <c r="F22" s="29" t="n"/>
    </row>
    <row r="23" ht="15" customHeight="1" s="22">
      <c r="A23" s="29" t="n"/>
      <c r="B23" s="29" t="n"/>
      <c r="C23" s="29" t="n"/>
      <c r="D23" s="29" t="n"/>
      <c r="E23" s="31" t="n"/>
      <c r="F23" s="29" t="n"/>
    </row>
    <row r="24" ht="15" customHeight="1" s="22">
      <c r="A24" s="29" t="n"/>
      <c r="B24" s="29" t="n"/>
      <c r="C24" s="29" t="n"/>
      <c r="D24" s="29" t="n"/>
      <c r="E24" s="31" t="n"/>
      <c r="F24" s="29" t="n"/>
    </row>
    <row r="25" ht="15" customHeight="1" s="22">
      <c r="A25" s="29" t="n"/>
      <c r="B25" s="29" t="n"/>
      <c r="C25" s="29" t="n"/>
      <c r="D25" s="29" t="n"/>
      <c r="E25" s="31" t="n"/>
      <c r="F25" s="29" t="n"/>
    </row>
    <row r="26" ht="15" customHeight="1" s="22">
      <c r="A26" s="29" t="n"/>
      <c r="B26" s="29" t="n"/>
      <c r="C26" s="29" t="n"/>
      <c r="D26" s="29" t="n"/>
      <c r="E26" s="31" t="n"/>
      <c r="F26" s="29" t="n"/>
    </row>
    <row r="27" ht="15" customHeight="1" s="22">
      <c r="A27" s="29" t="n"/>
      <c r="B27" s="29" t="n"/>
      <c r="C27" s="29" t="n"/>
      <c r="D27" s="29" t="n"/>
      <c r="E27" s="31" t="n"/>
      <c r="F27" s="29" t="n"/>
    </row>
    <row r="28" ht="15" customHeight="1" s="22">
      <c r="A28" s="29" t="n"/>
      <c r="B28" s="29" t="n"/>
      <c r="C28" s="29" t="n"/>
      <c r="D28" s="29" t="n"/>
      <c r="E28" s="31" t="n"/>
      <c r="F28" s="29" t="n"/>
    </row>
    <row r="29" ht="15" customHeight="1" s="22">
      <c r="A29" s="29" t="n"/>
      <c r="B29" s="29" t="n"/>
      <c r="C29" s="29" t="n"/>
      <c r="D29" s="29" t="n"/>
      <c r="E29" s="31" t="n"/>
      <c r="F29" s="29" t="n"/>
    </row>
    <row r="30" ht="15" customHeight="1" s="22">
      <c r="A30" s="29" t="n"/>
      <c r="B30" s="29" t="n"/>
      <c r="C30" s="29" t="n"/>
      <c r="D30" s="29" t="n"/>
      <c r="E30" s="31" t="n"/>
      <c r="F30" s="29" t="n"/>
    </row>
    <row r="31" ht="15" customHeight="1" s="22">
      <c r="A31" s="29" t="n"/>
      <c r="B31" s="29" t="n"/>
      <c r="C31" s="29" t="n"/>
      <c r="D31" s="29" t="n"/>
      <c r="E31" s="31" t="n"/>
      <c r="F31" s="29" t="n"/>
    </row>
    <row r="32" ht="15" customHeight="1" s="22">
      <c r="A32" s="29" t="n"/>
      <c r="B32" s="29" t="n"/>
      <c r="C32" s="29" t="n"/>
      <c r="D32" s="29" t="n"/>
      <c r="E32" s="31" t="n"/>
      <c r="F32" s="29" t="n"/>
    </row>
    <row r="33" ht="15" customHeight="1" s="22">
      <c r="A33" s="29" t="n"/>
      <c r="B33" s="29" t="n"/>
      <c r="C33" s="29" t="n"/>
      <c r="D33" s="29" t="n"/>
      <c r="E33" s="31" t="n"/>
      <c r="F33" s="29" t="n"/>
    </row>
    <row r="34" ht="15" customHeight="1" s="22">
      <c r="A34" s="29" t="n"/>
      <c r="B34" s="29" t="n"/>
      <c r="C34" s="29" t="n"/>
      <c r="D34" s="29" t="n"/>
      <c r="E34" s="31" t="n"/>
      <c r="F34" s="29" t="n"/>
    </row>
    <row r="35" ht="15" customHeight="1" s="22">
      <c r="A35" s="29" t="n"/>
      <c r="B35" s="29" t="n"/>
      <c r="C35" s="29" t="n"/>
      <c r="D35" s="29" t="n"/>
      <c r="E35" s="31" t="n"/>
      <c r="F35" s="29" t="n"/>
    </row>
    <row r="36" ht="15" customHeight="1" s="22">
      <c r="A36" s="29" t="n"/>
      <c r="B36" s="29" t="n"/>
      <c r="C36" s="29" t="n"/>
      <c r="D36" s="29" t="n"/>
      <c r="E36" s="31" t="n"/>
      <c r="F36" s="29" t="n"/>
    </row>
    <row r="37" ht="15" customHeight="1" s="22">
      <c r="A37" s="29" t="n"/>
      <c r="B37" s="29" t="n"/>
      <c r="C37" s="29" t="n"/>
      <c r="D37" s="29" t="n"/>
      <c r="E37" s="31" t="n"/>
      <c r="F37" s="29" t="n"/>
    </row>
    <row r="38" ht="15" customHeight="1" s="22">
      <c r="A38" s="29" t="n"/>
      <c r="B38" s="29" t="n"/>
      <c r="C38" s="29" t="n"/>
      <c r="D38" s="29" t="n"/>
      <c r="E38" s="31" t="n"/>
      <c r="F38" s="29" t="n"/>
    </row>
    <row r="39" ht="15" customHeight="1" s="22">
      <c r="A39" s="29" t="n"/>
      <c r="B39" s="29" t="n"/>
      <c r="C39" s="29" t="n"/>
      <c r="D39" s="29" t="n"/>
      <c r="E39" s="31" t="n"/>
      <c r="F39" s="29" t="n"/>
    </row>
    <row r="40" ht="15" customHeight="1" s="22">
      <c r="A40" s="29" t="n"/>
      <c r="B40" s="29" t="n"/>
      <c r="C40" s="29" t="n"/>
      <c r="D40" s="29" t="n"/>
      <c r="E40" s="31" t="n"/>
      <c r="F40" s="29" t="n"/>
    </row>
    <row r="41" ht="15" customHeight="1" s="22">
      <c r="A41" s="29" t="n"/>
      <c r="B41" s="29" t="n"/>
      <c r="C41" s="29" t="n"/>
      <c r="D41" s="29" t="n"/>
      <c r="E41" s="31" t="n"/>
      <c r="F41" s="29" t="n"/>
    </row>
    <row r="42" ht="15" customHeight="1" s="22">
      <c r="A42" s="29" t="n"/>
      <c r="B42" s="29" t="n"/>
      <c r="C42" s="29" t="n"/>
      <c r="D42" s="29" t="n"/>
      <c r="E42" s="31" t="n"/>
      <c r="F42" s="29" t="n"/>
    </row>
    <row r="43" ht="15" customHeight="1" s="22">
      <c r="A43" s="29" t="n"/>
      <c r="B43" s="29" t="n"/>
      <c r="C43" s="29" t="n"/>
      <c r="D43" s="29" t="n"/>
      <c r="E43" s="31" t="n"/>
      <c r="F43" s="29" t="n"/>
    </row>
    <row r="44" ht="15" customHeight="1" s="22">
      <c r="A44" s="29" t="n"/>
      <c r="B44" s="29" t="n"/>
      <c r="C44" s="29" t="n"/>
      <c r="D44" s="29" t="n"/>
      <c r="E44" s="31" t="n"/>
      <c r="F44" s="29" t="n"/>
    </row>
    <row r="45" ht="15" customHeight="1" s="22">
      <c r="A45" s="29" t="n"/>
      <c r="B45" s="29" t="n"/>
      <c r="C45" s="29" t="n"/>
      <c r="D45" s="29" t="n"/>
      <c r="E45" s="31" t="n"/>
      <c r="F45" s="29" t="n"/>
    </row>
    <row r="46" ht="15" customHeight="1" s="22">
      <c r="A46" s="29" t="n"/>
      <c r="B46" s="29" t="n"/>
      <c r="C46" s="29" t="n"/>
      <c r="D46" s="29" t="n"/>
      <c r="E46" s="31" t="n"/>
      <c r="F46" s="29" t="n"/>
    </row>
    <row r="47" ht="15" customHeight="1" s="22">
      <c r="A47" s="29" t="n"/>
      <c r="B47" s="29" t="n"/>
      <c r="C47" s="29" t="n"/>
      <c r="D47" s="29" t="n"/>
      <c r="E47" s="31" t="n"/>
      <c r="F47" s="29" t="n"/>
    </row>
    <row r="48" ht="15" customHeight="1" s="22">
      <c r="A48" s="29" t="n"/>
      <c r="B48" s="29" t="n"/>
      <c r="C48" s="29" t="n"/>
      <c r="D48" s="29" t="n"/>
      <c r="E48" s="31" t="n"/>
      <c r="F48" s="29" t="n"/>
    </row>
    <row r="49" ht="15" customHeight="1" s="22">
      <c r="A49" s="29" t="n"/>
      <c r="B49" s="29" t="n"/>
      <c r="C49" s="29" t="n"/>
      <c r="D49" s="29" t="n"/>
      <c r="E49" s="31" t="n"/>
      <c r="F49" s="29" t="n"/>
    </row>
    <row r="50" ht="15" customHeight="1" s="22">
      <c r="A50" s="29" t="n"/>
      <c r="B50" s="29" t="n"/>
      <c r="C50" s="29" t="n"/>
      <c r="D50" s="29" t="n"/>
      <c r="E50" s="31" t="n"/>
      <c r="F50" s="29" t="n"/>
    </row>
    <row r="51" ht="15" customHeight="1" s="22">
      <c r="A51" s="29" t="n"/>
      <c r="B51" s="29" t="n"/>
      <c r="C51" s="29" t="n"/>
      <c r="D51" s="29" t="n"/>
      <c r="E51" s="31" t="n"/>
      <c r="F51" s="29" t="n"/>
    </row>
    <row r="52" ht="15" customHeight="1" s="22">
      <c r="A52" s="29" t="n"/>
      <c r="B52" s="29" t="n"/>
      <c r="C52" s="29" t="n"/>
      <c r="D52" s="29" t="n"/>
      <c r="E52" s="31" t="n"/>
      <c r="F52" s="29" t="n"/>
    </row>
    <row r="53" ht="15" customHeight="1" s="22">
      <c r="A53" s="29" t="n"/>
      <c r="B53" s="29" t="n"/>
      <c r="C53" s="29" t="n"/>
      <c r="D53" s="29" t="n"/>
      <c r="E53" s="31" t="n"/>
      <c r="F53" s="29" t="n"/>
    </row>
    <row r="54" ht="15" customHeight="1" s="22">
      <c r="A54" s="29" t="n"/>
      <c r="B54" s="29" t="n"/>
      <c r="C54" s="29" t="n"/>
      <c r="D54" s="29" t="n"/>
      <c r="E54" s="31" t="n"/>
      <c r="F54" s="29" t="n"/>
    </row>
    <row r="55" ht="15" customHeight="1" s="22">
      <c r="A55" s="29" t="n"/>
      <c r="B55" s="29" t="n"/>
      <c r="C55" s="29" t="n"/>
      <c r="D55" s="29" t="n"/>
      <c r="E55" s="31" t="n"/>
      <c r="F55" s="29" t="n"/>
    </row>
    <row r="56" ht="15" customHeight="1" s="22">
      <c r="A56" s="29" t="n"/>
      <c r="B56" s="29" t="n"/>
      <c r="C56" s="29" t="n"/>
      <c r="D56" s="29" t="n"/>
      <c r="E56" s="31" t="n"/>
      <c r="F56" s="29" t="n"/>
    </row>
    <row r="57" ht="15" customHeight="1" s="22">
      <c r="A57" s="29" t="n"/>
      <c r="B57" s="29" t="n"/>
      <c r="C57" s="29" t="n"/>
      <c r="D57" s="29" t="n"/>
      <c r="E57" s="31" t="n"/>
      <c r="F57" s="29" t="n"/>
    </row>
    <row r="58" ht="15" customHeight="1" s="22">
      <c r="A58" s="29" t="n"/>
      <c r="B58" s="29" t="n"/>
      <c r="C58" s="29" t="n"/>
      <c r="D58" s="29" t="n"/>
      <c r="E58" s="31" t="n"/>
      <c r="F58" s="29" t="n"/>
    </row>
    <row r="59" ht="15" customHeight="1" s="22">
      <c r="A59" s="29" t="n"/>
      <c r="B59" s="29" t="n"/>
      <c r="C59" s="29" t="n"/>
      <c r="D59" s="29" t="n"/>
      <c r="E59" s="31" t="n"/>
      <c r="F59" s="29" t="n"/>
    </row>
    <row r="60" ht="15" customHeight="1" s="22">
      <c r="A60" s="29" t="n"/>
      <c r="B60" s="29" t="n"/>
      <c r="C60" s="29" t="n"/>
      <c r="D60" s="29" t="n"/>
      <c r="E60" s="31" t="n"/>
      <c r="F60" s="29" t="n"/>
    </row>
    <row r="61" ht="15" customHeight="1" s="22">
      <c r="A61" s="29" t="n"/>
      <c r="B61" s="29" t="n"/>
      <c r="C61" s="29" t="n"/>
      <c r="D61" s="29" t="n"/>
      <c r="E61" s="31" t="n"/>
      <c r="F61" s="29" t="n"/>
    </row>
    <row r="62" ht="15" customHeight="1" s="22">
      <c r="A62" s="29" t="n"/>
      <c r="B62" s="29" t="n"/>
      <c r="C62" s="29" t="n"/>
      <c r="D62" s="29" t="n"/>
      <c r="E62" s="31" t="n"/>
      <c r="F62" s="29" t="n"/>
    </row>
    <row r="63" ht="15" customHeight="1" s="22">
      <c r="A63" s="29" t="n"/>
      <c r="B63" s="29" t="n"/>
      <c r="C63" s="29" t="n"/>
      <c r="D63" s="29" t="n"/>
      <c r="E63" s="31" t="n"/>
      <c r="F63" s="29" t="n"/>
    </row>
    <row r="64" ht="15" customHeight="1" s="22">
      <c r="A64" s="29" t="n"/>
      <c r="B64" s="29" t="n"/>
      <c r="C64" s="29" t="n"/>
      <c r="D64" s="29" t="n"/>
      <c r="E64" s="31" t="n"/>
      <c r="F64" s="29" t="n"/>
    </row>
    <row r="65" ht="15" customHeight="1" s="22">
      <c r="A65" s="29" t="n"/>
      <c r="B65" s="29" t="n"/>
      <c r="C65" s="29" t="n"/>
      <c r="D65" s="29" t="n"/>
      <c r="E65" s="31" t="n"/>
      <c r="F65" s="29" t="n"/>
    </row>
    <row r="66" ht="15" customHeight="1" s="22">
      <c r="A66" s="29" t="n"/>
      <c r="B66" s="29" t="n"/>
      <c r="C66" s="29" t="n"/>
      <c r="D66" s="29" t="n"/>
      <c r="E66" s="31" t="n"/>
      <c r="F66" s="29" t="n"/>
    </row>
    <row r="67" ht="15" customHeight="1" s="22">
      <c r="A67" s="29" t="n"/>
      <c r="B67" s="29" t="n"/>
      <c r="C67" s="29" t="n"/>
      <c r="D67" s="29" t="n"/>
      <c r="E67" s="31" t="n"/>
      <c r="F67" s="29" t="n"/>
    </row>
    <row r="68" ht="15" customHeight="1" s="22">
      <c r="A68" s="29" t="n"/>
      <c r="B68" s="29" t="n"/>
      <c r="C68" s="29" t="n"/>
      <c r="D68" s="29" t="n"/>
      <c r="E68" s="31" t="n"/>
      <c r="F68" s="29" t="n"/>
    </row>
    <row r="69" ht="15" customHeight="1" s="22">
      <c r="A69" s="29" t="n"/>
      <c r="B69" s="29" t="n"/>
      <c r="C69" s="29" t="n"/>
      <c r="D69" s="29" t="n"/>
      <c r="E69" s="31" t="n"/>
      <c r="F69" s="29" t="n"/>
    </row>
    <row r="70" ht="15" customHeight="1" s="22">
      <c r="A70" s="29" t="n"/>
      <c r="B70" s="29" t="n"/>
      <c r="C70" s="29" t="n"/>
      <c r="D70" s="29" t="n"/>
      <c r="E70" s="31" t="n"/>
      <c r="F70" s="29" t="n"/>
    </row>
    <row r="71" ht="15" customHeight="1" s="22">
      <c r="A71" s="29" t="n"/>
      <c r="B71" s="29" t="n"/>
      <c r="C71" s="29" t="n"/>
      <c r="D71" s="29" t="n"/>
      <c r="E71" s="31" t="n"/>
      <c r="F71" s="29" t="n"/>
    </row>
    <row r="72" ht="15" customHeight="1" s="22">
      <c r="A72" s="29" t="n"/>
      <c r="B72" s="29" t="n"/>
      <c r="C72" s="29" t="n"/>
      <c r="D72" s="29" t="n"/>
      <c r="E72" s="31" t="n"/>
      <c r="F72" s="29" t="n"/>
    </row>
    <row r="73" ht="15" customHeight="1" s="22">
      <c r="A73" s="29" t="n"/>
      <c r="B73" s="29" t="n"/>
      <c r="C73" s="29" t="n"/>
      <c r="D73" s="29" t="n"/>
      <c r="E73" s="31" t="n"/>
      <c r="F73" s="29" t="n"/>
    </row>
    <row r="74" ht="15" customHeight="1" s="22">
      <c r="A74" s="29" t="n"/>
      <c r="B74" s="29" t="n"/>
      <c r="C74" s="29" t="n"/>
      <c r="D74" s="29" t="n"/>
      <c r="E74" s="31" t="n"/>
      <c r="F74" s="29" t="n"/>
    </row>
    <row r="75" ht="15" customHeight="1" s="22">
      <c r="A75" s="29" t="n"/>
      <c r="B75" s="29" t="n"/>
      <c r="C75" s="29" t="n"/>
      <c r="D75" s="29" t="n"/>
      <c r="E75" s="31" t="n"/>
      <c r="F75" s="29" t="n"/>
    </row>
    <row r="76" ht="15" customHeight="1" s="22">
      <c r="A76" s="29" t="n"/>
      <c r="B76" s="29" t="n"/>
      <c r="C76" s="29" t="n"/>
      <c r="D76" s="29" t="n"/>
      <c r="E76" s="31" t="n"/>
      <c r="F76" s="29" t="n"/>
    </row>
    <row r="77" ht="15" customHeight="1" s="22">
      <c r="A77" s="29" t="n"/>
      <c r="B77" s="29" t="n"/>
      <c r="C77" s="29" t="n"/>
      <c r="D77" s="29" t="n"/>
      <c r="E77" s="31" t="n"/>
      <c r="F77" s="29" t="n"/>
    </row>
    <row r="78" ht="15" customHeight="1" s="22">
      <c r="A78" s="29" t="n"/>
      <c r="B78" s="29" t="n"/>
      <c r="C78" s="29" t="n"/>
      <c r="D78" s="29" t="n"/>
      <c r="E78" s="31" t="n"/>
      <c r="F78" s="29" t="n"/>
    </row>
    <row r="79" ht="15" customHeight="1" s="22">
      <c r="A79" s="29" t="n"/>
      <c r="B79" s="29" t="n"/>
      <c r="C79" s="29" t="n"/>
      <c r="D79" s="29" t="n"/>
      <c r="E79" s="31" t="n"/>
      <c r="F79" s="29" t="n"/>
    </row>
    <row r="80" ht="15" customHeight="1" s="22">
      <c r="A80" s="29" t="n"/>
      <c r="B80" s="29" t="n"/>
      <c r="C80" s="29" t="n"/>
      <c r="D80" s="29" t="n"/>
      <c r="E80" s="31" t="n"/>
      <c r="F80" s="29" t="n"/>
    </row>
    <row r="81" ht="15" customHeight="1" s="22">
      <c r="A81" s="29" t="n"/>
      <c r="B81" s="29" t="n"/>
      <c r="C81" s="29" t="n"/>
      <c r="D81" s="29" t="n"/>
      <c r="E81" s="31" t="n"/>
      <c r="F81" s="29" t="n"/>
    </row>
    <row r="82" ht="15" customHeight="1" s="22">
      <c r="A82" s="29" t="n"/>
      <c r="B82" s="29" t="n"/>
      <c r="C82" s="29" t="n"/>
      <c r="D82" s="29" t="n"/>
      <c r="E82" s="31" t="n"/>
      <c r="F82" s="29" t="n"/>
    </row>
    <row r="83" ht="15" customHeight="1" s="22">
      <c r="A83" s="29" t="n"/>
      <c r="B83" s="29" t="n"/>
      <c r="C83" s="29" t="n"/>
      <c r="D83" s="29" t="n"/>
      <c r="E83" s="31" t="n"/>
      <c r="F83" s="29" t="n"/>
    </row>
    <row r="84" ht="15" customHeight="1" s="22">
      <c r="A84" s="29" t="n"/>
      <c r="B84" s="29" t="n"/>
      <c r="C84" s="29" t="n"/>
      <c r="D84" s="29" t="n"/>
      <c r="E84" s="31" t="n"/>
      <c r="F84" s="29" t="n"/>
    </row>
    <row r="85" ht="15" customHeight="1" s="22">
      <c r="A85" s="29" t="n"/>
      <c r="B85" s="29" t="n"/>
      <c r="C85" s="29" t="n"/>
      <c r="D85" s="29" t="n"/>
      <c r="E85" s="31" t="n"/>
      <c r="F85" s="29" t="n"/>
    </row>
    <row r="86" ht="15" customHeight="1" s="22">
      <c r="A86" s="29" t="n"/>
      <c r="B86" s="29" t="n"/>
      <c r="C86" s="29" t="n"/>
      <c r="D86" s="29" t="n"/>
      <c r="E86" s="31" t="n"/>
      <c r="F86" s="29" t="n"/>
    </row>
    <row r="87" ht="15" customHeight="1" s="22">
      <c r="A87" s="29" t="n"/>
      <c r="B87" s="29" t="n"/>
      <c r="C87" s="29" t="n"/>
      <c r="D87" s="29" t="n"/>
      <c r="E87" s="31" t="n"/>
      <c r="F87" s="29" t="n"/>
    </row>
    <row r="88" ht="15" customHeight="1" s="22">
      <c r="A88" s="29" t="n"/>
      <c r="B88" s="29" t="n"/>
      <c r="C88" s="29" t="n"/>
      <c r="D88" s="29" t="n"/>
      <c r="E88" s="31" t="n"/>
      <c r="F88" s="29" t="n"/>
    </row>
    <row r="89" ht="15" customHeight="1" s="22">
      <c r="A89" s="29" t="n"/>
      <c r="B89" s="29" t="n"/>
      <c r="C89" s="29" t="n"/>
      <c r="D89" s="29" t="n"/>
      <c r="E89" s="31" t="n"/>
      <c r="F89" s="29" t="n"/>
    </row>
    <row r="90" ht="15" customHeight="1" s="22">
      <c r="A90" s="29" t="n"/>
      <c r="B90" s="29" t="n"/>
      <c r="C90" s="29" t="n"/>
      <c r="D90" s="29" t="n"/>
      <c r="E90" s="31" t="n"/>
      <c r="F90" s="29" t="n"/>
    </row>
    <row r="91" ht="15" customHeight="1" s="22">
      <c r="A91" s="29" t="n"/>
      <c r="B91" s="29" t="n"/>
      <c r="C91" s="29" t="n"/>
      <c r="D91" s="29" t="n"/>
      <c r="E91" s="31" t="n"/>
      <c r="F91" s="29" t="n"/>
    </row>
    <row r="92" ht="15" customHeight="1" s="22">
      <c r="A92" s="29" t="n"/>
      <c r="B92" s="29" t="n"/>
      <c r="C92" s="29" t="n"/>
      <c r="D92" s="29" t="n"/>
      <c r="E92" s="31" t="n"/>
      <c r="F92" s="29" t="n"/>
    </row>
    <row r="93" ht="15" customHeight="1" s="22">
      <c r="A93" s="29" t="n"/>
      <c r="B93" s="29" t="n"/>
      <c r="C93" s="29" t="n"/>
      <c r="D93" s="29" t="n"/>
      <c r="E93" s="31" t="n"/>
      <c r="F93" s="29" t="n"/>
    </row>
    <row r="94" ht="15" customHeight="1" s="22">
      <c r="A94" s="29" t="n"/>
      <c r="B94" s="29" t="n"/>
      <c r="C94" s="29" t="n"/>
      <c r="D94" s="29" t="n"/>
      <c r="E94" s="31" t="n"/>
      <c r="F94" s="29" t="n"/>
    </row>
    <row r="95" ht="15" customHeight="1" s="22">
      <c r="A95" s="29" t="n"/>
      <c r="B95" s="29" t="n"/>
      <c r="C95" s="29" t="n"/>
      <c r="D95" s="29" t="n"/>
      <c r="E95" s="31" t="n"/>
      <c r="F95" s="29" t="n"/>
    </row>
    <row r="96" ht="15" customHeight="1" s="22">
      <c r="A96" s="29" t="n"/>
      <c r="B96" s="29" t="n"/>
      <c r="C96" s="29" t="n"/>
      <c r="D96" s="29" t="n"/>
      <c r="E96" s="31" t="n"/>
      <c r="F96" s="29" t="n"/>
    </row>
    <row r="97" ht="15" customHeight="1" s="22">
      <c r="A97" s="29" t="n"/>
      <c r="B97" s="29" t="n"/>
      <c r="C97" s="29" t="n"/>
      <c r="D97" s="29" t="n"/>
      <c r="E97" s="31" t="n"/>
      <c r="F97" s="29" t="n"/>
    </row>
    <row r="98" ht="15" customHeight="1" s="22">
      <c r="A98" s="29" t="n"/>
      <c r="B98" s="29" t="n"/>
      <c r="C98" s="29" t="n"/>
      <c r="D98" s="29" t="n"/>
      <c r="E98" s="31" t="n"/>
      <c r="F98" s="29" t="n"/>
    </row>
    <row r="99" ht="15" customHeight="1" s="22">
      <c r="A99" s="29" t="n"/>
      <c r="B99" s="29" t="n"/>
      <c r="C99" s="29" t="n"/>
      <c r="D99" s="29" t="n"/>
      <c r="E99" s="31" t="n"/>
      <c r="F99" s="29" t="n"/>
    </row>
    <row r="100" ht="15" customHeight="1" s="22">
      <c r="A100" s="29" t="n"/>
      <c r="B100" s="29" t="n"/>
      <c r="C100" s="29" t="n"/>
      <c r="D100" s="29" t="n"/>
      <c r="E100" s="31" t="n"/>
      <c r="F100" s="29" t="n"/>
    </row>
    <row r="101" ht="15" customHeight="1" s="22">
      <c r="A101" s="29" t="n"/>
      <c r="B101" s="29" t="n"/>
      <c r="C101" s="29" t="n"/>
      <c r="D101" s="29" t="n"/>
      <c r="E101" s="31" t="n"/>
      <c r="F101" s="29" t="n"/>
    </row>
    <row r="102" ht="15" customHeight="1" s="22">
      <c r="A102" s="29" t="n"/>
      <c r="B102" s="29" t="n"/>
      <c r="C102" s="29" t="n"/>
      <c r="D102" s="29" t="n"/>
      <c r="E102" s="31" t="n"/>
      <c r="F102" s="29" t="n"/>
    </row>
    <row r="103" ht="15" customHeight="1" s="22">
      <c r="A103" s="29" t="n"/>
      <c r="B103" s="29" t="n"/>
      <c r="C103" s="29" t="n"/>
      <c r="D103" s="29" t="n"/>
      <c r="E103" s="31" t="n"/>
      <c r="F103" s="29" t="n"/>
    </row>
    <row r="104" ht="15" customHeight="1" s="22">
      <c r="A104" s="29" t="n"/>
      <c r="B104" s="29" t="n"/>
      <c r="C104" s="29" t="n"/>
      <c r="D104" s="29" t="n"/>
      <c r="E104" s="31" t="n"/>
      <c r="F104" s="29" t="n"/>
    </row>
    <row r="105" ht="15" customHeight="1" s="22">
      <c r="A105" s="29" t="n"/>
      <c r="B105" s="29" t="n"/>
      <c r="C105" s="29" t="n"/>
      <c r="D105" s="29" t="n"/>
      <c r="E105" s="31" t="n"/>
      <c r="F105" s="29" t="n"/>
    </row>
    <row r="106" ht="15" customHeight="1" s="22">
      <c r="A106" s="29" t="n"/>
      <c r="B106" s="29" t="n"/>
      <c r="C106" s="29" t="n"/>
      <c r="D106" s="29" t="n"/>
      <c r="E106" s="31" t="n"/>
      <c r="F106" s="29" t="n"/>
    </row>
    <row r="107" ht="15" customHeight="1" s="22">
      <c r="A107" s="29" t="n"/>
      <c r="B107" s="29" t="n"/>
      <c r="C107" s="29" t="n"/>
      <c r="D107" s="29" t="n"/>
      <c r="E107" s="31" t="n"/>
      <c r="F107" s="29" t="n"/>
    </row>
    <row r="108" ht="15" customHeight="1" s="22">
      <c r="A108" s="29" t="n"/>
      <c r="B108" s="29" t="n"/>
      <c r="C108" s="29" t="n"/>
      <c r="D108" s="29" t="n"/>
      <c r="E108" s="31" t="n"/>
      <c r="F108" s="29" t="n"/>
    </row>
    <row r="109" ht="15" customHeight="1" s="22">
      <c r="A109" s="29" t="n"/>
      <c r="B109" s="29" t="n"/>
      <c r="C109" s="29" t="n"/>
      <c r="D109" s="29" t="n"/>
      <c r="E109" s="31" t="n"/>
      <c r="F109" s="29" t="n"/>
    </row>
    <row r="110" ht="15" customHeight="1" s="22">
      <c r="A110" s="29" t="n"/>
      <c r="B110" s="29" t="n"/>
      <c r="C110" s="29" t="n"/>
      <c r="D110" s="29" t="n"/>
      <c r="E110" s="31" t="n"/>
      <c r="F110" s="29" t="n"/>
    </row>
    <row r="111" ht="15" customHeight="1" s="22">
      <c r="A111" s="29" t="n"/>
      <c r="B111" s="29" t="n"/>
      <c r="C111" s="29" t="n"/>
      <c r="D111" s="29" t="n"/>
      <c r="E111" s="31" t="n"/>
      <c r="F111" s="29" t="n"/>
    </row>
    <row r="112" ht="15" customHeight="1" s="22">
      <c r="A112" s="29" t="n"/>
      <c r="B112" s="29" t="n"/>
      <c r="C112" s="29" t="n"/>
      <c r="D112" s="29" t="n"/>
      <c r="E112" s="31" t="n"/>
      <c r="F112" s="29" t="n"/>
    </row>
    <row r="113" ht="15" customHeight="1" s="22">
      <c r="A113" s="29" t="n"/>
      <c r="B113" s="29" t="n"/>
      <c r="C113" s="29" t="n"/>
      <c r="D113" s="29" t="n"/>
      <c r="E113" s="31" t="n"/>
      <c r="F113" s="29" t="n"/>
    </row>
    <row r="114" ht="15" customHeight="1" s="22">
      <c r="A114" s="29" t="n"/>
      <c r="B114" s="29" t="n"/>
      <c r="C114" s="29" t="n"/>
      <c r="D114" s="29" t="n"/>
      <c r="E114" s="31" t="n"/>
      <c r="F114" s="29" t="n"/>
    </row>
    <row r="115" ht="15" customHeight="1" s="22">
      <c r="A115" s="29" t="n"/>
      <c r="B115" s="29" t="n"/>
      <c r="C115" s="29" t="n"/>
      <c r="D115" s="29" t="n"/>
      <c r="E115" s="31" t="n"/>
      <c r="F115" s="29" t="n"/>
    </row>
    <row r="116" ht="15" customHeight="1" s="22">
      <c r="A116" s="29" t="n"/>
      <c r="B116" s="29" t="n"/>
      <c r="C116" s="29" t="n"/>
      <c r="D116" s="29" t="n"/>
      <c r="E116" s="31" t="n"/>
      <c r="F116" s="29" t="n"/>
    </row>
    <row r="117" ht="15" customHeight="1" s="22">
      <c r="A117" s="29" t="n"/>
      <c r="B117" s="29" t="n"/>
      <c r="C117" s="29" t="n"/>
      <c r="D117" s="29" t="n"/>
      <c r="E117" s="31" t="n"/>
      <c r="F117" s="29" t="n"/>
    </row>
    <row r="118" ht="15" customHeight="1" s="22">
      <c r="A118" s="29" t="n"/>
      <c r="B118" s="29" t="n"/>
      <c r="C118" s="29" t="n"/>
      <c r="D118" s="29" t="n"/>
      <c r="E118" s="31" t="n"/>
      <c r="F118" s="29" t="n"/>
    </row>
    <row r="119" ht="15" customHeight="1" s="22">
      <c r="A119" s="29" t="n"/>
      <c r="B119" s="29" t="n"/>
      <c r="C119" s="29" t="n"/>
      <c r="D119" s="29" t="n"/>
      <c r="E119" s="31" t="n"/>
      <c r="F119" s="29" t="n"/>
    </row>
    <row r="120" ht="15" customHeight="1" s="22">
      <c r="A120" s="29" t="n"/>
      <c r="B120" s="29" t="n"/>
      <c r="C120" s="29" t="n"/>
      <c r="D120" s="29" t="n"/>
      <c r="E120" s="31" t="n"/>
      <c r="F120" s="29" t="n"/>
    </row>
    <row r="121" ht="15" customHeight="1" s="22">
      <c r="A121" s="29" t="n"/>
      <c r="B121" s="29" t="n"/>
      <c r="C121" s="29" t="n"/>
      <c r="D121" s="29" t="n"/>
      <c r="E121" s="31" t="n"/>
      <c r="F121" s="29" t="n"/>
    </row>
    <row r="122" ht="15" customHeight="1" s="22">
      <c r="A122" s="29" t="n"/>
      <c r="B122" s="29" t="n"/>
      <c r="C122" s="29" t="n"/>
      <c r="D122" s="29" t="n"/>
      <c r="E122" s="31" t="n"/>
      <c r="F122" s="29" t="n"/>
    </row>
    <row r="123" ht="15" customHeight="1" s="22">
      <c r="A123" s="29" t="n"/>
      <c r="B123" s="29" t="n"/>
      <c r="C123" s="29" t="n"/>
      <c r="D123" s="29" t="n"/>
      <c r="E123" s="31" t="n"/>
      <c r="F123" s="29" t="n"/>
    </row>
    <row r="124" ht="15" customHeight="1" s="22">
      <c r="A124" s="29" t="n"/>
      <c r="B124" s="29" t="n"/>
      <c r="C124" s="29" t="n"/>
      <c r="D124" s="29" t="n"/>
      <c r="E124" s="31" t="n"/>
      <c r="F124" s="29" t="n"/>
    </row>
    <row r="125" ht="15" customHeight="1" s="22">
      <c r="A125" s="29" t="n"/>
      <c r="B125" s="29" t="n"/>
      <c r="C125" s="29" t="n"/>
      <c r="D125" s="29" t="n"/>
      <c r="E125" s="31" t="n"/>
      <c r="F125" s="29" t="n"/>
    </row>
    <row r="126" ht="15" customHeight="1" s="22">
      <c r="A126" s="29" t="n"/>
      <c r="B126" s="29" t="n"/>
      <c r="C126" s="29" t="n"/>
      <c r="D126" s="29" t="n"/>
      <c r="E126" s="31" t="n"/>
      <c r="F126" s="29" t="n"/>
    </row>
    <row r="127" ht="15" customHeight="1" s="22">
      <c r="A127" s="29" t="n"/>
      <c r="B127" s="29" t="n"/>
      <c r="C127" s="29" t="n"/>
      <c r="D127" s="29" t="n"/>
      <c r="E127" s="31" t="n"/>
      <c r="F127" s="29" t="n"/>
    </row>
    <row r="128" ht="15" customHeight="1" s="22">
      <c r="A128" s="29" t="n"/>
      <c r="B128" s="29" t="n"/>
      <c r="C128" s="29" t="n"/>
      <c r="D128" s="29" t="n"/>
      <c r="E128" s="31" t="n"/>
      <c r="F128" s="29" t="n"/>
    </row>
    <row r="129" ht="15" customHeight="1" s="22">
      <c r="A129" s="29" t="n"/>
      <c r="B129" s="29" t="n"/>
      <c r="C129" s="29" t="n"/>
      <c r="D129" s="29" t="n"/>
      <c r="E129" s="31" t="n"/>
      <c r="F129" s="29" t="n"/>
    </row>
    <row r="130" ht="15" customHeight="1" s="22">
      <c r="A130" s="29" t="n"/>
      <c r="B130" s="29" t="n"/>
      <c r="C130" s="29" t="n"/>
      <c r="D130" s="29" t="n"/>
      <c r="E130" s="31" t="n"/>
      <c r="F130" s="29" t="n"/>
    </row>
    <row r="131" ht="15" customHeight="1" s="22">
      <c r="A131" s="29" t="n"/>
      <c r="B131" s="29" t="n"/>
      <c r="C131" s="29" t="n"/>
      <c r="D131" s="29" t="n"/>
      <c r="E131" s="31" t="n"/>
      <c r="F131" s="29" t="n"/>
    </row>
    <row r="132" ht="15" customHeight="1" s="22">
      <c r="A132" s="29" t="n"/>
      <c r="B132" s="29" t="n"/>
      <c r="C132" s="29" t="n"/>
      <c r="D132" s="29" t="n"/>
      <c r="E132" s="31" t="n"/>
      <c r="F132" s="29" t="n"/>
    </row>
    <row r="133" ht="15" customHeight="1" s="22">
      <c r="A133" s="29" t="n"/>
      <c r="B133" s="29" t="n"/>
      <c r="C133" s="29" t="n"/>
      <c r="D133" s="29" t="n"/>
      <c r="E133" s="31" t="n"/>
      <c r="F133" s="29" t="n"/>
    </row>
    <row r="134" ht="15" customHeight="1" s="22">
      <c r="A134" s="29" t="n"/>
      <c r="B134" s="29" t="n"/>
      <c r="C134" s="29" t="n"/>
      <c r="D134" s="29" t="n"/>
      <c r="E134" s="31" t="n"/>
      <c r="F134" s="29" t="n"/>
    </row>
    <row r="135" ht="15" customHeight="1" s="22">
      <c r="A135" s="29" t="n"/>
      <c r="B135" s="29" t="n"/>
      <c r="C135" s="29" t="n"/>
      <c r="D135" s="29" t="n"/>
      <c r="E135" s="31" t="n"/>
      <c r="F135" s="29" t="n"/>
    </row>
    <row r="136" ht="15" customHeight="1" s="22">
      <c r="A136" s="29" t="n"/>
      <c r="B136" s="29" t="n"/>
      <c r="C136" s="29" t="n"/>
      <c r="D136" s="29" t="n"/>
      <c r="E136" s="31" t="n"/>
      <c r="F136" s="29" t="n"/>
    </row>
    <row r="137" ht="15" customHeight="1" s="22">
      <c r="A137" s="29" t="n"/>
      <c r="B137" s="29" t="n"/>
      <c r="C137" s="29" t="n"/>
      <c r="D137" s="29" t="n"/>
      <c r="E137" s="31" t="n"/>
      <c r="F137" s="29" t="n"/>
    </row>
    <row r="138" ht="15" customHeight="1" s="22">
      <c r="A138" s="29" t="n"/>
      <c r="B138" s="29" t="n"/>
      <c r="C138" s="29" t="n"/>
      <c r="D138" s="29" t="n"/>
      <c r="E138" s="31" t="n"/>
      <c r="F138" s="29" t="n"/>
    </row>
    <row r="139" ht="15" customHeight="1" s="22">
      <c r="A139" s="29" t="n"/>
      <c r="B139" s="29" t="n"/>
      <c r="C139" s="29" t="n"/>
      <c r="D139" s="29" t="n"/>
      <c r="E139" s="31" t="n"/>
      <c r="F139" s="29" t="n"/>
    </row>
    <row r="140" ht="15" customHeight="1" s="22">
      <c r="A140" s="29" t="n"/>
      <c r="B140" s="29" t="n"/>
      <c r="C140" s="29" t="n"/>
      <c r="D140" s="29" t="n"/>
      <c r="E140" s="31" t="n"/>
      <c r="F140" s="29" t="n"/>
    </row>
    <row r="141" ht="15" customHeight="1" s="22">
      <c r="A141" s="29" t="n"/>
      <c r="B141" s="29" t="n"/>
      <c r="C141" s="29" t="n"/>
      <c r="D141" s="29" t="n"/>
      <c r="E141" s="31" t="n"/>
      <c r="F141" s="29" t="n"/>
    </row>
    <row r="142" ht="15" customHeight="1" s="22">
      <c r="A142" s="29" t="n"/>
      <c r="B142" s="29" t="n"/>
      <c r="C142" s="29" t="n"/>
      <c r="D142" s="29" t="n"/>
      <c r="E142" s="31" t="n"/>
      <c r="F142" s="29" t="n"/>
    </row>
    <row r="143" ht="15" customHeight="1" s="22">
      <c r="A143" s="29" t="n"/>
      <c r="B143" s="29" t="n"/>
      <c r="C143" s="29" t="n"/>
      <c r="D143" s="29" t="n"/>
      <c r="E143" s="31" t="n"/>
      <c r="F143" s="29" t="n"/>
    </row>
    <row r="144" ht="15" customHeight="1" s="22">
      <c r="A144" s="29" t="n"/>
      <c r="B144" s="29" t="n"/>
      <c r="C144" s="29" t="n"/>
      <c r="D144" s="29" t="n"/>
      <c r="E144" s="31" t="n"/>
      <c r="F144" s="29" t="n"/>
    </row>
    <row r="145" ht="15" customHeight="1" s="22">
      <c r="A145" s="29" t="n"/>
      <c r="B145" s="29" t="n"/>
      <c r="C145" s="29" t="n"/>
      <c r="D145" s="29" t="n"/>
      <c r="E145" s="31" t="n"/>
      <c r="F145" s="29" t="n"/>
    </row>
    <row r="146" ht="15" customHeight="1" s="22">
      <c r="A146" s="29" t="n"/>
      <c r="B146" s="29" t="n"/>
      <c r="C146" s="29" t="n"/>
      <c r="D146" s="29" t="n"/>
      <c r="E146" s="31" t="n"/>
      <c r="F146" s="29" t="n"/>
    </row>
    <row r="147" ht="15" customHeight="1" s="22">
      <c r="A147" s="29" t="n"/>
      <c r="B147" s="29" t="n"/>
      <c r="C147" s="29" t="n"/>
      <c r="D147" s="29" t="n"/>
      <c r="E147" s="31" t="n"/>
      <c r="F147" s="29" t="n"/>
    </row>
    <row r="148" ht="15" customHeight="1" s="22">
      <c r="A148" s="29" t="n"/>
      <c r="B148" s="29" t="n"/>
      <c r="C148" s="29" t="n"/>
      <c r="D148" s="29" t="n"/>
      <c r="E148" s="31" t="n"/>
      <c r="F148" s="29" t="n"/>
    </row>
    <row r="149" ht="15" customHeight="1" s="22">
      <c r="A149" s="29" t="n"/>
      <c r="B149" s="29" t="n"/>
      <c r="C149" s="29" t="n"/>
      <c r="D149" s="29" t="n"/>
      <c r="E149" s="31" t="n"/>
      <c r="F149" s="29" t="n"/>
    </row>
    <row r="150" ht="15" customHeight="1" s="22">
      <c r="A150" s="29" t="n"/>
      <c r="B150" s="29" t="n"/>
      <c r="C150" s="29" t="n"/>
      <c r="D150" s="29" t="n"/>
      <c r="E150" s="31" t="n"/>
      <c r="F150" s="29" t="n"/>
    </row>
    <row r="151" ht="15" customHeight="1" s="22">
      <c r="A151" s="29" t="n"/>
      <c r="B151" s="29" t="n"/>
      <c r="C151" s="29" t="n"/>
      <c r="D151" s="29" t="n"/>
      <c r="E151" s="31" t="n"/>
      <c r="F151" s="29" t="n"/>
    </row>
    <row r="152" ht="15" customHeight="1" s="22">
      <c r="A152" s="29" t="n"/>
      <c r="B152" s="29" t="n"/>
      <c r="C152" s="29" t="n"/>
      <c r="D152" s="29" t="n"/>
      <c r="E152" s="31" t="n"/>
      <c r="F152" s="29" t="n"/>
    </row>
    <row r="153" ht="15" customHeight="1" s="22">
      <c r="A153" s="29" t="n"/>
      <c r="B153" s="29" t="n"/>
      <c r="C153" s="29" t="n"/>
      <c r="D153" s="29" t="n"/>
      <c r="E153" s="31" t="n"/>
      <c r="F153" s="29" t="n"/>
    </row>
    <row r="154" ht="15" customHeight="1" s="22">
      <c r="A154" s="29" t="n"/>
      <c r="B154" s="29" t="n"/>
      <c r="C154" s="29" t="n"/>
      <c r="D154" s="29" t="n"/>
      <c r="E154" s="31" t="n"/>
      <c r="F154" s="29" t="n"/>
    </row>
    <row r="155" ht="15" customHeight="1" s="22">
      <c r="A155" s="29" t="n"/>
      <c r="B155" s="29" t="n"/>
      <c r="C155" s="29" t="n"/>
      <c r="D155" s="29" t="n"/>
      <c r="E155" s="31" t="n"/>
      <c r="F155" s="29" t="n"/>
    </row>
    <row r="156" ht="15" customHeight="1" s="22">
      <c r="A156" s="29" t="n"/>
      <c r="B156" s="29" t="n"/>
      <c r="C156" s="29" t="n"/>
      <c r="D156" s="29" t="n"/>
      <c r="E156" s="31" t="n"/>
      <c r="F156" s="29" t="n"/>
    </row>
    <row r="157" ht="15" customHeight="1" s="22">
      <c r="A157" s="29" t="n"/>
      <c r="B157" s="29" t="n"/>
      <c r="C157" s="29" t="n"/>
      <c r="D157" s="29" t="n"/>
      <c r="E157" s="31" t="n"/>
      <c r="F157" s="29" t="n"/>
    </row>
    <row r="158" ht="15" customHeight="1" s="22">
      <c r="A158" s="29" t="n"/>
      <c r="B158" s="29" t="n"/>
      <c r="C158" s="29" t="n"/>
      <c r="D158" s="29" t="n"/>
      <c r="E158" s="31" t="n"/>
      <c r="F158" s="29" t="n"/>
    </row>
    <row r="159" ht="15" customHeight="1" s="22">
      <c r="A159" s="29" t="n"/>
      <c r="B159" s="29" t="n"/>
      <c r="C159" s="29" t="n"/>
      <c r="D159" s="29" t="n"/>
      <c r="E159" s="31" t="n"/>
      <c r="F159" s="29" t="n"/>
    </row>
    <row r="160" ht="15" customHeight="1" s="22">
      <c r="A160" s="29" t="n"/>
      <c r="B160" s="29" t="n"/>
      <c r="C160" s="29" t="n"/>
      <c r="D160" s="29" t="n"/>
      <c r="E160" s="31" t="n"/>
      <c r="F160" s="29" t="n"/>
    </row>
    <row r="161" ht="15" customHeight="1" s="22">
      <c r="A161" s="29" t="n"/>
      <c r="B161" s="29" t="n"/>
      <c r="C161" s="29" t="n"/>
      <c r="D161" s="29" t="n"/>
      <c r="E161" s="31" t="n"/>
      <c r="F161" s="29" t="n"/>
    </row>
    <row r="162" ht="15" customHeight="1" s="22">
      <c r="A162" s="29" t="n"/>
      <c r="B162" s="29" t="n"/>
      <c r="C162" s="29" t="n"/>
      <c r="D162" s="29" t="n"/>
      <c r="E162" s="31" t="n"/>
      <c r="F162" s="29" t="n"/>
    </row>
    <row r="163" ht="15" customHeight="1" s="22">
      <c r="A163" s="29" t="n"/>
      <c r="B163" s="29" t="n"/>
      <c r="C163" s="29" t="n"/>
      <c r="D163" s="29" t="n"/>
      <c r="E163" s="31" t="n"/>
      <c r="F163" s="29" t="n"/>
    </row>
    <row r="164" ht="15" customHeight="1" s="22">
      <c r="A164" s="29" t="n"/>
      <c r="B164" s="29" t="n"/>
      <c r="C164" s="29" t="n"/>
      <c r="D164" s="29" t="n"/>
      <c r="E164" s="31" t="n"/>
      <c r="F164" s="29" t="n"/>
    </row>
    <row r="165" ht="15" customHeight="1" s="22">
      <c r="A165" s="29" t="n"/>
      <c r="B165" s="29" t="n"/>
      <c r="C165" s="29" t="n"/>
      <c r="D165" s="29" t="n"/>
      <c r="E165" s="31" t="n"/>
      <c r="F165" s="29" t="n"/>
    </row>
    <row r="166" ht="15" customHeight="1" s="22">
      <c r="A166" s="29" t="n"/>
      <c r="B166" s="29" t="n"/>
      <c r="C166" s="29" t="n"/>
      <c r="D166" s="29" t="n"/>
      <c r="E166" s="31" t="n"/>
      <c r="F166" s="29" t="n"/>
    </row>
    <row r="167" ht="15" customHeight="1" s="22">
      <c r="A167" s="29" t="n"/>
      <c r="B167" s="29" t="n"/>
      <c r="C167" s="29" t="n"/>
      <c r="D167" s="29" t="n"/>
      <c r="E167" s="31" t="n"/>
      <c r="F167" s="29" t="n"/>
    </row>
    <row r="168" ht="15" customHeight="1" s="22">
      <c r="A168" s="29" t="n"/>
      <c r="B168" s="29" t="n"/>
      <c r="C168" s="29" t="n"/>
      <c r="D168" s="29" t="n"/>
      <c r="E168" s="31" t="n"/>
      <c r="F168" s="29" t="n"/>
    </row>
    <row r="169" ht="15" customHeight="1" s="22">
      <c r="A169" s="29" t="n"/>
      <c r="B169" s="29" t="n"/>
      <c r="C169" s="29" t="n"/>
      <c r="D169" s="29" t="n"/>
      <c r="E169" s="31" t="n"/>
      <c r="F169" s="29" t="n"/>
    </row>
    <row r="170" ht="15" customHeight="1" s="22">
      <c r="A170" s="29" t="n"/>
      <c r="B170" s="29" t="n"/>
      <c r="C170" s="29" t="n"/>
      <c r="D170" s="29" t="n"/>
      <c r="E170" s="31" t="n"/>
      <c r="F170" s="29" t="n"/>
    </row>
    <row r="171" ht="15" customHeight="1" s="22">
      <c r="A171" s="29" t="n"/>
      <c r="B171" s="29" t="n"/>
      <c r="C171" s="29" t="n"/>
      <c r="D171" s="29" t="n"/>
      <c r="E171" s="31" t="n"/>
      <c r="F171" s="29" t="n"/>
    </row>
    <row r="172" ht="15" customHeight="1" s="22">
      <c r="A172" s="29" t="n"/>
      <c r="B172" s="29" t="n"/>
      <c r="C172" s="29" t="n"/>
      <c r="D172" s="29" t="n"/>
      <c r="E172" s="31" t="n"/>
      <c r="F172" s="29" t="n"/>
    </row>
    <row r="173" ht="15" customHeight="1" s="22">
      <c r="A173" s="29" t="n"/>
      <c r="B173" s="29" t="n"/>
      <c r="C173" s="29" t="n"/>
      <c r="D173" s="29" t="n"/>
      <c r="E173" s="31" t="n"/>
      <c r="F173" s="29" t="n"/>
    </row>
    <row r="174" ht="15" customHeight="1" s="22">
      <c r="A174" s="29" t="n"/>
      <c r="B174" s="29" t="n"/>
      <c r="C174" s="29" t="n"/>
      <c r="D174" s="29" t="n"/>
      <c r="E174" s="31" t="n"/>
      <c r="F174" s="29" t="n"/>
    </row>
    <row r="175" ht="15" customHeight="1" s="22">
      <c r="A175" s="29" t="n"/>
      <c r="B175" s="29" t="n"/>
      <c r="C175" s="29" t="n"/>
      <c r="D175" s="29" t="n"/>
      <c r="E175" s="31" t="n"/>
      <c r="F175" s="29" t="n"/>
    </row>
    <row r="176" ht="15" customHeight="1" s="22">
      <c r="A176" s="29" t="n"/>
      <c r="B176" s="29" t="n"/>
      <c r="C176" s="29" t="n"/>
      <c r="D176" s="29" t="n"/>
      <c r="E176" s="31" t="n"/>
      <c r="F176" s="29" t="n"/>
    </row>
    <row r="177" ht="15" customHeight="1" s="22">
      <c r="A177" s="29" t="n"/>
      <c r="B177" s="29" t="n"/>
      <c r="C177" s="29" t="n"/>
      <c r="D177" s="29" t="n"/>
      <c r="E177" s="31" t="n"/>
      <c r="F177" s="29" t="n"/>
    </row>
    <row r="178" ht="15" customHeight="1" s="22">
      <c r="A178" s="29" t="n"/>
      <c r="B178" s="29" t="n"/>
      <c r="C178" s="29" t="n"/>
      <c r="D178" s="29" t="n"/>
      <c r="E178" s="31" t="n"/>
      <c r="F178" s="29" t="n"/>
    </row>
    <row r="179" ht="15" customHeight="1" s="22">
      <c r="A179" s="29" t="n"/>
      <c r="B179" s="29" t="n"/>
      <c r="C179" s="29" t="n"/>
      <c r="D179" s="29" t="n"/>
      <c r="E179" s="31" t="n"/>
      <c r="F179" s="29" t="n"/>
    </row>
    <row r="180" ht="15" customHeight="1" s="22">
      <c r="A180" s="29" t="n"/>
      <c r="B180" s="29" t="n"/>
      <c r="C180" s="29" t="n"/>
      <c r="D180" s="29" t="n"/>
      <c r="E180" s="31" t="n"/>
      <c r="F180" s="29" t="n"/>
    </row>
    <row r="181" ht="15" customHeight="1" s="22">
      <c r="A181" s="29" t="n"/>
      <c r="B181" s="29" t="n"/>
      <c r="C181" s="29" t="n"/>
      <c r="D181" s="29" t="n"/>
      <c r="E181" s="31" t="n"/>
      <c r="F181" s="29" t="n"/>
    </row>
    <row r="182" ht="15" customHeight="1" s="22">
      <c r="A182" s="29" t="n"/>
      <c r="B182" s="29" t="n"/>
      <c r="C182" s="29" t="n"/>
      <c r="D182" s="29" t="n"/>
      <c r="E182" s="31" t="n"/>
      <c r="F182" s="29" t="n"/>
    </row>
    <row r="183" ht="15" customHeight="1" s="22">
      <c r="A183" s="29" t="n"/>
      <c r="B183" s="29" t="n"/>
      <c r="C183" s="29" t="n"/>
      <c r="D183" s="29" t="n"/>
      <c r="E183" s="31" t="n"/>
      <c r="F183" s="29" t="n"/>
    </row>
    <row r="184" ht="15" customHeight="1" s="22">
      <c r="A184" s="29" t="n"/>
      <c r="B184" s="29" t="n"/>
      <c r="C184" s="29" t="n"/>
      <c r="D184" s="29" t="n"/>
      <c r="E184" s="31" t="n"/>
      <c r="F184" s="29" t="n"/>
    </row>
    <row r="185" ht="15" customHeight="1" s="22">
      <c r="A185" s="29" t="n"/>
      <c r="B185" s="29" t="n"/>
      <c r="C185" s="29" t="n"/>
      <c r="D185" s="29" t="n"/>
      <c r="E185" s="31" t="n"/>
      <c r="F185" s="29" t="n"/>
    </row>
    <row r="186" ht="15" customHeight="1" s="22">
      <c r="A186" s="29" t="n"/>
      <c r="B186" s="29" t="n"/>
      <c r="C186" s="29" t="n"/>
      <c r="D186" s="29" t="n"/>
      <c r="E186" s="31" t="n"/>
      <c r="F186" s="29" t="n"/>
    </row>
    <row r="187" ht="15" customHeight="1" s="22">
      <c r="A187" s="29" t="n"/>
      <c r="B187" s="29" t="n"/>
      <c r="C187" s="29" t="n"/>
      <c r="D187" s="29" t="n"/>
      <c r="E187" s="31" t="n"/>
      <c r="F187" s="29" t="n"/>
    </row>
    <row r="188" ht="15" customHeight="1" s="22">
      <c r="A188" s="29" t="n"/>
      <c r="B188" s="29" t="n"/>
      <c r="C188" s="29" t="n"/>
      <c r="D188" s="29" t="n"/>
      <c r="E188" s="31" t="n"/>
      <c r="F188" s="29" t="n"/>
    </row>
    <row r="189" ht="15" customHeight="1" s="22">
      <c r="A189" s="29" t="n"/>
      <c r="B189" s="29" t="n"/>
      <c r="C189" s="29" t="n"/>
      <c r="D189" s="29" t="n"/>
      <c r="E189" s="31" t="n"/>
      <c r="F189" s="29" t="n"/>
    </row>
    <row r="190" ht="15" customHeight="1" s="22">
      <c r="A190" s="29" t="n"/>
      <c r="B190" s="29" t="n"/>
      <c r="C190" s="29" t="n"/>
      <c r="D190" s="29" t="n"/>
      <c r="E190" s="31" t="n"/>
      <c r="F190" s="29" t="n"/>
    </row>
    <row r="191" ht="15" customHeight="1" s="22">
      <c r="A191" s="29" t="n"/>
      <c r="B191" s="29" t="n"/>
      <c r="C191" s="29" t="n"/>
      <c r="D191" s="29" t="n"/>
      <c r="E191" s="31" t="n"/>
      <c r="F191" s="29" t="n"/>
    </row>
    <row r="192" ht="15" customHeight="1" s="22">
      <c r="A192" s="29" t="n"/>
      <c r="B192" s="29" t="n"/>
      <c r="C192" s="29" t="n"/>
      <c r="D192" s="29" t="n"/>
      <c r="E192" s="31" t="n"/>
      <c r="F192" s="29" t="n"/>
    </row>
    <row r="193" ht="15" customHeight="1" s="22">
      <c r="A193" s="29" t="n"/>
      <c r="B193" s="29" t="n"/>
      <c r="C193" s="29" t="n"/>
      <c r="D193" s="29" t="n"/>
      <c r="E193" s="31" t="n"/>
      <c r="F193" s="29" t="n"/>
    </row>
    <row r="194" ht="15" customHeight="1" s="22">
      <c r="A194" s="29" t="n"/>
      <c r="B194" s="29" t="n"/>
      <c r="C194" s="29" t="n"/>
      <c r="D194" s="29" t="n"/>
      <c r="E194" s="31" t="n"/>
      <c r="F194" s="29" t="n"/>
    </row>
    <row r="195" ht="15" customHeight="1" s="22">
      <c r="A195" s="29" t="n"/>
      <c r="B195" s="29" t="n"/>
      <c r="C195" s="29" t="n"/>
      <c r="D195" s="29" t="n"/>
      <c r="E195" s="31" t="n"/>
      <c r="F195" s="29" t="n"/>
    </row>
    <row r="196" ht="15" customHeight="1" s="22">
      <c r="A196" s="29" t="n"/>
      <c r="B196" s="29" t="n"/>
      <c r="C196" s="29" t="n"/>
      <c r="D196" s="29" t="n"/>
      <c r="E196" s="31" t="n"/>
      <c r="F196" s="29" t="n"/>
    </row>
    <row r="197" ht="15" customHeight="1" s="22">
      <c r="A197" s="29" t="n"/>
      <c r="B197" s="29" t="n"/>
      <c r="C197" s="29" t="n"/>
      <c r="D197" s="29" t="n"/>
      <c r="E197" s="31" t="n"/>
      <c r="F197" s="29" t="n"/>
    </row>
    <row r="198" ht="15" customHeight="1" s="22">
      <c r="A198" s="29" t="n"/>
      <c r="B198" s="29" t="n"/>
      <c r="C198" s="29" t="n"/>
      <c r="D198" s="29" t="n"/>
      <c r="E198" s="31" t="n"/>
      <c r="F198" s="29" t="n"/>
    </row>
    <row r="199" ht="15" customHeight="1" s="22">
      <c r="A199" s="29" t="n"/>
      <c r="B199" s="29" t="n"/>
      <c r="C199" s="29" t="n"/>
      <c r="D199" s="29" t="n"/>
      <c r="E199" s="31" t="n"/>
      <c r="F199" s="29" t="n"/>
    </row>
    <row r="200" ht="15" customHeight="1" s="22">
      <c r="A200" s="29" t="n"/>
      <c r="B200" s="29" t="n"/>
      <c r="C200" s="29" t="n"/>
      <c r="D200" s="29" t="n"/>
      <c r="E200" s="31" t="n"/>
      <c r="F200" s="29" t="n"/>
    </row>
    <row r="201" ht="15" customHeight="1" s="22">
      <c r="A201" s="29" t="n"/>
      <c r="B201" s="29" t="n"/>
      <c r="C201" s="29" t="n"/>
      <c r="D201" s="29" t="n"/>
      <c r="E201" s="31" t="n"/>
      <c r="F201" s="29" t="n"/>
    </row>
    <row r="202" ht="15" customHeight="1" s="22">
      <c r="A202" s="29" t="n"/>
      <c r="B202" s="29" t="n"/>
      <c r="C202" s="29" t="n"/>
      <c r="D202" s="29" t="n"/>
      <c r="E202" s="31" t="n"/>
      <c r="F202" s="29" t="n"/>
    </row>
    <row r="203" ht="15" customHeight="1" s="22">
      <c r="A203" s="29" t="n"/>
      <c r="B203" s="29" t="n"/>
      <c r="C203" s="29" t="n"/>
      <c r="D203" s="29" t="n"/>
      <c r="E203" s="31" t="n"/>
      <c r="F203" s="29" t="n"/>
    </row>
    <row r="204" ht="15" customHeight="1" s="22">
      <c r="A204" s="29" t="n"/>
      <c r="B204" s="29" t="n"/>
      <c r="C204" s="29" t="n"/>
      <c r="D204" s="29" t="n"/>
      <c r="E204" s="31" t="n"/>
      <c r="F204" s="29" t="n"/>
    </row>
    <row r="205" ht="15" customHeight="1" s="22">
      <c r="A205" s="29" t="n"/>
      <c r="B205" s="29" t="n"/>
      <c r="C205" s="29" t="n"/>
      <c r="D205" s="29" t="n"/>
      <c r="E205" s="31" t="n"/>
      <c r="F205" s="29" t="n"/>
    </row>
    <row r="206" ht="15" customHeight="1" s="22">
      <c r="A206" s="29" t="n"/>
      <c r="B206" s="29" t="n"/>
      <c r="C206" s="29" t="n"/>
      <c r="D206" s="29" t="n"/>
      <c r="E206" s="31" t="n"/>
      <c r="F206" s="29" t="n"/>
    </row>
    <row r="207" ht="15" customHeight="1" s="22">
      <c r="A207" s="29" t="n"/>
      <c r="B207" s="29" t="n"/>
      <c r="C207" s="29" t="n"/>
      <c r="D207" s="29" t="n"/>
      <c r="E207" s="31" t="n"/>
      <c r="F207" s="29" t="n"/>
    </row>
    <row r="208" ht="15" customHeight="1" s="22">
      <c r="A208" s="29" t="n"/>
      <c r="B208" s="29" t="n"/>
      <c r="C208" s="29" t="n"/>
      <c r="D208" s="29" t="n"/>
      <c r="E208" s="31" t="n"/>
      <c r="F208" s="29" t="n"/>
    </row>
    <row r="209" ht="15" customHeight="1" s="22">
      <c r="A209" s="29" t="n"/>
      <c r="B209" s="29" t="n"/>
      <c r="C209" s="29" t="n"/>
      <c r="D209" s="29" t="n"/>
      <c r="E209" s="31" t="n"/>
      <c r="F209" s="29" t="n"/>
    </row>
    <row r="210" ht="15" customHeight="1" s="22">
      <c r="A210" s="29" t="n"/>
      <c r="B210" s="29" t="n"/>
      <c r="C210" s="29" t="n"/>
      <c r="D210" s="29" t="n"/>
      <c r="E210" s="31" t="n"/>
      <c r="F210" s="29" t="n"/>
    </row>
    <row r="211" ht="15" customHeight="1" s="22">
      <c r="A211" s="29" t="n"/>
      <c r="B211" s="29" t="n"/>
      <c r="C211" s="29" t="n"/>
      <c r="D211" s="29" t="n"/>
      <c r="E211" s="31" t="n"/>
      <c r="F211" s="29" t="n"/>
    </row>
    <row r="212" ht="15" customHeight="1" s="22">
      <c r="A212" s="29" t="n"/>
      <c r="B212" s="29" t="n"/>
      <c r="C212" s="29" t="n"/>
      <c r="D212" s="29" t="n"/>
      <c r="E212" s="31" t="n"/>
      <c r="F212" s="29" t="n"/>
    </row>
    <row r="213" ht="15" customHeight="1" s="22">
      <c r="A213" s="29" t="n"/>
      <c r="B213" s="29" t="n"/>
      <c r="C213" s="29" t="n"/>
      <c r="D213" s="29" t="n"/>
      <c r="E213" s="31" t="n"/>
      <c r="F213" s="29" t="n"/>
    </row>
    <row r="214" ht="15" customHeight="1" s="22">
      <c r="A214" s="29" t="n"/>
      <c r="B214" s="29" t="n"/>
      <c r="C214" s="29" t="n"/>
      <c r="D214" s="29" t="n"/>
      <c r="E214" s="31" t="n"/>
      <c r="F214" s="29" t="n"/>
    </row>
    <row r="215" ht="15" customHeight="1" s="22">
      <c r="A215" s="29" t="n"/>
      <c r="B215" s="29" t="n"/>
      <c r="C215" s="29" t="n"/>
      <c r="D215" s="29" t="n"/>
      <c r="E215" s="31" t="n"/>
      <c r="F215" s="29" t="n"/>
    </row>
    <row r="216" ht="15" customHeight="1" s="22">
      <c r="A216" s="29" t="n"/>
      <c r="B216" s="29" t="n"/>
      <c r="C216" s="29" t="n"/>
      <c r="D216" s="29" t="n"/>
      <c r="E216" s="31" t="n"/>
      <c r="F216" s="29" t="n"/>
    </row>
    <row r="217" ht="15" customHeight="1" s="22">
      <c r="A217" s="29" t="n"/>
      <c r="B217" s="29" t="n"/>
      <c r="C217" s="29" t="n"/>
      <c r="D217" s="29" t="n"/>
      <c r="E217" s="31" t="n"/>
      <c r="F217" s="29" t="n"/>
    </row>
    <row r="218" ht="15" customHeight="1" s="22">
      <c r="A218" s="29" t="n"/>
      <c r="B218" s="29" t="n"/>
      <c r="C218" s="29" t="n"/>
      <c r="D218" s="29" t="n"/>
      <c r="E218" s="31" t="n"/>
      <c r="F218" s="29" t="n"/>
    </row>
    <row r="219" ht="15" customHeight="1" s="22">
      <c r="A219" s="29" t="n"/>
      <c r="B219" s="29" t="n"/>
      <c r="C219" s="29" t="n"/>
      <c r="D219" s="29" t="n"/>
      <c r="E219" s="31" t="n"/>
      <c r="F219" s="29" t="n"/>
    </row>
    <row r="220" ht="15" customHeight="1" s="22">
      <c r="A220" s="29" t="n"/>
      <c r="B220" s="29" t="n"/>
      <c r="C220" s="29" t="n"/>
      <c r="D220" s="29" t="n"/>
      <c r="E220" s="31" t="n"/>
      <c r="F220" s="29" t="n"/>
    </row>
    <row r="221" ht="15" customHeight="1" s="22">
      <c r="A221" s="29" t="n"/>
      <c r="B221" s="29" t="n"/>
      <c r="C221" s="29" t="n"/>
      <c r="D221" s="29" t="n"/>
      <c r="E221" s="31" t="n"/>
      <c r="F221" s="29" t="n"/>
    </row>
    <row r="222" ht="15" customHeight="1" s="22">
      <c r="A222" s="29" t="n"/>
      <c r="B222" s="29" t="n"/>
      <c r="C222" s="29" t="n"/>
      <c r="D222" s="29" t="n"/>
      <c r="E222" s="31" t="n"/>
      <c r="F222" s="29" t="n"/>
    </row>
    <row r="223" ht="15" customHeight="1" s="22">
      <c r="A223" s="29" t="n"/>
      <c r="B223" s="29" t="n"/>
      <c r="C223" s="29" t="n"/>
      <c r="D223" s="29" t="n"/>
      <c r="E223" s="31" t="n"/>
      <c r="F223" s="29" t="n"/>
    </row>
    <row r="224" ht="15" customHeight="1" s="22">
      <c r="A224" s="29" t="n"/>
      <c r="B224" s="29" t="n"/>
      <c r="C224" s="29" t="n"/>
      <c r="D224" s="29" t="n"/>
      <c r="E224" s="31" t="n"/>
      <c r="F224" s="29" t="n"/>
    </row>
    <row r="225" ht="15" customHeight="1" s="22">
      <c r="A225" s="29" t="n"/>
      <c r="B225" s="29" t="n"/>
      <c r="C225" s="29" t="n"/>
      <c r="D225" s="29" t="n"/>
      <c r="E225" s="31" t="n"/>
      <c r="F225" s="29" t="n"/>
    </row>
    <row r="226" ht="15" customHeight="1" s="22">
      <c r="A226" s="29" t="n"/>
      <c r="B226" s="29" t="n"/>
      <c r="C226" s="29" t="n"/>
      <c r="D226" s="29" t="n"/>
      <c r="E226" s="31" t="n"/>
      <c r="F226" s="29" t="n"/>
    </row>
    <row r="227" ht="15" customHeight="1" s="22">
      <c r="A227" s="29" t="n"/>
      <c r="B227" s="29" t="n"/>
      <c r="C227" s="29" t="n"/>
      <c r="D227" s="29" t="n"/>
      <c r="E227" s="31" t="n"/>
      <c r="F227" s="29" t="n"/>
    </row>
    <row r="228" ht="15" customHeight="1" s="22">
      <c r="A228" s="29" t="n"/>
      <c r="B228" s="29" t="n"/>
      <c r="C228" s="29" t="n"/>
      <c r="D228" s="29" t="n"/>
      <c r="E228" s="31" t="n"/>
      <c r="F228" s="29" t="n"/>
    </row>
    <row r="229" ht="15" customHeight="1" s="22">
      <c r="A229" s="29" t="n"/>
      <c r="B229" s="29" t="n"/>
      <c r="C229" s="29" t="n"/>
      <c r="D229" s="29" t="n"/>
      <c r="E229" s="31" t="n"/>
      <c r="F229" s="29" t="n"/>
    </row>
    <row r="230" ht="15" customHeight="1" s="22">
      <c r="A230" s="29" t="n"/>
      <c r="B230" s="29" t="n"/>
      <c r="C230" s="29" t="n"/>
      <c r="D230" s="29" t="n"/>
      <c r="E230" s="31" t="n"/>
      <c r="F230" s="29" t="n"/>
    </row>
    <row r="231" ht="15" customHeight="1" s="22">
      <c r="A231" s="29" t="n"/>
      <c r="B231" s="29" t="n"/>
      <c r="C231" s="29" t="n"/>
      <c r="D231" s="29" t="n"/>
      <c r="E231" s="31" t="n"/>
      <c r="F231" s="29" t="n"/>
    </row>
    <row r="232" ht="15" customHeight="1" s="22">
      <c r="A232" s="29" t="n"/>
      <c r="B232" s="29" t="n"/>
      <c r="C232" s="29" t="n"/>
      <c r="D232" s="29" t="n"/>
      <c r="E232" s="31" t="n"/>
      <c r="F232" s="29" t="n"/>
    </row>
    <row r="233" ht="15" customHeight="1" s="22">
      <c r="A233" s="29" t="n"/>
      <c r="B233" s="29" t="n"/>
      <c r="C233" s="29" t="n"/>
      <c r="D233" s="29" t="n"/>
      <c r="E233" s="31" t="n"/>
      <c r="F233" s="29" t="n"/>
    </row>
    <row r="234" ht="15" customHeight="1" s="22">
      <c r="A234" s="29" t="n"/>
      <c r="B234" s="29" t="n"/>
      <c r="C234" s="29" t="n"/>
      <c r="D234" s="29" t="n"/>
      <c r="E234" s="31" t="n"/>
      <c r="F234" s="29" t="n"/>
    </row>
    <row r="235" ht="15" customHeight="1" s="22">
      <c r="A235" s="29" t="n"/>
      <c r="B235" s="29" t="n"/>
      <c r="C235" s="29" t="n"/>
      <c r="D235" s="29" t="n"/>
      <c r="E235" s="31" t="n"/>
      <c r="F235" s="29" t="n"/>
    </row>
    <row r="236" ht="15" customHeight="1" s="22">
      <c r="A236" s="29" t="n"/>
      <c r="B236" s="29" t="n"/>
      <c r="C236" s="29" t="n"/>
      <c r="D236" s="29" t="n"/>
      <c r="E236" s="31" t="n"/>
      <c r="F236" s="29" t="n"/>
    </row>
    <row r="237" ht="15" customHeight="1" s="22">
      <c r="A237" s="29" t="n"/>
      <c r="B237" s="29" t="n"/>
      <c r="C237" s="29" t="n"/>
      <c r="D237" s="29" t="n"/>
      <c r="E237" s="31" t="n"/>
      <c r="F237" s="29" t="n"/>
    </row>
    <row r="238" ht="15" customHeight="1" s="22">
      <c r="A238" s="29" t="n"/>
      <c r="B238" s="29" t="n"/>
      <c r="C238" s="29" t="n"/>
      <c r="D238" s="29" t="n"/>
      <c r="E238" s="31" t="n"/>
      <c r="F238" s="29" t="n"/>
    </row>
    <row r="239" ht="15" customHeight="1" s="22">
      <c r="A239" s="29" t="n"/>
      <c r="B239" s="29" t="n"/>
      <c r="C239" s="29" t="n"/>
      <c r="D239" s="29" t="n"/>
      <c r="E239" s="31" t="n"/>
      <c r="F239" s="29" t="n"/>
    </row>
    <row r="240" ht="15" customHeight="1" s="22">
      <c r="A240" s="29" t="n"/>
      <c r="B240" s="29" t="n"/>
      <c r="C240" s="29" t="n"/>
      <c r="D240" s="29" t="n"/>
      <c r="E240" s="31" t="n"/>
      <c r="F240" s="29" t="n"/>
    </row>
    <row r="241" ht="15" customHeight="1" s="22">
      <c r="A241" s="29" t="n"/>
      <c r="B241" s="29" t="n"/>
      <c r="C241" s="29" t="n"/>
      <c r="D241" s="29" t="n"/>
      <c r="E241" s="31" t="n"/>
      <c r="F241" s="29" t="n"/>
    </row>
    <row r="242" ht="15" customHeight="1" s="22">
      <c r="A242" s="29" t="n"/>
      <c r="B242" s="29" t="n"/>
      <c r="C242" s="29" t="n"/>
      <c r="D242" s="29" t="n"/>
      <c r="E242" s="31" t="n"/>
      <c r="F242" s="29" t="n"/>
    </row>
    <row r="243" ht="15" customHeight="1" s="22">
      <c r="A243" s="29" t="n"/>
      <c r="B243" s="29" t="n"/>
      <c r="C243" s="29" t="n"/>
      <c r="D243" s="29" t="n"/>
      <c r="E243" s="31" t="n"/>
      <c r="F243" s="29" t="n"/>
    </row>
    <row r="244" ht="15" customHeight="1" s="22">
      <c r="A244" s="29" t="n"/>
      <c r="B244" s="29" t="n"/>
      <c r="C244" s="29" t="n"/>
      <c r="D244" s="29" t="n"/>
      <c r="E244" s="31" t="n"/>
      <c r="F244" s="29" t="n"/>
    </row>
    <row r="245" ht="15" customHeight="1" s="22">
      <c r="A245" s="29" t="n"/>
      <c r="B245" s="29" t="n"/>
      <c r="C245" s="29" t="n"/>
      <c r="D245" s="29" t="n"/>
      <c r="E245" s="31" t="n"/>
      <c r="F245" s="29" t="n"/>
    </row>
    <row r="246" ht="15" customHeight="1" s="22">
      <c r="A246" s="29" t="n"/>
      <c r="B246" s="29" t="n"/>
      <c r="C246" s="29" t="n"/>
      <c r="D246" s="29" t="n"/>
      <c r="E246" s="31" t="n"/>
      <c r="F246" s="29" t="n"/>
    </row>
    <row r="247" ht="15" customHeight="1" s="22">
      <c r="A247" s="29" t="n"/>
      <c r="B247" s="29" t="n"/>
      <c r="C247" s="29" t="n"/>
      <c r="D247" s="29" t="n"/>
      <c r="E247" s="31" t="n"/>
      <c r="F247" s="29" t="n"/>
    </row>
    <row r="248" ht="15" customHeight="1" s="22">
      <c r="A248" s="29" t="n"/>
      <c r="B248" s="29" t="n"/>
      <c r="C248" s="29" t="n"/>
      <c r="D248" s="29" t="n"/>
      <c r="E248" s="31" t="n"/>
      <c r="F248" s="29" t="n"/>
    </row>
    <row r="249" ht="15" customHeight="1" s="22">
      <c r="A249" s="29" t="n"/>
      <c r="B249" s="29" t="n"/>
      <c r="C249" s="29" t="n"/>
      <c r="D249" s="29" t="n"/>
      <c r="E249" s="31" t="n"/>
      <c r="F249" s="29" t="n"/>
    </row>
    <row r="250" ht="15" customHeight="1" s="22">
      <c r="A250" s="29" t="n"/>
      <c r="B250" s="29" t="n"/>
      <c r="C250" s="29" t="n"/>
      <c r="D250" s="29" t="n"/>
      <c r="E250" s="31" t="n"/>
      <c r="F250" s="29" t="n"/>
    </row>
    <row r="251" ht="15" customHeight="1" s="22">
      <c r="A251" s="29" t="n"/>
      <c r="B251" s="29" t="n"/>
      <c r="C251" s="29" t="n"/>
      <c r="D251" s="29" t="n"/>
      <c r="E251" s="31" t="n"/>
      <c r="F251" s="29" t="n"/>
    </row>
    <row r="252" ht="15" customHeight="1" s="22">
      <c r="A252" s="29" t="n"/>
      <c r="B252" s="29" t="n"/>
      <c r="C252" s="29" t="n"/>
      <c r="D252" s="29" t="n"/>
      <c r="E252" s="31" t="n"/>
      <c r="F252" s="29" t="n"/>
    </row>
    <row r="253" ht="15" customHeight="1" s="22">
      <c r="A253" s="29" t="n"/>
      <c r="B253" s="29" t="n"/>
      <c r="C253" s="29" t="n"/>
      <c r="D253" s="29" t="n"/>
      <c r="E253" s="31" t="n"/>
      <c r="F253" s="29" t="n"/>
    </row>
    <row r="254" ht="15" customHeight="1" s="22">
      <c r="A254" s="29" t="n"/>
      <c r="B254" s="29" t="n"/>
      <c r="C254" s="29" t="n"/>
      <c r="D254" s="29" t="n"/>
      <c r="E254" s="31" t="n"/>
      <c r="F254" s="29" t="n"/>
    </row>
    <row r="255" ht="15" customHeight="1" s="22">
      <c r="A255" s="29" t="n"/>
      <c r="B255" s="29" t="n"/>
      <c r="C255" s="29" t="n"/>
      <c r="D255" s="29" t="n"/>
      <c r="E255" s="31" t="n"/>
      <c r="F255" s="29" t="n"/>
    </row>
    <row r="256" ht="15" customHeight="1" s="22">
      <c r="A256" s="29" t="n"/>
      <c r="B256" s="29" t="n"/>
      <c r="C256" s="29" t="n"/>
      <c r="D256" s="29" t="n"/>
      <c r="E256" s="31" t="n"/>
      <c r="F256" s="29" t="n"/>
    </row>
    <row r="257" ht="15" customHeight="1" s="22">
      <c r="A257" s="29" t="n"/>
      <c r="B257" s="29" t="n"/>
      <c r="C257" s="29" t="n"/>
      <c r="D257" s="29" t="n"/>
      <c r="E257" s="31" t="n"/>
      <c r="F257" s="29" t="n"/>
    </row>
    <row r="258" ht="15" customHeight="1" s="22">
      <c r="A258" s="29" t="n"/>
      <c r="B258" s="29" t="n"/>
      <c r="C258" s="29" t="n"/>
      <c r="D258" s="29" t="n"/>
      <c r="E258" s="31" t="n"/>
      <c r="F258" s="29" t="n"/>
    </row>
    <row r="259" ht="15" customHeight="1" s="22">
      <c r="A259" s="29" t="n"/>
      <c r="B259" s="29" t="n"/>
      <c r="C259" s="29" t="n"/>
      <c r="D259" s="29" t="n"/>
      <c r="E259" s="31" t="n"/>
      <c r="F259" s="29" t="n"/>
    </row>
    <row r="260" ht="15" customHeight="1" s="22">
      <c r="A260" s="29" t="n"/>
      <c r="B260" s="29" t="n"/>
      <c r="C260" s="29" t="n"/>
      <c r="D260" s="29" t="n"/>
      <c r="E260" s="31" t="n"/>
      <c r="F260" s="29" t="n"/>
    </row>
    <row r="261" ht="15" customHeight="1" s="22">
      <c r="A261" s="29" t="n"/>
      <c r="B261" s="29" t="n"/>
      <c r="C261" s="29" t="n"/>
      <c r="D261" s="29" t="n"/>
      <c r="E261" s="31" t="n"/>
      <c r="F261" s="29" t="n"/>
    </row>
    <row r="262" ht="15" customHeight="1" s="22">
      <c r="A262" s="29" t="n"/>
      <c r="B262" s="29" t="n"/>
      <c r="C262" s="29" t="n"/>
      <c r="D262" s="29" t="n"/>
      <c r="E262" s="31" t="n"/>
      <c r="F262" s="29" t="n"/>
    </row>
    <row r="263" ht="15" customHeight="1" s="22">
      <c r="A263" s="29" t="n"/>
      <c r="B263" s="29" t="n"/>
      <c r="C263" s="29" t="n"/>
      <c r="D263" s="29" t="n"/>
      <c r="E263" s="31" t="n"/>
      <c r="F263" s="29" t="n"/>
    </row>
    <row r="264" ht="15" customHeight="1" s="22">
      <c r="A264" s="29" t="n"/>
      <c r="B264" s="29" t="n"/>
      <c r="C264" s="29" t="n"/>
      <c r="D264" s="29" t="n"/>
      <c r="E264" s="31" t="n"/>
      <c r="F264" s="29" t="n"/>
    </row>
    <row r="265" ht="15" customHeight="1" s="22">
      <c r="A265" s="29" t="n"/>
      <c r="B265" s="29" t="n"/>
      <c r="C265" s="29" t="n"/>
      <c r="D265" s="29" t="n"/>
      <c r="E265" s="31" t="n"/>
      <c r="F265" s="29" t="n"/>
    </row>
    <row r="266" ht="15" customHeight="1" s="22">
      <c r="A266" s="29" t="n"/>
      <c r="B266" s="29" t="n"/>
      <c r="C266" s="29" t="n"/>
      <c r="D266" s="29" t="n"/>
      <c r="E266" s="31" t="n"/>
      <c r="F266" s="29" t="n"/>
    </row>
    <row r="267" ht="15" customHeight="1" s="22">
      <c r="A267" s="29" t="n"/>
      <c r="B267" s="29" t="n"/>
      <c r="C267" s="29" t="n"/>
      <c r="D267" s="29" t="n"/>
      <c r="E267" s="31" t="n"/>
      <c r="F267" s="29" t="n"/>
    </row>
    <row r="268" ht="15" customHeight="1" s="22">
      <c r="A268" s="29" t="n"/>
      <c r="B268" s="29" t="n"/>
      <c r="C268" s="29" t="n"/>
      <c r="D268" s="29" t="n"/>
      <c r="E268" s="31" t="n"/>
      <c r="F268" s="29" t="n"/>
    </row>
    <row r="269" ht="15" customHeight="1" s="22">
      <c r="A269" s="29" t="n"/>
      <c r="B269" s="29" t="n"/>
      <c r="C269" s="29" t="n"/>
      <c r="D269" s="29" t="n"/>
      <c r="E269" s="31" t="n"/>
      <c r="F269" s="29" t="n"/>
    </row>
    <row r="270" ht="15" customHeight="1" s="22">
      <c r="A270" s="29" t="n"/>
      <c r="B270" s="29" t="n"/>
      <c r="C270" s="29" t="n"/>
      <c r="D270" s="29" t="n"/>
      <c r="E270" s="31" t="n"/>
      <c r="F270" s="29" t="n"/>
    </row>
    <row r="271" ht="15" customHeight="1" s="22">
      <c r="A271" s="29" t="n"/>
      <c r="B271" s="29" t="n"/>
      <c r="C271" s="29" t="n"/>
      <c r="D271" s="29" t="n"/>
      <c r="E271" s="31" t="n"/>
      <c r="F271" s="29" t="n"/>
    </row>
    <row r="272" ht="15" customHeight="1" s="22">
      <c r="A272" s="29" t="n"/>
      <c r="B272" s="29" t="n"/>
      <c r="C272" s="29" t="n"/>
      <c r="D272" s="29" t="n"/>
      <c r="E272" s="31" t="n"/>
      <c r="F272" s="29" t="n"/>
    </row>
    <row r="273" ht="15" customHeight="1" s="22">
      <c r="A273" s="29" t="n"/>
      <c r="B273" s="29" t="n"/>
      <c r="C273" s="29" t="n"/>
      <c r="D273" s="29" t="n"/>
      <c r="E273" s="31" t="n"/>
      <c r="F273" s="29" t="n"/>
    </row>
    <row r="274" ht="15" customHeight="1" s="22">
      <c r="A274" s="29" t="n"/>
      <c r="B274" s="29" t="n"/>
      <c r="C274" s="29" t="n"/>
      <c r="D274" s="29" t="n"/>
      <c r="E274" s="31" t="n"/>
      <c r="F274" s="29" t="n"/>
    </row>
    <row r="275" ht="15" customHeight="1" s="22">
      <c r="A275" s="29" t="n"/>
      <c r="B275" s="29" t="n"/>
      <c r="C275" s="29" t="n"/>
      <c r="D275" s="29" t="n"/>
      <c r="E275" s="31" t="n"/>
      <c r="F275" s="29" t="n"/>
    </row>
    <row r="276" ht="15" customHeight="1" s="22">
      <c r="A276" s="29" t="n"/>
      <c r="B276" s="29" t="n"/>
      <c r="C276" s="29" t="n"/>
      <c r="D276" s="29" t="n"/>
      <c r="E276" s="31" t="n"/>
      <c r="F276" s="29" t="n"/>
    </row>
    <row r="277" ht="15" customHeight="1" s="22">
      <c r="A277" s="29" t="n"/>
      <c r="B277" s="29" t="n"/>
      <c r="C277" s="29" t="n"/>
      <c r="D277" s="29" t="n"/>
      <c r="E277" s="31" t="n"/>
      <c r="F277" s="29" t="n"/>
    </row>
    <row r="278" ht="15" customHeight="1" s="22">
      <c r="A278" s="29" t="n"/>
      <c r="B278" s="29" t="n"/>
      <c r="C278" s="29" t="n"/>
      <c r="D278" s="29" t="n"/>
      <c r="E278" s="31" t="n"/>
      <c r="F278" s="29" t="n"/>
    </row>
    <row r="279" ht="15" customHeight="1" s="22">
      <c r="A279" s="29" t="n"/>
      <c r="B279" s="29" t="n"/>
      <c r="C279" s="29" t="n"/>
      <c r="D279" s="29" t="n"/>
      <c r="E279" s="31" t="n"/>
      <c r="F279" s="29" t="n"/>
    </row>
    <row r="280" ht="15" customHeight="1" s="22">
      <c r="A280" s="29" t="n"/>
      <c r="B280" s="29" t="n"/>
      <c r="C280" s="29" t="n"/>
      <c r="D280" s="29" t="n"/>
      <c r="E280" s="31" t="n"/>
      <c r="F280" s="29" t="n"/>
    </row>
    <row r="281" ht="15" customHeight="1" s="22">
      <c r="A281" s="29" t="n"/>
      <c r="B281" s="29" t="n"/>
      <c r="C281" s="29" t="n"/>
      <c r="D281" s="29" t="n"/>
      <c r="E281" s="31" t="n"/>
      <c r="F281" s="29" t="n"/>
    </row>
    <row r="282" ht="15" customHeight="1" s="22">
      <c r="A282" s="29" t="n"/>
      <c r="B282" s="29" t="n"/>
      <c r="C282" s="29" t="n"/>
      <c r="D282" s="29" t="n"/>
      <c r="E282" s="31" t="n"/>
      <c r="F282" s="29" t="n"/>
    </row>
    <row r="283" ht="15" customHeight="1" s="22">
      <c r="A283" s="29" t="n"/>
      <c r="B283" s="29" t="n"/>
      <c r="C283" s="29" t="n"/>
      <c r="D283" s="29" t="n"/>
      <c r="E283" s="31" t="n"/>
      <c r="F283" s="29" t="n"/>
    </row>
    <row r="284" ht="15" customHeight="1" s="22">
      <c r="A284" s="29" t="n"/>
      <c r="B284" s="29" t="n"/>
      <c r="C284" s="29" t="n"/>
      <c r="D284" s="29" t="n"/>
      <c r="E284" s="31" t="n"/>
      <c r="F284" s="29" t="n"/>
    </row>
    <row r="285" ht="15" customHeight="1" s="22">
      <c r="A285" s="29" t="n"/>
      <c r="B285" s="29" t="n"/>
      <c r="C285" s="29" t="n"/>
      <c r="D285" s="29" t="n"/>
      <c r="E285" s="31" t="n"/>
      <c r="F285" s="29" t="n"/>
    </row>
    <row r="286" ht="15" customHeight="1" s="22">
      <c r="A286" s="29" t="n"/>
      <c r="B286" s="29" t="n"/>
      <c r="C286" s="29" t="n"/>
      <c r="D286" s="29" t="n"/>
      <c r="E286" s="31" t="n"/>
      <c r="F286" s="29" t="n"/>
    </row>
    <row r="287" ht="15" customHeight="1" s="22">
      <c r="A287" s="29" t="n"/>
      <c r="B287" s="29" t="n"/>
      <c r="C287" s="29" t="n"/>
      <c r="D287" s="29" t="n"/>
      <c r="E287" s="31" t="n"/>
      <c r="F287" s="29" t="n"/>
    </row>
    <row r="288" ht="15" customHeight="1" s="22">
      <c r="A288" s="29" t="n"/>
      <c r="B288" s="29" t="n"/>
      <c r="C288" s="29" t="n"/>
      <c r="D288" s="29" t="n"/>
      <c r="E288" s="31" t="n"/>
      <c r="F288" s="29" t="n"/>
    </row>
    <row r="289" ht="15" customHeight="1" s="22">
      <c r="A289" s="29" t="n"/>
      <c r="B289" s="29" t="n"/>
      <c r="C289" s="29" t="n"/>
      <c r="D289" s="29" t="n"/>
      <c r="E289" s="31" t="n"/>
      <c r="F289" s="29" t="n"/>
    </row>
    <row r="290" ht="15" customHeight="1" s="22">
      <c r="A290" s="29" t="n"/>
      <c r="B290" s="29" t="n"/>
      <c r="C290" s="29" t="n"/>
      <c r="D290" s="29" t="n"/>
      <c r="E290" s="31" t="n"/>
      <c r="F290" s="29" t="n"/>
    </row>
    <row r="291" ht="15" customHeight="1" s="22">
      <c r="A291" s="29" t="n"/>
      <c r="B291" s="29" t="n"/>
      <c r="C291" s="29" t="n"/>
      <c r="D291" s="29" t="n"/>
      <c r="E291" s="31" t="n"/>
      <c r="F291" s="29" t="n"/>
    </row>
    <row r="292" ht="15" customHeight="1" s="22">
      <c r="A292" s="29" t="n"/>
      <c r="B292" s="29" t="n"/>
      <c r="C292" s="29" t="n"/>
      <c r="D292" s="29" t="n"/>
      <c r="E292" s="31" t="n"/>
      <c r="F292" s="29" t="n"/>
    </row>
    <row r="293" ht="15" customHeight="1" s="22">
      <c r="A293" s="29" t="n"/>
      <c r="B293" s="29" t="n"/>
      <c r="C293" s="29" t="n"/>
      <c r="D293" s="29" t="n"/>
      <c r="E293" s="31" t="n"/>
      <c r="F293" s="29" t="n"/>
    </row>
    <row r="294" ht="15" customHeight="1" s="22">
      <c r="A294" s="29" t="n"/>
      <c r="B294" s="29" t="n"/>
      <c r="C294" s="29" t="n"/>
      <c r="D294" s="29" t="n"/>
      <c r="E294" s="31" t="n"/>
      <c r="F294" s="29" t="n"/>
    </row>
    <row r="295" ht="15" customHeight="1" s="22">
      <c r="A295" s="29" t="n"/>
      <c r="B295" s="29" t="n"/>
      <c r="C295" s="29" t="n"/>
      <c r="D295" s="29" t="n"/>
      <c r="E295" s="31" t="n"/>
      <c r="F295" s="29" t="n"/>
    </row>
    <row r="296" ht="15" customHeight="1" s="22">
      <c r="A296" s="29" t="n"/>
      <c r="B296" s="29" t="n"/>
      <c r="C296" s="29" t="n"/>
      <c r="D296" s="29" t="n"/>
      <c r="E296" s="31" t="n"/>
      <c r="F296" s="29" t="n"/>
    </row>
    <row r="297" ht="15" customHeight="1" s="22">
      <c r="A297" s="29" t="n"/>
      <c r="B297" s="29" t="n"/>
      <c r="C297" s="29" t="n"/>
      <c r="D297" s="29" t="n"/>
      <c r="E297" s="31" t="n"/>
      <c r="F297" s="29" t="n"/>
    </row>
    <row r="298" ht="15" customHeight="1" s="22">
      <c r="A298" s="29" t="n"/>
      <c r="B298" s="29" t="n"/>
      <c r="C298" s="29" t="n"/>
      <c r="D298" s="29" t="n"/>
      <c r="E298" s="31" t="n"/>
      <c r="F298" s="29" t="n"/>
    </row>
    <row r="299" ht="15" customHeight="1" s="22">
      <c r="A299" s="29" t="n"/>
      <c r="B299" s="29" t="n"/>
      <c r="C299" s="29" t="n"/>
      <c r="D299" s="29" t="n"/>
      <c r="E299" s="31" t="n"/>
      <c r="F299" s="29" t="n"/>
    </row>
    <row r="300" ht="15" customHeight="1" s="22">
      <c r="A300" s="29" t="n"/>
      <c r="B300" s="29" t="n"/>
      <c r="C300" s="29" t="n"/>
      <c r="D300" s="29" t="n"/>
      <c r="E300" s="31" t="n"/>
      <c r="F300" s="29" t="n"/>
    </row>
  </sheetData>
  <autoFilter ref="A2:F300"/>
  <mergeCells count="1">
    <mergeCell ref="A1:F1"/>
  </mergeCells>
  <dataValidations count="1">
    <dataValidation sqref="B3:B300" showDropDown="0" showInputMessage="0" showErrorMessage="0" allowBlank="1" type="list" errorStyle="stop" operator="between">
      <formula1>"Reglementaire,OMS,International,Protocole,Formulaire"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30" customWidth="1" style="21" min="1" max="1"/>
    <col width="18" customWidth="1" style="21" min="2" max="2"/>
    <col width="4" customWidth="1" style="21" min="3" max="3"/>
    <col width="24" customWidth="1" style="21" min="4" max="4"/>
    <col width="18" customWidth="1" style="21" min="5" max="5"/>
  </cols>
  <sheetData>
    <row r="1" ht="30" customHeight="1" s="22">
      <c r="A1" s="23" t="inlineStr">
        <is>
          <t>TABLEAU DE BORD — DIRECTION (lecture seule)</t>
        </is>
      </c>
    </row>
    <row r="3" ht="15" customHeight="1" s="22">
      <c r="A3" s="26" t="inlineStr">
        <is>
          <t>ACTIVITE</t>
        </is>
      </c>
      <c r="D3" s="26" t="inlineStr">
        <is>
          <t>FINANCE (KMF)</t>
        </is>
      </c>
    </row>
    <row r="4" ht="15" customHeight="1" s="22">
      <c r="A4" s="33" t="inlineStr">
        <is>
          <t>Effectif total etudiants</t>
        </is>
      </c>
      <c r="B4" s="29">
        <f>COUNTA(A1_Etudiants!$B$3:$B$50000)</f>
        <v/>
      </c>
      <c r="D4" s="33" t="inlineStr">
        <is>
          <t>Total recettes</t>
        </is>
      </c>
      <c r="E4" s="32">
        <f>SUM(F1_Mouvements!$I$3:$I$50000)</f>
        <v/>
      </c>
    </row>
    <row r="5" ht="15" customHeight="1" s="22">
      <c r="A5" s="33" t="inlineStr">
        <is>
          <t>Dont actifs</t>
        </is>
      </c>
      <c r="B5" s="29">
        <f>COUNTIF(A1_Etudiants!$M$3:$M$50000,"Actif")</f>
        <v/>
      </c>
      <c r="D5" s="33" t="inlineStr">
        <is>
          <t>Total depenses</t>
        </is>
      </c>
      <c r="E5" s="32">
        <f>SUM(F1_Mouvements!$J$3:$J$50000)</f>
        <v/>
      </c>
    </row>
    <row r="6" ht="15" customHeight="1" s="22">
      <c r="A6" s="33" t="inlineStr">
        <is>
          <t>Dont diplomes</t>
        </is>
      </c>
      <c r="B6" s="29">
        <f>COUNTIF(A1_Etudiants!$M$3:$M$50000,"Diplome")</f>
        <v/>
      </c>
      <c r="D6" s="33" t="inlineStr">
        <is>
          <t>Solde global</t>
        </is>
      </c>
      <c r="E6" s="32">
        <f>E4-E5</f>
        <v/>
      </c>
    </row>
    <row r="7" ht="15" customHeight="1" s="22">
      <c r="A7" s="33" t="inlineStr">
        <is>
          <t>Dont abandonnes</t>
        </is>
      </c>
      <c r="B7" s="29">
        <f>COUNTIF(A1_Etudiants!$M$3:$M$50000,"Abandonne")</f>
        <v/>
      </c>
    </row>
    <row r="8" ht="15" customHeight="1" s="22">
      <c r="A8" s="33" t="inlineStr">
        <is>
          <t>Dont radies</t>
        </is>
      </c>
      <c r="B8" s="29">
        <f>COUNTIF(A1_Etudiants!$M$3:$M$50000,"Radie")</f>
        <v/>
      </c>
    </row>
    <row r="10" ht="15" customHeight="1" s="22">
      <c r="A10" s="26" t="inlineStr">
        <is>
          <t>EFFECTIF PAR FILIERE</t>
        </is>
      </c>
      <c r="D10" s="26" t="inlineStr">
        <is>
          <t>RH FORMATEURS</t>
        </is>
      </c>
    </row>
    <row r="11" ht="15" customHeight="1" s="22">
      <c r="A11" s="29">
        <f>IF(P0_Parametres!A3="","",P0_Parametres!A3)</f>
        <v/>
      </c>
      <c r="B11" s="29">
        <f>IF(P0_Parametres!A3="","",COUNTIF(A1_Etudiants!$J$3:$J$50000,P0_Parametres!A3))</f>
        <v/>
      </c>
      <c r="D11" s="33" t="inlineStr">
        <is>
          <t>Total heures constatees</t>
        </is>
      </c>
      <c r="E11" s="29">
        <f>SUM(E2_Releve_heures!$D$3:$D$50000)</f>
        <v/>
      </c>
    </row>
    <row r="12" ht="15" customHeight="1" s="22">
      <c r="A12" s="29">
        <f>IF(P0_Parametres!A4="","",P0_Parametres!A4)</f>
        <v/>
      </c>
      <c r="B12" s="29">
        <f>IF(P0_Parametres!A4="","",COUNTIF(A1_Etudiants!$J$3:$J$50000,P0_Parametres!A4))</f>
        <v/>
      </c>
      <c r="D12" s="33" t="inlineStr">
        <is>
          <t>Nb enseignants references</t>
        </is>
      </c>
      <c r="E12" s="29">
        <f>COUNTA(E1_Enseignants!$A$3:$A$50000)</f>
        <v/>
      </c>
    </row>
    <row r="13" ht="15" customHeight="1" s="22">
      <c r="A13" s="29">
        <f>IF(P0_Parametres!A5="","",P0_Parametres!A5)</f>
        <v/>
      </c>
      <c r="B13" s="29">
        <f>IF(P0_Parametres!A5="","",COUNTIF(A1_Etudiants!$J$3:$J$50000,P0_Parametres!A5))</f>
        <v/>
      </c>
    </row>
    <row r="14" ht="15" customHeight="1" s="22">
      <c r="A14" s="26" t="inlineStr">
        <is>
          <t>PRESENCE</t>
        </is>
      </c>
      <c r="B14" s="29">
        <f>IF(P0_Parametres!A6="","",COUNTIF(A1_Etudiants!$J$3:$J$50000,P0_Parametres!A6))</f>
        <v/>
      </c>
    </row>
    <row r="15" ht="15" customHeight="1" s="22">
      <c r="A15" s="33" t="inlineStr">
        <is>
          <t>Taux de presence global</t>
        </is>
      </c>
      <c r="B15" s="34">
        <f>IFERROR(COUNTIF(A2_Presences!$E$3:$E$50000,"O")/COUNTA(A2_Presences!$E$3:$E$50000),0)</f>
        <v/>
      </c>
    </row>
    <row r="16" ht="15" customHeight="1" s="22">
      <c r="A16" s="29">
        <f>IF(P0_Parametres!A8="","",P0_Parametres!A8)</f>
        <v/>
      </c>
      <c r="B16" s="29">
        <f>IF(P0_Parametres!A8="","",COUNTIF(A1_Etudiants!$J$3:$J$50000,P0_Parametres!A8))</f>
        <v/>
      </c>
    </row>
    <row r="17" ht="15" customHeight="1" s="22">
      <c r="A17" s="29">
        <f>IF(P0_Parametres!A9="","",P0_Parametres!A9)</f>
        <v/>
      </c>
      <c r="B17" s="29">
        <f>IF(P0_Parametres!A9="","",COUNTIF(A1_Etudiants!$J$3:$J$50000,P0_Parametres!A9))</f>
        <v/>
      </c>
    </row>
    <row r="18" ht="15" customHeight="1" s="22">
      <c r="A18" s="29">
        <f>IF(P0_Parametres!A10="","",P0_Parametres!A10)</f>
        <v/>
      </c>
      <c r="B18" s="29">
        <f>IF(P0_Parametres!A10="","",COUNTIF(A1_Etudiants!$J$3:$J$50000,P0_Parametres!A10))</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8" customWidth="1" style="21" min="1" max="1"/>
    <col width="26" customWidth="1" style="21" min="2" max="2"/>
    <col width="11" customWidth="1" style="21" min="3" max="4"/>
    <col width="15" customWidth="1" style="21" min="5" max="5"/>
    <col width="24" customWidth="1" style="21" min="6" max="6"/>
    <col width="62" customWidth="1" style="21" min="7" max="7"/>
  </cols>
  <sheetData>
    <row r="1" ht="30" customHeight="1" s="22">
      <c r="A1" s="23" t="inlineStr">
        <is>
          <t>DICTIONNAIRE DES DONNEES — EMSP V1</t>
        </is>
      </c>
    </row>
    <row r="2" ht="27.75" customHeight="1" s="22">
      <c r="A2" s="35" t="inlineStr">
        <is>
          <t>Onglet</t>
        </is>
      </c>
      <c r="B2" s="35" t="inlineStr">
        <is>
          <t>Champ</t>
        </is>
      </c>
      <c r="C2" s="35" t="inlineStr">
        <is>
          <t>Type</t>
        </is>
      </c>
      <c r="D2" s="35" t="inlineStr">
        <is>
          <t>Obligatoire</t>
        </is>
      </c>
      <c r="E2" s="35" t="inlineStr">
        <is>
          <t>Provenance</t>
        </is>
      </c>
      <c r="F2" s="35" t="inlineStr">
        <is>
          <t>Liste / source</t>
        </is>
      </c>
      <c r="G2" s="35" t="inlineStr">
        <is>
          <t>Description</t>
        </is>
      </c>
    </row>
    <row r="3" ht="15" customHeight="1" s="22">
      <c r="A3" s="36" t="inlineStr">
        <is>
          <t>P0_Parametres</t>
        </is>
      </c>
      <c r="B3" s="37" t="inlineStr">
        <is>
          <t>Filieres</t>
        </is>
      </c>
      <c r="C3" s="36" t="inlineStr">
        <is>
          <t>Texte</t>
        </is>
      </c>
      <c r="D3" s="36" t="inlineStr">
        <is>
          <t>Oui</t>
        </is>
      </c>
      <c r="E3" s="36" t="inlineStr">
        <is>
          <t>TDR</t>
        </is>
      </c>
      <c r="F3" s="36" t="inlineStr">
        <is>
          <t>-</t>
        </is>
      </c>
      <c r="G3" s="38" t="inlineStr">
        <is>
          <t>Libelles des filieres saisis par l'EMSP (5 actuellement).</t>
        </is>
      </c>
    </row>
    <row r="4" ht="15" customHeight="1" s="22">
      <c r="A4" s="36" t="inlineStr">
        <is>
          <t>P0_Parametres</t>
        </is>
      </c>
      <c r="B4" s="37" t="inlineStr">
        <is>
          <t>Niveaux</t>
        </is>
      </c>
      <c r="C4" s="36" t="inlineStr">
        <is>
          <t>Texte</t>
        </is>
      </c>
      <c r="D4" s="36" t="inlineStr">
        <is>
          <t>Oui</t>
        </is>
      </c>
      <c r="E4" s="36" t="inlineStr">
        <is>
          <t>TDR</t>
        </is>
      </c>
      <c r="F4" s="36" t="inlineStr">
        <is>
          <t>-</t>
        </is>
      </c>
      <c r="G4" s="38" t="inlineStr">
        <is>
          <t>L1, L2, L3, Master (modifiable).</t>
        </is>
      </c>
    </row>
    <row r="5" ht="15" customHeight="1" s="22">
      <c r="A5" s="36" t="inlineStr">
        <is>
          <t>P0_Parametres</t>
        </is>
      </c>
      <c r="B5" s="37" t="inlineStr">
        <is>
          <t>Sections</t>
        </is>
      </c>
      <c r="C5" s="36" t="inlineStr">
        <is>
          <t>Texte</t>
        </is>
      </c>
      <c r="D5" s="36" t="inlineStr">
        <is>
          <t>Non</t>
        </is>
      </c>
      <c r="E5" s="36" t="inlineStr">
        <is>
          <t>Initiative (*)</t>
        </is>
      </c>
      <c r="F5" s="36" t="inlineStr">
        <is>
          <t>-</t>
        </is>
      </c>
      <c r="G5" s="38" t="inlineStr">
        <is>
          <t>S.I, S.O, AS (modifiable).</t>
        </is>
      </c>
    </row>
    <row r="6" ht="15" customHeight="1" s="22">
      <c r="A6" s="36" t="inlineStr">
        <is>
          <t>P0_Parametres</t>
        </is>
      </c>
      <c r="B6" s="37" t="inlineStr">
        <is>
          <t>Semestres</t>
        </is>
      </c>
      <c r="C6" s="36" t="inlineStr">
        <is>
          <t>Texte</t>
        </is>
      </c>
      <c r="D6" s="36" t="inlineStr">
        <is>
          <t>Oui</t>
        </is>
      </c>
      <c r="E6" s="36" t="inlineStr">
        <is>
          <t>TDR</t>
        </is>
      </c>
      <c r="F6" s="36" t="inlineStr">
        <is>
          <t>-</t>
        </is>
      </c>
      <c r="G6" s="38" t="inlineStr">
        <is>
          <t>S1, S2.</t>
        </is>
      </c>
    </row>
    <row r="7" ht="15" customHeight="1" s="22">
      <c r="A7" s="36" t="inlineStr">
        <is>
          <t>P0_Parametres</t>
        </is>
      </c>
      <c r="B7" s="37" t="inlineStr">
        <is>
          <t>Statuts_etudiant</t>
        </is>
      </c>
      <c r="C7" s="36" t="inlineStr">
        <is>
          <t>Texte</t>
        </is>
      </c>
      <c r="D7" s="36" t="inlineStr">
        <is>
          <t>Oui</t>
        </is>
      </c>
      <c r="E7" s="36" t="inlineStr">
        <is>
          <t>Hors TDR (**)</t>
        </is>
      </c>
      <c r="F7" s="36" t="inlineStr">
        <is>
          <t>-</t>
        </is>
      </c>
      <c r="G7" s="38" t="inlineStr">
        <is>
          <t>Actif / Diplome / Abandonne / Radie (extensible).</t>
        </is>
      </c>
    </row>
    <row r="8" ht="15" customHeight="1" s="22">
      <c r="A8" s="36" t="inlineStr">
        <is>
          <t>P0_Parametres</t>
        </is>
      </c>
      <c r="B8" s="37" t="inlineStr">
        <is>
          <t>Genres</t>
        </is>
      </c>
      <c r="C8" s="36" t="inlineStr">
        <is>
          <t>Texte</t>
        </is>
      </c>
      <c r="D8" s="36" t="inlineStr">
        <is>
          <t>Non</t>
        </is>
      </c>
      <c r="E8" s="36" t="inlineStr">
        <is>
          <t>Initiative (*)</t>
        </is>
      </c>
      <c r="F8" s="36" t="inlineStr">
        <is>
          <t>-</t>
        </is>
      </c>
      <c r="G8" s="38" t="inlineStr">
        <is>
          <t>M / F.</t>
        </is>
      </c>
    </row>
    <row r="9" ht="15" customHeight="1" s="22">
      <c r="A9" s="36" t="inlineStr">
        <is>
          <t>P0_Parametres</t>
        </is>
      </c>
      <c r="B9" s="37" t="inlineStr">
        <is>
          <t>Cat_Recettes</t>
        </is>
      </c>
      <c r="C9" s="36" t="inlineStr">
        <is>
          <t>Texte</t>
        </is>
      </c>
      <c r="D9" s="36" t="inlineStr">
        <is>
          <t>Oui</t>
        </is>
      </c>
      <c r="E9" s="36" t="inlineStr">
        <is>
          <t>Hors TDR (**)</t>
        </is>
      </c>
      <c r="F9" s="36" t="inlineStr">
        <is>
          <t>-</t>
        </is>
      </c>
      <c r="G9" s="38" t="inlineStr">
        <is>
          <t>Categories de recettes (liste separee, saisie EMSP).</t>
        </is>
      </c>
    </row>
    <row r="10" ht="15" customHeight="1" s="22">
      <c r="A10" s="36" t="inlineStr">
        <is>
          <t>P0_Parametres</t>
        </is>
      </c>
      <c r="B10" s="37" t="inlineStr">
        <is>
          <t>Cat_Depenses</t>
        </is>
      </c>
      <c r="C10" s="36" t="inlineStr">
        <is>
          <t>Texte</t>
        </is>
      </c>
      <c r="D10" s="36" t="inlineStr">
        <is>
          <t>Oui</t>
        </is>
      </c>
      <c r="E10" s="36" t="inlineStr">
        <is>
          <t>Hors TDR (**)</t>
        </is>
      </c>
      <c r="F10" s="36" t="inlineStr">
        <is>
          <t>-</t>
        </is>
      </c>
      <c r="G10" s="38" t="inlineStr">
        <is>
          <t>Categories de depenses (liste separee, saisie EMSP).</t>
        </is>
      </c>
    </row>
    <row r="11" ht="15" customHeight="1" s="22">
      <c r="A11" s="36" t="inlineStr">
        <is>
          <t>P0_Parametres</t>
        </is>
      </c>
      <c r="B11" s="37" t="inlineStr">
        <is>
          <t>Postes_budgetaires</t>
        </is>
      </c>
      <c r="C11" s="36" t="inlineStr">
        <is>
          <t>Texte</t>
        </is>
      </c>
      <c r="D11" s="36" t="inlineStr">
        <is>
          <t>Non</t>
        </is>
      </c>
      <c r="E11" s="36" t="inlineStr">
        <is>
          <t>Hors TDR (**)</t>
        </is>
      </c>
      <c r="F11" s="36" t="inlineStr">
        <is>
          <t>-</t>
        </is>
      </c>
      <c r="G11" s="38" t="inlineStr">
        <is>
          <t>Postes budgetaires saisis par l'EMSP.</t>
        </is>
      </c>
    </row>
    <row r="12" ht="15" customHeight="1" s="22">
      <c r="A12" s="36" t="inlineStr">
        <is>
          <t>P0_Parametres</t>
        </is>
      </c>
      <c r="B12" s="37" t="inlineStr">
        <is>
          <t>Modes_paiement</t>
        </is>
      </c>
      <c r="C12" s="36" t="inlineStr">
        <is>
          <t>Texte</t>
        </is>
      </c>
      <c r="D12" s="36" t="inlineStr">
        <is>
          <t>Non</t>
        </is>
      </c>
      <c r="E12" s="36" t="inlineStr">
        <is>
          <t>Initiative (*)</t>
        </is>
      </c>
      <c r="F12" s="36" t="inlineStr">
        <is>
          <t>-</t>
        </is>
      </c>
      <c r="G12" s="38" t="inlineStr">
        <is>
          <t>Especes / Cheque / Virement / Autre.</t>
        </is>
      </c>
    </row>
    <row r="13" ht="15" customHeight="1" s="22">
      <c r="A13" s="36" t="inlineStr">
        <is>
          <t>P0_Parametres</t>
        </is>
      </c>
      <c r="B13" s="37" t="inlineStr">
        <is>
          <t>Comptes_caisses</t>
        </is>
      </c>
      <c r="C13" s="36" t="inlineStr">
        <is>
          <t>Texte</t>
        </is>
      </c>
      <c r="D13" s="36" t="inlineStr">
        <is>
          <t>Oui</t>
        </is>
      </c>
      <c r="E13" s="36" t="inlineStr">
        <is>
          <t>Initiative (*)</t>
        </is>
      </c>
      <c r="F13" s="36" t="inlineStr">
        <is>
          <t>-</t>
        </is>
      </c>
      <c r="G13" s="38" t="inlineStr">
        <is>
          <t>Comptes et caisses (alimentent F2_Comptes).</t>
        </is>
      </c>
    </row>
    <row r="14" ht="15" customHeight="1" s="22">
      <c r="A14" s="36" t="inlineStr">
        <is>
          <t>P0_Parametres</t>
        </is>
      </c>
      <c r="B14" s="37" t="inlineStr">
        <is>
          <t>Types_salle</t>
        </is>
      </c>
      <c r="C14" s="36" t="inlineStr">
        <is>
          <t>Texte</t>
        </is>
      </c>
      <c r="D14" s="36" t="inlineStr">
        <is>
          <t>Non</t>
        </is>
      </c>
      <c r="E14" s="36" t="inlineStr">
        <is>
          <t>Initiative (*)</t>
        </is>
      </c>
      <c r="F14" s="36" t="inlineStr">
        <is>
          <t>-</t>
        </is>
      </c>
      <c r="G14" s="38" t="inlineStr">
        <is>
          <t>Cours / TD / TP.</t>
        </is>
      </c>
    </row>
    <row r="15" ht="15" customHeight="1" s="22">
      <c r="A15" s="36" t="inlineStr">
        <is>
          <t>P0_Parametres</t>
        </is>
      </c>
      <c r="B15" s="37" t="inlineStr">
        <is>
          <t>Lieux_stage</t>
        </is>
      </c>
      <c r="C15" s="36" t="inlineStr">
        <is>
          <t>Texte</t>
        </is>
      </c>
      <c r="D15" s="36" t="inlineStr">
        <is>
          <t>Oui</t>
        </is>
      </c>
      <c r="E15" s="36" t="inlineStr">
        <is>
          <t>Hors TDR (**)</t>
        </is>
      </c>
      <c r="F15" s="36" t="inlineStr">
        <is>
          <t>-</t>
        </is>
      </c>
      <c r="G15" s="38" t="inlineStr">
        <is>
          <t>Referentiel des lieux de stage (une vingtaine, extensible).</t>
        </is>
      </c>
    </row>
    <row r="16" ht="15" customHeight="1" s="22">
      <c r="A16" s="36" t="inlineStr">
        <is>
          <t>P0_Parametres</t>
        </is>
      </c>
      <c r="B16" s="37" t="inlineStr">
        <is>
          <t>Annees_acad</t>
        </is>
      </c>
      <c r="C16" s="36" t="inlineStr">
        <is>
          <t>Texte</t>
        </is>
      </c>
      <c r="D16" s="36" t="inlineStr">
        <is>
          <t>Oui</t>
        </is>
      </c>
      <c r="E16" s="36" t="inlineStr">
        <is>
          <t>Initiative (*)</t>
        </is>
      </c>
      <c r="F16" s="36" t="inlineStr">
        <is>
          <t>-</t>
        </is>
      </c>
      <c r="G16" s="38" t="inlineStr">
        <is>
          <t>Annee = octobre AA a juillet AA+1.</t>
        </is>
      </c>
    </row>
    <row r="17" ht="30" customHeight="1" s="22">
      <c r="A17" s="36" t="inlineStr">
        <is>
          <t>P0_Parametres</t>
        </is>
      </c>
      <c r="B17" s="37" t="inlineStr">
        <is>
          <t>Bailleurs</t>
        </is>
      </c>
      <c r="C17" s="36" t="inlineStr">
        <is>
          <t>Texte</t>
        </is>
      </c>
      <c r="D17" s="36" t="inlineStr">
        <is>
          <t>Non</t>
        </is>
      </c>
      <c r="E17" s="36" t="inlineStr">
        <is>
          <t>Initiative (*)</t>
        </is>
      </c>
      <c r="F17" s="36" t="inlineStr">
        <is>
          <t>-</t>
        </is>
      </c>
      <c r="G17" s="38" t="inlineStr">
        <is>
          <t>Sources de financement (AFD, Etat, fonds propres, autre partenaire), saisies par l'EMSP.</t>
        </is>
      </c>
    </row>
    <row r="18" ht="15" customHeight="1" s="22">
      <c r="A18" s="36" t="inlineStr">
        <is>
          <t>P1_Roles</t>
        </is>
      </c>
      <c r="B18" s="37" t="inlineStr">
        <is>
          <t>Utilisateur / Login</t>
        </is>
      </c>
      <c r="C18" s="36" t="inlineStr">
        <is>
          <t>Texte</t>
        </is>
      </c>
      <c r="D18" s="36" t="inlineStr">
        <is>
          <t>Oui</t>
        </is>
      </c>
      <c r="E18" s="36" t="inlineStr">
        <is>
          <t>Hors TDR (**)</t>
        </is>
      </c>
      <c r="F18" s="36" t="inlineStr">
        <is>
          <t>-</t>
        </is>
      </c>
      <c r="G18" s="38" t="inlineStr">
        <is>
          <t>Identifiant de connexion.</t>
        </is>
      </c>
    </row>
    <row r="19" ht="15" customHeight="1" s="22">
      <c r="A19" s="36" t="inlineStr">
        <is>
          <t>P1_Roles</t>
        </is>
      </c>
      <c r="B19" s="37" t="inlineStr">
        <is>
          <t>Role</t>
        </is>
      </c>
      <c r="C19" s="36" t="inlineStr">
        <is>
          <t>Texte</t>
        </is>
      </c>
      <c r="D19" s="36" t="inlineStr">
        <is>
          <t>Oui</t>
        </is>
      </c>
      <c r="E19" s="36" t="inlineStr">
        <is>
          <t>Hors TDR (**)</t>
        </is>
      </c>
      <c r="F19" s="36" t="inlineStr">
        <is>
          <t>-</t>
        </is>
      </c>
      <c r="G19" s="38" t="inlineStr">
        <is>
          <t>Direction / Scolarite / Comptabilite / Chef de departement.</t>
        </is>
      </c>
    </row>
    <row r="20" ht="15" customHeight="1" s="22">
      <c r="A20" s="36" t="inlineStr">
        <is>
          <t>P1_Roles</t>
        </is>
      </c>
      <c r="B20" s="37" t="inlineStr">
        <is>
          <t>Modules lecture</t>
        </is>
      </c>
      <c r="C20" s="36" t="inlineStr">
        <is>
          <t>Texte</t>
        </is>
      </c>
      <c r="D20" s="36" t="inlineStr">
        <is>
          <t>Oui</t>
        </is>
      </c>
      <c r="E20" s="36" t="inlineStr">
        <is>
          <t>Hors TDR (**)</t>
        </is>
      </c>
      <c r="F20" s="36" t="inlineStr">
        <is>
          <t>-</t>
        </is>
      </c>
      <c r="G20" s="38" t="inlineStr">
        <is>
          <t>Modules consultables par ce role.</t>
        </is>
      </c>
    </row>
    <row r="21" ht="15" customHeight="1" s="22">
      <c r="A21" s="36" t="inlineStr">
        <is>
          <t>P1_Roles</t>
        </is>
      </c>
      <c r="B21" s="37" t="inlineStr">
        <is>
          <t>Modules ecriture</t>
        </is>
      </c>
      <c r="C21" s="36" t="inlineStr">
        <is>
          <t>Texte</t>
        </is>
      </c>
      <c r="D21" s="36" t="inlineStr">
        <is>
          <t>Oui</t>
        </is>
      </c>
      <c r="E21" s="36" t="inlineStr">
        <is>
          <t>Hors TDR (**)</t>
        </is>
      </c>
      <c r="F21" s="36" t="inlineStr">
        <is>
          <t>-</t>
        </is>
      </c>
      <c r="G21" s="38" t="inlineStr">
        <is>
          <t>Modules modifiables par ce role.</t>
        </is>
      </c>
    </row>
    <row r="22" ht="15" customHeight="1" s="22">
      <c r="A22" s="36" t="inlineStr">
        <is>
          <t>P1_Roles</t>
        </is>
      </c>
      <c r="B22" s="37" t="inlineStr">
        <is>
          <t>Acces financier (O/N)</t>
        </is>
      </c>
      <c r="C22" s="36" t="inlineStr">
        <is>
          <t>Liste</t>
        </is>
      </c>
      <c r="D22" s="36" t="inlineStr">
        <is>
          <t>Oui</t>
        </is>
      </c>
      <c r="E22" s="36" t="inlineStr">
        <is>
          <t>Hors TDR (**)</t>
        </is>
      </c>
      <c r="F22" s="36" t="inlineStr">
        <is>
          <t>O/N</t>
        </is>
      </c>
      <c r="G22" s="38" t="inlineStr">
        <is>
          <t>Financier reserve a Compta et Direction.</t>
        </is>
      </c>
    </row>
    <row r="23" ht="15" customHeight="1" s="22">
      <c r="A23" s="36" t="inlineStr">
        <is>
          <t>A1_Etudiants</t>
        </is>
      </c>
      <c r="B23" s="37" t="inlineStr">
        <is>
          <t>N ordre</t>
        </is>
      </c>
      <c r="C23" s="36" t="inlineStr">
        <is>
          <t>Nombre</t>
        </is>
      </c>
      <c r="D23" s="36" t="inlineStr">
        <is>
          <t>Non</t>
        </is>
      </c>
      <c r="E23" s="36" t="inlineStr">
        <is>
          <t>Initiative (*)</t>
        </is>
      </c>
      <c r="F23" s="36" t="inlineStr">
        <is>
          <t>-</t>
        </is>
      </c>
      <c r="G23" s="38" t="inlineStr">
        <is>
          <t>Numero d'ordre dans la liste.</t>
        </is>
      </c>
    </row>
    <row r="24" ht="15" customHeight="1" s="22">
      <c r="A24" s="36" t="inlineStr">
        <is>
          <t>A1_Etudiants</t>
        </is>
      </c>
      <c r="B24" s="37" t="inlineStr">
        <is>
          <t>Matricule</t>
        </is>
      </c>
      <c r="C24" s="36" t="inlineStr">
        <is>
          <t>Texte</t>
        </is>
      </c>
      <c r="D24" s="36" t="inlineStr">
        <is>
          <t>Oui</t>
        </is>
      </c>
      <c r="E24" s="36" t="inlineStr">
        <is>
          <t>TDR</t>
        </is>
      </c>
      <c r="F24" s="36" t="inlineStr">
        <is>
          <t>-</t>
        </is>
      </c>
      <c r="G24" s="38" t="inlineStr">
        <is>
          <t>Identifiant unique (cle de liaison entre onglets).</t>
        </is>
      </c>
    </row>
    <row r="25" ht="15" customHeight="1" s="22">
      <c r="A25" s="36" t="inlineStr">
        <is>
          <t>A1_Etudiants</t>
        </is>
      </c>
      <c r="B25" s="37" t="inlineStr">
        <is>
          <t>Genre</t>
        </is>
      </c>
      <c r="C25" s="36" t="inlineStr">
        <is>
          <t>Liste</t>
        </is>
      </c>
      <c r="D25" s="36" t="inlineStr">
        <is>
          <t>Non</t>
        </is>
      </c>
      <c r="E25" s="36" t="inlineStr">
        <is>
          <t>Initiative (*)</t>
        </is>
      </c>
      <c r="F25" s="36" t="inlineStr">
        <is>
          <t>Genres</t>
        </is>
      </c>
      <c r="G25" s="38" t="inlineStr">
        <is>
          <t>A completer si absent du CSV national.</t>
        </is>
      </c>
    </row>
    <row r="26" ht="15" customHeight="1" s="22">
      <c r="A26" s="36" t="inlineStr">
        <is>
          <t>A1_Etudiants</t>
        </is>
      </c>
      <c r="B26" s="37" t="inlineStr">
        <is>
          <t>Nom</t>
        </is>
      </c>
      <c r="C26" s="36" t="inlineStr">
        <is>
          <t>Texte</t>
        </is>
      </c>
      <c r="D26" s="36" t="inlineStr">
        <is>
          <t>Oui</t>
        </is>
      </c>
      <c r="E26" s="36" t="inlineStr">
        <is>
          <t>TDR</t>
        </is>
      </c>
      <c r="F26" s="36" t="inlineStr">
        <is>
          <t>-</t>
        </is>
      </c>
      <c r="G26" s="38" t="inlineStr">
        <is>
          <t>Nom de famille.</t>
        </is>
      </c>
    </row>
    <row r="27" ht="15" customHeight="1" s="22">
      <c r="A27" s="36" t="inlineStr">
        <is>
          <t>A1_Etudiants</t>
        </is>
      </c>
      <c r="B27" s="37" t="inlineStr">
        <is>
          <t>Prenom</t>
        </is>
      </c>
      <c r="C27" s="36" t="inlineStr">
        <is>
          <t>Texte</t>
        </is>
      </c>
      <c r="D27" s="36" t="inlineStr">
        <is>
          <t>Oui</t>
        </is>
      </c>
      <c r="E27" s="36" t="inlineStr">
        <is>
          <t>TDR</t>
        </is>
      </c>
      <c r="F27" s="36" t="inlineStr">
        <is>
          <t>-</t>
        </is>
      </c>
      <c r="G27" s="38" t="inlineStr">
        <is>
          <t>Prenom.</t>
        </is>
      </c>
    </row>
    <row r="28" ht="15" customHeight="1" s="22">
      <c r="A28" s="36" t="inlineStr">
        <is>
          <t>A1_Etudiants</t>
        </is>
      </c>
      <c r="B28" s="37" t="inlineStr">
        <is>
          <t>Date naissance</t>
        </is>
      </c>
      <c r="C28" s="36" t="inlineStr">
        <is>
          <t>Date</t>
        </is>
      </c>
      <c r="D28" s="36" t="inlineStr">
        <is>
          <t>Non</t>
        </is>
      </c>
      <c r="E28" s="36" t="inlineStr">
        <is>
          <t>TDR</t>
        </is>
      </c>
      <c r="F28" s="36" t="inlineStr">
        <is>
          <t>-</t>
        </is>
      </c>
      <c r="G28" s="38" t="inlineStr">
        <is>
          <t>Format JJ/MM/AAAA.</t>
        </is>
      </c>
    </row>
    <row r="29" ht="15" customHeight="1" s="22">
      <c r="A29" s="36" t="inlineStr">
        <is>
          <t>A1_Etudiants</t>
        </is>
      </c>
      <c r="B29" s="37" t="inlineStr">
        <is>
          <t>Lieu naissance</t>
        </is>
      </c>
      <c r="C29" s="36" t="inlineStr">
        <is>
          <t>Texte</t>
        </is>
      </c>
      <c r="D29" s="36" t="inlineStr">
        <is>
          <t>Non</t>
        </is>
      </c>
      <c r="E29" s="36" t="inlineStr">
        <is>
          <t>TDR</t>
        </is>
      </c>
      <c r="F29" s="36" t="inlineStr">
        <is>
          <t>-</t>
        </is>
      </c>
      <c r="G29" s="38" t="inlineStr">
        <is>
          <t>Lieu de naissance.</t>
        </is>
      </c>
    </row>
    <row r="30" ht="15" customHeight="1" s="22">
      <c r="A30" s="36" t="inlineStr">
        <is>
          <t>A1_Etudiants</t>
        </is>
      </c>
      <c r="B30" s="37" t="inlineStr">
        <is>
          <t>Origine / lieu actuel</t>
        </is>
      </c>
      <c r="C30" s="36" t="inlineStr">
        <is>
          <t>Texte</t>
        </is>
      </c>
      <c r="D30" s="36" t="inlineStr">
        <is>
          <t>Non</t>
        </is>
      </c>
      <c r="E30" s="36" t="inlineStr">
        <is>
          <t>Hors TDR (**)</t>
        </is>
      </c>
      <c r="F30" s="36" t="inlineStr">
        <is>
          <t>-</t>
        </is>
      </c>
      <c r="G30" s="38" t="inlineStr">
        <is>
          <t>Demande en reunion (distinct du lieu de naissance).</t>
        </is>
      </c>
    </row>
    <row r="31" ht="15" customHeight="1" s="22">
      <c r="A31" s="36" t="inlineStr">
        <is>
          <t>A1_Etudiants</t>
        </is>
      </c>
      <c r="B31" s="37" t="inlineStr">
        <is>
          <t>Niveau</t>
        </is>
      </c>
      <c r="C31" s="36" t="inlineStr">
        <is>
          <t>Liste</t>
        </is>
      </c>
      <c r="D31" s="36" t="inlineStr">
        <is>
          <t>Oui</t>
        </is>
      </c>
      <c r="E31" s="36" t="inlineStr">
        <is>
          <t>TDR</t>
        </is>
      </c>
      <c r="F31" s="36" t="inlineStr">
        <is>
          <t>Niveaux</t>
        </is>
      </c>
      <c r="G31" s="38" t="inlineStr">
        <is>
          <t>Niveau d'etude.</t>
        </is>
      </c>
    </row>
    <row r="32" ht="15" customHeight="1" s="22">
      <c r="A32" s="36" t="inlineStr">
        <is>
          <t>A1_Etudiants</t>
        </is>
      </c>
      <c r="B32" s="37" t="inlineStr">
        <is>
          <t>Filiere</t>
        </is>
      </c>
      <c r="C32" s="36" t="inlineStr">
        <is>
          <t>Liste</t>
        </is>
      </c>
      <c r="D32" s="36" t="inlineStr">
        <is>
          <t>Oui</t>
        </is>
      </c>
      <c r="E32" s="36" t="inlineStr">
        <is>
          <t>TDR</t>
        </is>
      </c>
      <c r="F32" s="36" t="inlineStr">
        <is>
          <t>Filieres</t>
        </is>
      </c>
      <c r="G32" s="38" t="inlineStr">
        <is>
          <t>Filiere choisie.</t>
        </is>
      </c>
    </row>
    <row r="33" ht="15" customHeight="1" s="22">
      <c r="A33" s="36" t="inlineStr">
        <is>
          <t>A1_Etudiants</t>
        </is>
      </c>
      <c r="B33" s="37" t="inlineStr">
        <is>
          <t>Section</t>
        </is>
      </c>
      <c r="C33" s="36" t="inlineStr">
        <is>
          <t>Liste</t>
        </is>
      </c>
      <c r="D33" s="36" t="inlineStr">
        <is>
          <t>Non</t>
        </is>
      </c>
      <c r="E33" s="36" t="inlineStr">
        <is>
          <t>Initiative (*)</t>
        </is>
      </c>
      <c r="F33" s="36" t="inlineStr">
        <is>
          <t>Sections</t>
        </is>
      </c>
      <c r="G33" s="38" t="inlineStr">
        <is>
          <t>Section.</t>
        </is>
      </c>
    </row>
    <row r="34" ht="15" customHeight="1" s="22">
      <c r="A34" s="36" t="inlineStr">
        <is>
          <t>A1_Etudiants</t>
        </is>
      </c>
      <c r="B34" s="37" t="inlineStr">
        <is>
          <t>Annee acad.</t>
        </is>
      </c>
      <c r="C34" s="36" t="inlineStr">
        <is>
          <t>Liste</t>
        </is>
      </c>
      <c r="D34" s="36" t="inlineStr">
        <is>
          <t>Oui</t>
        </is>
      </c>
      <c r="E34" s="36" t="inlineStr">
        <is>
          <t>Initiative (*)</t>
        </is>
      </c>
      <c r="F34" s="36" t="inlineStr">
        <is>
          <t>Annees_acad</t>
        </is>
      </c>
      <c r="G34" s="38" t="inlineStr">
        <is>
          <t>Annee academique.</t>
        </is>
      </c>
    </row>
    <row r="35" ht="15" customHeight="1" s="22">
      <c r="A35" s="36" t="inlineStr">
        <is>
          <t>A1_Etudiants</t>
        </is>
      </c>
      <c r="B35" s="37" t="inlineStr">
        <is>
          <t>Statut</t>
        </is>
      </c>
      <c r="C35" s="36" t="inlineStr">
        <is>
          <t>Liste</t>
        </is>
      </c>
      <c r="D35" s="36" t="inlineStr">
        <is>
          <t>Oui</t>
        </is>
      </c>
      <c r="E35" s="36" t="inlineStr">
        <is>
          <t>Hors TDR (**)</t>
        </is>
      </c>
      <c r="F35" s="36" t="inlineStr">
        <is>
          <t>Statuts_etudiant</t>
        </is>
      </c>
      <c r="G35" s="38" t="inlineStr">
        <is>
          <t>Etat de l'etudiant.</t>
        </is>
      </c>
    </row>
    <row r="36" ht="15" customHeight="1" s="22">
      <c r="A36" s="36" t="inlineStr">
        <is>
          <t>A1_Etudiants</t>
        </is>
      </c>
      <c r="B36" s="37" t="inlineStr">
        <is>
          <t>Date inscription</t>
        </is>
      </c>
      <c r="C36" s="36" t="inlineStr">
        <is>
          <t>Date</t>
        </is>
      </c>
      <c r="D36" s="36" t="inlineStr">
        <is>
          <t>Non</t>
        </is>
      </c>
      <c r="E36" s="36" t="inlineStr">
        <is>
          <t>TDR</t>
        </is>
      </c>
      <c r="F36" s="36" t="inlineStr">
        <is>
          <t>-</t>
        </is>
      </c>
      <c r="G36" s="38" t="inlineStr">
        <is>
          <t>Date d'inscription.</t>
        </is>
      </c>
    </row>
    <row r="37" ht="15" customHeight="1" s="22">
      <c r="A37" s="36" t="inlineStr">
        <is>
          <t>A1_Etudiants</t>
        </is>
      </c>
      <c r="B37" s="37" t="inlineStr">
        <is>
          <t>Saisi par</t>
        </is>
      </c>
      <c r="C37" s="36" t="inlineStr">
        <is>
          <t>Texte</t>
        </is>
      </c>
      <c r="D37" s="36" t="inlineStr">
        <is>
          <t>Non</t>
        </is>
      </c>
      <c r="E37" s="36" t="inlineStr">
        <is>
          <t>Initiative (*)</t>
        </is>
      </c>
      <c r="F37" s="36" t="inlineStr">
        <is>
          <t>-</t>
        </is>
      </c>
      <c r="G37" s="38" t="inlineStr">
        <is>
          <t>Login de l'agent (tracabilite).</t>
        </is>
      </c>
    </row>
    <row r="38" ht="15" customHeight="1" s="22">
      <c r="A38" s="36" t="inlineStr">
        <is>
          <t>A2_Presences</t>
        </is>
      </c>
      <c r="B38" s="37" t="inlineStr">
        <is>
          <t>Date</t>
        </is>
      </c>
      <c r="C38" s="36" t="inlineStr">
        <is>
          <t>Date</t>
        </is>
      </c>
      <c r="D38" s="36" t="inlineStr">
        <is>
          <t>Oui</t>
        </is>
      </c>
      <c r="E38" s="36" t="inlineStr">
        <is>
          <t>Hors TDR (**)</t>
        </is>
      </c>
      <c r="F38" s="36" t="inlineStr">
        <is>
          <t>-</t>
        </is>
      </c>
      <c r="G38" s="38" t="inlineStr">
        <is>
          <t>Jour de la seance (JJ/MM/AAAA).</t>
        </is>
      </c>
    </row>
    <row r="39" ht="15" customHeight="1" s="22">
      <c r="A39" s="36" t="inlineStr">
        <is>
          <t>A2_Presences</t>
        </is>
      </c>
      <c r="B39" s="37" t="inlineStr">
        <is>
          <t>Matricule</t>
        </is>
      </c>
      <c r="C39" s="36" t="inlineStr">
        <is>
          <t>Liste</t>
        </is>
      </c>
      <c r="D39" s="36" t="inlineStr">
        <is>
          <t>Oui</t>
        </is>
      </c>
      <c r="E39" s="36" t="inlineStr">
        <is>
          <t>Hors TDR (**)</t>
        </is>
      </c>
      <c r="F39" s="36" t="inlineStr">
        <is>
          <t>Etudiants inscrits (A1)</t>
        </is>
      </c>
      <c r="G39" s="38" t="inlineStr">
        <is>
          <t>Lien vers A1_Etudiants.</t>
        </is>
      </c>
    </row>
    <row r="40" ht="15" customHeight="1" s="22">
      <c r="A40" s="36" t="inlineStr">
        <is>
          <t>A2_Presences</t>
        </is>
      </c>
      <c r="B40" s="37" t="inlineStr">
        <is>
          <t>Session / Matiere</t>
        </is>
      </c>
      <c r="C40" s="36" t="inlineStr">
        <is>
          <t>Liste</t>
        </is>
      </c>
      <c r="D40" s="36" t="inlineStr">
        <is>
          <t>Oui</t>
        </is>
      </c>
      <c r="E40" s="36" t="inlineStr">
        <is>
          <t>Hors TDR (**)</t>
        </is>
      </c>
      <c r="F40" s="36" t="inlineStr">
        <is>
          <t>Seances (A3)</t>
        </is>
      </c>
      <c r="G40" s="38" t="inlineStr">
        <is>
          <t>Seance ou matiere (lien A3).</t>
        </is>
      </c>
    </row>
    <row r="41" ht="15" customHeight="1" s="22">
      <c r="A41" s="36" t="inlineStr">
        <is>
          <t>A2_Presences</t>
        </is>
      </c>
      <c r="B41" s="37" t="inlineStr">
        <is>
          <t>Creneau</t>
        </is>
      </c>
      <c r="C41" s="36" t="inlineStr">
        <is>
          <t>Liste</t>
        </is>
      </c>
      <c r="D41" s="36" t="inlineStr">
        <is>
          <t>Oui</t>
        </is>
      </c>
      <c r="E41" s="36" t="inlineStr">
        <is>
          <t>Hors TDR (**)</t>
        </is>
      </c>
      <c r="F41" s="36" t="inlineStr">
        <is>
          <t>10h/12h/15h/17h</t>
        </is>
      </c>
      <c r="G41" s="38" t="inlineStr">
        <is>
          <t>Granularite par creneau (pas d'absence partielle en V1).</t>
        </is>
      </c>
    </row>
    <row r="42" ht="15" customHeight="1" s="22">
      <c r="A42" s="36" t="inlineStr">
        <is>
          <t>A2_Presences</t>
        </is>
      </c>
      <c r="B42" s="37" t="inlineStr">
        <is>
          <t>Present (O/N)</t>
        </is>
      </c>
      <c r="C42" s="36" t="inlineStr">
        <is>
          <t>Liste</t>
        </is>
      </c>
      <c r="D42" s="36" t="inlineStr">
        <is>
          <t>Oui</t>
        </is>
      </c>
      <c r="E42" s="36" t="inlineStr">
        <is>
          <t>Hors TDR (**)</t>
        </is>
      </c>
      <c r="F42" s="36" t="inlineStr">
        <is>
          <t>O/N</t>
        </is>
      </c>
      <c r="G42" s="38" t="inlineStr">
        <is>
          <t>Presence constatee.</t>
        </is>
      </c>
    </row>
    <row r="43" ht="15" customHeight="1" s="22">
      <c r="A43" s="36" t="inlineStr">
        <is>
          <t>A2_Presences</t>
        </is>
      </c>
      <c r="B43" s="37" t="inlineStr">
        <is>
          <t>Saisi par</t>
        </is>
      </c>
      <c r="C43" s="36" t="inlineStr">
        <is>
          <t>Texte</t>
        </is>
      </c>
      <c r="D43" s="36" t="inlineStr">
        <is>
          <t>Non</t>
        </is>
      </c>
      <c r="E43" s="36" t="inlineStr">
        <is>
          <t>Initiative (*)</t>
        </is>
      </c>
      <c r="F43" s="36" t="inlineStr">
        <is>
          <t>-</t>
        </is>
      </c>
      <c r="G43" s="38" t="inlineStr">
        <is>
          <t>Login de l'agent.</t>
        </is>
      </c>
    </row>
    <row r="44" ht="15" customHeight="1" s="22">
      <c r="A44" s="36" t="inlineStr">
        <is>
          <t>A3_Sessions</t>
        </is>
      </c>
      <c r="B44" s="37" t="inlineStr">
        <is>
          <t>ID session</t>
        </is>
      </c>
      <c r="C44" s="36" t="inlineStr">
        <is>
          <t>Texte</t>
        </is>
      </c>
      <c r="D44" s="36" t="inlineStr">
        <is>
          <t>Oui</t>
        </is>
      </c>
      <c r="E44" s="36" t="inlineStr">
        <is>
          <t>TDR</t>
        </is>
      </c>
      <c r="F44" s="36" t="inlineStr">
        <is>
          <t>-</t>
        </is>
      </c>
      <c r="G44" s="38" t="inlineStr">
        <is>
          <t>Identifiant de la seance.</t>
        </is>
      </c>
    </row>
    <row r="45" ht="15" customHeight="1" s="22">
      <c r="A45" s="36" t="inlineStr">
        <is>
          <t>A3_Sessions</t>
        </is>
      </c>
      <c r="B45" s="37" t="inlineStr">
        <is>
          <t>Annee acad.</t>
        </is>
      </c>
      <c r="C45" s="36" t="inlineStr">
        <is>
          <t>Liste</t>
        </is>
      </c>
      <c r="D45" s="36" t="inlineStr">
        <is>
          <t>Oui</t>
        </is>
      </c>
      <c r="E45" s="36" t="inlineStr">
        <is>
          <t>Initiative (*)</t>
        </is>
      </c>
      <c r="F45" s="36" t="inlineStr">
        <is>
          <t>Annees_acad</t>
        </is>
      </c>
      <c r="G45" s="38" t="inlineStr">
        <is>
          <t>Annee academique.</t>
        </is>
      </c>
    </row>
    <row r="46" ht="15" customHeight="1" s="22">
      <c r="A46" s="36" t="inlineStr">
        <is>
          <t>A3_Sessions</t>
        </is>
      </c>
      <c r="B46" s="37" t="inlineStr">
        <is>
          <t>Semestre</t>
        </is>
      </c>
      <c r="C46" s="36" t="inlineStr">
        <is>
          <t>Liste</t>
        </is>
      </c>
      <c r="D46" s="36" t="inlineStr">
        <is>
          <t>Oui</t>
        </is>
      </c>
      <c r="E46" s="36" t="inlineStr">
        <is>
          <t>TDR</t>
        </is>
      </c>
      <c r="F46" s="36" t="inlineStr">
        <is>
          <t>Semestres</t>
        </is>
      </c>
      <c r="G46" s="38" t="inlineStr">
        <is>
          <t>Semestre.</t>
        </is>
      </c>
    </row>
    <row r="47" ht="15" customHeight="1" s="22">
      <c r="A47" s="36" t="inlineStr">
        <is>
          <t>A3_Sessions</t>
        </is>
      </c>
      <c r="B47" s="37" t="inlineStr">
        <is>
          <t>Filiere</t>
        </is>
      </c>
      <c r="C47" s="36" t="inlineStr">
        <is>
          <t>Liste</t>
        </is>
      </c>
      <c r="D47" s="36" t="inlineStr">
        <is>
          <t>Oui</t>
        </is>
      </c>
      <c r="E47" s="36" t="inlineStr">
        <is>
          <t>TDR</t>
        </is>
      </c>
      <c r="F47" s="36" t="inlineStr">
        <is>
          <t>Filieres</t>
        </is>
      </c>
      <c r="G47" s="38" t="inlineStr">
        <is>
          <t>Filiere.</t>
        </is>
      </c>
    </row>
    <row r="48" ht="15" customHeight="1" s="22">
      <c r="A48" s="36" t="inlineStr">
        <is>
          <t>A3_Sessions</t>
        </is>
      </c>
      <c r="B48" s="37" t="inlineStr">
        <is>
          <t>Niveau</t>
        </is>
      </c>
      <c r="C48" s="36" t="inlineStr">
        <is>
          <t>Liste</t>
        </is>
      </c>
      <c r="D48" s="36" t="inlineStr">
        <is>
          <t>Oui</t>
        </is>
      </c>
      <c r="E48" s="36" t="inlineStr">
        <is>
          <t>TDR</t>
        </is>
      </c>
      <c r="F48" s="36" t="inlineStr">
        <is>
          <t>Niveaux</t>
        </is>
      </c>
      <c r="G48" s="38" t="inlineStr">
        <is>
          <t>Niveau.</t>
        </is>
      </c>
    </row>
    <row r="49" ht="15" customHeight="1" s="22">
      <c r="A49" s="36" t="inlineStr">
        <is>
          <t>A3_Sessions</t>
        </is>
      </c>
      <c r="B49" s="37" t="inlineStr">
        <is>
          <t>Section</t>
        </is>
      </c>
      <c r="C49" s="36" t="inlineStr">
        <is>
          <t>Liste</t>
        </is>
      </c>
      <c r="D49" s="36" t="inlineStr">
        <is>
          <t>Non</t>
        </is>
      </c>
      <c r="E49" s="36" t="inlineStr">
        <is>
          <t>Initiative (*)</t>
        </is>
      </c>
      <c r="F49" s="36" t="inlineStr">
        <is>
          <t>Sections</t>
        </is>
      </c>
      <c r="G49" s="38" t="inlineStr">
        <is>
          <t>Section.</t>
        </is>
      </c>
    </row>
    <row r="50" ht="15" customHeight="1" s="22">
      <c r="A50" s="36" t="inlineStr">
        <is>
          <t>A3_Sessions</t>
        </is>
      </c>
      <c r="B50" s="37" t="inlineStr">
        <is>
          <t>Matiere</t>
        </is>
      </c>
      <c r="C50" s="36" t="inlineStr">
        <is>
          <t>Texte</t>
        </is>
      </c>
      <c r="D50" s="36" t="inlineStr">
        <is>
          <t>Oui</t>
        </is>
      </c>
      <c r="E50" s="36" t="inlineStr">
        <is>
          <t>TDR</t>
        </is>
      </c>
      <c r="F50" s="36" t="inlineStr">
        <is>
          <t>-</t>
        </is>
      </c>
      <c r="G50" s="38" t="inlineStr">
        <is>
          <t>Intitule de la matiere.</t>
        </is>
      </c>
    </row>
    <row r="51" ht="15" customHeight="1" s="22">
      <c r="A51" s="36" t="inlineStr">
        <is>
          <t>A3_Sessions</t>
        </is>
      </c>
      <c r="B51" s="37" t="inlineStr">
        <is>
          <t>Enseignant</t>
        </is>
      </c>
      <c r="C51" s="36" t="inlineStr">
        <is>
          <t>Liste</t>
        </is>
      </c>
      <c r="D51" s="36" t="inlineStr">
        <is>
          <t>Oui</t>
        </is>
      </c>
      <c r="E51" s="36" t="inlineStr">
        <is>
          <t>TDR</t>
        </is>
      </c>
      <c r="F51" s="36" t="inlineStr">
        <is>
          <t>Enseignants (E1)</t>
        </is>
      </c>
      <c r="G51" s="38" t="inlineStr">
        <is>
          <t>Lien E1 (lien seance &lt;-&gt; formateur du TDR).</t>
        </is>
      </c>
    </row>
    <row r="52" ht="15" customHeight="1" s="22">
      <c r="A52" s="36" t="inlineStr">
        <is>
          <t>A3_Sessions</t>
        </is>
      </c>
      <c r="B52" s="37" t="inlineStr">
        <is>
          <t>Salle</t>
        </is>
      </c>
      <c r="C52" s="36" t="inlineStr">
        <is>
          <t>Liste</t>
        </is>
      </c>
      <c r="D52" s="36" t="inlineStr">
        <is>
          <t>Non</t>
        </is>
      </c>
      <c r="E52" s="36" t="inlineStr">
        <is>
          <t>TDR</t>
        </is>
      </c>
      <c r="F52" s="36" t="inlineStr">
        <is>
          <t>Salles (L1)</t>
        </is>
      </c>
      <c r="G52" s="38" t="inlineStr">
        <is>
          <t>Lien L1_Salles.</t>
        </is>
      </c>
    </row>
    <row r="53" ht="15" customHeight="1" s="22">
      <c r="A53" s="36" t="inlineStr">
        <is>
          <t>A3_Sessions</t>
        </is>
      </c>
      <c r="B53" s="37" t="inlineStr">
        <is>
          <t>Jour</t>
        </is>
      </c>
      <c r="C53" s="36" t="inlineStr">
        <is>
          <t>Liste</t>
        </is>
      </c>
      <c r="D53" s="36" t="inlineStr">
        <is>
          <t>Oui</t>
        </is>
      </c>
      <c r="E53" s="36" t="inlineStr">
        <is>
          <t>TDR</t>
        </is>
      </c>
      <c r="F53" s="36" t="inlineStr">
        <is>
          <t>Lundi..Samedi</t>
        </is>
      </c>
      <c r="G53" s="38" t="inlineStr">
        <is>
          <t>Jour de la semaine.</t>
        </is>
      </c>
    </row>
    <row r="54" ht="15" customHeight="1" s="22">
      <c r="A54" s="36" t="inlineStr">
        <is>
          <t>A3_Sessions</t>
        </is>
      </c>
      <c r="B54" s="37" t="inlineStr">
        <is>
          <t>Heure debut</t>
        </is>
      </c>
      <c r="C54" s="36" t="inlineStr">
        <is>
          <t>Texte</t>
        </is>
      </c>
      <c r="D54" s="36" t="inlineStr">
        <is>
          <t>Oui</t>
        </is>
      </c>
      <c r="E54" s="36" t="inlineStr">
        <is>
          <t>TDR</t>
        </is>
      </c>
      <c r="F54" s="36" t="inlineStr">
        <is>
          <t>-</t>
        </is>
      </c>
      <c r="G54" s="38" t="inlineStr">
        <is>
          <t>Heure de debut.</t>
        </is>
      </c>
    </row>
    <row r="55" ht="15" customHeight="1" s="22">
      <c r="A55" s="36" t="inlineStr">
        <is>
          <t>A3_Sessions</t>
        </is>
      </c>
      <c r="B55" s="37" t="inlineStr">
        <is>
          <t>Heure fin</t>
        </is>
      </c>
      <c r="C55" s="36" t="inlineStr">
        <is>
          <t>Texte</t>
        </is>
      </c>
      <c r="D55" s="36" t="inlineStr">
        <is>
          <t>Oui</t>
        </is>
      </c>
      <c r="E55" s="36" t="inlineStr">
        <is>
          <t>TDR</t>
        </is>
      </c>
      <c r="F55" s="36" t="inlineStr">
        <is>
          <t>-</t>
        </is>
      </c>
      <c r="G55" s="38" t="inlineStr">
        <is>
          <t>Heure de fin.</t>
        </is>
      </c>
    </row>
    <row r="56" ht="15" customHeight="1" s="22">
      <c r="A56" s="36" t="inlineStr">
        <is>
          <t>A3_Sessions</t>
        </is>
      </c>
      <c r="B56" s="37" t="inlineStr">
        <is>
          <t>Type</t>
        </is>
      </c>
      <c r="C56" s="36" t="inlineStr">
        <is>
          <t>Liste</t>
        </is>
      </c>
      <c r="D56" s="36" t="inlineStr">
        <is>
          <t>Non</t>
        </is>
      </c>
      <c r="E56" s="36" t="inlineStr">
        <is>
          <t>Initiative (*)</t>
        </is>
      </c>
      <c r="F56" s="36" t="inlineStr">
        <is>
          <t>Types_salle</t>
        </is>
      </c>
      <c r="G56" s="38" t="inlineStr">
        <is>
          <t>Cours / TD / TP / Stage.</t>
        </is>
      </c>
    </row>
    <row r="57" ht="15" customHeight="1" s="22">
      <c r="A57" s="36" t="inlineStr">
        <is>
          <t>A3_Sessions</t>
        </is>
      </c>
      <c r="B57" s="37" t="inlineStr">
        <is>
          <t>Vol. horaire prog.</t>
        </is>
      </c>
      <c r="C57" s="36" t="inlineStr">
        <is>
          <t>Nombre</t>
        </is>
      </c>
      <c r="D57" s="36" t="inlineStr">
        <is>
          <t>Non</t>
        </is>
      </c>
      <c r="E57" s="36" t="inlineStr">
        <is>
          <t>Initiative (*)</t>
        </is>
      </c>
      <c r="F57" s="36" t="inlineStr">
        <is>
          <t>-</t>
        </is>
      </c>
      <c r="G57" s="38" t="inlineStr">
        <is>
          <t>Volume horaire programme.</t>
        </is>
      </c>
    </row>
    <row r="58" ht="15" customHeight="1" s="22">
      <c r="A58" s="36" t="inlineStr">
        <is>
          <t>A4_Documents_etud</t>
        </is>
      </c>
      <c r="B58" s="37" t="inlineStr">
        <is>
          <t>Matricule</t>
        </is>
      </c>
      <c r="C58" s="36" t="inlineStr">
        <is>
          <t>Liste</t>
        </is>
      </c>
      <c r="D58" s="36" t="inlineStr">
        <is>
          <t>Oui</t>
        </is>
      </c>
      <c r="E58" s="36" t="inlineStr">
        <is>
          <t>Hors TDR (**)</t>
        </is>
      </c>
      <c r="F58" s="36" t="inlineStr">
        <is>
          <t>Etudiants inscrits (A1)</t>
        </is>
      </c>
      <c r="G58" s="38" t="inlineStr">
        <is>
          <t>Lien A1_Etudiants.</t>
        </is>
      </c>
    </row>
    <row r="59" ht="15" customHeight="1" s="22">
      <c r="A59" s="36" t="inlineStr">
        <is>
          <t>A4_Documents_etud</t>
        </is>
      </c>
      <c r="B59" s="37" t="inlineStr">
        <is>
          <t>Type de document</t>
        </is>
      </c>
      <c r="C59" s="36" t="inlineStr">
        <is>
          <t>Liste</t>
        </is>
      </c>
      <c r="D59" s="36" t="inlineStr">
        <is>
          <t>Oui</t>
        </is>
      </c>
      <c r="E59" s="36" t="inlineStr">
        <is>
          <t>Hors TDR (**)</t>
        </is>
      </c>
      <c r="F59" s="36" t="inlineStr">
        <is>
          <t>Types_document</t>
        </is>
      </c>
      <c r="G59" s="38" t="inlineStr">
        <is>
          <t>Attestation de passage, bulletin, etc.</t>
        </is>
      </c>
    </row>
    <row r="60" ht="15" customHeight="1" s="22">
      <c r="A60" s="36" t="inlineStr">
        <is>
          <t>A4_Documents_etud</t>
        </is>
      </c>
      <c r="B60" s="37" t="inlineStr">
        <is>
          <t>Annee concernee</t>
        </is>
      </c>
      <c r="C60" s="36" t="inlineStr">
        <is>
          <t>Liste</t>
        </is>
      </c>
      <c r="D60" s="36" t="inlineStr">
        <is>
          <t>Oui</t>
        </is>
      </c>
      <c r="E60" s="36" t="inlineStr">
        <is>
          <t>Hors TDR (**)</t>
        </is>
      </c>
      <c r="F60" s="36" t="inlineStr">
        <is>
          <t>Annees_acad</t>
        </is>
      </c>
      <c r="G60" s="38" t="inlineStr">
        <is>
          <t>Annee de scolarite concernee.</t>
        </is>
      </c>
    </row>
    <row r="61" ht="15" customHeight="1" s="22">
      <c r="A61" s="36" t="inlineStr">
        <is>
          <t>A4_Documents_etud</t>
        </is>
      </c>
      <c r="B61" s="37" t="inlineStr">
        <is>
          <t>Date generation</t>
        </is>
      </c>
      <c r="C61" s="36" t="inlineStr">
        <is>
          <t>Date</t>
        </is>
      </c>
      <c r="D61" s="36" t="inlineStr">
        <is>
          <t>Non</t>
        </is>
      </c>
      <c r="E61" s="36" t="inlineStr">
        <is>
          <t>Hors TDR (**)</t>
        </is>
      </c>
      <c r="F61" s="36" t="inlineStr">
        <is>
          <t>-</t>
        </is>
      </c>
      <c r="G61" s="38" t="inlineStr">
        <is>
          <t>Date de generation du document.</t>
        </is>
      </c>
    </row>
    <row r="62" ht="15" customHeight="1" s="22">
      <c r="A62" s="36" t="inlineStr">
        <is>
          <t>A4_Documents_etud</t>
        </is>
      </c>
      <c r="B62" s="37" t="inlineStr">
        <is>
          <t>Statut</t>
        </is>
      </c>
      <c r="C62" s="36" t="inlineStr">
        <is>
          <t>Liste</t>
        </is>
      </c>
      <c r="D62" s="36" t="inlineStr">
        <is>
          <t>Non</t>
        </is>
      </c>
      <c r="E62" s="36" t="inlineStr">
        <is>
          <t>Initiative (*)</t>
        </is>
      </c>
      <c r="F62" s="36" t="inlineStr">
        <is>
          <t>Statuts_document</t>
        </is>
      </c>
      <c r="G62" s="38" t="inlineStr">
        <is>
          <t>Cycle de validation avant impression.</t>
        </is>
      </c>
    </row>
    <row r="63" ht="15" customHeight="1" s="22">
      <c r="A63" s="36" t="inlineStr">
        <is>
          <t>A4_Documents_etud</t>
        </is>
      </c>
      <c r="B63" s="37" t="inlineStr">
        <is>
          <t>Date liberation</t>
        </is>
      </c>
      <c r="C63" s="36" t="inlineStr">
        <is>
          <t>Date</t>
        </is>
      </c>
      <c r="D63" s="36" t="inlineStr">
        <is>
          <t>Non</t>
        </is>
      </c>
      <c r="E63" s="36" t="inlineStr">
        <is>
          <t>Initiative (*)</t>
        </is>
      </c>
      <c r="F63" s="36" t="inlineStr">
        <is>
          <t>-</t>
        </is>
      </c>
      <c r="G63" s="38" t="inlineStr">
        <is>
          <t>Date a partir de laquelle imprimable (delai 1 semaine).</t>
        </is>
      </c>
    </row>
    <row r="64" ht="15" customHeight="1" s="22">
      <c r="A64" s="36" t="inlineStr">
        <is>
          <t>A4_Documents_etud</t>
        </is>
      </c>
      <c r="B64" s="37" t="inlineStr">
        <is>
          <t>Remis le</t>
        </is>
      </c>
      <c r="C64" s="36" t="inlineStr">
        <is>
          <t>Date</t>
        </is>
      </c>
      <c r="D64" s="36" t="inlineStr">
        <is>
          <t>Non</t>
        </is>
      </c>
      <c r="E64" s="36" t="inlineStr">
        <is>
          <t>Hors TDR (**)</t>
        </is>
      </c>
      <c r="F64" s="36" t="inlineStr">
        <is>
          <t>-</t>
        </is>
      </c>
      <c r="G64" s="38" t="inlineStr">
        <is>
          <t>Date de remise a l'etudiant.</t>
        </is>
      </c>
    </row>
    <row r="65" ht="15" customHeight="1" s="22">
      <c r="A65" s="36" t="inlineStr">
        <is>
          <t>S1_Stages</t>
        </is>
      </c>
      <c r="B65" s="37" t="inlineStr">
        <is>
          <t>Matricule</t>
        </is>
      </c>
      <c r="C65" s="36" t="inlineStr">
        <is>
          <t>Liste</t>
        </is>
      </c>
      <c r="D65" s="36" t="inlineStr">
        <is>
          <t>Oui</t>
        </is>
      </c>
      <c r="E65" s="36" t="inlineStr">
        <is>
          <t>Initiative (*)</t>
        </is>
      </c>
      <c r="F65" s="36" t="inlineStr">
        <is>
          <t>Etudiants inscrits (A1)</t>
        </is>
      </c>
      <c r="G65" s="38" t="inlineStr">
        <is>
          <t>Lien A1_Etudiants.</t>
        </is>
      </c>
    </row>
    <row r="66" ht="15" customHeight="1" s="22">
      <c r="A66" s="36" t="inlineStr">
        <is>
          <t>S1_Stages</t>
        </is>
      </c>
      <c r="B66" s="37" t="inlineStr">
        <is>
          <t>Annee acad.</t>
        </is>
      </c>
      <c r="C66" s="36" t="inlineStr">
        <is>
          <t>Liste</t>
        </is>
      </c>
      <c r="D66" s="36" t="inlineStr">
        <is>
          <t>Oui</t>
        </is>
      </c>
      <c r="E66" s="36" t="inlineStr">
        <is>
          <t>Initiative (*)</t>
        </is>
      </c>
      <c r="F66" s="36" t="inlineStr">
        <is>
          <t>Annees_acad</t>
        </is>
      </c>
      <c r="G66" s="38" t="inlineStr">
        <is>
          <t>Annee academique.</t>
        </is>
      </c>
    </row>
    <row r="67" ht="15" customHeight="1" s="22">
      <c r="A67" s="36" t="inlineStr">
        <is>
          <t>S1_Stages</t>
        </is>
      </c>
      <c r="B67" s="37" t="inlineStr">
        <is>
          <t>N seance (1-6)</t>
        </is>
      </c>
      <c r="C67" s="36" t="inlineStr">
        <is>
          <t>Nombre</t>
        </is>
      </c>
      <c r="D67" s="36" t="inlineStr">
        <is>
          <t>Oui</t>
        </is>
      </c>
      <c r="E67" s="36" t="inlineStr">
        <is>
          <t>Initiative (*)</t>
        </is>
      </c>
      <c r="F67" s="36" t="inlineStr">
        <is>
          <t>-</t>
        </is>
      </c>
      <c r="G67" s="38" t="inlineStr">
        <is>
          <t>6 seances de stage par an.</t>
        </is>
      </c>
    </row>
    <row r="68" ht="15" customHeight="1" s="22">
      <c r="A68" s="36" t="inlineStr">
        <is>
          <t>S1_Stages</t>
        </is>
      </c>
      <c r="B68" s="37" t="inlineStr">
        <is>
          <t>Lieu de stage</t>
        </is>
      </c>
      <c r="C68" s="36" t="inlineStr">
        <is>
          <t>Liste</t>
        </is>
      </c>
      <c r="D68" s="36" t="inlineStr">
        <is>
          <t>Oui</t>
        </is>
      </c>
      <c r="E68" s="36" t="inlineStr">
        <is>
          <t>Initiative (*)</t>
        </is>
      </c>
      <c r="F68" s="36" t="inlineStr">
        <is>
          <t>Lieux_stage</t>
        </is>
      </c>
      <c r="G68" s="38" t="inlineStr">
        <is>
          <t>Etablissement d'accueil.</t>
        </is>
      </c>
    </row>
    <row r="69" ht="15" customHeight="1" s="22">
      <c r="A69" s="36" t="inlineStr">
        <is>
          <t>S1_Stages</t>
        </is>
      </c>
      <c r="B69" s="37" t="inlineStr">
        <is>
          <t>Date debut</t>
        </is>
      </c>
      <c r="C69" s="36" t="inlineStr">
        <is>
          <t>Date</t>
        </is>
      </c>
      <c r="D69" s="36" t="inlineStr">
        <is>
          <t>Non</t>
        </is>
      </c>
      <c r="E69" s="36" t="inlineStr">
        <is>
          <t>Initiative (*)</t>
        </is>
      </c>
      <c r="F69" s="36" t="inlineStr">
        <is>
          <t>-</t>
        </is>
      </c>
      <c r="G69" s="38" t="inlineStr">
        <is>
          <t>Debut (1 mois d'affile).</t>
        </is>
      </c>
    </row>
    <row r="70" ht="15" customHeight="1" s="22">
      <c r="A70" s="36" t="inlineStr">
        <is>
          <t>S1_Stages</t>
        </is>
      </c>
      <c r="B70" s="37" t="inlineStr">
        <is>
          <t>Date fin</t>
        </is>
      </c>
      <c r="C70" s="36" t="inlineStr">
        <is>
          <t>Date</t>
        </is>
      </c>
      <c r="D70" s="36" t="inlineStr">
        <is>
          <t>Non</t>
        </is>
      </c>
      <c r="E70" s="36" t="inlineStr">
        <is>
          <t>Initiative (*)</t>
        </is>
      </c>
      <c r="F70" s="36" t="inlineStr">
        <is>
          <t>-</t>
        </is>
      </c>
      <c r="G70" s="38" t="inlineStr">
        <is>
          <t>Fin.</t>
        </is>
      </c>
    </row>
    <row r="71" ht="15" customHeight="1" s="22">
      <c r="A71" s="36" t="inlineStr">
        <is>
          <t>S1_Stages</t>
        </is>
      </c>
      <c r="B71" s="37" t="inlineStr">
        <is>
          <t>Fiche retour (O/N)</t>
        </is>
      </c>
      <c r="C71" s="36" t="inlineStr">
        <is>
          <t>Liste</t>
        </is>
      </c>
      <c r="D71" s="36" t="inlineStr">
        <is>
          <t>Non</t>
        </is>
      </c>
      <c r="E71" s="36" t="inlineStr">
        <is>
          <t>Initiative (*)</t>
        </is>
      </c>
      <c r="F71" s="36" t="inlineStr">
        <is>
          <t>O/N</t>
        </is>
      </c>
      <c r="G71" s="38" t="inlineStr">
        <is>
          <t>Fiche de retour recue.</t>
        </is>
      </c>
    </row>
    <row r="72" ht="15" customHeight="1" s="22">
      <c r="A72" s="36" t="inlineStr">
        <is>
          <t>S1_Stages</t>
        </is>
      </c>
      <c r="B72" s="37" t="inlineStr">
        <is>
          <t>Note stage /20</t>
        </is>
      </c>
      <c r="C72" s="36" t="inlineStr">
        <is>
          <t>Nombre</t>
        </is>
      </c>
      <c r="D72" s="36" t="inlineStr">
        <is>
          <t>Non</t>
        </is>
      </c>
      <c r="E72" s="36" t="inlineStr">
        <is>
          <t>Initiative (*)</t>
        </is>
      </c>
      <c r="F72" s="36" t="inlineStr">
        <is>
          <t>-</t>
        </is>
      </c>
      <c r="G72" s="38" t="inlineStr">
        <is>
          <t>Note (facultatif V1).</t>
        </is>
      </c>
    </row>
    <row r="73" ht="15" customHeight="1" s="22">
      <c r="A73" s="36" t="inlineStr">
        <is>
          <t>S1_Stages</t>
        </is>
      </c>
      <c r="B73" s="37" t="inlineStr">
        <is>
          <t>Observation / plainte</t>
        </is>
      </c>
      <c r="C73" s="36" t="inlineStr">
        <is>
          <t>Texte</t>
        </is>
      </c>
      <c r="D73" s="36" t="inlineStr">
        <is>
          <t>Non</t>
        </is>
      </c>
      <c r="E73" s="36" t="inlineStr">
        <is>
          <t>Hors TDR (**)</t>
        </is>
      </c>
      <c r="F73" s="36" t="inlineStr">
        <is>
          <t>-</t>
        </is>
      </c>
      <c r="G73" s="38" t="inlineStr">
        <is>
          <t>Zone d'observation (distincte des absences).</t>
        </is>
      </c>
    </row>
    <row r="74" ht="15" customHeight="1" s="22">
      <c r="A74" s="36" t="inlineStr">
        <is>
          <t>E1_Enseignants</t>
        </is>
      </c>
      <c r="B74" s="37" t="inlineStr">
        <is>
          <t>Matricule ens.</t>
        </is>
      </c>
      <c r="C74" s="36" t="inlineStr">
        <is>
          <t>Texte</t>
        </is>
      </c>
      <c r="D74" s="36" t="inlineStr">
        <is>
          <t>Oui</t>
        </is>
      </c>
      <c r="E74" s="36" t="inlineStr">
        <is>
          <t>TDR</t>
        </is>
      </c>
      <c r="F74" s="36" t="inlineStr">
        <is>
          <t>-</t>
        </is>
      </c>
      <c r="G74" s="38" t="inlineStr">
        <is>
          <t>Identifiant enseignant.</t>
        </is>
      </c>
    </row>
    <row r="75" ht="15" customHeight="1" s="22">
      <c r="A75" s="36" t="inlineStr">
        <is>
          <t>E1_Enseignants</t>
        </is>
      </c>
      <c r="B75" s="37" t="inlineStr">
        <is>
          <t>Genre</t>
        </is>
      </c>
      <c r="C75" s="36" t="inlineStr">
        <is>
          <t>Liste</t>
        </is>
      </c>
      <c r="D75" s="36" t="inlineStr">
        <is>
          <t>Non</t>
        </is>
      </c>
      <c r="E75" s="36" t="inlineStr">
        <is>
          <t>Initiative (*)</t>
        </is>
      </c>
      <c r="F75" s="36" t="inlineStr">
        <is>
          <t>Genres</t>
        </is>
      </c>
      <c r="G75" s="38" t="inlineStr">
        <is>
          <t>Genre.</t>
        </is>
      </c>
    </row>
    <row r="76" ht="15" customHeight="1" s="22">
      <c r="A76" s="36" t="inlineStr">
        <is>
          <t>E1_Enseignants</t>
        </is>
      </c>
      <c r="B76" s="37" t="inlineStr">
        <is>
          <t>Nom</t>
        </is>
      </c>
      <c r="C76" s="36" t="inlineStr">
        <is>
          <t>Texte</t>
        </is>
      </c>
      <c r="D76" s="36" t="inlineStr">
        <is>
          <t>Oui</t>
        </is>
      </c>
      <c r="E76" s="36" t="inlineStr">
        <is>
          <t>TDR</t>
        </is>
      </c>
      <c r="F76" s="36" t="inlineStr">
        <is>
          <t>-</t>
        </is>
      </c>
      <c r="G76" s="38" t="inlineStr">
        <is>
          <t>Nom.</t>
        </is>
      </c>
    </row>
    <row r="77" ht="15" customHeight="1" s="22">
      <c r="A77" s="36" t="inlineStr">
        <is>
          <t>E1_Enseignants</t>
        </is>
      </c>
      <c r="B77" s="37" t="inlineStr">
        <is>
          <t>Prenom</t>
        </is>
      </c>
      <c r="C77" s="36" t="inlineStr">
        <is>
          <t>Texte</t>
        </is>
      </c>
      <c r="D77" s="36" t="inlineStr">
        <is>
          <t>Oui</t>
        </is>
      </c>
      <c r="E77" s="36" t="inlineStr">
        <is>
          <t>TDR</t>
        </is>
      </c>
      <c r="F77" s="36" t="inlineStr">
        <is>
          <t>-</t>
        </is>
      </c>
      <c r="G77" s="38" t="inlineStr">
        <is>
          <t>Prenom.</t>
        </is>
      </c>
    </row>
    <row r="78" ht="15" customHeight="1" s="22">
      <c r="A78" s="36" t="inlineStr">
        <is>
          <t>E1_Enseignants</t>
        </is>
      </c>
      <c r="B78" s="37" t="inlineStr">
        <is>
          <t>Statut</t>
        </is>
      </c>
      <c r="C78" s="36" t="inlineStr">
        <is>
          <t>Liste</t>
        </is>
      </c>
      <c r="D78" s="36" t="inlineStr">
        <is>
          <t>Non</t>
        </is>
      </c>
      <c r="E78" s="36" t="inlineStr">
        <is>
          <t>Initiative (*)</t>
        </is>
      </c>
      <c r="F78" s="36" t="inlineStr">
        <is>
          <t>Statuts_enseignant</t>
        </is>
      </c>
      <c r="G78" s="38" t="inlineStr">
        <is>
          <t>Statut de l'enseignant.</t>
        </is>
      </c>
    </row>
    <row r="79" ht="15" customHeight="1" s="22">
      <c r="A79" s="36" t="inlineStr">
        <is>
          <t>E1_Enseignants</t>
        </is>
      </c>
      <c r="B79" s="37" t="inlineStr">
        <is>
          <t>Matieres enseignees</t>
        </is>
      </c>
      <c r="C79" s="36" t="inlineStr">
        <is>
          <t>Texte</t>
        </is>
      </c>
      <c r="D79" s="36" t="inlineStr">
        <is>
          <t>Non</t>
        </is>
      </c>
      <c r="E79" s="36" t="inlineStr">
        <is>
          <t>TDR</t>
        </is>
      </c>
      <c r="F79" s="36" t="inlineStr">
        <is>
          <t>-</t>
        </is>
      </c>
      <c r="G79" s="38" t="inlineStr">
        <is>
          <t>Matieres assurees.</t>
        </is>
      </c>
    </row>
    <row r="80" ht="15" customHeight="1" s="22">
      <c r="A80" s="36" t="inlineStr">
        <is>
          <t>E1_Enseignants</t>
        </is>
      </c>
      <c r="B80" s="37" t="inlineStr">
        <is>
          <t>Qualifications</t>
        </is>
      </c>
      <c r="C80" s="36" t="inlineStr">
        <is>
          <t>Texte</t>
        </is>
      </c>
      <c r="D80" s="36" t="inlineStr">
        <is>
          <t>Non</t>
        </is>
      </c>
      <c r="E80" s="36" t="inlineStr">
        <is>
          <t>Initiative (*)</t>
        </is>
      </c>
      <c r="F80" s="36" t="inlineStr">
        <is>
          <t>-</t>
        </is>
      </c>
      <c r="G80" s="38" t="inlineStr">
        <is>
          <t>Diplomes / qualifications.</t>
        </is>
      </c>
    </row>
    <row r="81" ht="15" customHeight="1" s="22">
      <c r="A81" s="36" t="inlineStr">
        <is>
          <t>E1_Enseignants</t>
        </is>
      </c>
      <c r="B81" s="37" t="inlineStr">
        <is>
          <t>Departement</t>
        </is>
      </c>
      <c r="C81" s="36" t="inlineStr">
        <is>
          <t>Texte</t>
        </is>
      </c>
      <c r="D81" s="36" t="inlineStr">
        <is>
          <t>Non</t>
        </is>
      </c>
      <c r="E81" s="36" t="inlineStr">
        <is>
          <t>TDR</t>
        </is>
      </c>
      <c r="F81" s="36" t="inlineStr">
        <is>
          <t>-</t>
        </is>
      </c>
      <c r="G81" s="38" t="inlineStr">
        <is>
          <t>Departement de rattachement.</t>
        </is>
      </c>
    </row>
    <row r="82" ht="15" customHeight="1" s="22">
      <c r="A82" s="36" t="inlineStr">
        <is>
          <t>E1_Enseignants</t>
        </is>
      </c>
      <c r="B82" s="37" t="inlineStr">
        <is>
          <t>Chef dept validant</t>
        </is>
      </c>
      <c r="C82" s="36" t="inlineStr">
        <is>
          <t>Texte</t>
        </is>
      </c>
      <c r="D82" s="36" t="inlineStr">
        <is>
          <t>Non</t>
        </is>
      </c>
      <c r="E82" s="36" t="inlineStr">
        <is>
          <t>Initiative (*)</t>
        </is>
      </c>
      <c r="F82" s="36" t="inlineStr">
        <is>
          <t>-</t>
        </is>
      </c>
      <c r="G82" s="38" t="inlineStr">
        <is>
          <t>Chef de departement validant les presences.</t>
        </is>
      </c>
    </row>
    <row r="83" ht="15" customHeight="1" s="22">
      <c r="A83" s="36" t="inlineStr">
        <is>
          <t>E2_Releve_heures</t>
        </is>
      </c>
      <c r="B83" s="37" t="inlineStr">
        <is>
          <t>Mois / Annee</t>
        </is>
      </c>
      <c r="C83" s="36" t="inlineStr">
        <is>
          <t>Texte</t>
        </is>
      </c>
      <c r="D83" s="36" t="inlineStr">
        <is>
          <t>Oui</t>
        </is>
      </c>
      <c r="E83" s="36" t="inlineStr">
        <is>
          <t>Initiative (*)</t>
        </is>
      </c>
      <c r="F83" s="36" t="inlineStr">
        <is>
          <t>-</t>
        </is>
      </c>
      <c r="G83" s="38" t="inlineStr">
        <is>
          <t>Periode de paie.</t>
        </is>
      </c>
    </row>
    <row r="84" ht="15" customHeight="1" s="22">
      <c r="A84" s="36" t="inlineStr">
        <is>
          <t>E2_Releve_heures</t>
        </is>
      </c>
      <c r="B84" s="37" t="inlineStr">
        <is>
          <t>Matricule ens.</t>
        </is>
      </c>
      <c r="C84" s="36" t="inlineStr">
        <is>
          <t>Liste</t>
        </is>
      </c>
      <c r="D84" s="36" t="inlineStr">
        <is>
          <t>Oui</t>
        </is>
      </c>
      <c r="E84" s="36" t="inlineStr">
        <is>
          <t>Initiative (*)</t>
        </is>
      </c>
      <c r="F84" s="36" t="inlineStr">
        <is>
          <t>Enseignants matricule (E1)</t>
        </is>
      </c>
      <c r="G84" s="38" t="inlineStr">
        <is>
          <t>Lien E1_Enseignants.</t>
        </is>
      </c>
    </row>
    <row r="85" ht="15" customHeight="1" s="22">
      <c r="A85" s="36" t="inlineStr">
        <is>
          <t>E2_Releve_heures</t>
        </is>
      </c>
      <c r="B85" s="37" t="inlineStr">
        <is>
          <t>Vol. horaire prog.</t>
        </is>
      </c>
      <c r="C85" s="36" t="inlineStr">
        <is>
          <t>Nombre</t>
        </is>
      </c>
      <c r="D85" s="36" t="inlineStr">
        <is>
          <t>Non</t>
        </is>
      </c>
      <c r="E85" s="36" t="inlineStr">
        <is>
          <t>Initiative (*)</t>
        </is>
      </c>
      <c r="F85" s="36" t="inlineStr">
        <is>
          <t>-</t>
        </is>
      </c>
      <c r="G85" s="38" t="inlineStr">
        <is>
          <t>Heures programmees.</t>
        </is>
      </c>
    </row>
    <row r="86" ht="15" customHeight="1" s="22">
      <c r="A86" s="36" t="inlineStr">
        <is>
          <t>E2_Releve_heures</t>
        </is>
      </c>
      <c r="B86" s="37" t="inlineStr">
        <is>
          <t>Vol. horaire constate</t>
        </is>
      </c>
      <c r="C86" s="36" t="inlineStr">
        <is>
          <t>Nombre</t>
        </is>
      </c>
      <c r="D86" s="36" t="inlineStr">
        <is>
          <t>Oui</t>
        </is>
      </c>
      <c r="E86" s="36" t="inlineStr">
        <is>
          <t>Initiative (*)</t>
        </is>
      </c>
      <c r="F86" s="36" t="inlineStr">
        <is>
          <t>-</t>
        </is>
      </c>
      <c r="G86" s="38" t="inlineStr">
        <is>
          <t>Heures reellement effectuees.</t>
        </is>
      </c>
    </row>
    <row r="87" ht="30" customHeight="1" s="22">
      <c r="A87" s="36" t="inlineStr">
        <is>
          <t>E2_Releve_heures</t>
        </is>
      </c>
      <c r="B87" s="37" t="inlineStr">
        <is>
          <t>Total heures a payer</t>
        </is>
      </c>
      <c r="C87" s="36" t="inlineStr">
        <is>
          <t>Formule</t>
        </is>
      </c>
      <c r="D87" s="36" t="inlineStr">
        <is>
          <t>Auto</t>
        </is>
      </c>
      <c r="E87" s="36" t="inlineStr">
        <is>
          <t>Initiative (*)</t>
        </is>
      </c>
      <c r="F87" s="36" t="inlineStr">
        <is>
          <t>-</t>
        </is>
      </c>
      <c r="G87" s="38" t="inlineStr">
        <is>
          <t>Calcul auto : reprend les heures constatees (nb d'heures, sans taux).</t>
        </is>
      </c>
    </row>
    <row r="88" ht="15" customHeight="1" s="22">
      <c r="A88" s="36" t="inlineStr">
        <is>
          <t>L1_Salles</t>
        </is>
      </c>
      <c r="B88" s="37" t="inlineStr">
        <is>
          <t>ID salle</t>
        </is>
      </c>
      <c r="C88" s="36" t="inlineStr">
        <is>
          <t>Texte</t>
        </is>
      </c>
      <c r="D88" s="36" t="inlineStr">
        <is>
          <t>Oui</t>
        </is>
      </c>
      <c r="E88" s="36" t="inlineStr">
        <is>
          <t>TDR</t>
        </is>
      </c>
      <c r="F88" s="36" t="inlineStr">
        <is>
          <t>-</t>
        </is>
      </c>
      <c r="G88" s="38" t="inlineStr">
        <is>
          <t>Identifiant de la salle.</t>
        </is>
      </c>
    </row>
    <row r="89" ht="15" customHeight="1" s="22">
      <c r="A89" s="36" t="inlineStr">
        <is>
          <t>L1_Salles</t>
        </is>
      </c>
      <c r="B89" s="37" t="inlineStr">
        <is>
          <t>Nom / libelle</t>
        </is>
      </c>
      <c r="C89" s="36" t="inlineStr">
        <is>
          <t>Texte</t>
        </is>
      </c>
      <c r="D89" s="36" t="inlineStr">
        <is>
          <t>Oui</t>
        </is>
      </c>
      <c r="E89" s="36" t="inlineStr">
        <is>
          <t>TDR</t>
        </is>
      </c>
      <c r="F89" s="36" t="inlineStr">
        <is>
          <t>-</t>
        </is>
      </c>
      <c r="G89" s="38" t="inlineStr">
        <is>
          <t>Nom de la salle.</t>
        </is>
      </c>
    </row>
    <row r="90" ht="15" customHeight="1" s="22">
      <c r="A90" s="36" t="inlineStr">
        <is>
          <t>L1_Salles</t>
        </is>
      </c>
      <c r="B90" s="37" t="inlineStr">
        <is>
          <t>Type</t>
        </is>
      </c>
      <c r="C90" s="36" t="inlineStr">
        <is>
          <t>Liste</t>
        </is>
      </c>
      <c r="D90" s="36" t="inlineStr">
        <is>
          <t>Non</t>
        </is>
      </c>
      <c r="E90" s="36" t="inlineStr">
        <is>
          <t>Initiative (*)</t>
        </is>
      </c>
      <c r="F90" s="36" t="inlineStr">
        <is>
          <t>Types_salle</t>
        </is>
      </c>
      <c r="G90" s="38" t="inlineStr">
        <is>
          <t>Cours / TD / TP.</t>
        </is>
      </c>
    </row>
    <row r="91" ht="15" customHeight="1" s="22">
      <c r="A91" s="36" t="inlineStr">
        <is>
          <t>L1_Salles</t>
        </is>
      </c>
      <c r="B91" s="37" t="inlineStr">
        <is>
          <t>Capacite</t>
        </is>
      </c>
      <c r="C91" s="36" t="inlineStr">
        <is>
          <t>Nombre</t>
        </is>
      </c>
      <c r="D91" s="36" t="inlineStr">
        <is>
          <t>Non</t>
        </is>
      </c>
      <c r="E91" s="36" t="inlineStr">
        <is>
          <t>TDR</t>
        </is>
      </c>
      <c r="F91" s="36" t="inlineStr">
        <is>
          <t>-</t>
        </is>
      </c>
      <c r="G91" s="38" t="inlineStr">
        <is>
          <t>Nombre de places.</t>
        </is>
      </c>
    </row>
    <row r="92" ht="15" customHeight="1" s="22">
      <c r="A92" s="36" t="inlineStr">
        <is>
          <t>L1_Salles</t>
        </is>
      </c>
      <c r="B92" s="37" t="inlineStr">
        <is>
          <t>Equipements</t>
        </is>
      </c>
      <c r="C92" s="36" t="inlineStr">
        <is>
          <t>Texte</t>
        </is>
      </c>
      <c r="D92" s="36" t="inlineStr">
        <is>
          <t>Non</t>
        </is>
      </c>
      <c r="E92" s="36" t="inlineStr">
        <is>
          <t>Initiative (*)</t>
        </is>
      </c>
      <c r="F92" s="36" t="inlineStr">
        <is>
          <t>-</t>
        </is>
      </c>
      <c r="G92" s="38" t="inlineStr">
        <is>
          <t>Equipements de la salle.</t>
        </is>
      </c>
    </row>
    <row r="93" ht="15" customHeight="1" s="22">
      <c r="A93" s="36" t="inlineStr">
        <is>
          <t>L1_Salles</t>
        </is>
      </c>
      <c r="B93" s="37" t="inlineStr">
        <is>
          <t>Batiment / localisation</t>
        </is>
      </c>
      <c r="C93" s="36" t="inlineStr">
        <is>
          <t>Texte</t>
        </is>
      </c>
      <c r="D93" s="36" t="inlineStr">
        <is>
          <t>Non</t>
        </is>
      </c>
      <c r="E93" s="36" t="inlineStr">
        <is>
          <t>Initiative (*)</t>
        </is>
      </c>
      <c r="F93" s="36" t="inlineStr">
        <is>
          <t>-</t>
        </is>
      </c>
      <c r="G93" s="38" t="inlineStr">
        <is>
          <t>Localisation.</t>
        </is>
      </c>
    </row>
    <row r="94" ht="15" customHeight="1" s="22">
      <c r="A94" s="36" t="inlineStr">
        <is>
          <t>F1_Mouvements</t>
        </is>
      </c>
      <c r="B94" s="37" t="inlineStr">
        <is>
          <t>Date operation</t>
        </is>
      </c>
      <c r="C94" s="36" t="inlineStr">
        <is>
          <t>Date</t>
        </is>
      </c>
      <c r="D94" s="36" t="inlineStr">
        <is>
          <t>Oui</t>
        </is>
      </c>
      <c r="E94" s="36" t="inlineStr">
        <is>
          <t>TDR</t>
        </is>
      </c>
      <c r="F94" s="36" t="inlineStr">
        <is>
          <t>-</t>
        </is>
      </c>
      <c r="G94" s="38" t="inlineStr">
        <is>
          <t>Date de l'operation (JJ/MM/AAAA).</t>
        </is>
      </c>
    </row>
    <row r="95" ht="15" customHeight="1" s="22">
      <c r="A95" s="36" t="inlineStr">
        <is>
          <t>F1_Mouvements</t>
        </is>
      </c>
      <c r="B95" s="37" t="inlineStr">
        <is>
          <t>Sens</t>
        </is>
      </c>
      <c r="C95" s="36" t="inlineStr">
        <is>
          <t>Liste</t>
        </is>
      </c>
      <c r="D95" s="36" t="inlineStr">
        <is>
          <t>Oui</t>
        </is>
      </c>
      <c r="E95" s="36" t="inlineStr">
        <is>
          <t>Initiative (*)</t>
        </is>
      </c>
      <c r="F95" s="36" t="inlineStr">
        <is>
          <t>Recette/Depense</t>
        </is>
      </c>
      <c r="G95" s="38" t="inlineStr">
        <is>
          <t>Determine la liste de categories proposee.</t>
        </is>
      </c>
    </row>
    <row r="96" ht="15" customHeight="1" s="22">
      <c r="A96" s="36" t="inlineStr">
        <is>
          <t>F1_Mouvements</t>
        </is>
      </c>
      <c r="B96" s="37" t="inlineStr">
        <is>
          <t>Categorie</t>
        </is>
      </c>
      <c r="C96" s="36" t="inlineStr">
        <is>
          <t>Liste</t>
        </is>
      </c>
      <c r="D96" s="36" t="inlineStr">
        <is>
          <t>Oui</t>
        </is>
      </c>
      <c r="E96" s="36" t="inlineStr">
        <is>
          <t>Hors TDR (**)</t>
        </is>
      </c>
      <c r="F96" s="36" t="inlineStr">
        <is>
          <t>Cat_Recettes OU Cat_Depenses</t>
        </is>
      </c>
      <c r="G96" s="38" t="inlineStr">
        <is>
          <t>Liste dependante du Sens (separee recettes/depenses).</t>
        </is>
      </c>
    </row>
    <row r="97" ht="15" customHeight="1" s="22">
      <c r="A97" s="36" t="inlineStr">
        <is>
          <t>F1_Mouvements</t>
        </is>
      </c>
      <c r="B97" s="37" t="inlineStr">
        <is>
          <t>Poste budgetaire</t>
        </is>
      </c>
      <c r="C97" s="36" t="inlineStr">
        <is>
          <t>Liste</t>
        </is>
      </c>
      <c r="D97" s="36" t="inlineStr">
        <is>
          <t>Non</t>
        </is>
      </c>
      <c r="E97" s="36" t="inlineStr">
        <is>
          <t>Hors TDR (**)</t>
        </is>
      </c>
      <c r="F97" s="36" t="inlineStr">
        <is>
          <t>Postes_budgetaires</t>
        </is>
      </c>
      <c r="G97" s="38" t="inlineStr">
        <is>
          <t>Imputation budgetaire.</t>
        </is>
      </c>
    </row>
    <row r="98" ht="15" customHeight="1" s="22">
      <c r="A98" s="36" t="inlineStr">
        <is>
          <t>F1_Mouvements</t>
        </is>
      </c>
      <c r="B98" s="37" t="inlineStr">
        <is>
          <t>Mode paiement</t>
        </is>
      </c>
      <c r="C98" s="36" t="inlineStr">
        <is>
          <t>Liste</t>
        </is>
      </c>
      <c r="D98" s="36" t="inlineStr">
        <is>
          <t>Non</t>
        </is>
      </c>
      <c r="E98" s="36" t="inlineStr">
        <is>
          <t>Initiative (*)</t>
        </is>
      </c>
      <c r="F98" s="36" t="inlineStr">
        <is>
          <t>Modes_paiement</t>
        </is>
      </c>
      <c r="G98" s="38" t="inlineStr">
        <is>
          <t>Moyen de paiement.</t>
        </is>
      </c>
    </row>
    <row r="99" ht="15" customHeight="1" s="22">
      <c r="A99" s="36" t="inlineStr">
        <is>
          <t>F1_Mouvements</t>
        </is>
      </c>
      <c r="B99" s="37" t="inlineStr">
        <is>
          <t>Compte / caisse</t>
        </is>
      </c>
      <c r="C99" s="36" t="inlineStr">
        <is>
          <t>Liste</t>
        </is>
      </c>
      <c r="D99" s="36" t="inlineStr">
        <is>
          <t>Oui</t>
        </is>
      </c>
      <c r="E99" s="36" t="inlineStr">
        <is>
          <t>Initiative (*)</t>
        </is>
      </c>
      <c r="F99" s="36" t="inlineStr">
        <is>
          <t>Comptes_caisses</t>
        </is>
      </c>
      <c r="G99" s="38" t="inlineStr">
        <is>
          <t>Compte concerne (alimente le solde F2).</t>
        </is>
      </c>
    </row>
    <row r="100" ht="15" customHeight="1" s="22">
      <c r="A100" s="36" t="inlineStr">
        <is>
          <t>F1_Mouvements</t>
        </is>
      </c>
      <c r="B100" s="37" t="inlineStr">
        <is>
          <t>Reference / N piece</t>
        </is>
      </c>
      <c r="C100" s="36" t="inlineStr">
        <is>
          <t>Texte</t>
        </is>
      </c>
      <c r="D100" s="36" t="inlineStr">
        <is>
          <t>Non</t>
        </is>
      </c>
      <c r="E100" s="36" t="inlineStr">
        <is>
          <t>Initiative (*)</t>
        </is>
      </c>
      <c r="F100" s="36" t="inlineStr">
        <is>
          <t>-</t>
        </is>
      </c>
      <c r="G100" s="38" t="inlineStr">
        <is>
          <t>N facture, cheque, virement, recu.</t>
        </is>
      </c>
    </row>
    <row r="101" ht="15" customHeight="1" s="22">
      <c r="A101" s="36" t="inlineStr">
        <is>
          <t>F1_Mouvements</t>
        </is>
      </c>
      <c r="B101" s="37" t="inlineStr">
        <is>
          <t>Libelle / description</t>
        </is>
      </c>
      <c r="C101" s="36" t="inlineStr">
        <is>
          <t>Texte</t>
        </is>
      </c>
      <c r="D101" s="36" t="inlineStr">
        <is>
          <t>Oui</t>
        </is>
      </c>
      <c r="E101" s="36" t="inlineStr">
        <is>
          <t>TDR</t>
        </is>
      </c>
      <c r="F101" s="36" t="inlineStr">
        <is>
          <t>-</t>
        </is>
      </c>
      <c r="G101" s="38" t="inlineStr">
        <is>
          <t>Description de l'operation.</t>
        </is>
      </c>
    </row>
    <row r="102" ht="15" customHeight="1" s="22">
      <c r="A102" s="36" t="inlineStr">
        <is>
          <t>F1_Mouvements</t>
        </is>
      </c>
      <c r="B102" s="37" t="inlineStr">
        <is>
          <t>Montant Recette (KMF)</t>
        </is>
      </c>
      <c r="C102" s="36" t="inlineStr">
        <is>
          <t>KMF</t>
        </is>
      </c>
      <c r="D102" s="36" t="inlineStr">
        <is>
          <t>Cond.</t>
        </is>
      </c>
      <c r="E102" s="36" t="inlineStr">
        <is>
          <t>TDR</t>
        </is>
      </c>
      <c r="F102" s="36" t="inlineStr">
        <is>
          <t>-</t>
        </is>
      </c>
      <c r="G102" s="38" t="inlineStr">
        <is>
          <t>Rempli si Sens = Recette.</t>
        </is>
      </c>
    </row>
    <row r="103" ht="15" customHeight="1" s="22">
      <c r="A103" s="36" t="inlineStr">
        <is>
          <t>F1_Mouvements</t>
        </is>
      </c>
      <c r="B103" s="37" t="inlineStr">
        <is>
          <t>Montant Depense (KMF)</t>
        </is>
      </c>
      <c r="C103" s="36" t="inlineStr">
        <is>
          <t>KMF</t>
        </is>
      </c>
      <c r="D103" s="36" t="inlineStr">
        <is>
          <t>Cond.</t>
        </is>
      </c>
      <c r="E103" s="36" t="inlineStr">
        <is>
          <t>TDR</t>
        </is>
      </c>
      <c r="F103" s="36" t="inlineStr">
        <is>
          <t>-</t>
        </is>
      </c>
      <c r="G103" s="38" t="inlineStr">
        <is>
          <t>Rempli si Sens = Depense.</t>
        </is>
      </c>
    </row>
    <row r="104" ht="15" customHeight="1" s="22">
      <c r="A104" s="36" t="inlineStr">
        <is>
          <t>F1_Mouvements</t>
        </is>
      </c>
      <c r="B104" s="37" t="inlineStr">
        <is>
          <t>Tiers</t>
        </is>
      </c>
      <c r="C104" s="36" t="inlineStr">
        <is>
          <t>Texte</t>
        </is>
      </c>
      <c r="D104" s="36" t="inlineStr">
        <is>
          <t>Non</t>
        </is>
      </c>
      <c r="E104" s="36" t="inlineStr">
        <is>
          <t>Initiative (*)</t>
        </is>
      </c>
      <c r="F104" s="36" t="inlineStr">
        <is>
          <t>-</t>
        </is>
      </c>
      <c r="G104" s="38" t="inlineStr">
        <is>
          <t>Client / fournisseur / partenaire.</t>
        </is>
      </c>
    </row>
    <row r="105" ht="15" customHeight="1" s="22">
      <c r="A105" s="36" t="inlineStr">
        <is>
          <t>F1_Mouvements</t>
        </is>
      </c>
      <c r="B105" s="37" t="inlineStr">
        <is>
          <t>Statut</t>
        </is>
      </c>
      <c r="C105" s="36" t="inlineStr">
        <is>
          <t>Liste</t>
        </is>
      </c>
      <c r="D105" s="36" t="inlineStr">
        <is>
          <t>Non</t>
        </is>
      </c>
      <c r="E105" s="36" t="inlineStr">
        <is>
          <t>Initiative (*)</t>
        </is>
      </c>
      <c r="F105" s="36" t="inlineStr">
        <is>
          <t>Previsionnel/Realise</t>
        </is>
      </c>
      <c r="G105" s="38" t="inlineStr">
        <is>
          <t>Etat de l'operation.</t>
        </is>
      </c>
    </row>
    <row r="106" ht="15" customHeight="1" s="22">
      <c r="A106" s="36" t="inlineStr">
        <is>
          <t>F1_Mouvements</t>
        </is>
      </c>
      <c r="B106" s="37" t="inlineStr">
        <is>
          <t>Date echeance</t>
        </is>
      </c>
      <c r="C106" s="36" t="inlineStr">
        <is>
          <t>Date</t>
        </is>
      </c>
      <c r="D106" s="36" t="inlineStr">
        <is>
          <t>Non</t>
        </is>
      </c>
      <c r="E106" s="36" t="inlineStr">
        <is>
          <t>Initiative (*)</t>
        </is>
      </c>
      <c r="F106" s="36" t="inlineStr">
        <is>
          <t>-</t>
        </is>
      </c>
      <c r="G106" s="38" t="inlineStr">
        <is>
          <t>Si previsionnel.</t>
        </is>
      </c>
    </row>
    <row r="107" ht="15" customHeight="1" s="22">
      <c r="A107" s="36" t="inlineStr">
        <is>
          <t>F1_Mouvements</t>
        </is>
      </c>
      <c r="B107" s="37" t="inlineStr">
        <is>
          <t>Date reglement</t>
        </is>
      </c>
      <c r="C107" s="36" t="inlineStr">
        <is>
          <t>Date</t>
        </is>
      </c>
      <c r="D107" s="36" t="inlineStr">
        <is>
          <t>Non</t>
        </is>
      </c>
      <c r="E107" s="36" t="inlineStr">
        <is>
          <t>Initiative (*)</t>
        </is>
      </c>
      <c r="F107" s="36" t="inlineStr">
        <is>
          <t>-</t>
        </is>
      </c>
      <c r="G107" s="38" t="inlineStr">
        <is>
          <t>Date effective de reglement.</t>
        </is>
      </c>
    </row>
    <row r="108" ht="15" customHeight="1" s="22">
      <c r="A108" s="36" t="inlineStr">
        <is>
          <t>F1_Mouvements</t>
        </is>
      </c>
      <c r="B108" s="37" t="inlineStr">
        <is>
          <t>Saisi par</t>
        </is>
      </c>
      <c r="C108" s="36" t="inlineStr">
        <is>
          <t>Texte</t>
        </is>
      </c>
      <c r="D108" s="36" t="inlineStr">
        <is>
          <t>Non</t>
        </is>
      </c>
      <c r="E108" s="36" t="inlineStr">
        <is>
          <t>Initiative (*)</t>
        </is>
      </c>
      <c r="F108" s="36" t="inlineStr">
        <is>
          <t>-</t>
        </is>
      </c>
      <c r="G108" s="38" t="inlineStr">
        <is>
          <t>Login de l'agent (tracabilite).</t>
        </is>
      </c>
    </row>
    <row r="109" ht="30" customHeight="1" s="22">
      <c r="A109" s="36" t="inlineStr">
        <is>
          <t>F1_Mouvements</t>
        </is>
      </c>
      <c r="B109" s="37" t="inlineStr">
        <is>
          <t>Source de financement / Bailleur</t>
        </is>
      </c>
      <c r="C109" s="36" t="inlineStr">
        <is>
          <t>Liste</t>
        </is>
      </c>
      <c r="D109" s="36" t="inlineStr">
        <is>
          <t>Non</t>
        </is>
      </c>
      <c r="E109" s="36" t="inlineStr">
        <is>
          <t>Initiative (*)</t>
        </is>
      </c>
      <c r="F109" s="36" t="inlineStr">
        <is>
          <t>Bailleurs</t>
        </is>
      </c>
      <c r="G109" s="38" t="inlineStr">
        <is>
          <t>Origine des fonds (AFD, Etat, fonds propres, autre). Permet de sortir par bailleur (filtre/TCD).</t>
        </is>
      </c>
    </row>
    <row r="110" ht="15" customHeight="1" s="22">
      <c r="A110" s="36" t="inlineStr">
        <is>
          <t>F2_Comptes</t>
        </is>
      </c>
      <c r="B110" s="37" t="inlineStr">
        <is>
          <t>Nom du compte / caisse</t>
        </is>
      </c>
      <c r="C110" s="36" t="inlineStr">
        <is>
          <t>Liste</t>
        </is>
      </c>
      <c r="D110" s="36" t="inlineStr">
        <is>
          <t>Oui</t>
        </is>
      </c>
      <c r="E110" s="36" t="inlineStr">
        <is>
          <t>Initiative (*)</t>
        </is>
      </c>
      <c r="F110" s="36" t="inlineStr">
        <is>
          <t>Comptes_caisses</t>
        </is>
      </c>
      <c r="G110" s="38" t="inlineStr">
        <is>
          <t>Doit correspondre aux valeurs de Comptes_caisses.</t>
        </is>
      </c>
    </row>
    <row r="111" ht="15" customHeight="1" s="22">
      <c r="A111" s="36" t="inlineStr">
        <is>
          <t>F2_Comptes</t>
        </is>
      </c>
      <c r="B111" s="37" t="inlineStr">
        <is>
          <t>Type</t>
        </is>
      </c>
      <c r="C111" s="36" t="inlineStr">
        <is>
          <t>Liste</t>
        </is>
      </c>
      <c r="D111" s="36" t="inlineStr">
        <is>
          <t>Non</t>
        </is>
      </c>
      <c r="E111" s="36" t="inlineStr">
        <is>
          <t>Initiative (*)</t>
        </is>
      </c>
      <c r="F111" s="36" t="inlineStr">
        <is>
          <t>Banque/Caisse/Autre</t>
        </is>
      </c>
      <c r="G111" s="38" t="inlineStr">
        <is>
          <t>Nature du compte.</t>
        </is>
      </c>
    </row>
    <row r="112" ht="15" customHeight="1" s="22">
      <c r="A112" s="36" t="inlineStr">
        <is>
          <t>F2_Comptes</t>
        </is>
      </c>
      <c r="B112" s="37" t="inlineStr">
        <is>
          <t>Solde initial (KMF)</t>
        </is>
      </c>
      <c r="C112" s="36" t="inlineStr">
        <is>
          <t>KMF</t>
        </is>
      </c>
      <c r="D112" s="36" t="inlineStr">
        <is>
          <t>Oui</t>
        </is>
      </c>
      <c r="E112" s="36" t="inlineStr">
        <is>
          <t>Initiative (*)</t>
        </is>
      </c>
      <c r="F112" s="36" t="inlineStr">
        <is>
          <t>-</t>
        </is>
      </c>
      <c r="G112" s="38" t="inlineStr">
        <is>
          <t>Solde de depart a la date d'ouverture.</t>
        </is>
      </c>
    </row>
    <row r="113" ht="15" customHeight="1" s="22">
      <c r="A113" s="36" t="inlineStr">
        <is>
          <t>F2_Comptes</t>
        </is>
      </c>
      <c r="B113" s="37" t="inlineStr">
        <is>
          <t>Solde courant (KMF)</t>
        </is>
      </c>
      <c r="C113" s="36" t="inlineStr">
        <is>
          <t>Formule</t>
        </is>
      </c>
      <c r="D113" s="36" t="inlineStr">
        <is>
          <t>Auto</t>
        </is>
      </c>
      <c r="E113" s="36" t="inlineStr">
        <is>
          <t>Initiative (*)</t>
        </is>
      </c>
      <c r="F113" s="36" t="inlineStr">
        <is>
          <t>-</t>
        </is>
      </c>
      <c r="G113" s="38" t="inlineStr">
        <is>
          <t>Calcul auto : initial + recettes - depenses du compte (SUMIF sur F1).</t>
        </is>
      </c>
    </row>
    <row r="114" ht="15" customHeight="1" s="22">
      <c r="A114" s="36" t="inlineStr">
        <is>
          <t>G1_Plan_action</t>
        </is>
      </c>
      <c r="B114" s="37" t="inlineStr">
        <is>
          <t>N</t>
        </is>
      </c>
      <c r="C114" s="36" t="inlineStr">
        <is>
          <t>Nombre</t>
        </is>
      </c>
      <c r="D114" s="36" t="inlineStr">
        <is>
          <t>Oui</t>
        </is>
      </c>
      <c r="E114" s="36" t="inlineStr">
        <is>
          <t>TDR</t>
        </is>
      </c>
      <c r="F114" s="36" t="inlineStr">
        <is>
          <t>-</t>
        </is>
      </c>
      <c r="G114" s="38" t="inlineStr">
        <is>
          <t>Numero d'action.</t>
        </is>
      </c>
    </row>
    <row r="115" ht="15" customHeight="1" s="22">
      <c r="A115" s="36" t="inlineStr">
        <is>
          <t>G1_Plan_action</t>
        </is>
      </c>
      <c r="B115" s="37" t="inlineStr">
        <is>
          <t>Domaine / module</t>
        </is>
      </c>
      <c r="C115" s="36" t="inlineStr">
        <is>
          <t>Texte</t>
        </is>
      </c>
      <c r="D115" s="36" t="inlineStr">
        <is>
          <t>Oui</t>
        </is>
      </c>
      <c r="E115" s="36" t="inlineStr">
        <is>
          <t>TDR</t>
        </is>
      </c>
      <c r="F115" s="36" t="inlineStr">
        <is>
          <t>-</t>
        </is>
      </c>
      <c r="G115" s="38" t="inlineStr">
        <is>
          <t>Module concerne.</t>
        </is>
      </c>
    </row>
    <row r="116" ht="15" customHeight="1" s="22">
      <c r="A116" s="36" t="inlineStr">
        <is>
          <t>G1_Plan_action</t>
        </is>
      </c>
      <c r="B116" s="37" t="inlineStr">
        <is>
          <t>Ecart constate</t>
        </is>
      </c>
      <c r="C116" s="36" t="inlineStr">
        <is>
          <t>Texte</t>
        </is>
      </c>
      <c r="D116" s="36" t="inlineStr">
        <is>
          <t>Oui</t>
        </is>
      </c>
      <c r="E116" s="36" t="inlineStr">
        <is>
          <t>TDR</t>
        </is>
      </c>
      <c r="F116" s="36" t="inlineStr">
        <is>
          <t>-</t>
        </is>
      </c>
      <c r="G116" s="38" t="inlineStr">
        <is>
          <t>Description de l'ecart.</t>
        </is>
      </c>
    </row>
    <row r="117" ht="15" customHeight="1" s="22">
      <c r="A117" s="36" t="inlineStr">
        <is>
          <t>G1_Plan_action</t>
        </is>
      </c>
      <c r="B117" s="37" t="inlineStr">
        <is>
          <t>Action corrective</t>
        </is>
      </c>
      <c r="C117" s="36" t="inlineStr">
        <is>
          <t>Texte</t>
        </is>
      </c>
      <c r="D117" s="36" t="inlineStr">
        <is>
          <t>Oui</t>
        </is>
      </c>
      <c r="E117" s="36" t="inlineStr">
        <is>
          <t>TDR</t>
        </is>
      </c>
      <c r="F117" s="36" t="inlineStr">
        <is>
          <t>-</t>
        </is>
      </c>
      <c r="G117" s="38" t="inlineStr">
        <is>
          <t>Action prevue.</t>
        </is>
      </c>
    </row>
    <row r="118" ht="15" customHeight="1" s="22">
      <c r="A118" s="36" t="inlineStr">
        <is>
          <t>G1_Plan_action</t>
        </is>
      </c>
      <c r="B118" s="37" t="inlineStr">
        <is>
          <t>Responsable</t>
        </is>
      </c>
      <c r="C118" s="36" t="inlineStr">
        <is>
          <t>Texte</t>
        </is>
      </c>
      <c r="D118" s="36" t="inlineStr">
        <is>
          <t>Non</t>
        </is>
      </c>
      <c r="E118" s="36" t="inlineStr">
        <is>
          <t>TDR</t>
        </is>
      </c>
      <c r="F118" s="36" t="inlineStr">
        <is>
          <t>-</t>
        </is>
      </c>
      <c r="G118" s="38" t="inlineStr">
        <is>
          <t>Responsable de l'action.</t>
        </is>
      </c>
    </row>
    <row r="119" ht="15" customHeight="1" s="22">
      <c r="A119" s="36" t="inlineStr">
        <is>
          <t>G1_Plan_action</t>
        </is>
      </c>
      <c r="B119" s="37" t="inlineStr">
        <is>
          <t>Echeance</t>
        </is>
      </c>
      <c r="C119" s="36" t="inlineStr">
        <is>
          <t>Date</t>
        </is>
      </c>
      <c r="D119" s="36" t="inlineStr">
        <is>
          <t>Non</t>
        </is>
      </c>
      <c r="E119" s="36" t="inlineStr">
        <is>
          <t>TDR</t>
        </is>
      </c>
      <c r="F119" s="36" t="inlineStr">
        <is>
          <t>-</t>
        </is>
      </c>
      <c r="G119" s="38" t="inlineStr">
        <is>
          <t>Date cible.</t>
        </is>
      </c>
    </row>
    <row r="120" ht="15" customHeight="1" s="22">
      <c r="A120" s="36" t="inlineStr">
        <is>
          <t>G1_Plan_action</t>
        </is>
      </c>
      <c r="B120" s="37" t="inlineStr">
        <is>
          <t>Statut</t>
        </is>
      </c>
      <c r="C120" s="36" t="inlineStr">
        <is>
          <t>Liste</t>
        </is>
      </c>
      <c r="D120" s="36" t="inlineStr">
        <is>
          <t>Non</t>
        </is>
      </c>
      <c r="E120" s="36" t="inlineStr">
        <is>
          <t>TDR</t>
        </is>
      </c>
      <c r="F120" s="36" t="inlineStr">
        <is>
          <t>A faire/En cours/Fait</t>
        </is>
      </c>
      <c r="G120" s="38" t="inlineStr">
        <is>
          <t>Avancement.</t>
        </is>
      </c>
    </row>
    <row r="121" ht="15" customHeight="1" s="22">
      <c r="A121" s="36" t="inlineStr">
        <is>
          <t>H1_Biblio_docs</t>
        </is>
      </c>
      <c r="B121" s="37" t="inlineStr">
        <is>
          <t>Titre du document</t>
        </is>
      </c>
      <c r="C121" s="36" t="inlineStr">
        <is>
          <t>Texte</t>
        </is>
      </c>
      <c r="D121" s="36" t="inlineStr">
        <is>
          <t>Oui</t>
        </is>
      </c>
      <c r="E121" s="36" t="inlineStr">
        <is>
          <t>Hors TDR (**)</t>
        </is>
      </c>
      <c r="F121" s="36" t="inlineStr">
        <is>
          <t>-</t>
        </is>
      </c>
      <c r="G121" s="38" t="inlineStr">
        <is>
          <t>Intitule du document officiel.</t>
        </is>
      </c>
    </row>
    <row r="122" ht="15" customHeight="1" s="22">
      <c r="A122" s="36" t="inlineStr">
        <is>
          <t>H1_Biblio_docs</t>
        </is>
      </c>
      <c r="B122" s="37" t="inlineStr">
        <is>
          <t>Type</t>
        </is>
      </c>
      <c r="C122" s="36" t="inlineStr">
        <is>
          <t>Liste</t>
        </is>
      </c>
      <c r="D122" s="36" t="inlineStr">
        <is>
          <t>Non</t>
        </is>
      </c>
      <c r="E122" s="36" t="inlineStr">
        <is>
          <t>Hors TDR (**)</t>
        </is>
      </c>
      <c r="F122" s="36" t="inlineStr">
        <is>
          <t>Reglementaire/OMS/...</t>
        </is>
      </c>
      <c r="G122" s="38" t="inlineStr">
        <is>
          <t>Categorie de document.</t>
        </is>
      </c>
    </row>
    <row r="123" ht="15" customHeight="1" s="22">
      <c r="A123" s="36" t="inlineStr">
        <is>
          <t>H1_Biblio_docs</t>
        </is>
      </c>
      <c r="B123" s="37" t="inlineStr">
        <is>
          <t>Reference</t>
        </is>
      </c>
      <c r="C123" s="36" t="inlineStr">
        <is>
          <t>Texte</t>
        </is>
      </c>
      <c r="D123" s="36" t="inlineStr">
        <is>
          <t>Non</t>
        </is>
      </c>
      <c r="E123" s="36" t="inlineStr">
        <is>
          <t>Hors TDR (**)</t>
        </is>
      </c>
      <c r="F123" s="36" t="inlineStr">
        <is>
          <t>-</t>
        </is>
      </c>
      <c r="G123" s="38" t="inlineStr">
        <is>
          <t>Reference officielle.</t>
        </is>
      </c>
    </row>
    <row r="124" ht="15" customHeight="1" s="22">
      <c r="A124" s="36" t="inlineStr">
        <is>
          <t>H1_Biblio_docs</t>
        </is>
      </c>
      <c r="B124" s="37" t="inlineStr">
        <is>
          <t>Chemin / lien local</t>
        </is>
      </c>
      <c r="C124" s="36" t="inlineStr">
        <is>
          <t>Texte</t>
        </is>
      </c>
      <c r="D124" s="36" t="inlineStr">
        <is>
          <t>Non</t>
        </is>
      </c>
      <c r="E124" s="36" t="inlineStr">
        <is>
          <t>Initiative (*)</t>
        </is>
      </c>
      <c r="F124" s="36" t="inlineStr">
        <is>
          <t>-</t>
        </is>
      </c>
      <c r="G124" s="38" t="inlineStr">
        <is>
          <t>Chemin du fichier (100% hors-ligne).</t>
        </is>
      </c>
    </row>
    <row r="125" ht="15" customHeight="1" s="22">
      <c r="A125" s="36" t="inlineStr">
        <is>
          <t>H1_Biblio_docs</t>
        </is>
      </c>
      <c r="B125" s="37" t="inlineStr">
        <is>
          <t>Date de mise a jour</t>
        </is>
      </c>
      <c r="C125" s="36" t="inlineStr">
        <is>
          <t>Date</t>
        </is>
      </c>
      <c r="D125" s="36" t="inlineStr">
        <is>
          <t>Non</t>
        </is>
      </c>
      <c r="E125" s="36" t="inlineStr">
        <is>
          <t>Hors TDR (**)</t>
        </is>
      </c>
      <c r="F125" s="36" t="inlineStr">
        <is>
          <t>-</t>
        </is>
      </c>
      <c r="G125" s="38" t="inlineStr">
        <is>
          <t>Derniere mise a jour.</t>
        </is>
      </c>
    </row>
    <row r="126" ht="15" customHeight="1" s="22">
      <c r="A126" s="36" t="inlineStr">
        <is>
          <t>H1_Biblio_docs</t>
        </is>
      </c>
      <c r="B126" s="37" t="inlineStr">
        <is>
          <t>Responsable mise a jour</t>
        </is>
      </c>
      <c r="C126" s="36" t="inlineStr">
        <is>
          <t>Texte</t>
        </is>
      </c>
      <c r="D126" s="36" t="inlineStr">
        <is>
          <t>Non</t>
        </is>
      </c>
      <c r="E126" s="36" t="inlineStr">
        <is>
          <t>Hors TDR (**)</t>
        </is>
      </c>
      <c r="F126" s="36" t="inlineStr">
        <is>
          <t>-</t>
        </is>
      </c>
      <c r="G126" s="38" t="inlineStr">
        <is>
          <t>Personne en charge.</t>
        </is>
      </c>
    </row>
    <row r="127" ht="15" customHeight="1" s="22">
      <c r="A127" s="36" t="inlineStr">
        <is>
          <t>IMPORT_zone</t>
        </is>
      </c>
      <c r="B127" s="37" t="inlineStr">
        <is>
          <t>Colonnes A-G</t>
        </is>
      </c>
      <c r="C127" s="36" t="inlineStr">
        <is>
          <t>Texte</t>
        </is>
      </c>
      <c r="D127" s="36" t="inlineStr">
        <is>
          <t>Non</t>
        </is>
      </c>
      <c r="E127" s="36" t="inlineStr">
        <is>
          <t>Initiative (*)</t>
        </is>
      </c>
      <c r="F127" s="36" t="inlineStr">
        <is>
          <t>-</t>
        </is>
      </c>
      <c r="G127" s="38" t="inlineStr">
        <is>
          <t>Zone de collage du CSV national.</t>
        </is>
      </c>
    </row>
    <row r="128" ht="15" customHeight="1" s="22">
      <c r="A128" s="36" t="inlineStr">
        <is>
          <t>IMPORT_zone</t>
        </is>
      </c>
      <c r="B128" s="37" t="inlineStr">
        <is>
          <t>Statut vs base</t>
        </is>
      </c>
      <c r="C128" s="36" t="inlineStr">
        <is>
          <t>Formule</t>
        </is>
      </c>
      <c r="D128" s="36" t="inlineStr">
        <is>
          <t>Auto</t>
        </is>
      </c>
      <c r="E128" s="36" t="inlineStr">
        <is>
          <t>Initiative (*)</t>
        </is>
      </c>
      <c r="F128" s="36" t="inlineStr">
        <is>
          <t>-</t>
        </is>
      </c>
      <c r="G128" s="38" t="inlineStr">
        <is>
          <t>RECHERCHEV : marque NOUVEAU ou EXISTANT vs A1_Etudiants.</t>
        </is>
      </c>
    </row>
    <row r="129" ht="15" customHeight="1" s="22">
      <c r="A129" s="36" t="inlineStr">
        <is>
          <t>P0_Parametres</t>
        </is>
      </c>
      <c r="B129" s="36" t="inlineStr">
        <is>
          <t>Types_document</t>
        </is>
      </c>
      <c r="C129" s="36" t="inlineStr">
        <is>
          <t>Texte</t>
        </is>
      </c>
      <c r="D129" s="36" t="inlineStr">
        <is>
          <t>Oui</t>
        </is>
      </c>
      <c r="E129" s="36" t="inlineStr">
        <is>
          <t>Hors TDR (**)</t>
        </is>
      </c>
      <c r="F129" s="36" t="inlineStr">
        <is>
          <t>-</t>
        </is>
      </c>
      <c r="G129" s="36" t="inlineStr">
        <is>
          <t>Types de documents geres par l EMSP (attestation de passage, bulletin, releve).</t>
        </is>
      </c>
    </row>
    <row r="130" ht="15" customHeight="1" s="22">
      <c r="A130" s="36" t="inlineStr">
        <is>
          <t>P0_Parametres</t>
        </is>
      </c>
      <c r="B130" s="36" t="inlineStr">
        <is>
          <t>Statuts_document</t>
        </is>
      </c>
      <c r="C130" s="36" t="inlineStr">
        <is>
          <t>Texte</t>
        </is>
      </c>
      <c r="D130" s="36" t="inlineStr">
        <is>
          <t>Non</t>
        </is>
      </c>
      <c r="E130" s="36" t="inlineStr">
        <is>
          <t>Initiative (*)</t>
        </is>
      </c>
      <c r="F130" s="36" t="inlineStr">
        <is>
          <t>-</t>
        </is>
      </c>
      <c r="G130" s="36" t="inlineStr">
        <is>
          <t>Cycle de validation des documents (en attente -&gt; imprimable -&gt; remis).</t>
        </is>
      </c>
    </row>
    <row r="131" ht="15" customHeight="1" s="22">
      <c r="A131" s="21" t="inlineStr">
        <is>
          <t>P1_Roles</t>
        </is>
      </c>
      <c r="B131" s="21" t="inlineStr">
        <is>
          <t>Admin droits (O/N)</t>
        </is>
      </c>
      <c r="C131" s="21" t="inlineStr">
        <is>
          <t>Liste</t>
        </is>
      </c>
      <c r="D131" s="21" t="inlineStr">
        <is>
          <t>Non</t>
        </is>
      </c>
      <c r="E131" s="21" t="inlineStr">
        <is>
          <t>Ajout (**)</t>
        </is>
      </c>
      <c r="F131" s="21" t="inlineStr">
        <is>
          <t>O/N</t>
        </is>
      </c>
      <c r="G131" s="21" t="inlineStr">
        <is>
          <t>Si O, l'utilisateur peut administrer les droits (editer P1_Roles). Le superutilisateur (code) l'est toujours.</t>
        </is>
      </c>
    </row>
    <row r="132" ht="15" customHeight="1" s="22">
      <c r="A132" s="39" t="inlineStr">
        <is>
          <t>L2_Reservations</t>
        </is>
      </c>
      <c r="B132" s="39" t="inlineStr">
        <is>
          <t>ID reservation</t>
        </is>
      </c>
      <c r="C132" s="39" t="inlineStr">
        <is>
          <t>Texte</t>
        </is>
      </c>
      <c r="D132" s="39" t="inlineStr">
        <is>
          <t>Oui</t>
        </is>
      </c>
      <c r="E132" s="39" t="inlineStr">
        <is>
          <t>Initiative (*)</t>
        </is>
      </c>
      <c r="F132" s="39" t="inlineStr">
        <is>
          <t>-</t>
        </is>
      </c>
      <c r="G132" s="39" t="inlineStr">
        <is>
          <t>Identifiant court (RES-n, pre-suggere).</t>
        </is>
      </c>
    </row>
    <row r="133" ht="15" customHeight="1" s="22">
      <c r="A133" s="39" t="inlineStr">
        <is>
          <t>L2_Reservations</t>
        </is>
      </c>
      <c r="B133" s="39" t="inlineStr">
        <is>
          <t>Salle</t>
        </is>
      </c>
      <c r="C133" s="39" t="inlineStr">
        <is>
          <t>Liste</t>
        </is>
      </c>
      <c r="D133" s="39" t="inlineStr">
        <is>
          <t>Oui</t>
        </is>
      </c>
      <c r="E133" s="39" t="inlineStr">
        <is>
          <t>Hors TDR (**)</t>
        </is>
      </c>
      <c r="F133" s="39" t="inlineStr">
        <is>
          <t>Salles (L1)</t>
        </is>
      </c>
      <c r="G133" s="39" t="inlineStr">
        <is>
          <t>Salle reservee (liste L1).</t>
        </is>
      </c>
    </row>
    <row r="134" ht="15" customHeight="1" s="22">
      <c r="A134" s="39" t="inlineStr">
        <is>
          <t>L2_Reservations</t>
        </is>
      </c>
      <c r="B134" s="39" t="inlineStr">
        <is>
          <t>Date</t>
        </is>
      </c>
      <c r="C134" s="39" t="inlineStr">
        <is>
          <t>Date</t>
        </is>
      </c>
      <c r="D134" s="39" t="inlineStr">
        <is>
          <t>Oui</t>
        </is>
      </c>
      <c r="E134" s="39" t="inlineStr">
        <is>
          <t>Hors TDR (**)</t>
        </is>
      </c>
      <c r="F134" s="39" t="inlineStr">
        <is>
          <t>-</t>
        </is>
      </c>
      <c r="G134" s="39" t="inlineStr">
        <is>
          <t>Date de la reservation (JJ/MM/AAAA).</t>
        </is>
      </c>
    </row>
    <row r="135" ht="15" customHeight="1" s="22">
      <c r="A135" s="39" t="inlineStr">
        <is>
          <t>L2_Reservations</t>
        </is>
      </c>
      <c r="B135" s="39" t="inlineStr">
        <is>
          <t>Heure debut</t>
        </is>
      </c>
      <c r="C135" s="39" t="inlineStr">
        <is>
          <t>Texte</t>
        </is>
      </c>
      <c r="D135" s="39" t="inlineStr">
        <is>
          <t>Non</t>
        </is>
      </c>
      <c r="E135" s="39" t="inlineStr">
        <is>
          <t>Hors TDR (**)</t>
        </is>
      </c>
      <c r="F135" s="39" t="inlineStr">
        <is>
          <t>-</t>
        </is>
      </c>
      <c r="G135" s="39" t="inlineStr">
        <is>
          <t>Heure de debut (ex. 14h00).</t>
        </is>
      </c>
    </row>
    <row r="136" ht="15" customHeight="1" s="22">
      <c r="A136" s="39" t="inlineStr">
        <is>
          <t>L2_Reservations</t>
        </is>
      </c>
      <c r="B136" s="39" t="inlineStr">
        <is>
          <t>Heure fin</t>
        </is>
      </c>
      <c r="C136" s="39" t="inlineStr">
        <is>
          <t>Texte</t>
        </is>
      </c>
      <c r="D136" s="39" t="inlineStr">
        <is>
          <t>Non</t>
        </is>
      </c>
      <c r="E136" s="39" t="inlineStr">
        <is>
          <t>Hors TDR (**)</t>
        </is>
      </c>
      <c r="F136" s="39" t="inlineStr">
        <is>
          <t>-</t>
        </is>
      </c>
      <c r="G136" s="39" t="inlineStr">
        <is>
          <t>Heure de fin.</t>
        </is>
      </c>
    </row>
    <row r="137" ht="41.75" customHeight="1" s="22">
      <c r="A137" s="39" t="inlineStr">
        <is>
          <t>L2_Reservations</t>
        </is>
      </c>
      <c r="B137" s="39" t="inlineStr">
        <is>
          <t>Type</t>
        </is>
      </c>
      <c r="C137" s="39" t="inlineStr">
        <is>
          <t>Liste</t>
        </is>
      </c>
      <c r="D137" s="39" t="inlineStr">
        <is>
          <t>Non</t>
        </is>
      </c>
      <c r="E137" s="39" t="inlineStr">
        <is>
          <t>Hors TDR (**)</t>
        </is>
      </c>
      <c r="F137" s="39" t="inlineStr">
        <is>
          <t>Reunion/Examen/Evenement/Partenaire/Autre</t>
        </is>
      </c>
      <c r="G137" s="39" t="inlineStr">
        <is>
          <t>Nature de la reservation.</t>
        </is>
      </c>
    </row>
    <row r="138" ht="15" customHeight="1" s="22">
      <c r="A138" s="39" t="inlineStr">
        <is>
          <t>L2_Reservations</t>
        </is>
      </c>
      <c r="B138" s="39" t="inlineStr">
        <is>
          <t>Reserve par</t>
        </is>
      </c>
      <c r="C138" s="39" t="inlineStr">
        <is>
          <t>Texte</t>
        </is>
      </c>
      <c r="D138" s="39" t="inlineStr">
        <is>
          <t>Oui</t>
        </is>
      </c>
      <c r="E138" s="39" t="inlineStr">
        <is>
          <t>Hors TDR (**)</t>
        </is>
      </c>
      <c r="F138" s="39" t="inlineStr">
        <is>
          <t>-</t>
        </is>
      </c>
      <c r="G138" s="39" t="inlineStr">
        <is>
          <t>Demandeur (personne/service).</t>
        </is>
      </c>
    </row>
    <row r="139" ht="15" customHeight="1" s="22">
      <c r="A139" s="39" t="inlineStr">
        <is>
          <t>L2_Reservations</t>
        </is>
      </c>
      <c r="B139" s="39" t="inlineStr">
        <is>
          <t>Motif / objet</t>
        </is>
      </c>
      <c r="C139" s="39" t="inlineStr">
        <is>
          <t>Texte</t>
        </is>
      </c>
      <c r="D139" s="39" t="inlineStr">
        <is>
          <t>Non</t>
        </is>
      </c>
      <c r="E139" s="39" t="inlineStr">
        <is>
          <t>Hors TDR (**)</t>
        </is>
      </c>
      <c r="F139" s="39" t="inlineStr">
        <is>
          <t>-</t>
        </is>
      </c>
      <c r="G139" s="39" t="inlineStr">
        <is>
          <t>Objet de la reservation.</t>
        </is>
      </c>
    </row>
    <row r="140" ht="28.35" customHeight="1" s="22">
      <c r="A140" s="39" t="inlineStr">
        <is>
          <t>L2_Reservations</t>
        </is>
      </c>
      <c r="B140" s="39" t="inlineStr">
        <is>
          <t>Statut</t>
        </is>
      </c>
      <c r="C140" s="39" t="inlineStr">
        <is>
          <t>Liste</t>
        </is>
      </c>
      <c r="D140" s="39" t="inlineStr">
        <is>
          <t>Non</t>
        </is>
      </c>
      <c r="E140" s="39" t="inlineStr">
        <is>
          <t>Hors TDR (**)</t>
        </is>
      </c>
      <c r="F140" s="39" t="inlineStr">
        <is>
          <t>Demandee/Confirmee/Annulee</t>
        </is>
      </c>
      <c r="G140" s="39" t="inlineStr">
        <is>
          <t>Etat de la demande.</t>
        </is>
      </c>
    </row>
    <row r="141" ht="15" customHeight="1" s="22">
      <c r="A141" s="39" t="inlineStr">
        <is>
          <t>L2_Reservations</t>
        </is>
      </c>
      <c r="B141" s="39" t="inlineStr">
        <is>
          <t>Saisi par</t>
        </is>
      </c>
      <c r="C141" s="39" t="inlineStr">
        <is>
          <t>Texte</t>
        </is>
      </c>
      <c r="D141" s="39" t="inlineStr">
        <is>
          <t>Non</t>
        </is>
      </c>
      <c r="E141" s="39" t="inlineStr">
        <is>
          <t>Initiative (*)</t>
        </is>
      </c>
      <c r="F141" s="39" t="inlineStr">
        <is>
          <t>-</t>
        </is>
      </c>
      <c r="G141" s="39" t="inlineStr">
        <is>
          <t>Login du saisisseur (auto).</t>
        </is>
      </c>
    </row>
    <row r="142" ht="15" customHeight="1" s="22">
      <c r="A142" s="39" t="inlineStr">
        <is>
          <t>M1_Equipements</t>
        </is>
      </c>
      <c r="B142" s="39" t="inlineStr">
        <is>
          <t>ID equipement</t>
        </is>
      </c>
      <c r="C142" s="39" t="inlineStr">
        <is>
          <t>Texte</t>
        </is>
      </c>
      <c r="D142" s="39" t="inlineStr">
        <is>
          <t>Oui</t>
        </is>
      </c>
      <c r="E142" s="39" t="inlineStr">
        <is>
          <t>Initiative (*)</t>
        </is>
      </c>
      <c r="F142" s="39" t="inlineStr">
        <is>
          <t>-</t>
        </is>
      </c>
      <c r="G142" s="39" t="inlineStr">
        <is>
          <t>Identifiant court (EQ-n, pre-suggere).</t>
        </is>
      </c>
    </row>
    <row r="143" ht="15" customHeight="1" s="22">
      <c r="A143" s="39" t="inlineStr">
        <is>
          <t>M1_Equipements</t>
        </is>
      </c>
      <c r="B143" s="39" t="inlineStr">
        <is>
          <t>Designation</t>
        </is>
      </c>
      <c r="C143" s="39" t="inlineStr">
        <is>
          <t>Texte</t>
        </is>
      </c>
      <c r="D143" s="39" t="inlineStr">
        <is>
          <t>Oui</t>
        </is>
      </c>
      <c r="E143" s="39" t="inlineStr">
        <is>
          <t>Hors TDR (**)</t>
        </is>
      </c>
      <c r="F143" s="39" t="inlineStr">
        <is>
          <t>-</t>
        </is>
      </c>
      <c r="G143" s="39" t="inlineStr">
        <is>
          <t>Libelle de l'equipement.</t>
        </is>
      </c>
    </row>
    <row r="144" ht="15" customHeight="1" s="22">
      <c r="A144" s="39" t="inlineStr">
        <is>
          <t>M1_Equipements</t>
        </is>
      </c>
      <c r="B144" s="39" t="inlineStr">
        <is>
          <t>Categorie</t>
        </is>
      </c>
      <c r="C144" s="39" t="inlineStr">
        <is>
          <t>Liste</t>
        </is>
      </c>
      <c r="D144" s="39" t="inlineStr">
        <is>
          <t>Non</t>
        </is>
      </c>
      <c r="E144" s="39" t="inlineStr">
        <is>
          <t>Hors TDR (**)</t>
        </is>
      </c>
      <c r="F144" s="39" t="inlineStr">
        <is>
          <t>Categories_equipement</t>
        </is>
      </c>
      <c r="G144" s="39" t="inlineStr">
        <is>
          <t>Categorie (parametrable).</t>
        </is>
      </c>
    </row>
    <row r="145" ht="15" customHeight="1" s="22">
      <c r="A145" s="39" t="inlineStr">
        <is>
          <t>M1_Equipements</t>
        </is>
      </c>
      <c r="B145" s="39" t="inlineStr">
        <is>
          <t>Salle / localisation</t>
        </is>
      </c>
      <c r="C145" s="39" t="inlineStr">
        <is>
          <t>Liste</t>
        </is>
      </c>
      <c r="D145" s="39" t="inlineStr">
        <is>
          <t>Non</t>
        </is>
      </c>
      <c r="E145" s="39" t="inlineStr">
        <is>
          <t>Hors TDR (**)</t>
        </is>
      </c>
      <c r="F145" s="39" t="inlineStr">
        <is>
          <t>Salles (L1)</t>
        </is>
      </c>
      <c r="G145" s="39" t="inlineStr">
        <is>
          <t>Salle ou se trouve l'equipement (liste L1).</t>
        </is>
      </c>
    </row>
    <row r="146" ht="15" customHeight="1" s="22">
      <c r="A146" s="39" t="inlineStr">
        <is>
          <t>M1_Equipements</t>
        </is>
      </c>
      <c r="B146" s="39" t="inlineStr">
        <is>
          <t>Date d'acquisition</t>
        </is>
      </c>
      <c r="C146" s="39" t="inlineStr">
        <is>
          <t>Date</t>
        </is>
      </c>
      <c r="D146" s="39" t="inlineStr">
        <is>
          <t>Non</t>
        </is>
      </c>
      <c r="E146" s="39" t="inlineStr">
        <is>
          <t>Hors TDR (**)</t>
        </is>
      </c>
      <c r="F146" s="39" t="inlineStr">
        <is>
          <t>-</t>
        </is>
      </c>
      <c r="G146" s="39" t="inlineStr">
        <is>
          <t>Date d'acquisition (JJ/MM/AAAA).</t>
        </is>
      </c>
    </row>
    <row r="147" ht="28.35" customHeight="1" s="22">
      <c r="A147" s="39" t="inlineStr">
        <is>
          <t>M1_Equipements</t>
        </is>
      </c>
      <c r="B147" s="39" t="inlineStr">
        <is>
          <t>Source de financement / Bailleur</t>
        </is>
      </c>
      <c r="C147" s="39" t="inlineStr">
        <is>
          <t>Liste</t>
        </is>
      </c>
      <c r="D147" s="39" t="inlineStr">
        <is>
          <t>Non</t>
        </is>
      </c>
      <c r="E147" s="39" t="inlineStr">
        <is>
          <t>Hors TDR (**)</t>
        </is>
      </c>
      <c r="F147" s="39" t="inlineStr">
        <is>
          <t>Bailleurs</t>
        </is>
      </c>
      <c r="G147" s="39" t="inlineStr">
        <is>
          <t>Bailleur (liste partagee avec F1).</t>
        </is>
      </c>
    </row>
    <row r="148" ht="15" customHeight="1" s="22">
      <c r="A148" s="39" t="inlineStr">
        <is>
          <t>M1_Equipements</t>
        </is>
      </c>
      <c r="B148" s="39" t="inlineStr">
        <is>
          <t>Montant (KMF)</t>
        </is>
      </c>
      <c r="C148" s="39" t="inlineStr">
        <is>
          <t>Nombre</t>
        </is>
      </c>
      <c r="D148" s="39" t="inlineStr">
        <is>
          <t>Non</t>
        </is>
      </c>
      <c r="E148" s="39" t="inlineStr">
        <is>
          <t>Hors TDR (**)</t>
        </is>
      </c>
      <c r="F148" s="39" t="inlineStr">
        <is>
          <t>-</t>
        </is>
      </c>
      <c r="G148" s="39" t="inlineStr">
        <is>
          <t>Valeur d'acquisition (KMF).</t>
        </is>
      </c>
    </row>
    <row r="149" ht="15" customHeight="1" s="22">
      <c r="A149" s="39" t="inlineStr">
        <is>
          <t>M1_Equipements</t>
        </is>
      </c>
      <c r="B149" s="39" t="inlineStr">
        <is>
          <t>Reference / N piece</t>
        </is>
      </c>
      <c r="C149" s="39" t="inlineStr">
        <is>
          <t>Texte</t>
        </is>
      </c>
      <c r="D149" s="39" t="inlineStr">
        <is>
          <t>Non</t>
        </is>
      </c>
      <c r="E149" s="39" t="inlineStr">
        <is>
          <t>Hors TDR (**)</t>
        </is>
      </c>
      <c r="F149" s="39" t="inlineStr">
        <is>
          <t>-</t>
        </is>
      </c>
      <c r="G149" s="39" t="inlineStr">
        <is>
          <t>Rappel de la piece F1 liee.</t>
        </is>
      </c>
    </row>
    <row r="150" ht="15" customHeight="1" s="22">
      <c r="A150" s="39" t="inlineStr">
        <is>
          <t>M1_Equipements</t>
        </is>
      </c>
      <c r="B150" s="39" t="inlineStr">
        <is>
          <t>Etat</t>
        </is>
      </c>
      <c r="C150" s="39" t="inlineStr">
        <is>
          <t>Liste</t>
        </is>
      </c>
      <c r="D150" s="39" t="inlineStr">
        <is>
          <t>Non</t>
        </is>
      </c>
      <c r="E150" s="39" t="inlineStr">
        <is>
          <t>Hors TDR (**)</t>
        </is>
      </c>
      <c r="F150" s="39" t="inlineStr">
        <is>
          <t>En service/HS/Reforme</t>
        </is>
      </c>
      <c r="G150" s="39" t="inlineStr">
        <is>
          <t>Etat de l'equipement.</t>
        </is>
      </c>
    </row>
    <row r="151" ht="15" customHeight="1" s="22">
      <c r="A151" s="39" t="inlineStr">
        <is>
          <t>M1_Equipements</t>
        </is>
      </c>
      <c r="B151" s="39" t="inlineStr">
        <is>
          <t>N inventaire / serie</t>
        </is>
      </c>
      <c r="C151" s="39" t="inlineStr">
        <is>
          <t>Texte</t>
        </is>
      </c>
      <c r="D151" s="39" t="inlineStr">
        <is>
          <t>Non</t>
        </is>
      </c>
      <c r="E151" s="39" t="inlineStr">
        <is>
          <t>Hors TDR (**)</t>
        </is>
      </c>
      <c r="F151" s="39" t="inlineStr">
        <is>
          <t>-</t>
        </is>
      </c>
      <c r="G151" s="39" t="inlineStr">
        <is>
          <t>Numero d'inventaire ou de serie.</t>
        </is>
      </c>
    </row>
    <row r="152" ht="15" customHeight="1" s="22">
      <c r="A152" s="39" t="inlineStr">
        <is>
          <t>M1_Equipements</t>
        </is>
      </c>
      <c r="B152" s="39" t="inlineStr">
        <is>
          <t>Saisi par</t>
        </is>
      </c>
      <c r="C152" s="39" t="inlineStr">
        <is>
          <t>Texte</t>
        </is>
      </c>
      <c r="D152" s="39" t="inlineStr">
        <is>
          <t>Non</t>
        </is>
      </c>
      <c r="E152" s="39" t="inlineStr">
        <is>
          <t>Initiative (*)</t>
        </is>
      </c>
      <c r="F152" s="39" t="inlineStr">
        <is>
          <t>-</t>
        </is>
      </c>
      <c r="G152" s="39" t="inlineStr">
        <is>
          <t>Login du saisisseur (auto).</t>
        </is>
      </c>
    </row>
    <row r="153">
      <c r="A153" s="21" t="inlineStr">
        <is>
          <t>F4_Bailleurs</t>
        </is>
      </c>
      <c r="B153" s="21" t="inlineStr">
        <is>
          <t>ID bailleur</t>
        </is>
      </c>
      <c r="C153" s="21" t="inlineStr">
        <is>
          <t>Texte</t>
        </is>
      </c>
      <c r="D153" s="21" t="inlineStr">
        <is>
          <t>Oui</t>
        </is>
      </c>
      <c r="E153" s="21" t="inlineStr">
        <is>
          <t>Initiative</t>
        </is>
      </c>
      <c r="F153" s="21" t="inlineStr">
        <is>
          <t>-</t>
        </is>
      </c>
      <c r="G153" s="21" t="inlineStr">
        <is>
          <t>Identifiant unique du bailleur (cle de jointure F1/F3/M1).</t>
        </is>
      </c>
    </row>
    <row r="154">
      <c r="A154" s="21" t="inlineStr">
        <is>
          <t>F4_Bailleurs</t>
        </is>
      </c>
      <c r="B154" s="21" t="inlineStr">
        <is>
          <t>Nom / raison sociale</t>
        </is>
      </c>
      <c r="C154" s="21" t="inlineStr">
        <is>
          <t>Texte</t>
        </is>
      </c>
      <c r="D154" s="21" t="inlineStr">
        <is>
          <t>Oui</t>
        </is>
      </c>
      <c r="E154" s="21" t="inlineStr">
        <is>
          <t>Hors TDR</t>
        </is>
      </c>
      <c r="F154" s="21" t="inlineStr">
        <is>
          <t>-</t>
        </is>
      </c>
      <c r="G154" s="21" t="inlineStr">
        <is>
          <t>Denomination complete du financeur.</t>
        </is>
      </c>
    </row>
    <row r="155">
      <c r="A155" s="21" t="inlineStr">
        <is>
          <t>F4_Bailleurs</t>
        </is>
      </c>
      <c r="B155" s="21" t="inlineStr">
        <is>
          <t>Type</t>
        </is>
      </c>
      <c r="C155" s="21" t="inlineStr">
        <is>
          <t>Liste</t>
        </is>
      </c>
      <c r="D155" s="21" t="inlineStr">
        <is>
          <t>Oui</t>
        </is>
      </c>
      <c r="E155" s="21" t="inlineStr">
        <is>
          <t>Initiative</t>
        </is>
      </c>
      <c r="F155" s="21" t="inlineStr">
        <is>
          <t>Types_bailleur</t>
        </is>
      </c>
      <c r="G155" s="21" t="inlineStr">
        <is>
          <t>Nature du bailleur (liste parametrable).</t>
        </is>
      </c>
    </row>
    <row r="156">
      <c r="A156" s="21" t="inlineStr">
        <is>
          <t>F4_Bailleurs</t>
        </is>
      </c>
      <c r="B156" s="21" t="inlineStr">
        <is>
          <t>Reference contrat / convention</t>
        </is>
      </c>
      <c r="C156" s="21" t="inlineStr">
        <is>
          <t>Texte</t>
        </is>
      </c>
      <c r="D156" s="21" t="inlineStr">
        <is>
          <t>Non</t>
        </is>
      </c>
      <c r="E156" s="21" t="inlineStr">
        <is>
          <t>Hors TDR</t>
        </is>
      </c>
      <c r="F156" s="21" t="inlineStr">
        <is>
          <t>-</t>
        </is>
      </c>
      <c r="G156" s="21" t="inlineStr">
        <is>
          <t>Reference de l'acte de financement.</t>
        </is>
      </c>
    </row>
    <row r="157">
      <c r="A157" s="21" t="inlineStr">
        <is>
          <t>F4_Bailleurs</t>
        </is>
      </c>
      <c r="B157" s="21" t="inlineStr">
        <is>
          <t>Date debut</t>
        </is>
      </c>
      <c r="C157" s="21" t="inlineStr">
        <is>
          <t>Date</t>
        </is>
      </c>
      <c r="D157" s="21" t="inlineStr">
        <is>
          <t>Non</t>
        </is>
      </c>
      <c r="E157" s="21" t="inlineStr">
        <is>
          <t>Hors TDR</t>
        </is>
      </c>
      <c r="F157" s="21" t="inlineStr">
        <is>
          <t>-</t>
        </is>
      </c>
      <c r="G157" s="21" t="inlineStr">
        <is>
          <t>Date de debut du financement (JJ/MM/AAAA).</t>
        </is>
      </c>
    </row>
    <row r="158">
      <c r="A158" s="21" t="inlineStr">
        <is>
          <t>F4_Bailleurs</t>
        </is>
      </c>
      <c r="B158" s="21" t="inlineStr">
        <is>
          <t>Date fin</t>
        </is>
      </c>
      <c r="C158" s="21" t="inlineStr">
        <is>
          <t>Date</t>
        </is>
      </c>
      <c r="D158" s="21" t="inlineStr">
        <is>
          <t>Non</t>
        </is>
      </c>
      <c r="E158" s="21" t="inlineStr">
        <is>
          <t>Hors TDR</t>
        </is>
      </c>
      <c r="F158" s="21" t="inlineStr">
        <is>
          <t>-</t>
        </is>
      </c>
      <c r="G158" s="21" t="inlineStr">
        <is>
          <t>Date de fin du financement (JJ/MM/AAAA).</t>
        </is>
      </c>
    </row>
    <row r="159">
      <c r="A159" s="21" t="inlineStr">
        <is>
          <t>F4_Bailleurs</t>
        </is>
      </c>
      <c r="B159" s="21" t="inlineStr">
        <is>
          <t>Budget alloue (KMF)</t>
        </is>
      </c>
      <c r="C159" s="21" t="inlineStr">
        <is>
          <t>KMF</t>
        </is>
      </c>
      <c r="D159" s="21" t="inlineStr">
        <is>
          <t>Non</t>
        </is>
      </c>
      <c r="E159" s="21" t="inlineStr">
        <is>
          <t>Hors TDR</t>
        </is>
      </c>
      <c r="F159" s="21" t="inlineStr">
        <is>
          <t>-</t>
        </is>
      </c>
      <c r="G159" s="21" t="inlineStr">
        <is>
          <t>Montant alloue, en KMF.</t>
        </is>
      </c>
    </row>
    <row r="160">
      <c r="A160" s="21" t="inlineStr">
        <is>
          <t>F4_Bailleurs</t>
        </is>
      </c>
      <c r="B160" s="21" t="inlineStr">
        <is>
          <t>Perimetre du financement</t>
        </is>
      </c>
      <c r="C160" s="21" t="inlineStr">
        <is>
          <t>Texte</t>
        </is>
      </c>
      <c r="D160" s="21" t="inlineStr">
        <is>
          <t>Non</t>
        </is>
      </c>
      <c r="E160" s="21" t="inlineStr">
        <is>
          <t>Hors TDR</t>
        </is>
      </c>
      <c r="F160" s="21" t="inlineStr">
        <is>
          <t>-</t>
        </is>
      </c>
      <c r="G160" s="21" t="inlineStr">
        <is>
          <t>Objet / perimetre couvert par le financement.</t>
        </is>
      </c>
    </row>
    <row r="161">
      <c r="A161" s="21" t="inlineStr">
        <is>
          <t>F4_Bailleurs</t>
        </is>
      </c>
      <c r="B161" s="21" t="inlineStr">
        <is>
          <t>Documents lies</t>
        </is>
      </c>
      <c r="C161" s="21" t="inlineStr">
        <is>
          <t>Nombre</t>
        </is>
      </c>
      <c r="D161" s="21" t="inlineStr">
        <is>
          <t>Non</t>
        </is>
      </c>
      <c r="E161" s="21" t="inlineStr">
        <is>
          <t>Initiative</t>
        </is>
      </c>
      <c r="F161" s="21" t="inlineStr">
        <is>
          <t>-</t>
        </is>
      </c>
      <c r="G161" s="21" t="inlineStr">
        <is>
          <t>Compteur automatique : nombre de documents lies (lecture seule).</t>
        </is>
      </c>
    </row>
    <row r="162">
      <c r="A162" s="21" t="inlineStr">
        <is>
          <t>F4_Bailleurs</t>
        </is>
      </c>
      <c r="B162" s="21" t="inlineStr">
        <is>
          <t>Statut</t>
        </is>
      </c>
      <c r="C162" s="21" t="inlineStr">
        <is>
          <t>Liste</t>
        </is>
      </c>
      <c r="D162" s="21" t="inlineStr">
        <is>
          <t>Oui</t>
        </is>
      </c>
      <c r="E162" s="21" t="inlineStr">
        <is>
          <t>Initiative</t>
        </is>
      </c>
      <c r="F162" s="21" t="inlineStr">
        <is>
          <t>Statuts_bailleur</t>
        </is>
      </c>
      <c r="G162" s="21" t="inlineStr">
        <is>
          <t>Statut du financement (liste parametrable).</t>
        </is>
      </c>
    </row>
    <row r="163">
      <c r="A163" s="21" t="inlineStr">
        <is>
          <t>F4_Bailleurs</t>
        </is>
      </c>
      <c r="B163" s="21" t="inlineStr">
        <is>
          <t>Observations</t>
        </is>
      </c>
      <c r="C163" s="21" t="inlineStr">
        <is>
          <t>Texte</t>
        </is>
      </c>
      <c r="D163" s="21" t="inlineStr">
        <is>
          <t>Non</t>
        </is>
      </c>
      <c r="E163" s="21" t="inlineStr">
        <is>
          <t>Hors TDR</t>
        </is>
      </c>
      <c r="F163" s="21" t="inlineStr">
        <is>
          <t>-</t>
        </is>
      </c>
      <c r="G163" s="21" t="inlineStr">
        <is>
          <t>Notes libres.</t>
        </is>
      </c>
    </row>
    <row r="164">
      <c r="A164" s="21" t="inlineStr">
        <is>
          <t>F4_Bailleurs</t>
        </is>
      </c>
      <c r="B164" s="21" t="inlineStr">
        <is>
          <t>Saisi par</t>
        </is>
      </c>
      <c r="C164" s="21" t="inlineStr">
        <is>
          <t>Texte</t>
        </is>
      </c>
      <c r="D164" s="21" t="inlineStr">
        <is>
          <t>Non</t>
        </is>
      </c>
      <c r="E164" s="21" t="inlineStr">
        <is>
          <t>Initiative</t>
        </is>
      </c>
      <c r="F164" s="21" t="inlineStr">
        <is>
          <t>-</t>
        </is>
      </c>
      <c r="G164" s="21" t="inlineStr">
        <is>
          <t>Renseigne automatiquement (login).</t>
        </is>
      </c>
    </row>
  </sheetData>
  <autoFilter ref="A2:G134"/>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8" customWidth="1" style="21" min="1" max="1"/>
    <col width="95" customWidth="1" style="21" min="2" max="2"/>
  </cols>
  <sheetData>
    <row r="1" ht="30" customHeight="1" s="22">
      <c r="A1" s="23" t="inlineStr">
        <is>
          <t>GUIDE D'UTILISATION — EMSP V1</t>
        </is>
      </c>
    </row>
    <row r="3" ht="15.75" customHeight="1" s="22">
      <c r="A3" s="40" t="inlineStr">
        <is>
          <t>1. AVANT DE COMMENCER</t>
        </is>
      </c>
    </row>
    <row r="4" ht="45" customHeight="1" s="22">
      <c r="A4" s="41" t="inlineStr">
        <is>
          <t>Ordre de demarrage</t>
        </is>
      </c>
      <c r="B4" s="25" t="inlineStr">
        <is>
          <t>Renseigner d'abord l'onglet P0_Parametres : filieres, niveaux, sections, statuts, categories de recettes, categories de depenses, postes budgetaires, comptes/caisses, lieux de stage, annees. Toutes les listes deroulantes en dependent.</t>
        </is>
      </c>
    </row>
    <row r="5" ht="30" customHeight="1" s="22">
      <c r="A5" s="41" t="inlineStr">
        <is>
          <t>Provenance des champs</t>
        </is>
      </c>
      <c r="B5" s="25" t="inlineStr">
        <is>
          <t>Sans marqueur = exige par le TDR ; (*) = initiative Webcreatys ; (**) = ajout hors TDR. Voir Legende et Dictionnaire.</t>
        </is>
      </c>
    </row>
    <row r="6" ht="15" customHeight="1" s="22">
      <c r="A6" s="41" t="inlineStr">
        <is>
          <t>Filtres</t>
        </is>
      </c>
      <c r="B6" s="25" t="inlineStr">
        <is>
          <t>Chaque tableau a un filtre sur sa ligne d'en-tete (fleche en haut de colonne).</t>
        </is>
      </c>
    </row>
    <row r="7" ht="15" customHeight="1" s="22">
      <c r="A7" s="41" t="inlineStr">
        <is>
          <t>Sauvegarde</t>
        </is>
      </c>
      <c r="B7" s="25" t="inlineStr">
        <is>
          <t>100% hors-ligne. Copie datee chaque semaine sur cle USB dediee. Designer un referent sauvegarde.</t>
        </is>
      </c>
    </row>
    <row r="8" ht="15.75" customHeight="1" s="22">
      <c r="A8" s="40" t="inlineStr">
        <is>
          <t>2. ETUDIANTS</t>
        </is>
      </c>
    </row>
    <row r="9" ht="45" customHeight="1" s="22">
      <c r="A9" s="41" t="inlineStr">
        <is>
          <t>Saisie / import</t>
        </is>
      </c>
      <c r="B9" s="25" t="inlineStr">
        <is>
          <t>Saisir dans A1_Etudiants, ou utiliser IMPORT_zone : coller le CSV national ; la colonne 'Statut vs base' indique NOUVEAU ou EXISTANT. Ne recopier dans A1 que les lignes NOUVEAU. Completer genre/origine si absents.</t>
        </is>
      </c>
    </row>
    <row r="10" ht="15" customHeight="1" s="22">
      <c r="A10" s="41" t="inlineStr">
        <is>
          <t>Mise a jour hebdo</t>
        </is>
      </c>
      <c r="B10" s="25" t="inlineStr">
        <is>
          <t>Importer les nouveaux etudiants une fois par semaine.</t>
        </is>
      </c>
    </row>
    <row r="11" ht="30" customHeight="1" s="22">
      <c r="A11" s="41" t="inlineStr">
        <is>
          <t>Presences</t>
        </is>
      </c>
      <c r="B11" s="25" t="inlineStr">
        <is>
          <t>A2_Presences : une ligne par etudiant / seance / creneau (10h, 12h, 15h, 17h). Pas d'absence partielle en V1.</t>
        </is>
      </c>
    </row>
    <row r="12" ht="30" customHeight="1" s="22">
      <c r="A12" s="41" t="inlineStr">
        <is>
          <t>Documents</t>
        </is>
      </c>
      <c r="B12" s="25" t="inlineStr">
        <is>
          <t>A4_Documents_etud : cycle attestation (en attente conseil -&gt; delai contestation 1 semaine -&gt; imprimable).</t>
        </is>
      </c>
    </row>
    <row r="13" ht="15.75" customHeight="1" s="22">
      <c r="A13" s="40" t="inlineStr">
        <is>
          <t>3. ENSEIGNEMENTS &amp; SALLES</t>
        </is>
      </c>
    </row>
    <row r="14" ht="15" customHeight="1" s="22">
      <c r="A14" s="41" t="inlineStr">
        <is>
          <t>Sessions</t>
        </is>
      </c>
      <c r="B14" s="25" t="inlineStr">
        <is>
          <t>A3_Sessions relie matiere, enseignant et salle. L'occupation des salles se lit ici (pas de double saisie).</t>
        </is>
      </c>
    </row>
    <row r="15" ht="15" customHeight="1" s="22">
      <c r="A15" s="41" t="inlineStr">
        <is>
          <t>Salles</t>
        </is>
      </c>
      <c r="B15" s="25" t="inlineStr">
        <is>
          <t>L1_Salles : type, capacite, equipements.</t>
        </is>
      </c>
    </row>
    <row r="16" ht="30" customHeight="1" s="22">
      <c r="A16" s="41" t="inlineStr">
        <is>
          <t>Enseignants</t>
        </is>
      </c>
      <c r="B16" s="25" t="inlineStr">
        <is>
          <t>E1_Enseignants : fiche par enseignant. E2_Releve_heures : saisir le volume constate ; le total a payer se calcule seul (nb d'heures, sans montant).</t>
        </is>
      </c>
    </row>
    <row r="17" ht="15.75" customHeight="1" s="22">
      <c r="A17" s="40" t="inlineStr">
        <is>
          <t>4. STAGES</t>
        </is>
      </c>
    </row>
    <row r="18" ht="30" customHeight="1" s="22">
      <c r="A18" s="41" t="inlineStr">
        <is>
          <t>Stages</t>
        </is>
      </c>
      <c r="B18" s="25" t="inlineStr">
        <is>
          <t>S1_Stages : referentiel des lieux + affectation (6 seances/an, 1 mois) + fiche de retour O/N. Les observations/plaintes sont distinctes de la presence.</t>
        </is>
      </c>
    </row>
    <row r="19" ht="15.75" customHeight="1" s="22">
      <c r="A19" s="40" t="inlineStr">
        <is>
          <t>5. FINANCES</t>
        </is>
      </c>
    </row>
    <row r="20" ht="60" customHeight="1" s="22">
      <c r="A20" s="41" t="inlineStr">
        <is>
          <t>Mouvements</t>
        </is>
      </c>
      <c r="B20" s="25" t="inlineStr">
        <is>
          <t>F1_Mouvements : choisir d'abord le Sens (Recette ou Depense). La liste Categorie s'adapte automatiquement (listes separees). Saisir le montant dans la colonne Recette OU Depense (KMF). Indiquer le compte. Renseigner la Source de financement / Bailleur pour pouvoir sortir, par filtre, tout ce qui releve d'un bailleur donne.</t>
        </is>
      </c>
    </row>
    <row r="21" ht="15" customHeight="1" s="22">
      <c r="A21" s="41" t="inlineStr">
        <is>
          <t>Comptes</t>
        </is>
      </c>
      <c r="B21" s="25" t="inlineStr">
        <is>
          <t>F2_Comptes : saisir le solde initial ; le solde courant se calcule automatiquement.</t>
        </is>
      </c>
    </row>
    <row r="22" ht="30" customHeight="1" s="22">
      <c r="A22" s="41" t="n"/>
      <c r="B22" s="25" t="n"/>
    </row>
    <row r="23" ht="15.75" customHeight="1" s="22">
      <c r="A23" s="40" t="inlineStr">
        <is>
          <t>6. PILOTAGE</t>
        </is>
      </c>
    </row>
    <row r="24" ht="15" customHeight="1" s="22">
      <c r="A24" s="41" t="inlineStr">
        <is>
          <t>Tableau de bord</t>
        </is>
      </c>
      <c r="B24" s="25" t="inlineStr">
        <is>
          <t>TDB_Direction : se met a jour automatiquement (effectifs, finances, heures, presence). Ne rien y saisir.</t>
        </is>
      </c>
    </row>
    <row r="25" ht="15" customHeight="1" s="22">
      <c r="A25" s="41" t="inlineStr">
        <is>
          <t>Plan d'action</t>
        </is>
      </c>
      <c r="B25" s="25" t="inlineStr">
        <is>
          <t>G1_Plan_action : consigner les ecarts et actions correctives.</t>
        </is>
      </c>
    </row>
    <row r="26" ht="15" customHeight="1" s="22">
      <c r="A26" s="41" t="inlineStr">
        <is>
          <t>Documents officiels</t>
        </is>
      </c>
      <c r="B26" s="25" t="inlineStr">
        <is>
          <t>H1_Biblio_docs : referencer textes OMS, reglementaires, protocoles (lien local hors-ligne).</t>
        </is>
      </c>
    </row>
    <row r="27" ht="15.75" customHeight="1" s="22">
      <c r="A27" s="40" t="inlineStr">
        <is>
          <t>7. REGLES IMPORTANTES</t>
        </is>
      </c>
    </row>
    <row r="28" ht="15" customHeight="1" s="22">
      <c r="A28" s="41" t="inlineStr">
        <is>
          <t>Ne pas ecraser les formules</t>
        </is>
      </c>
      <c r="B28" s="25" t="inlineStr">
        <is>
          <t>Colonnes calculees (Total heures, Solde courant, Statut import, TDB) : ne jamais saisir a la main.</t>
        </is>
      </c>
    </row>
    <row r="29" ht="15" customHeight="1" s="22">
      <c r="A29" s="41" t="inlineStr">
        <is>
          <t>Matricule = cle</t>
        </is>
      </c>
      <c r="B29" s="25" t="inlineStr">
        <is>
          <t>Le matricule relie tous les onglets : ne pas le modifier apres saisie.</t>
        </is>
      </c>
    </row>
    <row r="30" ht="15" customHeight="1" s="22">
      <c r="A30" s="41" t="inlineStr">
        <is>
          <t>Depot du projet</t>
        </is>
      </c>
      <c r="B30" s="25" t="inlineStr">
        <is>
          <t>github.com/bWebreatys/emsp (branche main).</t>
        </is>
      </c>
    </row>
  </sheetData>
  <mergeCells count="8">
    <mergeCell ref="A19:B19"/>
    <mergeCell ref="A23:B23"/>
    <mergeCell ref="A13:B13"/>
    <mergeCell ref="A1:B1"/>
    <mergeCell ref="A17:B17"/>
    <mergeCell ref="A27:B27"/>
    <mergeCell ref="A8:B8"/>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30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7" customWidth="1" style="21" min="1" max="1"/>
    <col width="14" customWidth="1" style="21" min="2" max="4"/>
    <col width="22" customWidth="1" style="21" min="5" max="8"/>
  </cols>
  <sheetData>
    <row r="1" ht="30" customHeight="1" s="22">
      <c r="A1" s="23" t="inlineStr">
        <is>
          <t>IMPORT CSV NATIONAL — coller le fichier, colonne H = statut vs base</t>
        </is>
      </c>
    </row>
    <row r="2" ht="31.5" customHeight="1" s="22">
      <c r="A2" s="28" t="inlineStr">
        <is>
          <t>Matricule (*)</t>
        </is>
      </c>
      <c r="B2" s="28" t="inlineStr">
        <is>
          <t>Genre (*)</t>
        </is>
      </c>
      <c r="C2" s="28" t="inlineStr">
        <is>
          <t>Nom (*)</t>
        </is>
      </c>
      <c r="D2" s="28" t="inlineStr">
        <is>
          <t>Prenom (*)</t>
        </is>
      </c>
      <c r="E2" s="28" t="inlineStr">
        <is>
          <t>Date naissance (*)</t>
        </is>
      </c>
      <c r="F2" s="28" t="inlineStr">
        <is>
          <t>Lieu naissance (*)</t>
        </is>
      </c>
      <c r="G2" s="28" t="inlineStr">
        <is>
          <t>Niveau/Filiere (*)</t>
        </is>
      </c>
      <c r="H2" s="28" t="inlineStr">
        <is>
          <t>Statut vs base (*)</t>
        </is>
      </c>
    </row>
    <row r="3" ht="15" customHeight="1" s="22">
      <c r="A3" s="29" t="n"/>
      <c r="B3" s="29" t="n"/>
      <c r="C3" s="29" t="n"/>
      <c r="D3" s="29" t="n"/>
      <c r="E3" s="29" t="n"/>
      <c r="F3" s="29" t="n"/>
      <c r="G3" s="29" t="n"/>
      <c r="H3" s="29">
        <f>IF(A3="","",IF(COUNTIF(A1_Etudiants!$B$3:$B$50000,A3)=0,"NOUVEAU","EXISTANT"))</f>
        <v/>
      </c>
    </row>
    <row r="4" ht="15" customHeight="1" s="22">
      <c r="A4" s="29" t="n"/>
      <c r="B4" s="29" t="n"/>
      <c r="C4" s="29" t="n"/>
      <c r="D4" s="29" t="n"/>
      <c r="E4" s="29" t="n"/>
      <c r="F4" s="29" t="n"/>
      <c r="G4" s="29" t="n"/>
      <c r="H4" s="29">
        <f>IF(A4="","",IF(COUNTIF(A1_Etudiants!$B$3:$B$50000,A4)=0,"NOUVEAU","EXISTANT"))</f>
        <v/>
      </c>
    </row>
    <row r="5" ht="15" customHeight="1" s="22">
      <c r="A5" s="29" t="n"/>
      <c r="B5" s="29" t="n"/>
      <c r="C5" s="29" t="n"/>
      <c r="D5" s="29" t="n"/>
      <c r="E5" s="29" t="n"/>
      <c r="F5" s="29" t="n"/>
      <c r="G5" s="29" t="n"/>
      <c r="H5" s="29">
        <f>IF(A5="","",IF(COUNTIF(A1_Etudiants!$B$3:$B$50000,A5)=0,"NOUVEAU","EXISTANT"))</f>
        <v/>
      </c>
    </row>
    <row r="6" ht="15" customHeight="1" s="22">
      <c r="A6" s="29" t="n"/>
      <c r="B6" s="29" t="n"/>
      <c r="C6" s="29" t="n"/>
      <c r="D6" s="29" t="n"/>
      <c r="E6" s="29" t="n"/>
      <c r="F6" s="29" t="n"/>
      <c r="G6" s="29" t="n"/>
      <c r="H6" s="29">
        <f>IF(A6="","",IF(COUNTIF(A1_Etudiants!$B$3:$B$50000,A6)=0,"NOUVEAU","EXISTANT"))</f>
        <v/>
      </c>
    </row>
    <row r="7" ht="15" customHeight="1" s="22">
      <c r="A7" s="29" t="n"/>
      <c r="B7" s="29" t="n"/>
      <c r="C7" s="29" t="n"/>
      <c r="D7" s="29" t="n"/>
      <c r="E7" s="29" t="n"/>
      <c r="F7" s="29" t="n"/>
      <c r="G7" s="29" t="n"/>
      <c r="H7" s="29">
        <f>IF(A7="","",IF(COUNTIF(A1_Etudiants!$B$3:$B$50000,A7)=0,"NOUVEAU","EXISTANT"))</f>
        <v/>
      </c>
    </row>
    <row r="8" ht="15" customHeight="1" s="22">
      <c r="A8" s="29" t="n"/>
      <c r="B8" s="29" t="n"/>
      <c r="C8" s="29" t="n"/>
      <c r="D8" s="29" t="n"/>
      <c r="E8" s="29" t="n"/>
      <c r="F8" s="29" t="n"/>
      <c r="G8" s="29" t="n"/>
      <c r="H8" s="29">
        <f>IF(A8="","",IF(COUNTIF(A1_Etudiants!$B$3:$B$50000,A8)=0,"NOUVEAU","EXISTANT"))</f>
        <v/>
      </c>
    </row>
    <row r="9" ht="15" customHeight="1" s="22">
      <c r="A9" s="29" t="n"/>
      <c r="B9" s="29" t="n"/>
      <c r="C9" s="29" t="n"/>
      <c r="D9" s="29" t="n"/>
      <c r="E9" s="29" t="n"/>
      <c r="F9" s="29" t="n"/>
      <c r="G9" s="29" t="n"/>
      <c r="H9" s="29">
        <f>IF(A9="","",IF(COUNTIF(A1_Etudiants!$B$3:$B$50000,A9)=0,"NOUVEAU","EXISTANT"))</f>
        <v/>
      </c>
    </row>
    <row r="10" ht="15" customHeight="1" s="22">
      <c r="A10" s="29" t="n"/>
      <c r="B10" s="29" t="n"/>
      <c r="C10" s="29" t="n"/>
      <c r="D10" s="29" t="n"/>
      <c r="E10" s="29" t="n"/>
      <c r="F10" s="29" t="n"/>
      <c r="G10" s="29" t="n"/>
      <c r="H10" s="29">
        <f>IF(A10="","",IF(COUNTIF(A1_Etudiants!$B$3:$B$50000,A10)=0,"NOUVEAU","EXISTANT"))</f>
        <v/>
      </c>
    </row>
    <row r="11" ht="15" customHeight="1" s="22">
      <c r="A11" s="29" t="n"/>
      <c r="B11" s="29" t="n"/>
      <c r="C11" s="29" t="n"/>
      <c r="D11" s="29" t="n"/>
      <c r="E11" s="29" t="n"/>
      <c r="F11" s="29" t="n"/>
      <c r="G11" s="29" t="n"/>
      <c r="H11" s="29">
        <f>IF(A11="","",IF(COUNTIF(A1_Etudiants!$B$3:$B$50000,A11)=0,"NOUVEAU","EXISTANT"))</f>
        <v/>
      </c>
    </row>
    <row r="12" ht="15" customHeight="1" s="22">
      <c r="A12" s="29" t="n"/>
      <c r="B12" s="29" t="n"/>
      <c r="C12" s="29" t="n"/>
      <c r="D12" s="29" t="n"/>
      <c r="E12" s="29" t="n"/>
      <c r="F12" s="29" t="n"/>
      <c r="G12" s="29" t="n"/>
      <c r="H12" s="29">
        <f>IF(A12="","",IF(COUNTIF(A1_Etudiants!$B$3:$B$50000,A12)=0,"NOUVEAU","EXISTANT"))</f>
        <v/>
      </c>
    </row>
    <row r="13" ht="15" customHeight="1" s="22">
      <c r="A13" s="29" t="n"/>
      <c r="B13" s="29" t="n"/>
      <c r="C13" s="29" t="n"/>
      <c r="D13" s="29" t="n"/>
      <c r="E13" s="29" t="n"/>
      <c r="F13" s="29" t="n"/>
      <c r="G13" s="29" t="n"/>
      <c r="H13" s="29">
        <f>IF(A13="","",IF(COUNTIF(A1_Etudiants!$B$3:$B$50000,A13)=0,"NOUVEAU","EXISTANT"))</f>
        <v/>
      </c>
    </row>
    <row r="14" ht="15" customHeight="1" s="22">
      <c r="A14" s="29" t="n"/>
      <c r="B14" s="29" t="n"/>
      <c r="C14" s="29" t="n"/>
      <c r="D14" s="29" t="n"/>
      <c r="E14" s="29" t="n"/>
      <c r="F14" s="29" t="n"/>
      <c r="G14" s="29" t="n"/>
      <c r="H14" s="29">
        <f>IF(A14="","",IF(COUNTIF(A1_Etudiants!$B$3:$B$50000,A14)=0,"NOUVEAU","EXISTANT"))</f>
        <v/>
      </c>
    </row>
    <row r="15" ht="15" customHeight="1" s="22">
      <c r="A15" s="29" t="n"/>
      <c r="B15" s="29" t="n"/>
      <c r="C15" s="29" t="n"/>
      <c r="D15" s="29" t="n"/>
      <c r="E15" s="29" t="n"/>
      <c r="F15" s="29" t="n"/>
      <c r="G15" s="29" t="n"/>
      <c r="H15" s="29">
        <f>IF(A15="","",IF(COUNTIF(A1_Etudiants!$B$3:$B$50000,A15)=0,"NOUVEAU","EXISTANT"))</f>
        <v/>
      </c>
    </row>
    <row r="16" ht="15" customHeight="1" s="22">
      <c r="A16" s="29" t="n"/>
      <c r="B16" s="29" t="n"/>
      <c r="C16" s="29" t="n"/>
      <c r="D16" s="29" t="n"/>
      <c r="E16" s="29" t="n"/>
      <c r="F16" s="29" t="n"/>
      <c r="G16" s="29" t="n"/>
      <c r="H16" s="29">
        <f>IF(A16="","",IF(COUNTIF(A1_Etudiants!$B$3:$B$50000,A16)=0,"NOUVEAU","EXISTANT"))</f>
        <v/>
      </c>
    </row>
    <row r="17" ht="15" customHeight="1" s="22">
      <c r="A17" s="29" t="n"/>
      <c r="B17" s="29" t="n"/>
      <c r="C17" s="29" t="n"/>
      <c r="D17" s="29" t="n"/>
      <c r="E17" s="29" t="n"/>
      <c r="F17" s="29" t="n"/>
      <c r="G17" s="29" t="n"/>
      <c r="H17" s="29">
        <f>IF(A17="","",IF(COUNTIF(A1_Etudiants!$B$3:$B$50000,A17)=0,"NOUVEAU","EXISTANT"))</f>
        <v/>
      </c>
    </row>
    <row r="18" ht="15" customHeight="1" s="22">
      <c r="A18" s="29" t="n"/>
      <c r="B18" s="29" t="n"/>
      <c r="C18" s="29" t="n"/>
      <c r="D18" s="29" t="n"/>
      <c r="E18" s="29" t="n"/>
      <c r="F18" s="29" t="n"/>
      <c r="G18" s="29" t="n"/>
      <c r="H18" s="29">
        <f>IF(A18="","",IF(COUNTIF(A1_Etudiants!$B$3:$B$50000,A18)=0,"NOUVEAU","EXISTANT"))</f>
        <v/>
      </c>
    </row>
    <row r="19" ht="15" customHeight="1" s="22">
      <c r="A19" s="29" t="n"/>
      <c r="B19" s="29" t="n"/>
      <c r="C19" s="29" t="n"/>
      <c r="D19" s="29" t="n"/>
      <c r="E19" s="29" t="n"/>
      <c r="F19" s="29" t="n"/>
      <c r="G19" s="29" t="n"/>
      <c r="H19" s="29">
        <f>IF(A19="","",IF(COUNTIF(A1_Etudiants!$B$3:$B$50000,A19)=0,"NOUVEAU","EXISTANT"))</f>
        <v/>
      </c>
    </row>
    <row r="20" ht="15" customHeight="1" s="22">
      <c r="A20" s="29" t="n"/>
      <c r="B20" s="29" t="n"/>
      <c r="C20" s="29" t="n"/>
      <c r="D20" s="29" t="n"/>
      <c r="E20" s="29" t="n"/>
      <c r="F20" s="29" t="n"/>
      <c r="G20" s="29" t="n"/>
      <c r="H20" s="29">
        <f>IF(A20="","",IF(COUNTIF(A1_Etudiants!$B$3:$B$50000,A20)=0,"NOUVEAU","EXISTANT"))</f>
        <v/>
      </c>
    </row>
    <row r="21" ht="15" customHeight="1" s="22">
      <c r="A21" s="29" t="n"/>
      <c r="B21" s="29" t="n"/>
      <c r="C21" s="29" t="n"/>
      <c r="D21" s="29" t="n"/>
      <c r="E21" s="29" t="n"/>
      <c r="F21" s="29" t="n"/>
      <c r="G21" s="29" t="n"/>
      <c r="H21" s="29">
        <f>IF(A21="","",IF(COUNTIF(A1_Etudiants!$B$3:$B$50000,A21)=0,"NOUVEAU","EXISTANT"))</f>
        <v/>
      </c>
    </row>
    <row r="22" ht="15" customHeight="1" s="22">
      <c r="A22" s="29" t="n"/>
      <c r="B22" s="29" t="n"/>
      <c r="C22" s="29" t="n"/>
      <c r="D22" s="29" t="n"/>
      <c r="E22" s="29" t="n"/>
      <c r="F22" s="29" t="n"/>
      <c r="G22" s="29" t="n"/>
      <c r="H22" s="29">
        <f>IF(A22="","",IF(COUNTIF(A1_Etudiants!$B$3:$B$50000,A22)=0,"NOUVEAU","EXISTANT"))</f>
        <v/>
      </c>
    </row>
    <row r="23" ht="15" customHeight="1" s="22">
      <c r="A23" s="29" t="n"/>
      <c r="B23" s="29" t="n"/>
      <c r="C23" s="29" t="n"/>
      <c r="D23" s="29" t="n"/>
      <c r="E23" s="29" t="n"/>
      <c r="F23" s="29" t="n"/>
      <c r="G23" s="29" t="n"/>
      <c r="H23" s="29">
        <f>IF(A23="","",IF(COUNTIF(A1_Etudiants!$B$3:$B$50000,A23)=0,"NOUVEAU","EXISTANT"))</f>
        <v/>
      </c>
    </row>
    <row r="24" ht="15" customHeight="1" s="22">
      <c r="A24" s="29" t="n"/>
      <c r="B24" s="29" t="n"/>
      <c r="C24" s="29" t="n"/>
      <c r="D24" s="29" t="n"/>
      <c r="E24" s="29" t="n"/>
      <c r="F24" s="29" t="n"/>
      <c r="G24" s="29" t="n"/>
      <c r="H24" s="29">
        <f>IF(A24="","",IF(COUNTIF(A1_Etudiants!$B$3:$B$50000,A24)=0,"NOUVEAU","EXISTANT"))</f>
        <v/>
      </c>
    </row>
    <row r="25" ht="15" customHeight="1" s="22">
      <c r="A25" s="29" t="n"/>
      <c r="B25" s="29" t="n"/>
      <c r="C25" s="29" t="n"/>
      <c r="D25" s="29" t="n"/>
      <c r="E25" s="29" t="n"/>
      <c r="F25" s="29" t="n"/>
      <c r="G25" s="29" t="n"/>
      <c r="H25" s="29">
        <f>IF(A25="","",IF(COUNTIF(A1_Etudiants!$B$3:$B$50000,A25)=0,"NOUVEAU","EXISTANT"))</f>
        <v/>
      </c>
    </row>
    <row r="26" ht="15" customHeight="1" s="22">
      <c r="A26" s="29" t="n"/>
      <c r="B26" s="29" t="n"/>
      <c r="C26" s="29" t="n"/>
      <c r="D26" s="29" t="n"/>
      <c r="E26" s="29" t="n"/>
      <c r="F26" s="29" t="n"/>
      <c r="G26" s="29" t="n"/>
      <c r="H26" s="29">
        <f>IF(A26="","",IF(COUNTIF(A1_Etudiants!$B$3:$B$50000,A26)=0,"NOUVEAU","EXISTANT"))</f>
        <v/>
      </c>
    </row>
    <row r="27" ht="15" customHeight="1" s="22">
      <c r="A27" s="29" t="n"/>
      <c r="B27" s="29" t="n"/>
      <c r="C27" s="29" t="n"/>
      <c r="D27" s="29" t="n"/>
      <c r="E27" s="29" t="n"/>
      <c r="F27" s="29" t="n"/>
      <c r="G27" s="29" t="n"/>
      <c r="H27" s="29">
        <f>IF(A27="","",IF(COUNTIF(A1_Etudiants!$B$3:$B$50000,A27)=0,"NOUVEAU","EXISTANT"))</f>
        <v/>
      </c>
    </row>
    <row r="28" ht="15" customHeight="1" s="22">
      <c r="A28" s="29" t="n"/>
      <c r="B28" s="29" t="n"/>
      <c r="C28" s="29" t="n"/>
      <c r="D28" s="29" t="n"/>
      <c r="E28" s="29" t="n"/>
      <c r="F28" s="29" t="n"/>
      <c r="G28" s="29" t="n"/>
      <c r="H28" s="29">
        <f>IF(A28="","",IF(COUNTIF(A1_Etudiants!$B$3:$B$50000,A28)=0,"NOUVEAU","EXISTANT"))</f>
        <v/>
      </c>
    </row>
    <row r="29" ht="15" customHeight="1" s="22">
      <c r="A29" s="29" t="n"/>
      <c r="B29" s="29" t="n"/>
      <c r="C29" s="29" t="n"/>
      <c r="D29" s="29" t="n"/>
      <c r="E29" s="29" t="n"/>
      <c r="F29" s="29" t="n"/>
      <c r="G29" s="29" t="n"/>
      <c r="H29" s="29">
        <f>IF(A29="","",IF(COUNTIF(A1_Etudiants!$B$3:$B$50000,A29)=0,"NOUVEAU","EXISTANT"))</f>
        <v/>
      </c>
    </row>
    <row r="30" ht="15" customHeight="1" s="22">
      <c r="A30" s="29" t="n"/>
      <c r="B30" s="29" t="n"/>
      <c r="C30" s="29" t="n"/>
      <c r="D30" s="29" t="n"/>
      <c r="E30" s="29" t="n"/>
      <c r="F30" s="29" t="n"/>
      <c r="G30" s="29" t="n"/>
      <c r="H30" s="29">
        <f>IF(A30="","",IF(COUNTIF(A1_Etudiants!$B$3:$B$50000,A30)=0,"NOUVEAU","EXISTANT"))</f>
        <v/>
      </c>
    </row>
    <row r="31" ht="15" customHeight="1" s="22">
      <c r="A31" s="29" t="n"/>
      <c r="B31" s="29" t="n"/>
      <c r="C31" s="29" t="n"/>
      <c r="D31" s="29" t="n"/>
      <c r="E31" s="29" t="n"/>
      <c r="F31" s="29" t="n"/>
      <c r="G31" s="29" t="n"/>
      <c r="H31" s="29">
        <f>IF(A31="","",IF(COUNTIF(A1_Etudiants!$B$3:$B$50000,A31)=0,"NOUVEAU","EXISTANT"))</f>
        <v/>
      </c>
    </row>
    <row r="32" ht="15" customHeight="1" s="22">
      <c r="A32" s="29" t="n"/>
      <c r="B32" s="29" t="n"/>
      <c r="C32" s="29" t="n"/>
      <c r="D32" s="29" t="n"/>
      <c r="E32" s="29" t="n"/>
      <c r="F32" s="29" t="n"/>
      <c r="G32" s="29" t="n"/>
      <c r="H32" s="29">
        <f>IF(A32="","",IF(COUNTIF(A1_Etudiants!$B$3:$B$50000,A32)=0,"NOUVEAU","EXISTANT"))</f>
        <v/>
      </c>
    </row>
    <row r="33" ht="15" customHeight="1" s="22">
      <c r="A33" s="29" t="n"/>
      <c r="B33" s="29" t="n"/>
      <c r="C33" s="29" t="n"/>
      <c r="D33" s="29" t="n"/>
      <c r="E33" s="29" t="n"/>
      <c r="F33" s="29" t="n"/>
      <c r="G33" s="29" t="n"/>
      <c r="H33" s="29">
        <f>IF(A33="","",IF(COUNTIF(A1_Etudiants!$B$3:$B$50000,A33)=0,"NOUVEAU","EXISTANT"))</f>
        <v/>
      </c>
    </row>
    <row r="34" ht="15" customHeight="1" s="22">
      <c r="A34" s="29" t="n"/>
      <c r="B34" s="29" t="n"/>
      <c r="C34" s="29" t="n"/>
      <c r="D34" s="29" t="n"/>
      <c r="E34" s="29" t="n"/>
      <c r="F34" s="29" t="n"/>
      <c r="G34" s="29" t="n"/>
      <c r="H34" s="29">
        <f>IF(A34="","",IF(COUNTIF(A1_Etudiants!$B$3:$B$50000,A34)=0,"NOUVEAU","EXISTANT"))</f>
        <v/>
      </c>
    </row>
    <row r="35" ht="15" customHeight="1" s="22">
      <c r="A35" s="29" t="n"/>
      <c r="B35" s="29" t="n"/>
      <c r="C35" s="29" t="n"/>
      <c r="D35" s="29" t="n"/>
      <c r="E35" s="29" t="n"/>
      <c r="F35" s="29" t="n"/>
      <c r="G35" s="29" t="n"/>
      <c r="H35" s="29">
        <f>IF(A35="","",IF(COUNTIF(A1_Etudiants!$B$3:$B$50000,A35)=0,"NOUVEAU","EXISTANT"))</f>
        <v/>
      </c>
    </row>
    <row r="36" ht="15" customHeight="1" s="22">
      <c r="A36" s="29" t="n"/>
      <c r="B36" s="29" t="n"/>
      <c r="C36" s="29" t="n"/>
      <c r="D36" s="29" t="n"/>
      <c r="E36" s="29" t="n"/>
      <c r="F36" s="29" t="n"/>
      <c r="G36" s="29" t="n"/>
      <c r="H36" s="29">
        <f>IF(A36="","",IF(COUNTIF(A1_Etudiants!$B$3:$B$50000,A36)=0,"NOUVEAU","EXISTANT"))</f>
        <v/>
      </c>
    </row>
    <row r="37" ht="15" customHeight="1" s="22">
      <c r="A37" s="29" t="n"/>
      <c r="B37" s="29" t="n"/>
      <c r="C37" s="29" t="n"/>
      <c r="D37" s="29" t="n"/>
      <c r="E37" s="29" t="n"/>
      <c r="F37" s="29" t="n"/>
      <c r="G37" s="29" t="n"/>
      <c r="H37" s="29">
        <f>IF(A37="","",IF(COUNTIF(A1_Etudiants!$B$3:$B$50000,A37)=0,"NOUVEAU","EXISTANT"))</f>
        <v/>
      </c>
    </row>
    <row r="38" ht="15" customHeight="1" s="22">
      <c r="A38" s="29" t="n"/>
      <c r="B38" s="29" t="n"/>
      <c r="C38" s="29" t="n"/>
      <c r="D38" s="29" t="n"/>
      <c r="E38" s="29" t="n"/>
      <c r="F38" s="29" t="n"/>
      <c r="G38" s="29" t="n"/>
      <c r="H38" s="29">
        <f>IF(A38="","",IF(COUNTIF(A1_Etudiants!$B$3:$B$50000,A38)=0,"NOUVEAU","EXISTANT"))</f>
        <v/>
      </c>
    </row>
    <row r="39" ht="15" customHeight="1" s="22">
      <c r="A39" s="29" t="n"/>
      <c r="B39" s="29" t="n"/>
      <c r="C39" s="29" t="n"/>
      <c r="D39" s="29" t="n"/>
      <c r="E39" s="29" t="n"/>
      <c r="F39" s="29" t="n"/>
      <c r="G39" s="29" t="n"/>
      <c r="H39" s="29">
        <f>IF(A39="","",IF(COUNTIF(A1_Etudiants!$B$3:$B$50000,A39)=0,"NOUVEAU","EXISTANT"))</f>
        <v/>
      </c>
    </row>
    <row r="40" ht="15" customHeight="1" s="22">
      <c r="A40" s="29" t="n"/>
      <c r="B40" s="29" t="n"/>
      <c r="C40" s="29" t="n"/>
      <c r="D40" s="29" t="n"/>
      <c r="E40" s="29" t="n"/>
      <c r="F40" s="29" t="n"/>
      <c r="G40" s="29" t="n"/>
      <c r="H40" s="29">
        <f>IF(A40="","",IF(COUNTIF(A1_Etudiants!$B$3:$B$50000,A40)=0,"NOUVEAU","EXISTANT"))</f>
        <v/>
      </c>
    </row>
    <row r="41" ht="15" customHeight="1" s="22">
      <c r="A41" s="29" t="n"/>
      <c r="B41" s="29" t="n"/>
      <c r="C41" s="29" t="n"/>
      <c r="D41" s="29" t="n"/>
      <c r="E41" s="29" t="n"/>
      <c r="F41" s="29" t="n"/>
      <c r="G41" s="29" t="n"/>
      <c r="H41" s="29">
        <f>IF(A41="","",IF(COUNTIF(A1_Etudiants!$B$3:$B$50000,A41)=0,"NOUVEAU","EXISTANT"))</f>
        <v/>
      </c>
    </row>
    <row r="42" ht="15" customHeight="1" s="22">
      <c r="A42" s="29" t="n"/>
      <c r="B42" s="29" t="n"/>
      <c r="C42" s="29" t="n"/>
      <c r="D42" s="29" t="n"/>
      <c r="E42" s="29" t="n"/>
      <c r="F42" s="29" t="n"/>
      <c r="G42" s="29" t="n"/>
      <c r="H42" s="29">
        <f>IF(A42="","",IF(COUNTIF(A1_Etudiants!$B$3:$B$50000,A42)=0,"NOUVEAU","EXISTANT"))</f>
        <v/>
      </c>
    </row>
    <row r="43" ht="15" customHeight="1" s="22">
      <c r="A43" s="29" t="n"/>
      <c r="B43" s="29" t="n"/>
      <c r="C43" s="29" t="n"/>
      <c r="D43" s="29" t="n"/>
      <c r="E43" s="29" t="n"/>
      <c r="F43" s="29" t="n"/>
      <c r="G43" s="29" t="n"/>
      <c r="H43" s="29">
        <f>IF(A43="","",IF(COUNTIF(A1_Etudiants!$B$3:$B$50000,A43)=0,"NOUVEAU","EXISTANT"))</f>
        <v/>
      </c>
    </row>
    <row r="44" ht="15" customHeight="1" s="22">
      <c r="A44" s="29" t="n"/>
      <c r="B44" s="29" t="n"/>
      <c r="C44" s="29" t="n"/>
      <c r="D44" s="29" t="n"/>
      <c r="E44" s="29" t="n"/>
      <c r="F44" s="29" t="n"/>
      <c r="G44" s="29" t="n"/>
      <c r="H44" s="29">
        <f>IF(A44="","",IF(COUNTIF(A1_Etudiants!$B$3:$B$50000,A44)=0,"NOUVEAU","EXISTANT"))</f>
        <v/>
      </c>
    </row>
    <row r="45" ht="15" customHeight="1" s="22">
      <c r="A45" s="29" t="n"/>
      <c r="B45" s="29" t="n"/>
      <c r="C45" s="29" t="n"/>
      <c r="D45" s="29" t="n"/>
      <c r="E45" s="29" t="n"/>
      <c r="F45" s="29" t="n"/>
      <c r="G45" s="29" t="n"/>
      <c r="H45" s="29">
        <f>IF(A45="","",IF(COUNTIF(A1_Etudiants!$B$3:$B$50000,A45)=0,"NOUVEAU","EXISTANT"))</f>
        <v/>
      </c>
    </row>
    <row r="46" ht="15" customHeight="1" s="22">
      <c r="A46" s="29" t="n"/>
      <c r="B46" s="29" t="n"/>
      <c r="C46" s="29" t="n"/>
      <c r="D46" s="29" t="n"/>
      <c r="E46" s="29" t="n"/>
      <c r="F46" s="29" t="n"/>
      <c r="G46" s="29" t="n"/>
      <c r="H46" s="29">
        <f>IF(A46="","",IF(COUNTIF(A1_Etudiants!$B$3:$B$50000,A46)=0,"NOUVEAU","EXISTANT"))</f>
        <v/>
      </c>
    </row>
    <row r="47" ht="15" customHeight="1" s="22">
      <c r="A47" s="29" t="n"/>
      <c r="B47" s="29" t="n"/>
      <c r="C47" s="29" t="n"/>
      <c r="D47" s="29" t="n"/>
      <c r="E47" s="29" t="n"/>
      <c r="F47" s="29" t="n"/>
      <c r="G47" s="29" t="n"/>
      <c r="H47" s="29">
        <f>IF(A47="","",IF(COUNTIF(A1_Etudiants!$B$3:$B$50000,A47)=0,"NOUVEAU","EXISTANT"))</f>
        <v/>
      </c>
    </row>
    <row r="48" ht="15" customHeight="1" s="22">
      <c r="A48" s="29" t="n"/>
      <c r="B48" s="29" t="n"/>
      <c r="C48" s="29" t="n"/>
      <c r="D48" s="29" t="n"/>
      <c r="E48" s="29" t="n"/>
      <c r="F48" s="29" t="n"/>
      <c r="G48" s="29" t="n"/>
      <c r="H48" s="29">
        <f>IF(A48="","",IF(COUNTIF(A1_Etudiants!$B$3:$B$50000,A48)=0,"NOUVEAU","EXISTANT"))</f>
        <v/>
      </c>
    </row>
    <row r="49" ht="15" customHeight="1" s="22">
      <c r="A49" s="29" t="n"/>
      <c r="B49" s="29" t="n"/>
      <c r="C49" s="29" t="n"/>
      <c r="D49" s="29" t="n"/>
      <c r="E49" s="29" t="n"/>
      <c r="F49" s="29" t="n"/>
      <c r="G49" s="29" t="n"/>
      <c r="H49" s="29">
        <f>IF(A49="","",IF(COUNTIF(A1_Etudiants!$B$3:$B$50000,A49)=0,"NOUVEAU","EXISTANT"))</f>
        <v/>
      </c>
    </row>
    <row r="50" ht="15" customHeight="1" s="22">
      <c r="A50" s="29" t="n"/>
      <c r="B50" s="29" t="n"/>
      <c r="C50" s="29" t="n"/>
      <c r="D50" s="29" t="n"/>
      <c r="E50" s="29" t="n"/>
      <c r="F50" s="29" t="n"/>
      <c r="G50" s="29" t="n"/>
      <c r="H50" s="29">
        <f>IF(A50="","",IF(COUNTIF(A1_Etudiants!$B$3:$B$50000,A50)=0,"NOUVEAU","EXISTANT"))</f>
        <v/>
      </c>
    </row>
    <row r="51" ht="15" customHeight="1" s="22">
      <c r="A51" s="29" t="n"/>
      <c r="B51" s="29" t="n"/>
      <c r="C51" s="29" t="n"/>
      <c r="D51" s="29" t="n"/>
      <c r="E51" s="29" t="n"/>
      <c r="F51" s="29" t="n"/>
      <c r="G51" s="29" t="n"/>
      <c r="H51" s="29">
        <f>IF(A51="","",IF(COUNTIF(A1_Etudiants!$B$3:$B$50000,A51)=0,"NOUVEAU","EXISTANT"))</f>
        <v/>
      </c>
    </row>
    <row r="52" ht="15" customHeight="1" s="22">
      <c r="A52" s="29" t="n"/>
      <c r="B52" s="29" t="n"/>
      <c r="C52" s="29" t="n"/>
      <c r="D52" s="29" t="n"/>
      <c r="E52" s="29" t="n"/>
      <c r="F52" s="29" t="n"/>
      <c r="G52" s="29" t="n"/>
      <c r="H52" s="29">
        <f>IF(A52="","",IF(COUNTIF(A1_Etudiants!$B$3:$B$50000,A52)=0,"NOUVEAU","EXISTANT"))</f>
        <v/>
      </c>
    </row>
    <row r="53" ht="15" customHeight="1" s="22">
      <c r="A53" s="29" t="n"/>
      <c r="B53" s="29" t="n"/>
      <c r="C53" s="29" t="n"/>
      <c r="D53" s="29" t="n"/>
      <c r="E53" s="29" t="n"/>
      <c r="F53" s="29" t="n"/>
      <c r="G53" s="29" t="n"/>
      <c r="H53" s="29">
        <f>IF(A53="","",IF(COUNTIF(A1_Etudiants!$B$3:$B$50000,A53)=0,"NOUVEAU","EXISTANT"))</f>
        <v/>
      </c>
    </row>
    <row r="54" ht="15" customHeight="1" s="22">
      <c r="A54" s="29" t="n"/>
      <c r="B54" s="29" t="n"/>
      <c r="C54" s="29" t="n"/>
      <c r="D54" s="29" t="n"/>
      <c r="E54" s="29" t="n"/>
      <c r="F54" s="29" t="n"/>
      <c r="G54" s="29" t="n"/>
      <c r="H54" s="29">
        <f>IF(A54="","",IF(COUNTIF(A1_Etudiants!$B$3:$B$50000,A54)=0,"NOUVEAU","EXISTANT"))</f>
        <v/>
      </c>
    </row>
    <row r="55" ht="15" customHeight="1" s="22">
      <c r="A55" s="29" t="n"/>
      <c r="B55" s="29" t="n"/>
      <c r="C55" s="29" t="n"/>
      <c r="D55" s="29" t="n"/>
      <c r="E55" s="29" t="n"/>
      <c r="F55" s="29" t="n"/>
      <c r="G55" s="29" t="n"/>
      <c r="H55" s="29">
        <f>IF(A55="","",IF(COUNTIF(A1_Etudiants!$B$3:$B$50000,A55)=0,"NOUVEAU","EXISTANT"))</f>
        <v/>
      </c>
    </row>
    <row r="56" ht="15" customHeight="1" s="22">
      <c r="A56" s="29" t="n"/>
      <c r="B56" s="29" t="n"/>
      <c r="C56" s="29" t="n"/>
      <c r="D56" s="29" t="n"/>
      <c r="E56" s="29" t="n"/>
      <c r="F56" s="29" t="n"/>
      <c r="G56" s="29" t="n"/>
      <c r="H56" s="29">
        <f>IF(A56="","",IF(COUNTIF(A1_Etudiants!$B$3:$B$50000,A56)=0,"NOUVEAU","EXISTANT"))</f>
        <v/>
      </c>
    </row>
    <row r="57" ht="15" customHeight="1" s="22">
      <c r="A57" s="29" t="n"/>
      <c r="B57" s="29" t="n"/>
      <c r="C57" s="29" t="n"/>
      <c r="D57" s="29" t="n"/>
      <c r="E57" s="29" t="n"/>
      <c r="F57" s="29" t="n"/>
      <c r="G57" s="29" t="n"/>
      <c r="H57" s="29">
        <f>IF(A57="","",IF(COUNTIF(A1_Etudiants!$B$3:$B$50000,A57)=0,"NOUVEAU","EXISTANT"))</f>
        <v/>
      </c>
    </row>
    <row r="58" ht="15" customHeight="1" s="22">
      <c r="A58" s="29" t="n"/>
      <c r="B58" s="29" t="n"/>
      <c r="C58" s="29" t="n"/>
      <c r="D58" s="29" t="n"/>
      <c r="E58" s="29" t="n"/>
      <c r="F58" s="29" t="n"/>
      <c r="G58" s="29" t="n"/>
      <c r="H58" s="29">
        <f>IF(A58="","",IF(COUNTIF(A1_Etudiants!$B$3:$B$50000,A58)=0,"NOUVEAU","EXISTANT"))</f>
        <v/>
      </c>
    </row>
    <row r="59" ht="15" customHeight="1" s="22">
      <c r="A59" s="29" t="n"/>
      <c r="B59" s="29" t="n"/>
      <c r="C59" s="29" t="n"/>
      <c r="D59" s="29" t="n"/>
      <c r="E59" s="29" t="n"/>
      <c r="F59" s="29" t="n"/>
      <c r="G59" s="29" t="n"/>
      <c r="H59" s="29">
        <f>IF(A59="","",IF(COUNTIF(A1_Etudiants!$B$3:$B$50000,A59)=0,"NOUVEAU","EXISTANT"))</f>
        <v/>
      </c>
    </row>
    <row r="60" ht="15" customHeight="1" s="22">
      <c r="A60" s="29" t="n"/>
      <c r="B60" s="29" t="n"/>
      <c r="C60" s="29" t="n"/>
      <c r="D60" s="29" t="n"/>
      <c r="E60" s="29" t="n"/>
      <c r="F60" s="29" t="n"/>
      <c r="G60" s="29" t="n"/>
      <c r="H60" s="29">
        <f>IF(A60="","",IF(COUNTIF(A1_Etudiants!$B$3:$B$50000,A60)=0,"NOUVEAU","EXISTANT"))</f>
        <v/>
      </c>
    </row>
    <row r="61" ht="15" customHeight="1" s="22">
      <c r="A61" s="29" t="n"/>
      <c r="B61" s="29" t="n"/>
      <c r="C61" s="29" t="n"/>
      <c r="D61" s="29" t="n"/>
      <c r="E61" s="29" t="n"/>
      <c r="F61" s="29" t="n"/>
      <c r="G61" s="29" t="n"/>
      <c r="H61" s="29">
        <f>IF(A61="","",IF(COUNTIF(A1_Etudiants!$B$3:$B$50000,A61)=0,"NOUVEAU","EXISTANT"))</f>
        <v/>
      </c>
    </row>
    <row r="62" ht="15" customHeight="1" s="22">
      <c r="A62" s="29" t="n"/>
      <c r="B62" s="29" t="n"/>
      <c r="C62" s="29" t="n"/>
      <c r="D62" s="29" t="n"/>
      <c r="E62" s="29" t="n"/>
      <c r="F62" s="29" t="n"/>
      <c r="G62" s="29" t="n"/>
      <c r="H62" s="29">
        <f>IF(A62="","",IF(COUNTIF(A1_Etudiants!$B$3:$B$50000,A62)=0,"NOUVEAU","EXISTANT"))</f>
        <v/>
      </c>
    </row>
    <row r="63" ht="15" customHeight="1" s="22">
      <c r="A63" s="29" t="n"/>
      <c r="B63" s="29" t="n"/>
      <c r="C63" s="29" t="n"/>
      <c r="D63" s="29" t="n"/>
      <c r="E63" s="29" t="n"/>
      <c r="F63" s="29" t="n"/>
      <c r="G63" s="29" t="n"/>
      <c r="H63" s="29">
        <f>IF(A63="","",IF(COUNTIF(A1_Etudiants!$B$3:$B$50000,A63)=0,"NOUVEAU","EXISTANT"))</f>
        <v/>
      </c>
    </row>
    <row r="64" ht="15" customHeight="1" s="22">
      <c r="A64" s="29" t="n"/>
      <c r="B64" s="29" t="n"/>
      <c r="C64" s="29" t="n"/>
      <c r="D64" s="29" t="n"/>
      <c r="E64" s="29" t="n"/>
      <c r="F64" s="29" t="n"/>
      <c r="G64" s="29" t="n"/>
      <c r="H64" s="29">
        <f>IF(A64="","",IF(COUNTIF(A1_Etudiants!$B$3:$B$50000,A64)=0,"NOUVEAU","EXISTANT"))</f>
        <v/>
      </c>
    </row>
    <row r="65" ht="15" customHeight="1" s="22">
      <c r="A65" s="29" t="n"/>
      <c r="B65" s="29" t="n"/>
      <c r="C65" s="29" t="n"/>
      <c r="D65" s="29" t="n"/>
      <c r="E65" s="29" t="n"/>
      <c r="F65" s="29" t="n"/>
      <c r="G65" s="29" t="n"/>
      <c r="H65" s="29">
        <f>IF(A65="","",IF(COUNTIF(A1_Etudiants!$B$3:$B$50000,A65)=0,"NOUVEAU","EXISTANT"))</f>
        <v/>
      </c>
    </row>
    <row r="66" ht="15" customHeight="1" s="22">
      <c r="A66" s="29" t="n"/>
      <c r="B66" s="29" t="n"/>
      <c r="C66" s="29" t="n"/>
      <c r="D66" s="29" t="n"/>
      <c r="E66" s="29" t="n"/>
      <c r="F66" s="29" t="n"/>
      <c r="G66" s="29" t="n"/>
      <c r="H66" s="29">
        <f>IF(A66="","",IF(COUNTIF(A1_Etudiants!$B$3:$B$50000,A66)=0,"NOUVEAU","EXISTANT"))</f>
        <v/>
      </c>
    </row>
    <row r="67" ht="15" customHeight="1" s="22">
      <c r="A67" s="29" t="n"/>
      <c r="B67" s="29" t="n"/>
      <c r="C67" s="29" t="n"/>
      <c r="D67" s="29" t="n"/>
      <c r="E67" s="29" t="n"/>
      <c r="F67" s="29" t="n"/>
      <c r="G67" s="29" t="n"/>
      <c r="H67" s="29">
        <f>IF(A67="","",IF(COUNTIF(A1_Etudiants!$B$3:$B$50000,A67)=0,"NOUVEAU","EXISTANT"))</f>
        <v/>
      </c>
    </row>
    <row r="68" ht="15" customHeight="1" s="22">
      <c r="A68" s="29" t="n"/>
      <c r="B68" s="29" t="n"/>
      <c r="C68" s="29" t="n"/>
      <c r="D68" s="29" t="n"/>
      <c r="E68" s="29" t="n"/>
      <c r="F68" s="29" t="n"/>
      <c r="G68" s="29" t="n"/>
      <c r="H68" s="29">
        <f>IF(A68="","",IF(COUNTIF(A1_Etudiants!$B$3:$B$50000,A68)=0,"NOUVEAU","EXISTANT"))</f>
        <v/>
      </c>
    </row>
    <row r="69" ht="15" customHeight="1" s="22">
      <c r="A69" s="29" t="n"/>
      <c r="B69" s="29" t="n"/>
      <c r="C69" s="29" t="n"/>
      <c r="D69" s="29" t="n"/>
      <c r="E69" s="29" t="n"/>
      <c r="F69" s="29" t="n"/>
      <c r="G69" s="29" t="n"/>
      <c r="H69" s="29">
        <f>IF(A69="","",IF(COUNTIF(A1_Etudiants!$B$3:$B$50000,A69)=0,"NOUVEAU","EXISTANT"))</f>
        <v/>
      </c>
    </row>
    <row r="70" ht="15" customHeight="1" s="22">
      <c r="A70" s="29" t="n"/>
      <c r="B70" s="29" t="n"/>
      <c r="C70" s="29" t="n"/>
      <c r="D70" s="29" t="n"/>
      <c r="E70" s="29" t="n"/>
      <c r="F70" s="29" t="n"/>
      <c r="G70" s="29" t="n"/>
      <c r="H70" s="29">
        <f>IF(A70="","",IF(COUNTIF(A1_Etudiants!$B$3:$B$50000,A70)=0,"NOUVEAU","EXISTANT"))</f>
        <v/>
      </c>
    </row>
    <row r="71" ht="15" customHeight="1" s="22">
      <c r="A71" s="29" t="n"/>
      <c r="B71" s="29" t="n"/>
      <c r="C71" s="29" t="n"/>
      <c r="D71" s="29" t="n"/>
      <c r="E71" s="29" t="n"/>
      <c r="F71" s="29" t="n"/>
      <c r="G71" s="29" t="n"/>
      <c r="H71" s="29">
        <f>IF(A71="","",IF(COUNTIF(A1_Etudiants!$B$3:$B$50000,A71)=0,"NOUVEAU","EXISTANT"))</f>
        <v/>
      </c>
    </row>
    <row r="72" ht="15" customHeight="1" s="22">
      <c r="A72" s="29" t="n"/>
      <c r="B72" s="29" t="n"/>
      <c r="C72" s="29" t="n"/>
      <c r="D72" s="29" t="n"/>
      <c r="E72" s="29" t="n"/>
      <c r="F72" s="29" t="n"/>
      <c r="G72" s="29" t="n"/>
      <c r="H72" s="29">
        <f>IF(A72="","",IF(COUNTIF(A1_Etudiants!$B$3:$B$50000,A72)=0,"NOUVEAU","EXISTANT"))</f>
        <v/>
      </c>
    </row>
    <row r="73" ht="15" customHeight="1" s="22">
      <c r="A73" s="29" t="n"/>
      <c r="B73" s="29" t="n"/>
      <c r="C73" s="29" t="n"/>
      <c r="D73" s="29" t="n"/>
      <c r="E73" s="29" t="n"/>
      <c r="F73" s="29" t="n"/>
      <c r="G73" s="29" t="n"/>
      <c r="H73" s="29">
        <f>IF(A73="","",IF(COUNTIF(A1_Etudiants!$B$3:$B$50000,A73)=0,"NOUVEAU","EXISTANT"))</f>
        <v/>
      </c>
    </row>
    <row r="74" ht="15" customHeight="1" s="22">
      <c r="A74" s="29" t="n"/>
      <c r="B74" s="29" t="n"/>
      <c r="C74" s="29" t="n"/>
      <c r="D74" s="29" t="n"/>
      <c r="E74" s="29" t="n"/>
      <c r="F74" s="29" t="n"/>
      <c r="G74" s="29" t="n"/>
      <c r="H74" s="29">
        <f>IF(A74="","",IF(COUNTIF(A1_Etudiants!$B$3:$B$50000,A74)=0,"NOUVEAU","EXISTANT"))</f>
        <v/>
      </c>
    </row>
    <row r="75" ht="15" customHeight="1" s="22">
      <c r="A75" s="29" t="n"/>
      <c r="B75" s="29" t="n"/>
      <c r="C75" s="29" t="n"/>
      <c r="D75" s="29" t="n"/>
      <c r="E75" s="29" t="n"/>
      <c r="F75" s="29" t="n"/>
      <c r="G75" s="29" t="n"/>
      <c r="H75" s="29">
        <f>IF(A75="","",IF(COUNTIF(A1_Etudiants!$B$3:$B$50000,A75)=0,"NOUVEAU","EXISTANT"))</f>
        <v/>
      </c>
    </row>
    <row r="76" ht="15" customHeight="1" s="22">
      <c r="A76" s="29" t="n"/>
      <c r="B76" s="29" t="n"/>
      <c r="C76" s="29" t="n"/>
      <c r="D76" s="29" t="n"/>
      <c r="E76" s="29" t="n"/>
      <c r="F76" s="29" t="n"/>
      <c r="G76" s="29" t="n"/>
      <c r="H76" s="29">
        <f>IF(A76="","",IF(COUNTIF(A1_Etudiants!$B$3:$B$50000,A76)=0,"NOUVEAU","EXISTANT"))</f>
        <v/>
      </c>
    </row>
    <row r="77" ht="15" customHeight="1" s="22">
      <c r="A77" s="29" t="n"/>
      <c r="B77" s="29" t="n"/>
      <c r="C77" s="29" t="n"/>
      <c r="D77" s="29" t="n"/>
      <c r="E77" s="29" t="n"/>
      <c r="F77" s="29" t="n"/>
      <c r="G77" s="29" t="n"/>
      <c r="H77" s="29">
        <f>IF(A77="","",IF(COUNTIF(A1_Etudiants!$B$3:$B$50000,A77)=0,"NOUVEAU","EXISTANT"))</f>
        <v/>
      </c>
    </row>
    <row r="78" ht="15" customHeight="1" s="22">
      <c r="A78" s="29" t="n"/>
      <c r="B78" s="29" t="n"/>
      <c r="C78" s="29" t="n"/>
      <c r="D78" s="29" t="n"/>
      <c r="E78" s="29" t="n"/>
      <c r="F78" s="29" t="n"/>
      <c r="G78" s="29" t="n"/>
      <c r="H78" s="29">
        <f>IF(A78="","",IF(COUNTIF(A1_Etudiants!$B$3:$B$50000,A78)=0,"NOUVEAU","EXISTANT"))</f>
        <v/>
      </c>
    </row>
    <row r="79" ht="15" customHeight="1" s="22">
      <c r="A79" s="29" t="n"/>
      <c r="B79" s="29" t="n"/>
      <c r="C79" s="29" t="n"/>
      <c r="D79" s="29" t="n"/>
      <c r="E79" s="29" t="n"/>
      <c r="F79" s="29" t="n"/>
      <c r="G79" s="29" t="n"/>
      <c r="H79" s="29">
        <f>IF(A79="","",IF(COUNTIF(A1_Etudiants!$B$3:$B$50000,A79)=0,"NOUVEAU","EXISTANT"))</f>
        <v/>
      </c>
    </row>
    <row r="80" ht="15" customHeight="1" s="22">
      <c r="A80" s="29" t="n"/>
      <c r="B80" s="29" t="n"/>
      <c r="C80" s="29" t="n"/>
      <c r="D80" s="29" t="n"/>
      <c r="E80" s="29" t="n"/>
      <c r="F80" s="29" t="n"/>
      <c r="G80" s="29" t="n"/>
      <c r="H80" s="29">
        <f>IF(A80="","",IF(COUNTIF(A1_Etudiants!$B$3:$B$50000,A80)=0,"NOUVEAU","EXISTANT"))</f>
        <v/>
      </c>
    </row>
    <row r="81" ht="15" customHeight="1" s="22">
      <c r="A81" s="29" t="n"/>
      <c r="B81" s="29" t="n"/>
      <c r="C81" s="29" t="n"/>
      <c r="D81" s="29" t="n"/>
      <c r="E81" s="29" t="n"/>
      <c r="F81" s="29" t="n"/>
      <c r="G81" s="29" t="n"/>
      <c r="H81" s="29">
        <f>IF(A81="","",IF(COUNTIF(A1_Etudiants!$B$3:$B$50000,A81)=0,"NOUVEAU","EXISTANT"))</f>
        <v/>
      </c>
    </row>
    <row r="82" ht="15" customHeight="1" s="22">
      <c r="A82" s="29" t="n"/>
      <c r="B82" s="29" t="n"/>
      <c r="C82" s="29" t="n"/>
      <c r="D82" s="29" t="n"/>
      <c r="E82" s="29" t="n"/>
      <c r="F82" s="29" t="n"/>
      <c r="G82" s="29" t="n"/>
      <c r="H82" s="29">
        <f>IF(A82="","",IF(COUNTIF(A1_Etudiants!$B$3:$B$50000,A82)=0,"NOUVEAU","EXISTANT"))</f>
        <v/>
      </c>
    </row>
    <row r="83" ht="15" customHeight="1" s="22">
      <c r="A83" s="29" t="n"/>
      <c r="B83" s="29" t="n"/>
      <c r="C83" s="29" t="n"/>
      <c r="D83" s="29" t="n"/>
      <c r="E83" s="29" t="n"/>
      <c r="F83" s="29" t="n"/>
      <c r="G83" s="29" t="n"/>
      <c r="H83" s="29">
        <f>IF(A83="","",IF(COUNTIF(A1_Etudiants!$B$3:$B$50000,A83)=0,"NOUVEAU","EXISTANT"))</f>
        <v/>
      </c>
    </row>
    <row r="84" ht="15" customHeight="1" s="22">
      <c r="A84" s="29" t="n"/>
      <c r="B84" s="29" t="n"/>
      <c r="C84" s="29" t="n"/>
      <c r="D84" s="29" t="n"/>
      <c r="E84" s="29" t="n"/>
      <c r="F84" s="29" t="n"/>
      <c r="G84" s="29" t="n"/>
      <c r="H84" s="29">
        <f>IF(A84="","",IF(COUNTIF(A1_Etudiants!$B$3:$B$50000,A84)=0,"NOUVEAU","EXISTANT"))</f>
        <v/>
      </c>
    </row>
    <row r="85" ht="15" customHeight="1" s="22">
      <c r="A85" s="29" t="n"/>
      <c r="B85" s="29" t="n"/>
      <c r="C85" s="29" t="n"/>
      <c r="D85" s="29" t="n"/>
      <c r="E85" s="29" t="n"/>
      <c r="F85" s="29" t="n"/>
      <c r="G85" s="29" t="n"/>
      <c r="H85" s="29">
        <f>IF(A85="","",IF(COUNTIF(A1_Etudiants!$B$3:$B$50000,A85)=0,"NOUVEAU","EXISTANT"))</f>
        <v/>
      </c>
    </row>
    <row r="86" ht="15" customHeight="1" s="22">
      <c r="A86" s="29" t="n"/>
      <c r="B86" s="29" t="n"/>
      <c r="C86" s="29" t="n"/>
      <c r="D86" s="29" t="n"/>
      <c r="E86" s="29" t="n"/>
      <c r="F86" s="29" t="n"/>
      <c r="G86" s="29" t="n"/>
      <c r="H86" s="29">
        <f>IF(A86="","",IF(COUNTIF(A1_Etudiants!$B$3:$B$50000,A86)=0,"NOUVEAU","EXISTANT"))</f>
        <v/>
      </c>
    </row>
    <row r="87" ht="15" customHeight="1" s="22">
      <c r="A87" s="29" t="n"/>
      <c r="B87" s="29" t="n"/>
      <c r="C87" s="29" t="n"/>
      <c r="D87" s="29" t="n"/>
      <c r="E87" s="29" t="n"/>
      <c r="F87" s="29" t="n"/>
      <c r="G87" s="29" t="n"/>
      <c r="H87" s="29">
        <f>IF(A87="","",IF(COUNTIF(A1_Etudiants!$B$3:$B$50000,A87)=0,"NOUVEAU","EXISTANT"))</f>
        <v/>
      </c>
    </row>
    <row r="88" ht="15" customHeight="1" s="22">
      <c r="A88" s="29" t="n"/>
      <c r="B88" s="29" t="n"/>
      <c r="C88" s="29" t="n"/>
      <c r="D88" s="29" t="n"/>
      <c r="E88" s="29" t="n"/>
      <c r="F88" s="29" t="n"/>
      <c r="G88" s="29" t="n"/>
      <c r="H88" s="29">
        <f>IF(A88="","",IF(COUNTIF(A1_Etudiants!$B$3:$B$50000,A88)=0,"NOUVEAU","EXISTANT"))</f>
        <v/>
      </c>
    </row>
    <row r="89" ht="15" customHeight="1" s="22">
      <c r="A89" s="29" t="n"/>
      <c r="B89" s="29" t="n"/>
      <c r="C89" s="29" t="n"/>
      <c r="D89" s="29" t="n"/>
      <c r="E89" s="29" t="n"/>
      <c r="F89" s="29" t="n"/>
      <c r="G89" s="29" t="n"/>
      <c r="H89" s="29">
        <f>IF(A89="","",IF(COUNTIF(A1_Etudiants!$B$3:$B$50000,A89)=0,"NOUVEAU","EXISTANT"))</f>
        <v/>
      </c>
    </row>
    <row r="90" ht="15" customHeight="1" s="22">
      <c r="A90" s="29" t="n"/>
      <c r="B90" s="29" t="n"/>
      <c r="C90" s="29" t="n"/>
      <c r="D90" s="29" t="n"/>
      <c r="E90" s="29" t="n"/>
      <c r="F90" s="29" t="n"/>
      <c r="G90" s="29" t="n"/>
      <c r="H90" s="29">
        <f>IF(A90="","",IF(COUNTIF(A1_Etudiants!$B$3:$B$50000,A90)=0,"NOUVEAU","EXISTANT"))</f>
        <v/>
      </c>
    </row>
    <row r="91" ht="15" customHeight="1" s="22">
      <c r="A91" s="29" t="n"/>
      <c r="B91" s="29" t="n"/>
      <c r="C91" s="29" t="n"/>
      <c r="D91" s="29" t="n"/>
      <c r="E91" s="29" t="n"/>
      <c r="F91" s="29" t="n"/>
      <c r="G91" s="29" t="n"/>
      <c r="H91" s="29">
        <f>IF(A91="","",IF(COUNTIF(A1_Etudiants!$B$3:$B$50000,A91)=0,"NOUVEAU","EXISTANT"))</f>
        <v/>
      </c>
    </row>
    <row r="92" ht="15" customHeight="1" s="22">
      <c r="A92" s="29" t="n"/>
      <c r="B92" s="29" t="n"/>
      <c r="C92" s="29" t="n"/>
      <c r="D92" s="29" t="n"/>
      <c r="E92" s="29" t="n"/>
      <c r="F92" s="29" t="n"/>
      <c r="G92" s="29" t="n"/>
      <c r="H92" s="29">
        <f>IF(A92="","",IF(COUNTIF(A1_Etudiants!$B$3:$B$50000,A92)=0,"NOUVEAU","EXISTANT"))</f>
        <v/>
      </c>
    </row>
    <row r="93" ht="15" customHeight="1" s="22">
      <c r="A93" s="29" t="n"/>
      <c r="B93" s="29" t="n"/>
      <c r="C93" s="29" t="n"/>
      <c r="D93" s="29" t="n"/>
      <c r="E93" s="29" t="n"/>
      <c r="F93" s="29" t="n"/>
      <c r="G93" s="29" t="n"/>
      <c r="H93" s="29">
        <f>IF(A93="","",IF(COUNTIF(A1_Etudiants!$B$3:$B$50000,A93)=0,"NOUVEAU","EXISTANT"))</f>
        <v/>
      </c>
    </row>
    <row r="94" ht="15" customHeight="1" s="22">
      <c r="A94" s="29" t="n"/>
      <c r="B94" s="29" t="n"/>
      <c r="C94" s="29" t="n"/>
      <c r="D94" s="29" t="n"/>
      <c r="E94" s="29" t="n"/>
      <c r="F94" s="29" t="n"/>
      <c r="G94" s="29" t="n"/>
      <c r="H94" s="29">
        <f>IF(A94="","",IF(COUNTIF(A1_Etudiants!$B$3:$B$50000,A94)=0,"NOUVEAU","EXISTANT"))</f>
        <v/>
      </c>
    </row>
    <row r="95" ht="15" customHeight="1" s="22">
      <c r="A95" s="29" t="n"/>
      <c r="B95" s="29" t="n"/>
      <c r="C95" s="29" t="n"/>
      <c r="D95" s="29" t="n"/>
      <c r="E95" s="29" t="n"/>
      <c r="F95" s="29" t="n"/>
      <c r="G95" s="29" t="n"/>
      <c r="H95" s="29">
        <f>IF(A95="","",IF(COUNTIF(A1_Etudiants!$B$3:$B$50000,A95)=0,"NOUVEAU","EXISTANT"))</f>
        <v/>
      </c>
    </row>
    <row r="96" ht="15" customHeight="1" s="22">
      <c r="A96" s="29" t="n"/>
      <c r="B96" s="29" t="n"/>
      <c r="C96" s="29" t="n"/>
      <c r="D96" s="29" t="n"/>
      <c r="E96" s="29" t="n"/>
      <c r="F96" s="29" t="n"/>
      <c r="G96" s="29" t="n"/>
      <c r="H96" s="29">
        <f>IF(A96="","",IF(COUNTIF(A1_Etudiants!$B$3:$B$50000,A96)=0,"NOUVEAU","EXISTANT"))</f>
        <v/>
      </c>
    </row>
    <row r="97" ht="15" customHeight="1" s="22">
      <c r="A97" s="29" t="n"/>
      <c r="B97" s="29" t="n"/>
      <c r="C97" s="29" t="n"/>
      <c r="D97" s="29" t="n"/>
      <c r="E97" s="29" t="n"/>
      <c r="F97" s="29" t="n"/>
      <c r="G97" s="29" t="n"/>
      <c r="H97" s="29">
        <f>IF(A97="","",IF(COUNTIF(A1_Etudiants!$B$3:$B$50000,A97)=0,"NOUVEAU","EXISTANT"))</f>
        <v/>
      </c>
    </row>
    <row r="98" ht="15" customHeight="1" s="22">
      <c r="A98" s="29" t="n"/>
      <c r="B98" s="29" t="n"/>
      <c r="C98" s="29" t="n"/>
      <c r="D98" s="29" t="n"/>
      <c r="E98" s="29" t="n"/>
      <c r="F98" s="29" t="n"/>
      <c r="G98" s="29" t="n"/>
      <c r="H98" s="29">
        <f>IF(A98="","",IF(COUNTIF(A1_Etudiants!$B$3:$B$50000,A98)=0,"NOUVEAU","EXISTANT"))</f>
        <v/>
      </c>
    </row>
    <row r="99" ht="15" customHeight="1" s="22">
      <c r="A99" s="29" t="n"/>
      <c r="B99" s="29" t="n"/>
      <c r="C99" s="29" t="n"/>
      <c r="D99" s="29" t="n"/>
      <c r="E99" s="29" t="n"/>
      <c r="F99" s="29" t="n"/>
      <c r="G99" s="29" t="n"/>
      <c r="H99" s="29">
        <f>IF(A99="","",IF(COUNTIF(A1_Etudiants!$B$3:$B$50000,A99)=0,"NOUVEAU","EXISTANT"))</f>
        <v/>
      </c>
    </row>
    <row r="100" ht="15" customHeight="1" s="22">
      <c r="A100" s="29" t="n"/>
      <c r="B100" s="29" t="n"/>
      <c r="C100" s="29" t="n"/>
      <c r="D100" s="29" t="n"/>
      <c r="E100" s="29" t="n"/>
      <c r="F100" s="29" t="n"/>
      <c r="G100" s="29" t="n"/>
      <c r="H100" s="29">
        <f>IF(A100="","",IF(COUNTIF(A1_Etudiants!$B$3:$B$50000,A100)=0,"NOUVEAU","EXISTANT"))</f>
        <v/>
      </c>
    </row>
    <row r="101" ht="15" customHeight="1" s="22">
      <c r="A101" s="29" t="n"/>
      <c r="B101" s="29" t="n"/>
      <c r="C101" s="29" t="n"/>
      <c r="D101" s="29" t="n"/>
      <c r="E101" s="29" t="n"/>
      <c r="F101" s="29" t="n"/>
      <c r="G101" s="29" t="n"/>
      <c r="H101" s="29">
        <f>IF(A101="","",IF(COUNTIF(A1_Etudiants!$B$3:$B$50000,A101)=0,"NOUVEAU","EXISTANT"))</f>
        <v/>
      </c>
    </row>
    <row r="102" ht="15" customHeight="1" s="22">
      <c r="A102" s="29" t="n"/>
      <c r="B102" s="29" t="n"/>
      <c r="C102" s="29" t="n"/>
      <c r="D102" s="29" t="n"/>
      <c r="E102" s="29" t="n"/>
      <c r="F102" s="29" t="n"/>
      <c r="G102" s="29" t="n"/>
      <c r="H102" s="29">
        <f>IF(A102="","",IF(COUNTIF(A1_Etudiants!$B$3:$B$50000,A102)=0,"NOUVEAU","EXISTANT"))</f>
        <v/>
      </c>
    </row>
    <row r="103" ht="15" customHeight="1" s="22">
      <c r="A103" s="29" t="n"/>
      <c r="B103" s="29" t="n"/>
      <c r="C103" s="29" t="n"/>
      <c r="D103" s="29" t="n"/>
      <c r="E103" s="29" t="n"/>
      <c r="F103" s="29" t="n"/>
      <c r="G103" s="29" t="n"/>
      <c r="H103" s="29">
        <f>IF(A103="","",IF(COUNTIF(A1_Etudiants!$B$3:$B$50000,A103)=0,"NOUVEAU","EXISTANT"))</f>
        <v/>
      </c>
    </row>
    <row r="104" ht="15" customHeight="1" s="22">
      <c r="A104" s="29" t="n"/>
      <c r="B104" s="29" t="n"/>
      <c r="C104" s="29" t="n"/>
      <c r="D104" s="29" t="n"/>
      <c r="E104" s="29" t="n"/>
      <c r="F104" s="29" t="n"/>
      <c r="G104" s="29" t="n"/>
      <c r="H104" s="29">
        <f>IF(A104="","",IF(COUNTIF(A1_Etudiants!$B$3:$B$50000,A104)=0,"NOUVEAU","EXISTANT"))</f>
        <v/>
      </c>
    </row>
    <row r="105" ht="15" customHeight="1" s="22">
      <c r="A105" s="29" t="n"/>
      <c r="B105" s="29" t="n"/>
      <c r="C105" s="29" t="n"/>
      <c r="D105" s="29" t="n"/>
      <c r="E105" s="29" t="n"/>
      <c r="F105" s="29" t="n"/>
      <c r="G105" s="29" t="n"/>
      <c r="H105" s="29">
        <f>IF(A105="","",IF(COUNTIF(A1_Etudiants!$B$3:$B$50000,A105)=0,"NOUVEAU","EXISTANT"))</f>
        <v/>
      </c>
    </row>
    <row r="106" ht="15" customHeight="1" s="22">
      <c r="A106" s="29" t="n"/>
      <c r="B106" s="29" t="n"/>
      <c r="C106" s="29" t="n"/>
      <c r="D106" s="29" t="n"/>
      <c r="E106" s="29" t="n"/>
      <c r="F106" s="29" t="n"/>
      <c r="G106" s="29" t="n"/>
      <c r="H106" s="29">
        <f>IF(A106="","",IF(COUNTIF(A1_Etudiants!$B$3:$B$50000,A106)=0,"NOUVEAU","EXISTANT"))</f>
        <v/>
      </c>
    </row>
    <row r="107" ht="15" customHeight="1" s="22">
      <c r="A107" s="29" t="n"/>
      <c r="B107" s="29" t="n"/>
      <c r="C107" s="29" t="n"/>
      <c r="D107" s="29" t="n"/>
      <c r="E107" s="29" t="n"/>
      <c r="F107" s="29" t="n"/>
      <c r="G107" s="29" t="n"/>
      <c r="H107" s="29">
        <f>IF(A107="","",IF(COUNTIF(A1_Etudiants!$B$3:$B$50000,A107)=0,"NOUVEAU","EXISTANT"))</f>
        <v/>
      </c>
    </row>
    <row r="108" ht="15" customHeight="1" s="22">
      <c r="A108" s="29" t="n"/>
      <c r="B108" s="29" t="n"/>
      <c r="C108" s="29" t="n"/>
      <c r="D108" s="29" t="n"/>
      <c r="E108" s="29" t="n"/>
      <c r="F108" s="29" t="n"/>
      <c r="G108" s="29" t="n"/>
      <c r="H108" s="29">
        <f>IF(A108="","",IF(COUNTIF(A1_Etudiants!$B$3:$B$50000,A108)=0,"NOUVEAU","EXISTANT"))</f>
        <v/>
      </c>
    </row>
    <row r="109" ht="15" customHeight="1" s="22">
      <c r="A109" s="29" t="n"/>
      <c r="B109" s="29" t="n"/>
      <c r="C109" s="29" t="n"/>
      <c r="D109" s="29" t="n"/>
      <c r="E109" s="29" t="n"/>
      <c r="F109" s="29" t="n"/>
      <c r="G109" s="29" t="n"/>
      <c r="H109" s="29">
        <f>IF(A109="","",IF(COUNTIF(A1_Etudiants!$B$3:$B$50000,A109)=0,"NOUVEAU","EXISTANT"))</f>
        <v/>
      </c>
    </row>
    <row r="110" ht="15" customHeight="1" s="22">
      <c r="A110" s="29" t="n"/>
      <c r="B110" s="29" t="n"/>
      <c r="C110" s="29" t="n"/>
      <c r="D110" s="29" t="n"/>
      <c r="E110" s="29" t="n"/>
      <c r="F110" s="29" t="n"/>
      <c r="G110" s="29" t="n"/>
      <c r="H110" s="29">
        <f>IF(A110="","",IF(COUNTIF(A1_Etudiants!$B$3:$B$50000,A110)=0,"NOUVEAU","EXISTANT"))</f>
        <v/>
      </c>
    </row>
    <row r="111" ht="15" customHeight="1" s="22">
      <c r="A111" s="29" t="n"/>
      <c r="B111" s="29" t="n"/>
      <c r="C111" s="29" t="n"/>
      <c r="D111" s="29" t="n"/>
      <c r="E111" s="29" t="n"/>
      <c r="F111" s="29" t="n"/>
      <c r="G111" s="29" t="n"/>
      <c r="H111" s="29">
        <f>IF(A111="","",IF(COUNTIF(A1_Etudiants!$B$3:$B$50000,A111)=0,"NOUVEAU","EXISTANT"))</f>
        <v/>
      </c>
    </row>
    <row r="112" ht="15" customHeight="1" s="22">
      <c r="A112" s="29" t="n"/>
      <c r="B112" s="29" t="n"/>
      <c r="C112" s="29" t="n"/>
      <c r="D112" s="29" t="n"/>
      <c r="E112" s="29" t="n"/>
      <c r="F112" s="29" t="n"/>
      <c r="G112" s="29" t="n"/>
      <c r="H112" s="29">
        <f>IF(A112="","",IF(COUNTIF(A1_Etudiants!$B$3:$B$50000,A112)=0,"NOUVEAU","EXISTANT"))</f>
        <v/>
      </c>
    </row>
    <row r="113" ht="15" customHeight="1" s="22">
      <c r="A113" s="29" t="n"/>
      <c r="B113" s="29" t="n"/>
      <c r="C113" s="29" t="n"/>
      <c r="D113" s="29" t="n"/>
      <c r="E113" s="29" t="n"/>
      <c r="F113" s="29" t="n"/>
      <c r="G113" s="29" t="n"/>
      <c r="H113" s="29">
        <f>IF(A113="","",IF(COUNTIF(A1_Etudiants!$B$3:$B$50000,A113)=0,"NOUVEAU","EXISTANT"))</f>
        <v/>
      </c>
    </row>
    <row r="114" ht="15" customHeight="1" s="22">
      <c r="A114" s="29" t="n"/>
      <c r="B114" s="29" t="n"/>
      <c r="C114" s="29" t="n"/>
      <c r="D114" s="29" t="n"/>
      <c r="E114" s="29" t="n"/>
      <c r="F114" s="29" t="n"/>
      <c r="G114" s="29" t="n"/>
      <c r="H114" s="29">
        <f>IF(A114="","",IF(COUNTIF(A1_Etudiants!$B$3:$B$50000,A114)=0,"NOUVEAU","EXISTANT"))</f>
        <v/>
      </c>
    </row>
    <row r="115" ht="15" customHeight="1" s="22">
      <c r="A115" s="29" t="n"/>
      <c r="B115" s="29" t="n"/>
      <c r="C115" s="29" t="n"/>
      <c r="D115" s="29" t="n"/>
      <c r="E115" s="29" t="n"/>
      <c r="F115" s="29" t="n"/>
      <c r="G115" s="29" t="n"/>
      <c r="H115" s="29">
        <f>IF(A115="","",IF(COUNTIF(A1_Etudiants!$B$3:$B$50000,A115)=0,"NOUVEAU","EXISTANT"))</f>
        <v/>
      </c>
    </row>
    <row r="116" ht="15" customHeight="1" s="22">
      <c r="A116" s="29" t="n"/>
      <c r="B116" s="29" t="n"/>
      <c r="C116" s="29" t="n"/>
      <c r="D116" s="29" t="n"/>
      <c r="E116" s="29" t="n"/>
      <c r="F116" s="29" t="n"/>
      <c r="G116" s="29" t="n"/>
      <c r="H116" s="29">
        <f>IF(A116="","",IF(COUNTIF(A1_Etudiants!$B$3:$B$50000,A116)=0,"NOUVEAU","EXISTANT"))</f>
        <v/>
      </c>
    </row>
    <row r="117" ht="15" customHeight="1" s="22">
      <c r="A117" s="29" t="n"/>
      <c r="B117" s="29" t="n"/>
      <c r="C117" s="29" t="n"/>
      <c r="D117" s="29" t="n"/>
      <c r="E117" s="29" t="n"/>
      <c r="F117" s="29" t="n"/>
      <c r="G117" s="29" t="n"/>
      <c r="H117" s="29">
        <f>IF(A117="","",IF(COUNTIF(A1_Etudiants!$B$3:$B$50000,A117)=0,"NOUVEAU","EXISTANT"))</f>
        <v/>
      </c>
    </row>
    <row r="118" ht="15" customHeight="1" s="22">
      <c r="A118" s="29" t="n"/>
      <c r="B118" s="29" t="n"/>
      <c r="C118" s="29" t="n"/>
      <c r="D118" s="29" t="n"/>
      <c r="E118" s="29" t="n"/>
      <c r="F118" s="29" t="n"/>
      <c r="G118" s="29" t="n"/>
      <c r="H118" s="29">
        <f>IF(A118="","",IF(COUNTIF(A1_Etudiants!$B$3:$B$50000,A118)=0,"NOUVEAU","EXISTANT"))</f>
        <v/>
      </c>
    </row>
    <row r="119" ht="15" customHeight="1" s="22">
      <c r="A119" s="29" t="n"/>
      <c r="B119" s="29" t="n"/>
      <c r="C119" s="29" t="n"/>
      <c r="D119" s="29" t="n"/>
      <c r="E119" s="29" t="n"/>
      <c r="F119" s="29" t="n"/>
      <c r="G119" s="29" t="n"/>
      <c r="H119" s="29">
        <f>IF(A119="","",IF(COUNTIF(A1_Etudiants!$B$3:$B$50000,A119)=0,"NOUVEAU","EXISTANT"))</f>
        <v/>
      </c>
    </row>
    <row r="120" ht="15" customHeight="1" s="22">
      <c r="A120" s="29" t="n"/>
      <c r="B120" s="29" t="n"/>
      <c r="C120" s="29" t="n"/>
      <c r="D120" s="29" t="n"/>
      <c r="E120" s="29" t="n"/>
      <c r="F120" s="29" t="n"/>
      <c r="G120" s="29" t="n"/>
      <c r="H120" s="29">
        <f>IF(A120="","",IF(COUNTIF(A1_Etudiants!$B$3:$B$50000,A120)=0,"NOUVEAU","EXISTANT"))</f>
        <v/>
      </c>
    </row>
    <row r="121" ht="15" customHeight="1" s="22">
      <c r="A121" s="29" t="n"/>
      <c r="B121" s="29" t="n"/>
      <c r="C121" s="29" t="n"/>
      <c r="D121" s="29" t="n"/>
      <c r="E121" s="29" t="n"/>
      <c r="F121" s="29" t="n"/>
      <c r="G121" s="29" t="n"/>
      <c r="H121" s="29">
        <f>IF(A121="","",IF(COUNTIF(A1_Etudiants!$B$3:$B$50000,A121)=0,"NOUVEAU","EXISTANT"))</f>
        <v/>
      </c>
    </row>
    <row r="122" ht="15" customHeight="1" s="22">
      <c r="A122" s="29" t="n"/>
      <c r="B122" s="29" t="n"/>
      <c r="C122" s="29" t="n"/>
      <c r="D122" s="29" t="n"/>
      <c r="E122" s="29" t="n"/>
      <c r="F122" s="29" t="n"/>
      <c r="G122" s="29" t="n"/>
      <c r="H122" s="29">
        <f>IF(A122="","",IF(COUNTIF(A1_Etudiants!$B$3:$B$50000,A122)=0,"NOUVEAU","EXISTANT"))</f>
        <v/>
      </c>
    </row>
    <row r="123" ht="15" customHeight="1" s="22">
      <c r="A123" s="29" t="n"/>
      <c r="B123" s="29" t="n"/>
      <c r="C123" s="29" t="n"/>
      <c r="D123" s="29" t="n"/>
      <c r="E123" s="29" t="n"/>
      <c r="F123" s="29" t="n"/>
      <c r="G123" s="29" t="n"/>
      <c r="H123" s="29">
        <f>IF(A123="","",IF(COUNTIF(A1_Etudiants!$B$3:$B$50000,A123)=0,"NOUVEAU","EXISTANT"))</f>
        <v/>
      </c>
    </row>
    <row r="124" ht="15" customHeight="1" s="22">
      <c r="A124" s="29" t="n"/>
      <c r="B124" s="29" t="n"/>
      <c r="C124" s="29" t="n"/>
      <c r="D124" s="29" t="n"/>
      <c r="E124" s="29" t="n"/>
      <c r="F124" s="29" t="n"/>
      <c r="G124" s="29" t="n"/>
      <c r="H124" s="29">
        <f>IF(A124="","",IF(COUNTIF(A1_Etudiants!$B$3:$B$50000,A124)=0,"NOUVEAU","EXISTANT"))</f>
        <v/>
      </c>
    </row>
    <row r="125" ht="15" customHeight="1" s="22">
      <c r="A125" s="29" t="n"/>
      <c r="B125" s="29" t="n"/>
      <c r="C125" s="29" t="n"/>
      <c r="D125" s="29" t="n"/>
      <c r="E125" s="29" t="n"/>
      <c r="F125" s="29" t="n"/>
      <c r="G125" s="29" t="n"/>
      <c r="H125" s="29">
        <f>IF(A125="","",IF(COUNTIF(A1_Etudiants!$B$3:$B$50000,A125)=0,"NOUVEAU","EXISTANT"))</f>
        <v/>
      </c>
    </row>
    <row r="126" ht="15" customHeight="1" s="22">
      <c r="A126" s="29" t="n"/>
      <c r="B126" s="29" t="n"/>
      <c r="C126" s="29" t="n"/>
      <c r="D126" s="29" t="n"/>
      <c r="E126" s="29" t="n"/>
      <c r="F126" s="29" t="n"/>
      <c r="G126" s="29" t="n"/>
      <c r="H126" s="29">
        <f>IF(A126="","",IF(COUNTIF(A1_Etudiants!$B$3:$B$50000,A126)=0,"NOUVEAU","EXISTANT"))</f>
        <v/>
      </c>
    </row>
    <row r="127" ht="15" customHeight="1" s="22">
      <c r="A127" s="29" t="n"/>
      <c r="B127" s="29" t="n"/>
      <c r="C127" s="29" t="n"/>
      <c r="D127" s="29" t="n"/>
      <c r="E127" s="29" t="n"/>
      <c r="F127" s="29" t="n"/>
      <c r="G127" s="29" t="n"/>
      <c r="H127" s="29">
        <f>IF(A127="","",IF(COUNTIF(A1_Etudiants!$B$3:$B$50000,A127)=0,"NOUVEAU","EXISTANT"))</f>
        <v/>
      </c>
    </row>
    <row r="128" ht="15" customHeight="1" s="22">
      <c r="A128" s="29" t="n"/>
      <c r="B128" s="29" t="n"/>
      <c r="C128" s="29" t="n"/>
      <c r="D128" s="29" t="n"/>
      <c r="E128" s="29" t="n"/>
      <c r="F128" s="29" t="n"/>
      <c r="G128" s="29" t="n"/>
      <c r="H128" s="29">
        <f>IF(A128="","",IF(COUNTIF(A1_Etudiants!$B$3:$B$50000,A128)=0,"NOUVEAU","EXISTANT"))</f>
        <v/>
      </c>
    </row>
    <row r="129" ht="15" customHeight="1" s="22">
      <c r="A129" s="29" t="n"/>
      <c r="B129" s="29" t="n"/>
      <c r="C129" s="29" t="n"/>
      <c r="D129" s="29" t="n"/>
      <c r="E129" s="29" t="n"/>
      <c r="F129" s="29" t="n"/>
      <c r="G129" s="29" t="n"/>
      <c r="H129" s="29">
        <f>IF(A129="","",IF(COUNTIF(A1_Etudiants!$B$3:$B$50000,A129)=0,"NOUVEAU","EXISTANT"))</f>
        <v/>
      </c>
    </row>
    <row r="130" ht="15" customHeight="1" s="22">
      <c r="A130" s="29" t="n"/>
      <c r="B130" s="29" t="n"/>
      <c r="C130" s="29" t="n"/>
      <c r="D130" s="29" t="n"/>
      <c r="E130" s="29" t="n"/>
      <c r="F130" s="29" t="n"/>
      <c r="G130" s="29" t="n"/>
      <c r="H130" s="29">
        <f>IF(A130="","",IF(COUNTIF(A1_Etudiants!$B$3:$B$50000,A130)=0,"NOUVEAU","EXISTANT"))</f>
        <v/>
      </c>
    </row>
    <row r="131" ht="15" customHeight="1" s="22">
      <c r="A131" s="29" t="n"/>
      <c r="B131" s="29" t="n"/>
      <c r="C131" s="29" t="n"/>
      <c r="D131" s="29" t="n"/>
      <c r="E131" s="29" t="n"/>
      <c r="F131" s="29" t="n"/>
      <c r="G131" s="29" t="n"/>
      <c r="H131" s="29">
        <f>IF(A131="","",IF(COUNTIF(A1_Etudiants!$B$3:$B$50000,A131)=0,"NOUVEAU","EXISTANT"))</f>
        <v/>
      </c>
    </row>
    <row r="132" ht="15" customHeight="1" s="22">
      <c r="A132" s="29" t="n"/>
      <c r="B132" s="29" t="n"/>
      <c r="C132" s="29" t="n"/>
      <c r="D132" s="29" t="n"/>
      <c r="E132" s="29" t="n"/>
      <c r="F132" s="29" t="n"/>
      <c r="G132" s="29" t="n"/>
      <c r="H132" s="29">
        <f>IF(A132="","",IF(COUNTIF(A1_Etudiants!$B$3:$B$50000,A132)=0,"NOUVEAU","EXISTANT"))</f>
        <v/>
      </c>
    </row>
    <row r="133" ht="15" customHeight="1" s="22">
      <c r="A133" s="29" t="n"/>
      <c r="B133" s="29" t="n"/>
      <c r="C133" s="29" t="n"/>
      <c r="D133" s="29" t="n"/>
      <c r="E133" s="29" t="n"/>
      <c r="F133" s="29" t="n"/>
      <c r="G133" s="29" t="n"/>
      <c r="H133" s="29">
        <f>IF(A133="","",IF(COUNTIF(A1_Etudiants!$B$3:$B$50000,A133)=0,"NOUVEAU","EXISTANT"))</f>
        <v/>
      </c>
    </row>
    <row r="134" ht="15" customHeight="1" s="22">
      <c r="A134" s="29" t="n"/>
      <c r="B134" s="29" t="n"/>
      <c r="C134" s="29" t="n"/>
      <c r="D134" s="29" t="n"/>
      <c r="E134" s="29" t="n"/>
      <c r="F134" s="29" t="n"/>
      <c r="G134" s="29" t="n"/>
      <c r="H134" s="29">
        <f>IF(A134="","",IF(COUNTIF(A1_Etudiants!$B$3:$B$50000,A134)=0,"NOUVEAU","EXISTANT"))</f>
        <v/>
      </c>
    </row>
    <row r="135" ht="15" customHeight="1" s="22">
      <c r="A135" s="29" t="n"/>
      <c r="B135" s="29" t="n"/>
      <c r="C135" s="29" t="n"/>
      <c r="D135" s="29" t="n"/>
      <c r="E135" s="29" t="n"/>
      <c r="F135" s="29" t="n"/>
      <c r="G135" s="29" t="n"/>
      <c r="H135" s="29">
        <f>IF(A135="","",IF(COUNTIF(A1_Etudiants!$B$3:$B$50000,A135)=0,"NOUVEAU","EXISTANT"))</f>
        <v/>
      </c>
    </row>
    <row r="136" ht="15" customHeight="1" s="22">
      <c r="A136" s="29" t="n"/>
      <c r="B136" s="29" t="n"/>
      <c r="C136" s="29" t="n"/>
      <c r="D136" s="29" t="n"/>
      <c r="E136" s="29" t="n"/>
      <c r="F136" s="29" t="n"/>
      <c r="G136" s="29" t="n"/>
      <c r="H136" s="29">
        <f>IF(A136="","",IF(COUNTIF(A1_Etudiants!$B$3:$B$50000,A136)=0,"NOUVEAU","EXISTANT"))</f>
        <v/>
      </c>
    </row>
    <row r="137" ht="15" customHeight="1" s="22">
      <c r="A137" s="29" t="n"/>
      <c r="B137" s="29" t="n"/>
      <c r="C137" s="29" t="n"/>
      <c r="D137" s="29" t="n"/>
      <c r="E137" s="29" t="n"/>
      <c r="F137" s="29" t="n"/>
      <c r="G137" s="29" t="n"/>
      <c r="H137" s="29">
        <f>IF(A137="","",IF(COUNTIF(A1_Etudiants!$B$3:$B$50000,A137)=0,"NOUVEAU","EXISTANT"))</f>
        <v/>
      </c>
    </row>
    <row r="138" ht="15" customHeight="1" s="22">
      <c r="A138" s="29" t="n"/>
      <c r="B138" s="29" t="n"/>
      <c r="C138" s="29" t="n"/>
      <c r="D138" s="29" t="n"/>
      <c r="E138" s="29" t="n"/>
      <c r="F138" s="29" t="n"/>
      <c r="G138" s="29" t="n"/>
      <c r="H138" s="29">
        <f>IF(A138="","",IF(COUNTIF(A1_Etudiants!$B$3:$B$50000,A138)=0,"NOUVEAU","EXISTANT"))</f>
        <v/>
      </c>
    </row>
    <row r="139" ht="15" customHeight="1" s="22">
      <c r="A139" s="29" t="n"/>
      <c r="B139" s="29" t="n"/>
      <c r="C139" s="29" t="n"/>
      <c r="D139" s="29" t="n"/>
      <c r="E139" s="29" t="n"/>
      <c r="F139" s="29" t="n"/>
      <c r="G139" s="29" t="n"/>
      <c r="H139" s="29">
        <f>IF(A139="","",IF(COUNTIF(A1_Etudiants!$B$3:$B$50000,A139)=0,"NOUVEAU","EXISTANT"))</f>
        <v/>
      </c>
    </row>
    <row r="140" ht="15" customHeight="1" s="22">
      <c r="A140" s="29" t="n"/>
      <c r="B140" s="29" t="n"/>
      <c r="C140" s="29" t="n"/>
      <c r="D140" s="29" t="n"/>
      <c r="E140" s="29" t="n"/>
      <c r="F140" s="29" t="n"/>
      <c r="G140" s="29" t="n"/>
      <c r="H140" s="29">
        <f>IF(A140="","",IF(COUNTIF(A1_Etudiants!$B$3:$B$50000,A140)=0,"NOUVEAU","EXISTANT"))</f>
        <v/>
      </c>
    </row>
    <row r="141" ht="15" customHeight="1" s="22">
      <c r="A141" s="29" t="n"/>
      <c r="B141" s="29" t="n"/>
      <c r="C141" s="29" t="n"/>
      <c r="D141" s="29" t="n"/>
      <c r="E141" s="29" t="n"/>
      <c r="F141" s="29" t="n"/>
      <c r="G141" s="29" t="n"/>
      <c r="H141" s="29">
        <f>IF(A141="","",IF(COUNTIF(A1_Etudiants!$B$3:$B$50000,A141)=0,"NOUVEAU","EXISTANT"))</f>
        <v/>
      </c>
    </row>
    <row r="142" ht="15" customHeight="1" s="22">
      <c r="A142" s="29" t="n"/>
      <c r="B142" s="29" t="n"/>
      <c r="C142" s="29" t="n"/>
      <c r="D142" s="29" t="n"/>
      <c r="E142" s="29" t="n"/>
      <c r="F142" s="29" t="n"/>
      <c r="G142" s="29" t="n"/>
      <c r="H142" s="29">
        <f>IF(A142="","",IF(COUNTIF(A1_Etudiants!$B$3:$B$50000,A142)=0,"NOUVEAU","EXISTANT"))</f>
        <v/>
      </c>
    </row>
    <row r="143" ht="15" customHeight="1" s="22">
      <c r="A143" s="29" t="n"/>
      <c r="B143" s="29" t="n"/>
      <c r="C143" s="29" t="n"/>
      <c r="D143" s="29" t="n"/>
      <c r="E143" s="29" t="n"/>
      <c r="F143" s="29" t="n"/>
      <c r="G143" s="29" t="n"/>
      <c r="H143" s="29">
        <f>IF(A143="","",IF(COUNTIF(A1_Etudiants!$B$3:$B$50000,A143)=0,"NOUVEAU","EXISTANT"))</f>
        <v/>
      </c>
    </row>
    <row r="144" ht="15" customHeight="1" s="22">
      <c r="A144" s="29" t="n"/>
      <c r="B144" s="29" t="n"/>
      <c r="C144" s="29" t="n"/>
      <c r="D144" s="29" t="n"/>
      <c r="E144" s="29" t="n"/>
      <c r="F144" s="29" t="n"/>
      <c r="G144" s="29" t="n"/>
      <c r="H144" s="29">
        <f>IF(A144="","",IF(COUNTIF(A1_Etudiants!$B$3:$B$50000,A144)=0,"NOUVEAU","EXISTANT"))</f>
        <v/>
      </c>
    </row>
    <row r="145" ht="15" customHeight="1" s="22">
      <c r="A145" s="29" t="n"/>
      <c r="B145" s="29" t="n"/>
      <c r="C145" s="29" t="n"/>
      <c r="D145" s="29" t="n"/>
      <c r="E145" s="29" t="n"/>
      <c r="F145" s="29" t="n"/>
      <c r="G145" s="29" t="n"/>
      <c r="H145" s="29">
        <f>IF(A145="","",IF(COUNTIF(A1_Etudiants!$B$3:$B$50000,A145)=0,"NOUVEAU","EXISTANT"))</f>
        <v/>
      </c>
    </row>
    <row r="146" ht="15" customHeight="1" s="22">
      <c r="A146" s="29" t="n"/>
      <c r="B146" s="29" t="n"/>
      <c r="C146" s="29" t="n"/>
      <c r="D146" s="29" t="n"/>
      <c r="E146" s="29" t="n"/>
      <c r="F146" s="29" t="n"/>
      <c r="G146" s="29" t="n"/>
      <c r="H146" s="29">
        <f>IF(A146="","",IF(COUNTIF(A1_Etudiants!$B$3:$B$50000,A146)=0,"NOUVEAU","EXISTANT"))</f>
        <v/>
      </c>
    </row>
    <row r="147" ht="15" customHeight="1" s="22">
      <c r="A147" s="29" t="n"/>
      <c r="B147" s="29" t="n"/>
      <c r="C147" s="29" t="n"/>
      <c r="D147" s="29" t="n"/>
      <c r="E147" s="29" t="n"/>
      <c r="F147" s="29" t="n"/>
      <c r="G147" s="29" t="n"/>
      <c r="H147" s="29">
        <f>IF(A147="","",IF(COUNTIF(A1_Etudiants!$B$3:$B$50000,A147)=0,"NOUVEAU","EXISTANT"))</f>
        <v/>
      </c>
    </row>
    <row r="148" ht="15" customHeight="1" s="22">
      <c r="A148" s="29" t="n"/>
      <c r="B148" s="29" t="n"/>
      <c r="C148" s="29" t="n"/>
      <c r="D148" s="29" t="n"/>
      <c r="E148" s="29" t="n"/>
      <c r="F148" s="29" t="n"/>
      <c r="G148" s="29" t="n"/>
      <c r="H148" s="29">
        <f>IF(A148="","",IF(COUNTIF(A1_Etudiants!$B$3:$B$50000,A148)=0,"NOUVEAU","EXISTANT"))</f>
        <v/>
      </c>
    </row>
    <row r="149" ht="15" customHeight="1" s="22">
      <c r="A149" s="29" t="n"/>
      <c r="B149" s="29" t="n"/>
      <c r="C149" s="29" t="n"/>
      <c r="D149" s="29" t="n"/>
      <c r="E149" s="29" t="n"/>
      <c r="F149" s="29" t="n"/>
      <c r="G149" s="29" t="n"/>
      <c r="H149" s="29">
        <f>IF(A149="","",IF(COUNTIF(A1_Etudiants!$B$3:$B$50000,A149)=0,"NOUVEAU","EXISTANT"))</f>
        <v/>
      </c>
    </row>
    <row r="150" ht="15" customHeight="1" s="22">
      <c r="A150" s="29" t="n"/>
      <c r="B150" s="29" t="n"/>
      <c r="C150" s="29" t="n"/>
      <c r="D150" s="29" t="n"/>
      <c r="E150" s="29" t="n"/>
      <c r="F150" s="29" t="n"/>
      <c r="G150" s="29" t="n"/>
      <c r="H150" s="29">
        <f>IF(A150="","",IF(COUNTIF(A1_Etudiants!$B$3:$B$50000,A150)=0,"NOUVEAU","EXISTANT"))</f>
        <v/>
      </c>
    </row>
    <row r="151" ht="15" customHeight="1" s="22">
      <c r="A151" s="29" t="n"/>
      <c r="B151" s="29" t="n"/>
      <c r="C151" s="29" t="n"/>
      <c r="D151" s="29" t="n"/>
      <c r="E151" s="29" t="n"/>
      <c r="F151" s="29" t="n"/>
      <c r="G151" s="29" t="n"/>
      <c r="H151" s="29">
        <f>IF(A151="","",IF(COUNTIF(A1_Etudiants!$B$3:$B$50000,A151)=0,"NOUVEAU","EXISTANT"))</f>
        <v/>
      </c>
    </row>
    <row r="152" ht="15" customHeight="1" s="22">
      <c r="A152" s="29" t="n"/>
      <c r="B152" s="29" t="n"/>
      <c r="C152" s="29" t="n"/>
      <c r="D152" s="29" t="n"/>
      <c r="E152" s="29" t="n"/>
      <c r="F152" s="29" t="n"/>
      <c r="G152" s="29" t="n"/>
      <c r="H152" s="29">
        <f>IF(A152="","",IF(COUNTIF(A1_Etudiants!$B$3:$B$50000,A152)=0,"NOUVEAU","EXISTANT"))</f>
        <v/>
      </c>
    </row>
    <row r="153" ht="15" customHeight="1" s="22">
      <c r="A153" s="29" t="n"/>
      <c r="B153" s="29" t="n"/>
      <c r="C153" s="29" t="n"/>
      <c r="D153" s="29" t="n"/>
      <c r="E153" s="29" t="n"/>
      <c r="F153" s="29" t="n"/>
      <c r="G153" s="29" t="n"/>
      <c r="H153" s="29">
        <f>IF(A153="","",IF(COUNTIF(A1_Etudiants!$B$3:$B$50000,A153)=0,"NOUVEAU","EXISTANT"))</f>
        <v/>
      </c>
    </row>
    <row r="154" ht="15" customHeight="1" s="22">
      <c r="A154" s="29" t="n"/>
      <c r="B154" s="29" t="n"/>
      <c r="C154" s="29" t="n"/>
      <c r="D154" s="29" t="n"/>
      <c r="E154" s="29" t="n"/>
      <c r="F154" s="29" t="n"/>
      <c r="G154" s="29" t="n"/>
      <c r="H154" s="29">
        <f>IF(A154="","",IF(COUNTIF(A1_Etudiants!$B$3:$B$50000,A154)=0,"NOUVEAU","EXISTANT"))</f>
        <v/>
      </c>
    </row>
    <row r="155" ht="15" customHeight="1" s="22">
      <c r="A155" s="29" t="n"/>
      <c r="B155" s="29" t="n"/>
      <c r="C155" s="29" t="n"/>
      <c r="D155" s="29" t="n"/>
      <c r="E155" s="29" t="n"/>
      <c r="F155" s="29" t="n"/>
      <c r="G155" s="29" t="n"/>
      <c r="H155" s="29">
        <f>IF(A155="","",IF(COUNTIF(A1_Etudiants!$B$3:$B$50000,A155)=0,"NOUVEAU","EXISTANT"))</f>
        <v/>
      </c>
    </row>
    <row r="156" ht="15" customHeight="1" s="22">
      <c r="A156" s="29" t="n"/>
      <c r="B156" s="29" t="n"/>
      <c r="C156" s="29" t="n"/>
      <c r="D156" s="29" t="n"/>
      <c r="E156" s="29" t="n"/>
      <c r="F156" s="29" t="n"/>
      <c r="G156" s="29" t="n"/>
      <c r="H156" s="29">
        <f>IF(A156="","",IF(COUNTIF(A1_Etudiants!$B$3:$B$50000,A156)=0,"NOUVEAU","EXISTANT"))</f>
        <v/>
      </c>
    </row>
    <row r="157" ht="15" customHeight="1" s="22">
      <c r="A157" s="29" t="n"/>
      <c r="B157" s="29" t="n"/>
      <c r="C157" s="29" t="n"/>
      <c r="D157" s="29" t="n"/>
      <c r="E157" s="29" t="n"/>
      <c r="F157" s="29" t="n"/>
      <c r="G157" s="29" t="n"/>
      <c r="H157" s="29">
        <f>IF(A157="","",IF(COUNTIF(A1_Etudiants!$B$3:$B$50000,A157)=0,"NOUVEAU","EXISTANT"))</f>
        <v/>
      </c>
    </row>
    <row r="158" ht="15" customHeight="1" s="22">
      <c r="A158" s="29" t="n"/>
      <c r="B158" s="29" t="n"/>
      <c r="C158" s="29" t="n"/>
      <c r="D158" s="29" t="n"/>
      <c r="E158" s="29" t="n"/>
      <c r="F158" s="29" t="n"/>
      <c r="G158" s="29" t="n"/>
      <c r="H158" s="29">
        <f>IF(A158="","",IF(COUNTIF(A1_Etudiants!$B$3:$B$50000,A158)=0,"NOUVEAU","EXISTANT"))</f>
        <v/>
      </c>
    </row>
    <row r="159" ht="15" customHeight="1" s="22">
      <c r="A159" s="29" t="n"/>
      <c r="B159" s="29" t="n"/>
      <c r="C159" s="29" t="n"/>
      <c r="D159" s="29" t="n"/>
      <c r="E159" s="29" t="n"/>
      <c r="F159" s="29" t="n"/>
      <c r="G159" s="29" t="n"/>
      <c r="H159" s="29">
        <f>IF(A159="","",IF(COUNTIF(A1_Etudiants!$B$3:$B$50000,A159)=0,"NOUVEAU","EXISTANT"))</f>
        <v/>
      </c>
    </row>
    <row r="160" ht="15" customHeight="1" s="22">
      <c r="A160" s="29" t="n"/>
      <c r="B160" s="29" t="n"/>
      <c r="C160" s="29" t="n"/>
      <c r="D160" s="29" t="n"/>
      <c r="E160" s="29" t="n"/>
      <c r="F160" s="29" t="n"/>
      <c r="G160" s="29" t="n"/>
      <c r="H160" s="29">
        <f>IF(A160="","",IF(COUNTIF(A1_Etudiants!$B$3:$B$50000,A160)=0,"NOUVEAU","EXISTANT"))</f>
        <v/>
      </c>
    </row>
    <row r="161" ht="15" customHeight="1" s="22">
      <c r="A161" s="29" t="n"/>
      <c r="B161" s="29" t="n"/>
      <c r="C161" s="29" t="n"/>
      <c r="D161" s="29" t="n"/>
      <c r="E161" s="29" t="n"/>
      <c r="F161" s="29" t="n"/>
      <c r="G161" s="29" t="n"/>
      <c r="H161" s="29">
        <f>IF(A161="","",IF(COUNTIF(A1_Etudiants!$B$3:$B$50000,A161)=0,"NOUVEAU","EXISTANT"))</f>
        <v/>
      </c>
    </row>
    <row r="162" ht="15" customHeight="1" s="22">
      <c r="A162" s="29" t="n"/>
      <c r="B162" s="29" t="n"/>
      <c r="C162" s="29" t="n"/>
      <c r="D162" s="29" t="n"/>
      <c r="E162" s="29" t="n"/>
      <c r="F162" s="29" t="n"/>
      <c r="G162" s="29" t="n"/>
      <c r="H162" s="29">
        <f>IF(A162="","",IF(COUNTIF(A1_Etudiants!$B$3:$B$50000,A162)=0,"NOUVEAU","EXISTANT"))</f>
        <v/>
      </c>
    </row>
    <row r="163" ht="15" customHeight="1" s="22">
      <c r="A163" s="29" t="n"/>
      <c r="B163" s="29" t="n"/>
      <c r="C163" s="29" t="n"/>
      <c r="D163" s="29" t="n"/>
      <c r="E163" s="29" t="n"/>
      <c r="F163" s="29" t="n"/>
      <c r="G163" s="29" t="n"/>
      <c r="H163" s="29">
        <f>IF(A163="","",IF(COUNTIF(A1_Etudiants!$B$3:$B$50000,A163)=0,"NOUVEAU","EXISTANT"))</f>
        <v/>
      </c>
    </row>
    <row r="164" ht="15" customHeight="1" s="22">
      <c r="A164" s="29" t="n"/>
      <c r="B164" s="29" t="n"/>
      <c r="C164" s="29" t="n"/>
      <c r="D164" s="29" t="n"/>
      <c r="E164" s="29" t="n"/>
      <c r="F164" s="29" t="n"/>
      <c r="G164" s="29" t="n"/>
      <c r="H164" s="29">
        <f>IF(A164="","",IF(COUNTIF(A1_Etudiants!$B$3:$B$50000,A164)=0,"NOUVEAU","EXISTANT"))</f>
        <v/>
      </c>
    </row>
    <row r="165" ht="15" customHeight="1" s="22">
      <c r="A165" s="29" t="n"/>
      <c r="B165" s="29" t="n"/>
      <c r="C165" s="29" t="n"/>
      <c r="D165" s="29" t="n"/>
      <c r="E165" s="29" t="n"/>
      <c r="F165" s="29" t="n"/>
      <c r="G165" s="29" t="n"/>
      <c r="H165" s="29">
        <f>IF(A165="","",IF(COUNTIF(A1_Etudiants!$B$3:$B$50000,A165)=0,"NOUVEAU","EXISTANT"))</f>
        <v/>
      </c>
    </row>
    <row r="166" ht="15" customHeight="1" s="22">
      <c r="A166" s="29" t="n"/>
      <c r="B166" s="29" t="n"/>
      <c r="C166" s="29" t="n"/>
      <c r="D166" s="29" t="n"/>
      <c r="E166" s="29" t="n"/>
      <c r="F166" s="29" t="n"/>
      <c r="G166" s="29" t="n"/>
      <c r="H166" s="29">
        <f>IF(A166="","",IF(COUNTIF(A1_Etudiants!$B$3:$B$50000,A166)=0,"NOUVEAU","EXISTANT"))</f>
        <v/>
      </c>
    </row>
    <row r="167" ht="15" customHeight="1" s="22">
      <c r="A167" s="29" t="n"/>
      <c r="B167" s="29" t="n"/>
      <c r="C167" s="29" t="n"/>
      <c r="D167" s="29" t="n"/>
      <c r="E167" s="29" t="n"/>
      <c r="F167" s="29" t="n"/>
      <c r="G167" s="29" t="n"/>
      <c r="H167" s="29">
        <f>IF(A167="","",IF(COUNTIF(A1_Etudiants!$B$3:$B$50000,A167)=0,"NOUVEAU","EXISTANT"))</f>
        <v/>
      </c>
    </row>
    <row r="168" ht="15" customHeight="1" s="22">
      <c r="A168" s="29" t="n"/>
      <c r="B168" s="29" t="n"/>
      <c r="C168" s="29" t="n"/>
      <c r="D168" s="29" t="n"/>
      <c r="E168" s="29" t="n"/>
      <c r="F168" s="29" t="n"/>
      <c r="G168" s="29" t="n"/>
      <c r="H168" s="29">
        <f>IF(A168="","",IF(COUNTIF(A1_Etudiants!$B$3:$B$50000,A168)=0,"NOUVEAU","EXISTANT"))</f>
        <v/>
      </c>
    </row>
    <row r="169" ht="15" customHeight="1" s="22">
      <c r="A169" s="29" t="n"/>
      <c r="B169" s="29" t="n"/>
      <c r="C169" s="29" t="n"/>
      <c r="D169" s="29" t="n"/>
      <c r="E169" s="29" t="n"/>
      <c r="F169" s="29" t="n"/>
      <c r="G169" s="29" t="n"/>
      <c r="H169" s="29">
        <f>IF(A169="","",IF(COUNTIF(A1_Etudiants!$B$3:$B$50000,A169)=0,"NOUVEAU","EXISTANT"))</f>
        <v/>
      </c>
    </row>
    <row r="170" ht="15" customHeight="1" s="22">
      <c r="A170" s="29" t="n"/>
      <c r="B170" s="29" t="n"/>
      <c r="C170" s="29" t="n"/>
      <c r="D170" s="29" t="n"/>
      <c r="E170" s="29" t="n"/>
      <c r="F170" s="29" t="n"/>
      <c r="G170" s="29" t="n"/>
      <c r="H170" s="29">
        <f>IF(A170="","",IF(COUNTIF(A1_Etudiants!$B$3:$B$50000,A170)=0,"NOUVEAU","EXISTANT"))</f>
        <v/>
      </c>
    </row>
    <row r="171" ht="15" customHeight="1" s="22">
      <c r="A171" s="29" t="n"/>
      <c r="B171" s="29" t="n"/>
      <c r="C171" s="29" t="n"/>
      <c r="D171" s="29" t="n"/>
      <c r="E171" s="29" t="n"/>
      <c r="F171" s="29" t="n"/>
      <c r="G171" s="29" t="n"/>
      <c r="H171" s="29">
        <f>IF(A171="","",IF(COUNTIF(A1_Etudiants!$B$3:$B$50000,A171)=0,"NOUVEAU","EXISTANT"))</f>
        <v/>
      </c>
    </row>
    <row r="172" ht="15" customHeight="1" s="22">
      <c r="A172" s="29" t="n"/>
      <c r="B172" s="29" t="n"/>
      <c r="C172" s="29" t="n"/>
      <c r="D172" s="29" t="n"/>
      <c r="E172" s="29" t="n"/>
      <c r="F172" s="29" t="n"/>
      <c r="G172" s="29" t="n"/>
      <c r="H172" s="29">
        <f>IF(A172="","",IF(COUNTIF(A1_Etudiants!$B$3:$B$50000,A172)=0,"NOUVEAU","EXISTANT"))</f>
        <v/>
      </c>
    </row>
    <row r="173" ht="15" customHeight="1" s="22">
      <c r="A173" s="29" t="n"/>
      <c r="B173" s="29" t="n"/>
      <c r="C173" s="29" t="n"/>
      <c r="D173" s="29" t="n"/>
      <c r="E173" s="29" t="n"/>
      <c r="F173" s="29" t="n"/>
      <c r="G173" s="29" t="n"/>
      <c r="H173" s="29">
        <f>IF(A173="","",IF(COUNTIF(A1_Etudiants!$B$3:$B$50000,A173)=0,"NOUVEAU","EXISTANT"))</f>
        <v/>
      </c>
    </row>
    <row r="174" ht="15" customHeight="1" s="22">
      <c r="A174" s="29" t="n"/>
      <c r="B174" s="29" t="n"/>
      <c r="C174" s="29" t="n"/>
      <c r="D174" s="29" t="n"/>
      <c r="E174" s="29" t="n"/>
      <c r="F174" s="29" t="n"/>
      <c r="G174" s="29" t="n"/>
      <c r="H174" s="29">
        <f>IF(A174="","",IF(COUNTIF(A1_Etudiants!$B$3:$B$50000,A174)=0,"NOUVEAU","EXISTANT"))</f>
        <v/>
      </c>
    </row>
    <row r="175" ht="15" customHeight="1" s="22">
      <c r="A175" s="29" t="n"/>
      <c r="B175" s="29" t="n"/>
      <c r="C175" s="29" t="n"/>
      <c r="D175" s="29" t="n"/>
      <c r="E175" s="29" t="n"/>
      <c r="F175" s="29" t="n"/>
      <c r="G175" s="29" t="n"/>
      <c r="H175" s="29">
        <f>IF(A175="","",IF(COUNTIF(A1_Etudiants!$B$3:$B$50000,A175)=0,"NOUVEAU","EXISTANT"))</f>
        <v/>
      </c>
    </row>
    <row r="176" ht="15" customHeight="1" s="22">
      <c r="A176" s="29" t="n"/>
      <c r="B176" s="29" t="n"/>
      <c r="C176" s="29" t="n"/>
      <c r="D176" s="29" t="n"/>
      <c r="E176" s="29" t="n"/>
      <c r="F176" s="29" t="n"/>
      <c r="G176" s="29" t="n"/>
      <c r="H176" s="29">
        <f>IF(A176="","",IF(COUNTIF(A1_Etudiants!$B$3:$B$50000,A176)=0,"NOUVEAU","EXISTANT"))</f>
        <v/>
      </c>
    </row>
    <row r="177" ht="15" customHeight="1" s="22">
      <c r="A177" s="29" t="n"/>
      <c r="B177" s="29" t="n"/>
      <c r="C177" s="29" t="n"/>
      <c r="D177" s="29" t="n"/>
      <c r="E177" s="29" t="n"/>
      <c r="F177" s="29" t="n"/>
      <c r="G177" s="29" t="n"/>
      <c r="H177" s="29">
        <f>IF(A177="","",IF(COUNTIF(A1_Etudiants!$B$3:$B$50000,A177)=0,"NOUVEAU","EXISTANT"))</f>
        <v/>
      </c>
    </row>
    <row r="178" ht="15" customHeight="1" s="22">
      <c r="A178" s="29" t="n"/>
      <c r="B178" s="29" t="n"/>
      <c r="C178" s="29" t="n"/>
      <c r="D178" s="29" t="n"/>
      <c r="E178" s="29" t="n"/>
      <c r="F178" s="29" t="n"/>
      <c r="G178" s="29" t="n"/>
      <c r="H178" s="29">
        <f>IF(A178="","",IF(COUNTIF(A1_Etudiants!$B$3:$B$50000,A178)=0,"NOUVEAU","EXISTANT"))</f>
        <v/>
      </c>
    </row>
    <row r="179" ht="15" customHeight="1" s="22">
      <c r="A179" s="29" t="n"/>
      <c r="B179" s="29" t="n"/>
      <c r="C179" s="29" t="n"/>
      <c r="D179" s="29" t="n"/>
      <c r="E179" s="29" t="n"/>
      <c r="F179" s="29" t="n"/>
      <c r="G179" s="29" t="n"/>
      <c r="H179" s="29">
        <f>IF(A179="","",IF(COUNTIF(A1_Etudiants!$B$3:$B$50000,A179)=0,"NOUVEAU","EXISTANT"))</f>
        <v/>
      </c>
    </row>
    <row r="180" ht="15" customHeight="1" s="22">
      <c r="A180" s="29" t="n"/>
      <c r="B180" s="29" t="n"/>
      <c r="C180" s="29" t="n"/>
      <c r="D180" s="29" t="n"/>
      <c r="E180" s="29" t="n"/>
      <c r="F180" s="29" t="n"/>
      <c r="G180" s="29" t="n"/>
      <c r="H180" s="29">
        <f>IF(A180="","",IF(COUNTIF(A1_Etudiants!$B$3:$B$50000,A180)=0,"NOUVEAU","EXISTANT"))</f>
        <v/>
      </c>
    </row>
    <row r="181" ht="15" customHeight="1" s="22">
      <c r="A181" s="29" t="n"/>
      <c r="B181" s="29" t="n"/>
      <c r="C181" s="29" t="n"/>
      <c r="D181" s="29" t="n"/>
      <c r="E181" s="29" t="n"/>
      <c r="F181" s="29" t="n"/>
      <c r="G181" s="29" t="n"/>
      <c r="H181" s="29">
        <f>IF(A181="","",IF(COUNTIF(A1_Etudiants!$B$3:$B$50000,A181)=0,"NOUVEAU","EXISTANT"))</f>
        <v/>
      </c>
    </row>
    <row r="182" ht="15" customHeight="1" s="22">
      <c r="A182" s="29" t="n"/>
      <c r="B182" s="29" t="n"/>
      <c r="C182" s="29" t="n"/>
      <c r="D182" s="29" t="n"/>
      <c r="E182" s="29" t="n"/>
      <c r="F182" s="29" t="n"/>
      <c r="G182" s="29" t="n"/>
      <c r="H182" s="29">
        <f>IF(A182="","",IF(COUNTIF(A1_Etudiants!$B$3:$B$50000,A182)=0,"NOUVEAU","EXISTANT"))</f>
        <v/>
      </c>
    </row>
    <row r="183" ht="15" customHeight="1" s="22">
      <c r="A183" s="29" t="n"/>
      <c r="B183" s="29" t="n"/>
      <c r="C183" s="29" t="n"/>
      <c r="D183" s="29" t="n"/>
      <c r="E183" s="29" t="n"/>
      <c r="F183" s="29" t="n"/>
      <c r="G183" s="29" t="n"/>
      <c r="H183" s="29">
        <f>IF(A183="","",IF(COUNTIF(A1_Etudiants!$B$3:$B$50000,A183)=0,"NOUVEAU","EXISTANT"))</f>
        <v/>
      </c>
    </row>
    <row r="184" ht="15" customHeight="1" s="22">
      <c r="A184" s="29" t="n"/>
      <c r="B184" s="29" t="n"/>
      <c r="C184" s="29" t="n"/>
      <c r="D184" s="29" t="n"/>
      <c r="E184" s="29" t="n"/>
      <c r="F184" s="29" t="n"/>
      <c r="G184" s="29" t="n"/>
      <c r="H184" s="29">
        <f>IF(A184="","",IF(COUNTIF(A1_Etudiants!$B$3:$B$50000,A184)=0,"NOUVEAU","EXISTANT"))</f>
        <v/>
      </c>
    </row>
    <row r="185" ht="15" customHeight="1" s="22">
      <c r="A185" s="29" t="n"/>
      <c r="B185" s="29" t="n"/>
      <c r="C185" s="29" t="n"/>
      <c r="D185" s="29" t="n"/>
      <c r="E185" s="29" t="n"/>
      <c r="F185" s="29" t="n"/>
      <c r="G185" s="29" t="n"/>
      <c r="H185" s="29">
        <f>IF(A185="","",IF(COUNTIF(A1_Etudiants!$B$3:$B$50000,A185)=0,"NOUVEAU","EXISTANT"))</f>
        <v/>
      </c>
    </row>
    <row r="186" ht="15" customHeight="1" s="22">
      <c r="A186" s="29" t="n"/>
      <c r="B186" s="29" t="n"/>
      <c r="C186" s="29" t="n"/>
      <c r="D186" s="29" t="n"/>
      <c r="E186" s="29" t="n"/>
      <c r="F186" s="29" t="n"/>
      <c r="G186" s="29" t="n"/>
      <c r="H186" s="29">
        <f>IF(A186="","",IF(COUNTIF(A1_Etudiants!$B$3:$B$50000,A186)=0,"NOUVEAU","EXISTANT"))</f>
        <v/>
      </c>
    </row>
    <row r="187" ht="15" customHeight="1" s="22">
      <c r="A187" s="29" t="n"/>
      <c r="B187" s="29" t="n"/>
      <c r="C187" s="29" t="n"/>
      <c r="D187" s="29" t="n"/>
      <c r="E187" s="29" t="n"/>
      <c r="F187" s="29" t="n"/>
      <c r="G187" s="29" t="n"/>
      <c r="H187" s="29">
        <f>IF(A187="","",IF(COUNTIF(A1_Etudiants!$B$3:$B$50000,A187)=0,"NOUVEAU","EXISTANT"))</f>
        <v/>
      </c>
    </row>
    <row r="188" ht="15" customHeight="1" s="22">
      <c r="A188" s="29" t="n"/>
      <c r="B188" s="29" t="n"/>
      <c r="C188" s="29" t="n"/>
      <c r="D188" s="29" t="n"/>
      <c r="E188" s="29" t="n"/>
      <c r="F188" s="29" t="n"/>
      <c r="G188" s="29" t="n"/>
      <c r="H188" s="29">
        <f>IF(A188="","",IF(COUNTIF(A1_Etudiants!$B$3:$B$50000,A188)=0,"NOUVEAU","EXISTANT"))</f>
        <v/>
      </c>
    </row>
    <row r="189" ht="15" customHeight="1" s="22">
      <c r="A189" s="29" t="n"/>
      <c r="B189" s="29" t="n"/>
      <c r="C189" s="29" t="n"/>
      <c r="D189" s="29" t="n"/>
      <c r="E189" s="29" t="n"/>
      <c r="F189" s="29" t="n"/>
      <c r="G189" s="29" t="n"/>
      <c r="H189" s="29">
        <f>IF(A189="","",IF(COUNTIF(A1_Etudiants!$B$3:$B$50000,A189)=0,"NOUVEAU","EXISTANT"))</f>
        <v/>
      </c>
    </row>
    <row r="190" ht="15" customHeight="1" s="22">
      <c r="A190" s="29" t="n"/>
      <c r="B190" s="29" t="n"/>
      <c r="C190" s="29" t="n"/>
      <c r="D190" s="29" t="n"/>
      <c r="E190" s="29" t="n"/>
      <c r="F190" s="29" t="n"/>
      <c r="G190" s="29" t="n"/>
      <c r="H190" s="29">
        <f>IF(A190="","",IF(COUNTIF(A1_Etudiants!$B$3:$B$50000,A190)=0,"NOUVEAU","EXISTANT"))</f>
        <v/>
      </c>
    </row>
    <row r="191" ht="15" customHeight="1" s="22">
      <c r="A191" s="29" t="n"/>
      <c r="B191" s="29" t="n"/>
      <c r="C191" s="29" t="n"/>
      <c r="D191" s="29" t="n"/>
      <c r="E191" s="29" t="n"/>
      <c r="F191" s="29" t="n"/>
      <c r="G191" s="29" t="n"/>
      <c r="H191" s="29">
        <f>IF(A191="","",IF(COUNTIF(A1_Etudiants!$B$3:$B$50000,A191)=0,"NOUVEAU","EXISTANT"))</f>
        <v/>
      </c>
    </row>
    <row r="192" ht="15" customHeight="1" s="22">
      <c r="A192" s="29" t="n"/>
      <c r="B192" s="29" t="n"/>
      <c r="C192" s="29" t="n"/>
      <c r="D192" s="29" t="n"/>
      <c r="E192" s="29" t="n"/>
      <c r="F192" s="29" t="n"/>
      <c r="G192" s="29" t="n"/>
      <c r="H192" s="29">
        <f>IF(A192="","",IF(COUNTIF(A1_Etudiants!$B$3:$B$50000,A192)=0,"NOUVEAU","EXISTANT"))</f>
        <v/>
      </c>
    </row>
    <row r="193" ht="15" customHeight="1" s="22">
      <c r="A193" s="29" t="n"/>
      <c r="B193" s="29" t="n"/>
      <c r="C193" s="29" t="n"/>
      <c r="D193" s="29" t="n"/>
      <c r="E193" s="29" t="n"/>
      <c r="F193" s="29" t="n"/>
      <c r="G193" s="29" t="n"/>
      <c r="H193" s="29">
        <f>IF(A193="","",IF(COUNTIF(A1_Etudiants!$B$3:$B$50000,A193)=0,"NOUVEAU","EXISTANT"))</f>
        <v/>
      </c>
    </row>
    <row r="194" ht="15" customHeight="1" s="22">
      <c r="A194" s="29" t="n"/>
      <c r="B194" s="29" t="n"/>
      <c r="C194" s="29" t="n"/>
      <c r="D194" s="29" t="n"/>
      <c r="E194" s="29" t="n"/>
      <c r="F194" s="29" t="n"/>
      <c r="G194" s="29" t="n"/>
      <c r="H194" s="29">
        <f>IF(A194="","",IF(COUNTIF(A1_Etudiants!$B$3:$B$50000,A194)=0,"NOUVEAU","EXISTANT"))</f>
        <v/>
      </c>
    </row>
    <row r="195" ht="15" customHeight="1" s="22">
      <c r="A195" s="29" t="n"/>
      <c r="B195" s="29" t="n"/>
      <c r="C195" s="29" t="n"/>
      <c r="D195" s="29" t="n"/>
      <c r="E195" s="29" t="n"/>
      <c r="F195" s="29" t="n"/>
      <c r="G195" s="29" t="n"/>
      <c r="H195" s="29">
        <f>IF(A195="","",IF(COUNTIF(A1_Etudiants!$B$3:$B$50000,A195)=0,"NOUVEAU","EXISTANT"))</f>
        <v/>
      </c>
    </row>
    <row r="196" ht="15" customHeight="1" s="22">
      <c r="A196" s="29" t="n"/>
      <c r="B196" s="29" t="n"/>
      <c r="C196" s="29" t="n"/>
      <c r="D196" s="29" t="n"/>
      <c r="E196" s="29" t="n"/>
      <c r="F196" s="29" t="n"/>
      <c r="G196" s="29" t="n"/>
      <c r="H196" s="29">
        <f>IF(A196="","",IF(COUNTIF(A1_Etudiants!$B$3:$B$50000,A196)=0,"NOUVEAU","EXISTANT"))</f>
        <v/>
      </c>
    </row>
    <row r="197" ht="15" customHeight="1" s="22">
      <c r="A197" s="29" t="n"/>
      <c r="B197" s="29" t="n"/>
      <c r="C197" s="29" t="n"/>
      <c r="D197" s="29" t="n"/>
      <c r="E197" s="29" t="n"/>
      <c r="F197" s="29" t="n"/>
      <c r="G197" s="29" t="n"/>
      <c r="H197" s="29">
        <f>IF(A197="","",IF(COUNTIF(A1_Etudiants!$B$3:$B$50000,A197)=0,"NOUVEAU","EXISTANT"))</f>
        <v/>
      </c>
    </row>
    <row r="198" ht="15" customHeight="1" s="22">
      <c r="A198" s="29" t="n"/>
      <c r="B198" s="29" t="n"/>
      <c r="C198" s="29" t="n"/>
      <c r="D198" s="29" t="n"/>
      <c r="E198" s="29" t="n"/>
      <c r="F198" s="29" t="n"/>
      <c r="G198" s="29" t="n"/>
      <c r="H198" s="29">
        <f>IF(A198="","",IF(COUNTIF(A1_Etudiants!$B$3:$B$50000,A198)=0,"NOUVEAU","EXISTANT"))</f>
        <v/>
      </c>
    </row>
    <row r="199" ht="15" customHeight="1" s="22">
      <c r="A199" s="29" t="n"/>
      <c r="B199" s="29" t="n"/>
      <c r="C199" s="29" t="n"/>
      <c r="D199" s="29" t="n"/>
      <c r="E199" s="29" t="n"/>
      <c r="F199" s="29" t="n"/>
      <c r="G199" s="29" t="n"/>
      <c r="H199" s="29">
        <f>IF(A199="","",IF(COUNTIF(A1_Etudiants!$B$3:$B$50000,A199)=0,"NOUVEAU","EXISTANT"))</f>
        <v/>
      </c>
    </row>
    <row r="200" ht="15" customHeight="1" s="22">
      <c r="A200" s="29" t="n"/>
      <c r="B200" s="29" t="n"/>
      <c r="C200" s="29" t="n"/>
      <c r="D200" s="29" t="n"/>
      <c r="E200" s="29" t="n"/>
      <c r="F200" s="29" t="n"/>
      <c r="G200" s="29" t="n"/>
      <c r="H200" s="29">
        <f>IF(A200="","",IF(COUNTIF(A1_Etudiants!$B$3:$B$50000,A200)=0,"NOUVEAU","EXISTANT"))</f>
        <v/>
      </c>
    </row>
    <row r="201" ht="15" customHeight="1" s="22">
      <c r="A201" s="29" t="n"/>
      <c r="B201" s="29" t="n"/>
      <c r="C201" s="29" t="n"/>
      <c r="D201" s="29" t="n"/>
      <c r="E201" s="29" t="n"/>
      <c r="F201" s="29" t="n"/>
      <c r="G201" s="29" t="n"/>
      <c r="H201" s="29">
        <f>IF(A201="","",IF(COUNTIF(A1_Etudiants!$B$3:$B$50000,A201)=0,"NOUVEAU","EXISTANT"))</f>
        <v/>
      </c>
    </row>
    <row r="202" ht="15" customHeight="1" s="22">
      <c r="A202" s="29" t="n"/>
      <c r="B202" s="29" t="n"/>
      <c r="C202" s="29" t="n"/>
      <c r="D202" s="29" t="n"/>
      <c r="E202" s="29" t="n"/>
      <c r="F202" s="29" t="n"/>
      <c r="G202" s="29" t="n"/>
      <c r="H202" s="29">
        <f>IF(A202="","",IF(COUNTIF(A1_Etudiants!$B$3:$B$50000,A202)=0,"NOUVEAU","EXISTANT"))</f>
        <v/>
      </c>
    </row>
    <row r="203" ht="15" customHeight="1" s="22">
      <c r="A203" s="29" t="n"/>
      <c r="B203" s="29" t="n"/>
      <c r="C203" s="29" t="n"/>
      <c r="D203" s="29" t="n"/>
      <c r="E203" s="29" t="n"/>
      <c r="F203" s="29" t="n"/>
      <c r="G203" s="29" t="n"/>
      <c r="H203" s="29">
        <f>IF(A203="","",IF(COUNTIF(A1_Etudiants!$B$3:$B$50000,A203)=0,"NOUVEAU","EXISTANT"))</f>
        <v/>
      </c>
    </row>
    <row r="204" ht="15" customHeight="1" s="22">
      <c r="A204" s="29" t="n"/>
      <c r="B204" s="29" t="n"/>
      <c r="C204" s="29" t="n"/>
      <c r="D204" s="29" t="n"/>
      <c r="E204" s="29" t="n"/>
      <c r="F204" s="29" t="n"/>
      <c r="G204" s="29" t="n"/>
      <c r="H204" s="29">
        <f>IF(A204="","",IF(COUNTIF(A1_Etudiants!$B$3:$B$50000,A204)=0,"NOUVEAU","EXISTANT"))</f>
        <v/>
      </c>
    </row>
    <row r="205" ht="15" customHeight="1" s="22">
      <c r="A205" s="29" t="n"/>
      <c r="B205" s="29" t="n"/>
      <c r="C205" s="29" t="n"/>
      <c r="D205" s="29" t="n"/>
      <c r="E205" s="29" t="n"/>
      <c r="F205" s="29" t="n"/>
      <c r="G205" s="29" t="n"/>
      <c r="H205" s="29">
        <f>IF(A205="","",IF(COUNTIF(A1_Etudiants!$B$3:$B$50000,A205)=0,"NOUVEAU","EXISTANT"))</f>
        <v/>
      </c>
    </row>
    <row r="206" ht="15" customHeight="1" s="22">
      <c r="A206" s="29" t="n"/>
      <c r="B206" s="29" t="n"/>
      <c r="C206" s="29" t="n"/>
      <c r="D206" s="29" t="n"/>
      <c r="E206" s="29" t="n"/>
      <c r="F206" s="29" t="n"/>
      <c r="G206" s="29" t="n"/>
      <c r="H206" s="29">
        <f>IF(A206="","",IF(COUNTIF(A1_Etudiants!$B$3:$B$50000,A206)=0,"NOUVEAU","EXISTANT"))</f>
        <v/>
      </c>
    </row>
    <row r="207" ht="15" customHeight="1" s="22">
      <c r="A207" s="29" t="n"/>
      <c r="B207" s="29" t="n"/>
      <c r="C207" s="29" t="n"/>
      <c r="D207" s="29" t="n"/>
      <c r="E207" s="29" t="n"/>
      <c r="F207" s="29" t="n"/>
      <c r="G207" s="29" t="n"/>
      <c r="H207" s="29">
        <f>IF(A207="","",IF(COUNTIF(A1_Etudiants!$B$3:$B$50000,A207)=0,"NOUVEAU","EXISTANT"))</f>
        <v/>
      </c>
    </row>
    <row r="208" ht="15" customHeight="1" s="22">
      <c r="A208" s="29" t="n"/>
      <c r="B208" s="29" t="n"/>
      <c r="C208" s="29" t="n"/>
      <c r="D208" s="29" t="n"/>
      <c r="E208" s="29" t="n"/>
      <c r="F208" s="29" t="n"/>
      <c r="G208" s="29" t="n"/>
      <c r="H208" s="29">
        <f>IF(A208="","",IF(COUNTIF(A1_Etudiants!$B$3:$B$50000,A208)=0,"NOUVEAU","EXISTANT"))</f>
        <v/>
      </c>
    </row>
    <row r="209" ht="15" customHeight="1" s="22">
      <c r="A209" s="29" t="n"/>
      <c r="B209" s="29" t="n"/>
      <c r="C209" s="29" t="n"/>
      <c r="D209" s="29" t="n"/>
      <c r="E209" s="29" t="n"/>
      <c r="F209" s="29" t="n"/>
      <c r="G209" s="29" t="n"/>
      <c r="H209" s="29">
        <f>IF(A209="","",IF(COUNTIF(A1_Etudiants!$B$3:$B$50000,A209)=0,"NOUVEAU","EXISTANT"))</f>
        <v/>
      </c>
    </row>
    <row r="210" ht="15" customHeight="1" s="22">
      <c r="A210" s="29" t="n"/>
      <c r="B210" s="29" t="n"/>
      <c r="C210" s="29" t="n"/>
      <c r="D210" s="29" t="n"/>
      <c r="E210" s="29" t="n"/>
      <c r="F210" s="29" t="n"/>
      <c r="G210" s="29" t="n"/>
      <c r="H210" s="29">
        <f>IF(A210="","",IF(COUNTIF(A1_Etudiants!$B$3:$B$50000,A210)=0,"NOUVEAU","EXISTANT"))</f>
        <v/>
      </c>
    </row>
    <row r="211" ht="15" customHeight="1" s="22">
      <c r="A211" s="29" t="n"/>
      <c r="B211" s="29" t="n"/>
      <c r="C211" s="29" t="n"/>
      <c r="D211" s="29" t="n"/>
      <c r="E211" s="29" t="n"/>
      <c r="F211" s="29" t="n"/>
      <c r="G211" s="29" t="n"/>
      <c r="H211" s="29">
        <f>IF(A211="","",IF(COUNTIF(A1_Etudiants!$B$3:$B$50000,A211)=0,"NOUVEAU","EXISTANT"))</f>
        <v/>
      </c>
    </row>
    <row r="212" ht="15" customHeight="1" s="22">
      <c r="A212" s="29" t="n"/>
      <c r="B212" s="29" t="n"/>
      <c r="C212" s="29" t="n"/>
      <c r="D212" s="29" t="n"/>
      <c r="E212" s="29" t="n"/>
      <c r="F212" s="29" t="n"/>
      <c r="G212" s="29" t="n"/>
      <c r="H212" s="29">
        <f>IF(A212="","",IF(COUNTIF(A1_Etudiants!$B$3:$B$50000,A212)=0,"NOUVEAU","EXISTANT"))</f>
        <v/>
      </c>
    </row>
    <row r="213" ht="15" customHeight="1" s="22">
      <c r="A213" s="29" t="n"/>
      <c r="B213" s="29" t="n"/>
      <c r="C213" s="29" t="n"/>
      <c r="D213" s="29" t="n"/>
      <c r="E213" s="29" t="n"/>
      <c r="F213" s="29" t="n"/>
      <c r="G213" s="29" t="n"/>
      <c r="H213" s="29">
        <f>IF(A213="","",IF(COUNTIF(A1_Etudiants!$B$3:$B$50000,A213)=0,"NOUVEAU","EXISTANT"))</f>
        <v/>
      </c>
    </row>
    <row r="214" ht="15" customHeight="1" s="22">
      <c r="A214" s="29" t="n"/>
      <c r="B214" s="29" t="n"/>
      <c r="C214" s="29" t="n"/>
      <c r="D214" s="29" t="n"/>
      <c r="E214" s="29" t="n"/>
      <c r="F214" s="29" t="n"/>
      <c r="G214" s="29" t="n"/>
      <c r="H214" s="29">
        <f>IF(A214="","",IF(COUNTIF(A1_Etudiants!$B$3:$B$50000,A214)=0,"NOUVEAU","EXISTANT"))</f>
        <v/>
      </c>
    </row>
    <row r="215" ht="15" customHeight="1" s="22">
      <c r="A215" s="29" t="n"/>
      <c r="B215" s="29" t="n"/>
      <c r="C215" s="29" t="n"/>
      <c r="D215" s="29" t="n"/>
      <c r="E215" s="29" t="n"/>
      <c r="F215" s="29" t="n"/>
      <c r="G215" s="29" t="n"/>
      <c r="H215" s="29">
        <f>IF(A215="","",IF(COUNTIF(A1_Etudiants!$B$3:$B$50000,A215)=0,"NOUVEAU","EXISTANT"))</f>
        <v/>
      </c>
    </row>
    <row r="216" ht="15" customHeight="1" s="22">
      <c r="A216" s="29" t="n"/>
      <c r="B216" s="29" t="n"/>
      <c r="C216" s="29" t="n"/>
      <c r="D216" s="29" t="n"/>
      <c r="E216" s="29" t="n"/>
      <c r="F216" s="29" t="n"/>
      <c r="G216" s="29" t="n"/>
      <c r="H216" s="29">
        <f>IF(A216="","",IF(COUNTIF(A1_Etudiants!$B$3:$B$50000,A216)=0,"NOUVEAU","EXISTANT"))</f>
        <v/>
      </c>
    </row>
    <row r="217" ht="15" customHeight="1" s="22">
      <c r="A217" s="29" t="n"/>
      <c r="B217" s="29" t="n"/>
      <c r="C217" s="29" t="n"/>
      <c r="D217" s="29" t="n"/>
      <c r="E217" s="29" t="n"/>
      <c r="F217" s="29" t="n"/>
      <c r="G217" s="29" t="n"/>
      <c r="H217" s="29">
        <f>IF(A217="","",IF(COUNTIF(A1_Etudiants!$B$3:$B$50000,A217)=0,"NOUVEAU","EXISTANT"))</f>
        <v/>
      </c>
    </row>
    <row r="218" ht="15" customHeight="1" s="22">
      <c r="A218" s="29" t="n"/>
      <c r="B218" s="29" t="n"/>
      <c r="C218" s="29" t="n"/>
      <c r="D218" s="29" t="n"/>
      <c r="E218" s="29" t="n"/>
      <c r="F218" s="29" t="n"/>
      <c r="G218" s="29" t="n"/>
      <c r="H218" s="29">
        <f>IF(A218="","",IF(COUNTIF(A1_Etudiants!$B$3:$B$50000,A218)=0,"NOUVEAU","EXISTANT"))</f>
        <v/>
      </c>
    </row>
    <row r="219" ht="15" customHeight="1" s="22">
      <c r="A219" s="29" t="n"/>
      <c r="B219" s="29" t="n"/>
      <c r="C219" s="29" t="n"/>
      <c r="D219" s="29" t="n"/>
      <c r="E219" s="29" t="n"/>
      <c r="F219" s="29" t="n"/>
      <c r="G219" s="29" t="n"/>
      <c r="H219" s="29">
        <f>IF(A219="","",IF(COUNTIF(A1_Etudiants!$B$3:$B$50000,A219)=0,"NOUVEAU","EXISTANT"))</f>
        <v/>
      </c>
    </row>
    <row r="220" ht="15" customHeight="1" s="22">
      <c r="A220" s="29" t="n"/>
      <c r="B220" s="29" t="n"/>
      <c r="C220" s="29" t="n"/>
      <c r="D220" s="29" t="n"/>
      <c r="E220" s="29" t="n"/>
      <c r="F220" s="29" t="n"/>
      <c r="G220" s="29" t="n"/>
      <c r="H220" s="29">
        <f>IF(A220="","",IF(COUNTIF(A1_Etudiants!$B$3:$B$50000,A220)=0,"NOUVEAU","EXISTANT"))</f>
        <v/>
      </c>
    </row>
    <row r="221" ht="15" customHeight="1" s="22">
      <c r="A221" s="29" t="n"/>
      <c r="B221" s="29" t="n"/>
      <c r="C221" s="29" t="n"/>
      <c r="D221" s="29" t="n"/>
      <c r="E221" s="29" t="n"/>
      <c r="F221" s="29" t="n"/>
      <c r="G221" s="29" t="n"/>
      <c r="H221" s="29">
        <f>IF(A221="","",IF(COUNTIF(A1_Etudiants!$B$3:$B$50000,A221)=0,"NOUVEAU","EXISTANT"))</f>
        <v/>
      </c>
    </row>
    <row r="222" ht="15" customHeight="1" s="22">
      <c r="A222" s="29" t="n"/>
      <c r="B222" s="29" t="n"/>
      <c r="C222" s="29" t="n"/>
      <c r="D222" s="29" t="n"/>
      <c r="E222" s="29" t="n"/>
      <c r="F222" s="29" t="n"/>
      <c r="G222" s="29" t="n"/>
      <c r="H222" s="29">
        <f>IF(A222="","",IF(COUNTIF(A1_Etudiants!$B$3:$B$50000,A222)=0,"NOUVEAU","EXISTANT"))</f>
        <v/>
      </c>
    </row>
    <row r="223" ht="15" customHeight="1" s="22">
      <c r="A223" s="29" t="n"/>
      <c r="B223" s="29" t="n"/>
      <c r="C223" s="29" t="n"/>
      <c r="D223" s="29" t="n"/>
      <c r="E223" s="29" t="n"/>
      <c r="F223" s="29" t="n"/>
      <c r="G223" s="29" t="n"/>
      <c r="H223" s="29">
        <f>IF(A223="","",IF(COUNTIF(A1_Etudiants!$B$3:$B$50000,A223)=0,"NOUVEAU","EXISTANT"))</f>
        <v/>
      </c>
    </row>
    <row r="224" ht="15" customHeight="1" s="22">
      <c r="A224" s="29" t="n"/>
      <c r="B224" s="29" t="n"/>
      <c r="C224" s="29" t="n"/>
      <c r="D224" s="29" t="n"/>
      <c r="E224" s="29" t="n"/>
      <c r="F224" s="29" t="n"/>
      <c r="G224" s="29" t="n"/>
      <c r="H224" s="29">
        <f>IF(A224="","",IF(COUNTIF(A1_Etudiants!$B$3:$B$50000,A224)=0,"NOUVEAU","EXISTANT"))</f>
        <v/>
      </c>
    </row>
    <row r="225" ht="15" customHeight="1" s="22">
      <c r="A225" s="29" t="n"/>
      <c r="B225" s="29" t="n"/>
      <c r="C225" s="29" t="n"/>
      <c r="D225" s="29" t="n"/>
      <c r="E225" s="29" t="n"/>
      <c r="F225" s="29" t="n"/>
      <c r="G225" s="29" t="n"/>
      <c r="H225" s="29">
        <f>IF(A225="","",IF(COUNTIF(A1_Etudiants!$B$3:$B$50000,A225)=0,"NOUVEAU","EXISTANT"))</f>
        <v/>
      </c>
    </row>
    <row r="226" ht="15" customHeight="1" s="22">
      <c r="A226" s="29" t="n"/>
      <c r="B226" s="29" t="n"/>
      <c r="C226" s="29" t="n"/>
      <c r="D226" s="29" t="n"/>
      <c r="E226" s="29" t="n"/>
      <c r="F226" s="29" t="n"/>
      <c r="G226" s="29" t="n"/>
      <c r="H226" s="29">
        <f>IF(A226="","",IF(COUNTIF(A1_Etudiants!$B$3:$B$50000,A226)=0,"NOUVEAU","EXISTANT"))</f>
        <v/>
      </c>
    </row>
    <row r="227" ht="15" customHeight="1" s="22">
      <c r="A227" s="29" t="n"/>
      <c r="B227" s="29" t="n"/>
      <c r="C227" s="29" t="n"/>
      <c r="D227" s="29" t="n"/>
      <c r="E227" s="29" t="n"/>
      <c r="F227" s="29" t="n"/>
      <c r="G227" s="29" t="n"/>
      <c r="H227" s="29">
        <f>IF(A227="","",IF(COUNTIF(A1_Etudiants!$B$3:$B$50000,A227)=0,"NOUVEAU","EXISTANT"))</f>
        <v/>
      </c>
    </row>
    <row r="228" ht="15" customHeight="1" s="22">
      <c r="A228" s="29" t="n"/>
      <c r="B228" s="29" t="n"/>
      <c r="C228" s="29" t="n"/>
      <c r="D228" s="29" t="n"/>
      <c r="E228" s="29" t="n"/>
      <c r="F228" s="29" t="n"/>
      <c r="G228" s="29" t="n"/>
      <c r="H228" s="29">
        <f>IF(A228="","",IF(COUNTIF(A1_Etudiants!$B$3:$B$50000,A228)=0,"NOUVEAU","EXISTANT"))</f>
        <v/>
      </c>
    </row>
    <row r="229" ht="15" customHeight="1" s="22">
      <c r="A229" s="29" t="n"/>
      <c r="B229" s="29" t="n"/>
      <c r="C229" s="29" t="n"/>
      <c r="D229" s="29" t="n"/>
      <c r="E229" s="29" t="n"/>
      <c r="F229" s="29" t="n"/>
      <c r="G229" s="29" t="n"/>
      <c r="H229" s="29">
        <f>IF(A229="","",IF(COUNTIF(A1_Etudiants!$B$3:$B$50000,A229)=0,"NOUVEAU","EXISTANT"))</f>
        <v/>
      </c>
    </row>
    <row r="230" ht="15" customHeight="1" s="22">
      <c r="A230" s="29" t="n"/>
      <c r="B230" s="29" t="n"/>
      <c r="C230" s="29" t="n"/>
      <c r="D230" s="29" t="n"/>
      <c r="E230" s="29" t="n"/>
      <c r="F230" s="29" t="n"/>
      <c r="G230" s="29" t="n"/>
      <c r="H230" s="29">
        <f>IF(A230="","",IF(COUNTIF(A1_Etudiants!$B$3:$B$50000,A230)=0,"NOUVEAU","EXISTANT"))</f>
        <v/>
      </c>
    </row>
    <row r="231" ht="15" customHeight="1" s="22">
      <c r="A231" s="29" t="n"/>
      <c r="B231" s="29" t="n"/>
      <c r="C231" s="29" t="n"/>
      <c r="D231" s="29" t="n"/>
      <c r="E231" s="29" t="n"/>
      <c r="F231" s="29" t="n"/>
      <c r="G231" s="29" t="n"/>
      <c r="H231" s="29">
        <f>IF(A231="","",IF(COUNTIF(A1_Etudiants!$B$3:$B$50000,A231)=0,"NOUVEAU","EXISTANT"))</f>
        <v/>
      </c>
    </row>
    <row r="232" ht="15" customHeight="1" s="22">
      <c r="A232" s="29" t="n"/>
      <c r="B232" s="29" t="n"/>
      <c r="C232" s="29" t="n"/>
      <c r="D232" s="29" t="n"/>
      <c r="E232" s="29" t="n"/>
      <c r="F232" s="29" t="n"/>
      <c r="G232" s="29" t="n"/>
      <c r="H232" s="29">
        <f>IF(A232="","",IF(COUNTIF(A1_Etudiants!$B$3:$B$50000,A232)=0,"NOUVEAU","EXISTANT"))</f>
        <v/>
      </c>
    </row>
    <row r="233" ht="15" customHeight="1" s="22">
      <c r="A233" s="29" t="n"/>
      <c r="B233" s="29" t="n"/>
      <c r="C233" s="29" t="n"/>
      <c r="D233" s="29" t="n"/>
      <c r="E233" s="29" t="n"/>
      <c r="F233" s="29" t="n"/>
      <c r="G233" s="29" t="n"/>
      <c r="H233" s="29">
        <f>IF(A233="","",IF(COUNTIF(A1_Etudiants!$B$3:$B$50000,A233)=0,"NOUVEAU","EXISTANT"))</f>
        <v/>
      </c>
    </row>
    <row r="234" ht="15" customHeight="1" s="22">
      <c r="A234" s="29" t="n"/>
      <c r="B234" s="29" t="n"/>
      <c r="C234" s="29" t="n"/>
      <c r="D234" s="29" t="n"/>
      <c r="E234" s="29" t="n"/>
      <c r="F234" s="29" t="n"/>
      <c r="G234" s="29" t="n"/>
      <c r="H234" s="29">
        <f>IF(A234="","",IF(COUNTIF(A1_Etudiants!$B$3:$B$50000,A234)=0,"NOUVEAU","EXISTANT"))</f>
        <v/>
      </c>
    </row>
    <row r="235" ht="15" customHeight="1" s="22">
      <c r="A235" s="29" t="n"/>
      <c r="B235" s="29" t="n"/>
      <c r="C235" s="29" t="n"/>
      <c r="D235" s="29" t="n"/>
      <c r="E235" s="29" t="n"/>
      <c r="F235" s="29" t="n"/>
      <c r="G235" s="29" t="n"/>
      <c r="H235" s="29">
        <f>IF(A235="","",IF(COUNTIF(A1_Etudiants!$B$3:$B$50000,A235)=0,"NOUVEAU","EXISTANT"))</f>
        <v/>
      </c>
    </row>
    <row r="236" ht="15" customHeight="1" s="22">
      <c r="A236" s="29" t="n"/>
      <c r="B236" s="29" t="n"/>
      <c r="C236" s="29" t="n"/>
      <c r="D236" s="29" t="n"/>
      <c r="E236" s="29" t="n"/>
      <c r="F236" s="29" t="n"/>
      <c r="G236" s="29" t="n"/>
      <c r="H236" s="29">
        <f>IF(A236="","",IF(COUNTIF(A1_Etudiants!$B$3:$B$50000,A236)=0,"NOUVEAU","EXISTANT"))</f>
        <v/>
      </c>
    </row>
    <row r="237" ht="15" customHeight="1" s="22">
      <c r="A237" s="29" t="n"/>
      <c r="B237" s="29" t="n"/>
      <c r="C237" s="29" t="n"/>
      <c r="D237" s="29" t="n"/>
      <c r="E237" s="29" t="n"/>
      <c r="F237" s="29" t="n"/>
      <c r="G237" s="29" t="n"/>
      <c r="H237" s="29">
        <f>IF(A237="","",IF(COUNTIF(A1_Etudiants!$B$3:$B$50000,A237)=0,"NOUVEAU","EXISTANT"))</f>
        <v/>
      </c>
    </row>
    <row r="238" ht="15" customHeight="1" s="22">
      <c r="A238" s="29" t="n"/>
      <c r="B238" s="29" t="n"/>
      <c r="C238" s="29" t="n"/>
      <c r="D238" s="29" t="n"/>
      <c r="E238" s="29" t="n"/>
      <c r="F238" s="29" t="n"/>
      <c r="G238" s="29" t="n"/>
      <c r="H238" s="29">
        <f>IF(A238="","",IF(COUNTIF(A1_Etudiants!$B$3:$B$50000,A238)=0,"NOUVEAU","EXISTANT"))</f>
        <v/>
      </c>
    </row>
    <row r="239" ht="15" customHeight="1" s="22">
      <c r="A239" s="29" t="n"/>
      <c r="B239" s="29" t="n"/>
      <c r="C239" s="29" t="n"/>
      <c r="D239" s="29" t="n"/>
      <c r="E239" s="29" t="n"/>
      <c r="F239" s="29" t="n"/>
      <c r="G239" s="29" t="n"/>
      <c r="H239" s="29">
        <f>IF(A239="","",IF(COUNTIF(A1_Etudiants!$B$3:$B$50000,A239)=0,"NOUVEAU","EXISTANT"))</f>
        <v/>
      </c>
    </row>
    <row r="240" ht="15" customHeight="1" s="22">
      <c r="A240" s="29" t="n"/>
      <c r="B240" s="29" t="n"/>
      <c r="C240" s="29" t="n"/>
      <c r="D240" s="29" t="n"/>
      <c r="E240" s="29" t="n"/>
      <c r="F240" s="29" t="n"/>
      <c r="G240" s="29" t="n"/>
      <c r="H240" s="29">
        <f>IF(A240="","",IF(COUNTIF(A1_Etudiants!$B$3:$B$50000,A240)=0,"NOUVEAU","EXISTANT"))</f>
        <v/>
      </c>
    </row>
    <row r="241" ht="15" customHeight="1" s="22">
      <c r="A241" s="29" t="n"/>
      <c r="B241" s="29" t="n"/>
      <c r="C241" s="29" t="n"/>
      <c r="D241" s="29" t="n"/>
      <c r="E241" s="29" t="n"/>
      <c r="F241" s="29" t="n"/>
      <c r="G241" s="29" t="n"/>
      <c r="H241" s="29">
        <f>IF(A241="","",IF(COUNTIF(A1_Etudiants!$B$3:$B$50000,A241)=0,"NOUVEAU","EXISTANT"))</f>
        <v/>
      </c>
    </row>
    <row r="242" ht="15" customHeight="1" s="22">
      <c r="A242" s="29" t="n"/>
      <c r="B242" s="29" t="n"/>
      <c r="C242" s="29" t="n"/>
      <c r="D242" s="29" t="n"/>
      <c r="E242" s="29" t="n"/>
      <c r="F242" s="29" t="n"/>
      <c r="G242" s="29" t="n"/>
      <c r="H242" s="29">
        <f>IF(A242="","",IF(COUNTIF(A1_Etudiants!$B$3:$B$50000,A242)=0,"NOUVEAU","EXISTANT"))</f>
        <v/>
      </c>
    </row>
    <row r="243" ht="15" customHeight="1" s="22">
      <c r="A243" s="29" t="n"/>
      <c r="B243" s="29" t="n"/>
      <c r="C243" s="29" t="n"/>
      <c r="D243" s="29" t="n"/>
      <c r="E243" s="29" t="n"/>
      <c r="F243" s="29" t="n"/>
      <c r="G243" s="29" t="n"/>
      <c r="H243" s="29">
        <f>IF(A243="","",IF(COUNTIF(A1_Etudiants!$B$3:$B$50000,A243)=0,"NOUVEAU","EXISTANT"))</f>
        <v/>
      </c>
    </row>
    <row r="244" ht="15" customHeight="1" s="22">
      <c r="A244" s="29" t="n"/>
      <c r="B244" s="29" t="n"/>
      <c r="C244" s="29" t="n"/>
      <c r="D244" s="29" t="n"/>
      <c r="E244" s="29" t="n"/>
      <c r="F244" s="29" t="n"/>
      <c r="G244" s="29" t="n"/>
      <c r="H244" s="29">
        <f>IF(A244="","",IF(COUNTIF(A1_Etudiants!$B$3:$B$50000,A244)=0,"NOUVEAU","EXISTANT"))</f>
        <v/>
      </c>
    </row>
    <row r="245" ht="15" customHeight="1" s="22">
      <c r="A245" s="29" t="n"/>
      <c r="B245" s="29" t="n"/>
      <c r="C245" s="29" t="n"/>
      <c r="D245" s="29" t="n"/>
      <c r="E245" s="29" t="n"/>
      <c r="F245" s="29" t="n"/>
      <c r="G245" s="29" t="n"/>
      <c r="H245" s="29">
        <f>IF(A245="","",IF(COUNTIF(A1_Etudiants!$B$3:$B$50000,A245)=0,"NOUVEAU","EXISTANT"))</f>
        <v/>
      </c>
    </row>
    <row r="246" ht="15" customHeight="1" s="22">
      <c r="A246" s="29" t="n"/>
      <c r="B246" s="29" t="n"/>
      <c r="C246" s="29" t="n"/>
      <c r="D246" s="29" t="n"/>
      <c r="E246" s="29" t="n"/>
      <c r="F246" s="29" t="n"/>
      <c r="G246" s="29" t="n"/>
      <c r="H246" s="29">
        <f>IF(A246="","",IF(COUNTIF(A1_Etudiants!$B$3:$B$50000,A246)=0,"NOUVEAU","EXISTANT"))</f>
        <v/>
      </c>
    </row>
    <row r="247" ht="15" customHeight="1" s="22">
      <c r="A247" s="29" t="n"/>
      <c r="B247" s="29" t="n"/>
      <c r="C247" s="29" t="n"/>
      <c r="D247" s="29" t="n"/>
      <c r="E247" s="29" t="n"/>
      <c r="F247" s="29" t="n"/>
      <c r="G247" s="29" t="n"/>
      <c r="H247" s="29">
        <f>IF(A247="","",IF(COUNTIF(A1_Etudiants!$B$3:$B$50000,A247)=0,"NOUVEAU","EXISTANT"))</f>
        <v/>
      </c>
    </row>
    <row r="248" ht="15" customHeight="1" s="22">
      <c r="A248" s="29" t="n"/>
      <c r="B248" s="29" t="n"/>
      <c r="C248" s="29" t="n"/>
      <c r="D248" s="29" t="n"/>
      <c r="E248" s="29" t="n"/>
      <c r="F248" s="29" t="n"/>
      <c r="G248" s="29" t="n"/>
      <c r="H248" s="29">
        <f>IF(A248="","",IF(COUNTIF(A1_Etudiants!$B$3:$B$50000,A248)=0,"NOUVEAU","EXISTANT"))</f>
        <v/>
      </c>
    </row>
    <row r="249" ht="15" customHeight="1" s="22">
      <c r="A249" s="29" t="n"/>
      <c r="B249" s="29" t="n"/>
      <c r="C249" s="29" t="n"/>
      <c r="D249" s="29" t="n"/>
      <c r="E249" s="29" t="n"/>
      <c r="F249" s="29" t="n"/>
      <c r="G249" s="29" t="n"/>
      <c r="H249" s="29">
        <f>IF(A249="","",IF(COUNTIF(A1_Etudiants!$B$3:$B$50000,A249)=0,"NOUVEAU","EXISTANT"))</f>
        <v/>
      </c>
    </row>
    <row r="250" ht="15" customHeight="1" s="22">
      <c r="A250" s="29" t="n"/>
      <c r="B250" s="29" t="n"/>
      <c r="C250" s="29" t="n"/>
      <c r="D250" s="29" t="n"/>
      <c r="E250" s="29" t="n"/>
      <c r="F250" s="29" t="n"/>
      <c r="G250" s="29" t="n"/>
      <c r="H250" s="29">
        <f>IF(A250="","",IF(COUNTIF(A1_Etudiants!$B$3:$B$50000,A250)=0,"NOUVEAU","EXISTANT"))</f>
        <v/>
      </c>
    </row>
    <row r="251" ht="15" customHeight="1" s="22">
      <c r="A251" s="29" t="n"/>
      <c r="B251" s="29" t="n"/>
      <c r="C251" s="29" t="n"/>
      <c r="D251" s="29" t="n"/>
      <c r="E251" s="29" t="n"/>
      <c r="F251" s="29" t="n"/>
      <c r="G251" s="29" t="n"/>
      <c r="H251" s="29">
        <f>IF(A251="","",IF(COUNTIF(A1_Etudiants!$B$3:$B$50000,A251)=0,"NOUVEAU","EXISTANT"))</f>
        <v/>
      </c>
    </row>
    <row r="252" ht="15" customHeight="1" s="22">
      <c r="A252" s="29" t="n"/>
      <c r="B252" s="29" t="n"/>
      <c r="C252" s="29" t="n"/>
      <c r="D252" s="29" t="n"/>
      <c r="E252" s="29" t="n"/>
      <c r="F252" s="29" t="n"/>
      <c r="G252" s="29" t="n"/>
      <c r="H252" s="29">
        <f>IF(A252="","",IF(COUNTIF(A1_Etudiants!$B$3:$B$50000,A252)=0,"NOUVEAU","EXISTANT"))</f>
        <v/>
      </c>
    </row>
    <row r="253" ht="15" customHeight="1" s="22">
      <c r="A253" s="29" t="n"/>
      <c r="B253" s="29" t="n"/>
      <c r="C253" s="29" t="n"/>
      <c r="D253" s="29" t="n"/>
      <c r="E253" s="29" t="n"/>
      <c r="F253" s="29" t="n"/>
      <c r="G253" s="29" t="n"/>
      <c r="H253" s="29">
        <f>IF(A253="","",IF(COUNTIF(A1_Etudiants!$B$3:$B$50000,A253)=0,"NOUVEAU","EXISTANT"))</f>
        <v/>
      </c>
    </row>
    <row r="254" ht="15" customHeight="1" s="22">
      <c r="A254" s="29" t="n"/>
      <c r="B254" s="29" t="n"/>
      <c r="C254" s="29" t="n"/>
      <c r="D254" s="29" t="n"/>
      <c r="E254" s="29" t="n"/>
      <c r="F254" s="29" t="n"/>
      <c r="G254" s="29" t="n"/>
      <c r="H254" s="29">
        <f>IF(A254="","",IF(COUNTIF(A1_Etudiants!$B$3:$B$50000,A254)=0,"NOUVEAU","EXISTANT"))</f>
        <v/>
      </c>
    </row>
    <row r="255" ht="15" customHeight="1" s="22">
      <c r="A255" s="29" t="n"/>
      <c r="B255" s="29" t="n"/>
      <c r="C255" s="29" t="n"/>
      <c r="D255" s="29" t="n"/>
      <c r="E255" s="29" t="n"/>
      <c r="F255" s="29" t="n"/>
      <c r="G255" s="29" t="n"/>
      <c r="H255" s="29">
        <f>IF(A255="","",IF(COUNTIF(A1_Etudiants!$B$3:$B$50000,A255)=0,"NOUVEAU","EXISTANT"))</f>
        <v/>
      </c>
    </row>
    <row r="256" ht="15" customHeight="1" s="22">
      <c r="A256" s="29" t="n"/>
      <c r="B256" s="29" t="n"/>
      <c r="C256" s="29" t="n"/>
      <c r="D256" s="29" t="n"/>
      <c r="E256" s="29" t="n"/>
      <c r="F256" s="29" t="n"/>
      <c r="G256" s="29" t="n"/>
      <c r="H256" s="29">
        <f>IF(A256="","",IF(COUNTIF(A1_Etudiants!$B$3:$B$50000,A256)=0,"NOUVEAU","EXISTANT"))</f>
        <v/>
      </c>
    </row>
    <row r="257" ht="15" customHeight="1" s="22">
      <c r="A257" s="29" t="n"/>
      <c r="B257" s="29" t="n"/>
      <c r="C257" s="29" t="n"/>
      <c r="D257" s="29" t="n"/>
      <c r="E257" s="29" t="n"/>
      <c r="F257" s="29" t="n"/>
      <c r="G257" s="29" t="n"/>
      <c r="H257" s="29">
        <f>IF(A257="","",IF(COUNTIF(A1_Etudiants!$B$3:$B$50000,A257)=0,"NOUVEAU","EXISTANT"))</f>
        <v/>
      </c>
    </row>
    <row r="258" ht="15" customHeight="1" s="22">
      <c r="A258" s="29" t="n"/>
      <c r="B258" s="29" t="n"/>
      <c r="C258" s="29" t="n"/>
      <c r="D258" s="29" t="n"/>
      <c r="E258" s="29" t="n"/>
      <c r="F258" s="29" t="n"/>
      <c r="G258" s="29" t="n"/>
      <c r="H258" s="29">
        <f>IF(A258="","",IF(COUNTIF(A1_Etudiants!$B$3:$B$50000,A258)=0,"NOUVEAU","EXISTANT"))</f>
        <v/>
      </c>
    </row>
    <row r="259" ht="15" customHeight="1" s="22">
      <c r="A259" s="29" t="n"/>
      <c r="B259" s="29" t="n"/>
      <c r="C259" s="29" t="n"/>
      <c r="D259" s="29" t="n"/>
      <c r="E259" s="29" t="n"/>
      <c r="F259" s="29" t="n"/>
      <c r="G259" s="29" t="n"/>
      <c r="H259" s="29">
        <f>IF(A259="","",IF(COUNTIF(A1_Etudiants!$B$3:$B$50000,A259)=0,"NOUVEAU","EXISTANT"))</f>
        <v/>
      </c>
    </row>
    <row r="260" ht="15" customHeight="1" s="22">
      <c r="A260" s="29" t="n"/>
      <c r="B260" s="29" t="n"/>
      <c r="C260" s="29" t="n"/>
      <c r="D260" s="29" t="n"/>
      <c r="E260" s="29" t="n"/>
      <c r="F260" s="29" t="n"/>
      <c r="G260" s="29" t="n"/>
      <c r="H260" s="29">
        <f>IF(A260="","",IF(COUNTIF(A1_Etudiants!$B$3:$B$50000,A260)=0,"NOUVEAU","EXISTANT"))</f>
        <v/>
      </c>
    </row>
    <row r="261" ht="15" customHeight="1" s="22">
      <c r="A261" s="29" t="n"/>
      <c r="B261" s="29" t="n"/>
      <c r="C261" s="29" t="n"/>
      <c r="D261" s="29" t="n"/>
      <c r="E261" s="29" t="n"/>
      <c r="F261" s="29" t="n"/>
      <c r="G261" s="29" t="n"/>
      <c r="H261" s="29">
        <f>IF(A261="","",IF(COUNTIF(A1_Etudiants!$B$3:$B$50000,A261)=0,"NOUVEAU","EXISTANT"))</f>
        <v/>
      </c>
    </row>
    <row r="262" ht="15" customHeight="1" s="22">
      <c r="A262" s="29" t="n"/>
      <c r="B262" s="29" t="n"/>
      <c r="C262" s="29" t="n"/>
      <c r="D262" s="29" t="n"/>
      <c r="E262" s="29" t="n"/>
      <c r="F262" s="29" t="n"/>
      <c r="G262" s="29" t="n"/>
      <c r="H262" s="29">
        <f>IF(A262="","",IF(COUNTIF(A1_Etudiants!$B$3:$B$50000,A262)=0,"NOUVEAU","EXISTANT"))</f>
        <v/>
      </c>
    </row>
    <row r="263" ht="15" customHeight="1" s="22">
      <c r="A263" s="29" t="n"/>
      <c r="B263" s="29" t="n"/>
      <c r="C263" s="29" t="n"/>
      <c r="D263" s="29" t="n"/>
      <c r="E263" s="29" t="n"/>
      <c r="F263" s="29" t="n"/>
      <c r="G263" s="29" t="n"/>
      <c r="H263" s="29">
        <f>IF(A263="","",IF(COUNTIF(A1_Etudiants!$B$3:$B$50000,A263)=0,"NOUVEAU","EXISTANT"))</f>
        <v/>
      </c>
    </row>
    <row r="264" ht="15" customHeight="1" s="22">
      <c r="A264" s="29" t="n"/>
      <c r="B264" s="29" t="n"/>
      <c r="C264" s="29" t="n"/>
      <c r="D264" s="29" t="n"/>
      <c r="E264" s="29" t="n"/>
      <c r="F264" s="29" t="n"/>
      <c r="G264" s="29" t="n"/>
      <c r="H264" s="29">
        <f>IF(A264="","",IF(COUNTIF(A1_Etudiants!$B$3:$B$50000,A264)=0,"NOUVEAU","EXISTANT"))</f>
        <v/>
      </c>
    </row>
    <row r="265" ht="15" customHeight="1" s="22">
      <c r="A265" s="29" t="n"/>
      <c r="B265" s="29" t="n"/>
      <c r="C265" s="29" t="n"/>
      <c r="D265" s="29" t="n"/>
      <c r="E265" s="29" t="n"/>
      <c r="F265" s="29" t="n"/>
      <c r="G265" s="29" t="n"/>
      <c r="H265" s="29">
        <f>IF(A265="","",IF(COUNTIF(A1_Etudiants!$B$3:$B$50000,A265)=0,"NOUVEAU","EXISTANT"))</f>
        <v/>
      </c>
    </row>
    <row r="266" ht="15" customHeight="1" s="22">
      <c r="A266" s="29" t="n"/>
      <c r="B266" s="29" t="n"/>
      <c r="C266" s="29" t="n"/>
      <c r="D266" s="29" t="n"/>
      <c r="E266" s="29" t="n"/>
      <c r="F266" s="29" t="n"/>
      <c r="G266" s="29" t="n"/>
      <c r="H266" s="29">
        <f>IF(A266="","",IF(COUNTIF(A1_Etudiants!$B$3:$B$50000,A266)=0,"NOUVEAU","EXISTANT"))</f>
        <v/>
      </c>
    </row>
    <row r="267" ht="15" customHeight="1" s="22">
      <c r="A267" s="29" t="n"/>
      <c r="B267" s="29" t="n"/>
      <c r="C267" s="29" t="n"/>
      <c r="D267" s="29" t="n"/>
      <c r="E267" s="29" t="n"/>
      <c r="F267" s="29" t="n"/>
      <c r="G267" s="29" t="n"/>
      <c r="H267" s="29">
        <f>IF(A267="","",IF(COUNTIF(A1_Etudiants!$B$3:$B$50000,A267)=0,"NOUVEAU","EXISTANT"))</f>
        <v/>
      </c>
    </row>
    <row r="268" ht="15" customHeight="1" s="22">
      <c r="A268" s="29" t="n"/>
      <c r="B268" s="29" t="n"/>
      <c r="C268" s="29" t="n"/>
      <c r="D268" s="29" t="n"/>
      <c r="E268" s="29" t="n"/>
      <c r="F268" s="29" t="n"/>
      <c r="G268" s="29" t="n"/>
      <c r="H268" s="29">
        <f>IF(A268="","",IF(COUNTIF(A1_Etudiants!$B$3:$B$50000,A268)=0,"NOUVEAU","EXISTANT"))</f>
        <v/>
      </c>
    </row>
    <row r="269" ht="15" customHeight="1" s="22">
      <c r="A269" s="29" t="n"/>
      <c r="B269" s="29" t="n"/>
      <c r="C269" s="29" t="n"/>
      <c r="D269" s="29" t="n"/>
      <c r="E269" s="29" t="n"/>
      <c r="F269" s="29" t="n"/>
      <c r="G269" s="29" t="n"/>
      <c r="H269" s="29">
        <f>IF(A269="","",IF(COUNTIF(A1_Etudiants!$B$3:$B$50000,A269)=0,"NOUVEAU","EXISTANT"))</f>
        <v/>
      </c>
    </row>
    <row r="270" ht="15" customHeight="1" s="22">
      <c r="A270" s="29" t="n"/>
      <c r="B270" s="29" t="n"/>
      <c r="C270" s="29" t="n"/>
      <c r="D270" s="29" t="n"/>
      <c r="E270" s="29" t="n"/>
      <c r="F270" s="29" t="n"/>
      <c r="G270" s="29" t="n"/>
      <c r="H270" s="29">
        <f>IF(A270="","",IF(COUNTIF(A1_Etudiants!$B$3:$B$50000,A270)=0,"NOUVEAU","EXISTANT"))</f>
        <v/>
      </c>
    </row>
    <row r="271" ht="15" customHeight="1" s="22">
      <c r="A271" s="29" t="n"/>
      <c r="B271" s="29" t="n"/>
      <c r="C271" s="29" t="n"/>
      <c r="D271" s="29" t="n"/>
      <c r="E271" s="29" t="n"/>
      <c r="F271" s="29" t="n"/>
      <c r="G271" s="29" t="n"/>
      <c r="H271" s="29">
        <f>IF(A271="","",IF(COUNTIF(A1_Etudiants!$B$3:$B$50000,A271)=0,"NOUVEAU","EXISTANT"))</f>
        <v/>
      </c>
    </row>
    <row r="272" ht="15" customHeight="1" s="22">
      <c r="A272" s="29" t="n"/>
      <c r="B272" s="29" t="n"/>
      <c r="C272" s="29" t="n"/>
      <c r="D272" s="29" t="n"/>
      <c r="E272" s="29" t="n"/>
      <c r="F272" s="29" t="n"/>
      <c r="G272" s="29" t="n"/>
      <c r="H272" s="29">
        <f>IF(A272="","",IF(COUNTIF(A1_Etudiants!$B$3:$B$50000,A272)=0,"NOUVEAU","EXISTANT"))</f>
        <v/>
      </c>
    </row>
    <row r="273" ht="15" customHeight="1" s="22">
      <c r="A273" s="29" t="n"/>
      <c r="B273" s="29" t="n"/>
      <c r="C273" s="29" t="n"/>
      <c r="D273" s="29" t="n"/>
      <c r="E273" s="29" t="n"/>
      <c r="F273" s="29" t="n"/>
      <c r="G273" s="29" t="n"/>
      <c r="H273" s="29">
        <f>IF(A273="","",IF(COUNTIF(A1_Etudiants!$B$3:$B$50000,A273)=0,"NOUVEAU","EXISTANT"))</f>
        <v/>
      </c>
    </row>
    <row r="274" ht="15" customHeight="1" s="22">
      <c r="A274" s="29" t="n"/>
      <c r="B274" s="29" t="n"/>
      <c r="C274" s="29" t="n"/>
      <c r="D274" s="29" t="n"/>
      <c r="E274" s="29" t="n"/>
      <c r="F274" s="29" t="n"/>
      <c r="G274" s="29" t="n"/>
      <c r="H274" s="29">
        <f>IF(A274="","",IF(COUNTIF(A1_Etudiants!$B$3:$B$50000,A274)=0,"NOUVEAU","EXISTANT"))</f>
        <v/>
      </c>
    </row>
    <row r="275" ht="15" customHeight="1" s="22">
      <c r="A275" s="29" t="n"/>
      <c r="B275" s="29" t="n"/>
      <c r="C275" s="29" t="n"/>
      <c r="D275" s="29" t="n"/>
      <c r="E275" s="29" t="n"/>
      <c r="F275" s="29" t="n"/>
      <c r="G275" s="29" t="n"/>
      <c r="H275" s="29">
        <f>IF(A275="","",IF(COUNTIF(A1_Etudiants!$B$3:$B$50000,A275)=0,"NOUVEAU","EXISTANT"))</f>
        <v/>
      </c>
    </row>
    <row r="276" ht="15" customHeight="1" s="22">
      <c r="A276" s="29" t="n"/>
      <c r="B276" s="29" t="n"/>
      <c r="C276" s="29" t="n"/>
      <c r="D276" s="29" t="n"/>
      <c r="E276" s="29" t="n"/>
      <c r="F276" s="29" t="n"/>
      <c r="G276" s="29" t="n"/>
      <c r="H276" s="29">
        <f>IF(A276="","",IF(COUNTIF(A1_Etudiants!$B$3:$B$50000,A276)=0,"NOUVEAU","EXISTANT"))</f>
        <v/>
      </c>
    </row>
    <row r="277" ht="15" customHeight="1" s="22">
      <c r="A277" s="29" t="n"/>
      <c r="B277" s="29" t="n"/>
      <c r="C277" s="29" t="n"/>
      <c r="D277" s="29" t="n"/>
      <c r="E277" s="29" t="n"/>
      <c r="F277" s="29" t="n"/>
      <c r="G277" s="29" t="n"/>
      <c r="H277" s="29">
        <f>IF(A277="","",IF(COUNTIF(A1_Etudiants!$B$3:$B$50000,A277)=0,"NOUVEAU","EXISTANT"))</f>
        <v/>
      </c>
    </row>
    <row r="278" ht="15" customHeight="1" s="22">
      <c r="A278" s="29" t="n"/>
      <c r="B278" s="29" t="n"/>
      <c r="C278" s="29" t="n"/>
      <c r="D278" s="29" t="n"/>
      <c r="E278" s="29" t="n"/>
      <c r="F278" s="29" t="n"/>
      <c r="G278" s="29" t="n"/>
      <c r="H278" s="29">
        <f>IF(A278="","",IF(COUNTIF(A1_Etudiants!$B$3:$B$50000,A278)=0,"NOUVEAU","EXISTANT"))</f>
        <v/>
      </c>
    </row>
    <row r="279" ht="15" customHeight="1" s="22">
      <c r="A279" s="29" t="n"/>
      <c r="B279" s="29" t="n"/>
      <c r="C279" s="29" t="n"/>
      <c r="D279" s="29" t="n"/>
      <c r="E279" s="29" t="n"/>
      <c r="F279" s="29" t="n"/>
      <c r="G279" s="29" t="n"/>
      <c r="H279" s="29">
        <f>IF(A279="","",IF(COUNTIF(A1_Etudiants!$B$3:$B$50000,A279)=0,"NOUVEAU","EXISTANT"))</f>
        <v/>
      </c>
    </row>
    <row r="280" ht="15" customHeight="1" s="22">
      <c r="A280" s="29" t="n"/>
      <c r="B280" s="29" t="n"/>
      <c r="C280" s="29" t="n"/>
      <c r="D280" s="29" t="n"/>
      <c r="E280" s="29" t="n"/>
      <c r="F280" s="29" t="n"/>
      <c r="G280" s="29" t="n"/>
      <c r="H280" s="29">
        <f>IF(A280="","",IF(COUNTIF(A1_Etudiants!$B$3:$B$50000,A280)=0,"NOUVEAU","EXISTANT"))</f>
        <v/>
      </c>
    </row>
    <row r="281" ht="15" customHeight="1" s="22">
      <c r="A281" s="29" t="n"/>
      <c r="B281" s="29" t="n"/>
      <c r="C281" s="29" t="n"/>
      <c r="D281" s="29" t="n"/>
      <c r="E281" s="29" t="n"/>
      <c r="F281" s="29" t="n"/>
      <c r="G281" s="29" t="n"/>
      <c r="H281" s="29">
        <f>IF(A281="","",IF(COUNTIF(A1_Etudiants!$B$3:$B$50000,A281)=0,"NOUVEAU","EXISTANT"))</f>
        <v/>
      </c>
    </row>
    <row r="282" ht="15" customHeight="1" s="22">
      <c r="A282" s="29" t="n"/>
      <c r="B282" s="29" t="n"/>
      <c r="C282" s="29" t="n"/>
      <c r="D282" s="29" t="n"/>
      <c r="E282" s="29" t="n"/>
      <c r="F282" s="29" t="n"/>
      <c r="G282" s="29" t="n"/>
      <c r="H282" s="29">
        <f>IF(A282="","",IF(COUNTIF(A1_Etudiants!$B$3:$B$50000,A282)=0,"NOUVEAU","EXISTANT"))</f>
        <v/>
      </c>
    </row>
    <row r="283" ht="15" customHeight="1" s="22">
      <c r="A283" s="29" t="n"/>
      <c r="B283" s="29" t="n"/>
      <c r="C283" s="29" t="n"/>
      <c r="D283" s="29" t="n"/>
      <c r="E283" s="29" t="n"/>
      <c r="F283" s="29" t="n"/>
      <c r="G283" s="29" t="n"/>
      <c r="H283" s="29">
        <f>IF(A283="","",IF(COUNTIF(A1_Etudiants!$B$3:$B$50000,A283)=0,"NOUVEAU","EXISTANT"))</f>
        <v/>
      </c>
    </row>
    <row r="284" ht="15" customHeight="1" s="22">
      <c r="A284" s="29" t="n"/>
      <c r="B284" s="29" t="n"/>
      <c r="C284" s="29" t="n"/>
      <c r="D284" s="29" t="n"/>
      <c r="E284" s="29" t="n"/>
      <c r="F284" s="29" t="n"/>
      <c r="G284" s="29" t="n"/>
      <c r="H284" s="29">
        <f>IF(A284="","",IF(COUNTIF(A1_Etudiants!$B$3:$B$50000,A284)=0,"NOUVEAU","EXISTANT"))</f>
        <v/>
      </c>
    </row>
    <row r="285" ht="15" customHeight="1" s="22">
      <c r="A285" s="29" t="n"/>
      <c r="B285" s="29" t="n"/>
      <c r="C285" s="29" t="n"/>
      <c r="D285" s="29" t="n"/>
      <c r="E285" s="29" t="n"/>
      <c r="F285" s="29" t="n"/>
      <c r="G285" s="29" t="n"/>
      <c r="H285" s="29">
        <f>IF(A285="","",IF(COUNTIF(A1_Etudiants!$B$3:$B$50000,A285)=0,"NOUVEAU","EXISTANT"))</f>
        <v/>
      </c>
    </row>
    <row r="286" ht="15" customHeight="1" s="22">
      <c r="A286" s="29" t="n"/>
      <c r="B286" s="29" t="n"/>
      <c r="C286" s="29" t="n"/>
      <c r="D286" s="29" t="n"/>
      <c r="E286" s="29" t="n"/>
      <c r="F286" s="29" t="n"/>
      <c r="G286" s="29" t="n"/>
      <c r="H286" s="29">
        <f>IF(A286="","",IF(COUNTIF(A1_Etudiants!$B$3:$B$50000,A286)=0,"NOUVEAU","EXISTANT"))</f>
        <v/>
      </c>
    </row>
    <row r="287" ht="15" customHeight="1" s="22">
      <c r="A287" s="29" t="n"/>
      <c r="B287" s="29" t="n"/>
      <c r="C287" s="29" t="n"/>
      <c r="D287" s="29" t="n"/>
      <c r="E287" s="29" t="n"/>
      <c r="F287" s="29" t="n"/>
      <c r="G287" s="29" t="n"/>
      <c r="H287" s="29">
        <f>IF(A287="","",IF(COUNTIF(A1_Etudiants!$B$3:$B$50000,A287)=0,"NOUVEAU","EXISTANT"))</f>
        <v/>
      </c>
    </row>
    <row r="288" ht="15" customHeight="1" s="22">
      <c r="A288" s="29" t="n"/>
      <c r="B288" s="29" t="n"/>
      <c r="C288" s="29" t="n"/>
      <c r="D288" s="29" t="n"/>
      <c r="E288" s="29" t="n"/>
      <c r="F288" s="29" t="n"/>
      <c r="G288" s="29" t="n"/>
      <c r="H288" s="29">
        <f>IF(A288="","",IF(COUNTIF(A1_Etudiants!$B$3:$B$50000,A288)=0,"NOUVEAU","EXISTANT"))</f>
        <v/>
      </c>
    </row>
    <row r="289" ht="15" customHeight="1" s="22">
      <c r="A289" s="29" t="n"/>
      <c r="B289" s="29" t="n"/>
      <c r="C289" s="29" t="n"/>
      <c r="D289" s="29" t="n"/>
      <c r="E289" s="29" t="n"/>
      <c r="F289" s="29" t="n"/>
      <c r="G289" s="29" t="n"/>
      <c r="H289" s="29">
        <f>IF(A289="","",IF(COUNTIF(A1_Etudiants!$B$3:$B$50000,A289)=0,"NOUVEAU","EXISTANT"))</f>
        <v/>
      </c>
    </row>
    <row r="290" ht="15" customHeight="1" s="22">
      <c r="A290" s="29" t="n"/>
      <c r="B290" s="29" t="n"/>
      <c r="C290" s="29" t="n"/>
      <c r="D290" s="29" t="n"/>
      <c r="E290" s="29" t="n"/>
      <c r="F290" s="29" t="n"/>
      <c r="G290" s="29" t="n"/>
      <c r="H290" s="29">
        <f>IF(A290="","",IF(COUNTIF(A1_Etudiants!$B$3:$B$50000,A290)=0,"NOUVEAU","EXISTANT"))</f>
        <v/>
      </c>
    </row>
    <row r="291" ht="15" customHeight="1" s="22">
      <c r="A291" s="29" t="n"/>
      <c r="B291" s="29" t="n"/>
      <c r="C291" s="29" t="n"/>
      <c r="D291" s="29" t="n"/>
      <c r="E291" s="29" t="n"/>
      <c r="F291" s="29" t="n"/>
      <c r="G291" s="29" t="n"/>
      <c r="H291" s="29">
        <f>IF(A291="","",IF(COUNTIF(A1_Etudiants!$B$3:$B$50000,A291)=0,"NOUVEAU","EXISTANT"))</f>
        <v/>
      </c>
    </row>
    <row r="292" ht="15" customHeight="1" s="22">
      <c r="A292" s="29" t="n"/>
      <c r="B292" s="29" t="n"/>
      <c r="C292" s="29" t="n"/>
      <c r="D292" s="29" t="n"/>
      <c r="E292" s="29" t="n"/>
      <c r="F292" s="29" t="n"/>
      <c r="G292" s="29" t="n"/>
      <c r="H292" s="29">
        <f>IF(A292="","",IF(COUNTIF(A1_Etudiants!$B$3:$B$50000,A292)=0,"NOUVEAU","EXISTANT"))</f>
        <v/>
      </c>
    </row>
    <row r="293" ht="15" customHeight="1" s="22">
      <c r="A293" s="29" t="n"/>
      <c r="B293" s="29" t="n"/>
      <c r="C293" s="29" t="n"/>
      <c r="D293" s="29" t="n"/>
      <c r="E293" s="29" t="n"/>
      <c r="F293" s="29" t="n"/>
      <c r="G293" s="29" t="n"/>
      <c r="H293" s="29">
        <f>IF(A293="","",IF(COUNTIF(A1_Etudiants!$B$3:$B$50000,A293)=0,"NOUVEAU","EXISTANT"))</f>
        <v/>
      </c>
    </row>
    <row r="294" ht="15" customHeight="1" s="22">
      <c r="A294" s="29" t="n"/>
      <c r="B294" s="29" t="n"/>
      <c r="C294" s="29" t="n"/>
      <c r="D294" s="29" t="n"/>
      <c r="E294" s="29" t="n"/>
      <c r="F294" s="29" t="n"/>
      <c r="G294" s="29" t="n"/>
      <c r="H294" s="29">
        <f>IF(A294="","",IF(COUNTIF(A1_Etudiants!$B$3:$B$50000,A294)=0,"NOUVEAU","EXISTANT"))</f>
        <v/>
      </c>
    </row>
    <row r="295" ht="15" customHeight="1" s="22">
      <c r="A295" s="29" t="n"/>
      <c r="B295" s="29" t="n"/>
      <c r="C295" s="29" t="n"/>
      <c r="D295" s="29" t="n"/>
      <c r="E295" s="29" t="n"/>
      <c r="F295" s="29" t="n"/>
      <c r="G295" s="29" t="n"/>
      <c r="H295" s="29">
        <f>IF(A295="","",IF(COUNTIF(A1_Etudiants!$B$3:$B$50000,A295)=0,"NOUVEAU","EXISTANT"))</f>
        <v/>
      </c>
    </row>
    <row r="296" ht="15" customHeight="1" s="22">
      <c r="A296" s="29" t="n"/>
      <c r="B296" s="29" t="n"/>
      <c r="C296" s="29" t="n"/>
      <c r="D296" s="29" t="n"/>
      <c r="E296" s="29" t="n"/>
      <c r="F296" s="29" t="n"/>
      <c r="G296" s="29" t="n"/>
      <c r="H296" s="29">
        <f>IF(A296="","",IF(COUNTIF(A1_Etudiants!$B$3:$B$50000,A296)=0,"NOUVEAU","EXISTANT"))</f>
        <v/>
      </c>
    </row>
    <row r="297" ht="15" customHeight="1" s="22">
      <c r="A297" s="29" t="n"/>
      <c r="B297" s="29" t="n"/>
      <c r="C297" s="29" t="n"/>
      <c r="D297" s="29" t="n"/>
      <c r="E297" s="29" t="n"/>
      <c r="F297" s="29" t="n"/>
      <c r="G297" s="29" t="n"/>
      <c r="H297" s="29">
        <f>IF(A297="","",IF(COUNTIF(A1_Etudiants!$B$3:$B$50000,A297)=0,"NOUVEAU","EXISTANT"))</f>
        <v/>
      </c>
    </row>
    <row r="298" ht="15" customHeight="1" s="22">
      <c r="A298" s="29" t="n"/>
      <c r="B298" s="29" t="n"/>
      <c r="C298" s="29" t="n"/>
      <c r="D298" s="29" t="n"/>
      <c r="E298" s="29" t="n"/>
      <c r="F298" s="29" t="n"/>
      <c r="G298" s="29" t="n"/>
      <c r="H298" s="29">
        <f>IF(A298="","",IF(COUNTIF(A1_Etudiants!$B$3:$B$50000,A298)=0,"NOUVEAU","EXISTANT"))</f>
        <v/>
      </c>
    </row>
    <row r="299" ht="15" customHeight="1" s="22">
      <c r="A299" s="29" t="n"/>
      <c r="B299" s="29" t="n"/>
      <c r="C299" s="29" t="n"/>
      <c r="D299" s="29" t="n"/>
      <c r="E299" s="29" t="n"/>
      <c r="F299" s="29" t="n"/>
      <c r="G299" s="29" t="n"/>
      <c r="H299" s="29">
        <f>IF(A299="","",IF(COUNTIF(A1_Etudiants!$B$3:$B$50000,A299)=0,"NOUVEAU","EXISTANT"))</f>
        <v/>
      </c>
    </row>
    <row r="300" ht="15" customHeight="1" s="22">
      <c r="A300" s="29" t="n"/>
      <c r="B300" s="29" t="n"/>
      <c r="C300" s="29" t="n"/>
      <c r="D300" s="29" t="n"/>
      <c r="E300" s="29" t="n"/>
      <c r="F300" s="29" t="n"/>
      <c r="G300" s="29" t="n"/>
      <c r="H300" s="29">
        <f>IF(A300="","",IF(COUNTIF(A1_Etudiants!$B$3:$B$50000,A300)=0,"NOUVEAU","EXISTANT"))</f>
        <v/>
      </c>
    </row>
  </sheetData>
  <autoFilter ref="A2:H300"/>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1" min="1" max="1"/>
    <col width="30" customWidth="1" style="21" min="2" max="2"/>
    <col width="42" customWidth="1" style="21" min="3" max="3"/>
    <col width="30" customWidth="1" style="21" min="4" max="4"/>
    <col width="64" customWidth="1" style="21" min="5" max="5"/>
    <col width="30" customWidth="1" style="21" min="6" max="6"/>
    <col width="28" customWidth="1" style="21" min="7" max="7"/>
    <col width="9" customWidth="1" style="21" min="8" max="8"/>
  </cols>
  <sheetData>
    <row r="1" ht="30" customHeight="1" s="22">
      <c r="A1" s="23" t="inlineStr">
        <is>
          <t>MODELES DE DOCUMENTS — IMPRESSIONS &amp; EDITIONS</t>
        </is>
      </c>
    </row>
    <row r="2" ht="31.5" customHeight="1" s="22">
      <c r="A2" s="28" t="inlineStr">
        <is>
          <t>Cle doc</t>
        </is>
      </c>
      <c r="B2" s="28" t="inlineStr">
        <is>
          <t>Libelle</t>
        </is>
      </c>
      <c r="C2" s="28" t="inlineStr">
        <is>
          <t>En-tete</t>
        </is>
      </c>
      <c r="D2" s="28" t="inlineStr">
        <is>
          <t>Titre</t>
        </is>
      </c>
      <c r="E2" s="28" t="inlineStr">
        <is>
          <t>Corps</t>
        </is>
      </c>
      <c r="F2" s="28" t="inlineStr">
        <is>
          <t>Mentions / pied</t>
        </is>
      </c>
      <c r="G2" s="28" t="inlineStr">
        <is>
          <t>Libelle signataire</t>
        </is>
      </c>
      <c r="H2" s="28" t="inlineStr">
        <is>
          <t>Nb copies</t>
        </is>
      </c>
    </row>
    <row r="3" ht="81.75" customHeight="1" s="22">
      <c r="A3" s="39" t="inlineStr">
        <is>
          <t>LISTE_ETUD</t>
        </is>
      </c>
      <c r="B3" s="39" t="inlineStr">
        <is>
          <t>Liste d'etudiants</t>
        </is>
      </c>
      <c r="C3" s="39" t="inlineStr">
        <is>
          <t>UNION DES COMORES
Unite - Solidarite - Developpement
Ministere de l'Education Nationale, de l'Enseignement Superieur et de la Recherche
Universite des Comores
Ecole de Medecine et de Sante Publique</t>
        </is>
      </c>
      <c r="D3" s="39" t="inlineStr">
        <is>
          <t>LISTE DES ETUDIANTS</t>
        </is>
      </c>
      <c r="E3" s="39" t="n"/>
      <c r="F3" s="39" t="n"/>
      <c r="G3" s="39" t="inlineStr">
        <is>
          <t>Le Chef de la Scolarite</t>
        </is>
      </c>
      <c r="H3" s="39" t="inlineStr">
        <is>
          <t>1</t>
        </is>
      </c>
    </row>
    <row r="4" ht="81.75" customHeight="1" s="22">
      <c r="A4" s="39" t="inlineStr">
        <is>
          <t>PRESENCE_VIERGE</t>
        </is>
      </c>
      <c r="B4" s="39" t="inlineStr">
        <is>
          <t>Feuille de presence vierge</t>
        </is>
      </c>
      <c r="C4" s="39" t="inlineStr">
        <is>
          <t>UNION DES COMORES
Unite - Solidarite - Developpement
Ministere de l'Education Nationale, de l'Enseignement Superieur et de la Recherche
Universite des Comores
Ecole de Medecine et de Sante Publique</t>
        </is>
      </c>
      <c r="D4" s="39" t="inlineStr">
        <is>
          <t>FICHE DE PRESENCE</t>
        </is>
      </c>
      <c r="E4" s="39" t="inlineStr">
        <is>
          <t>Hopital ou centre : ......................   Section : ......................
Periode du ...... / ...... / ......  au  ...... / ...... / ......</t>
        </is>
      </c>
      <c r="F4" s="39" t="inlineStr">
        <is>
          <t>En cas de rectification, les services concernes seront avertis.</t>
        </is>
      </c>
      <c r="G4" s="39" t="inlineStr">
        <is>
          <t>Signature du responsable de service</t>
        </is>
      </c>
      <c r="H4" s="39" t="inlineStr">
        <is>
          <t>1</t>
        </is>
      </c>
    </row>
    <row r="5" ht="122.25" customHeight="1" s="22">
      <c r="A5" s="39" t="inlineStr">
        <is>
          <t>RELEVE_IND</t>
        </is>
      </c>
      <c r="B5" s="39" t="inlineStr">
        <is>
          <t>Releve d'heures individuel (paie)</t>
        </is>
      </c>
      <c r="C5" s="39" t="inlineStr">
        <is>
          <t>UNION DES COMORES
Unite - Solidarite - Developpement
Ministere de l'Education Nationale, de l'Enseignement Superieur et de la Recherche
Universite des Comores
Ecole de Medecine et de Sante Publique</t>
        </is>
      </c>
      <c r="D5" s="39" t="inlineStr">
        <is>
          <t>RELEVE D'HEURES - ENSEIGNANT</t>
        </is>
      </c>
      <c r="E5" s="39" t="inlineStr">
        <is>
          <t>Enseignant : {nom} {prenom} (matricule {matricule})
Statut : {statut}    Departement : {departement}
Periode : {mois_annee}
Volume horaire programme : {vol_prog} h
Volume horaire constate : {vol_constate} h
Total heures a payer : {total_heures} h
Releve etabli pour la paie. Fait a Moroni, le {date_jour}.</t>
        </is>
      </c>
      <c r="F5" s="39" t="inlineStr">
        <is>
          <t>Heures uniquement (sans taux ni montant).</t>
        </is>
      </c>
      <c r="G5" s="39" t="inlineStr">
        <is>
          <t>L'enseignant / Le Chef de departement</t>
        </is>
      </c>
      <c r="H5" s="39" t="inlineStr">
        <is>
          <t>1</t>
        </is>
      </c>
    </row>
    <row r="6" ht="81.75" customHeight="1" s="22">
      <c r="A6" s="39" t="inlineStr">
        <is>
          <t>RELEVE_RECAP</t>
        </is>
      </c>
      <c r="B6" s="39" t="inlineStr">
        <is>
          <t>Recapitulatif mensuel des heures (tous enseignants)</t>
        </is>
      </c>
      <c r="C6" s="39" t="inlineStr">
        <is>
          <t>UNION DES COMORES
Unite - Solidarite - Developpement
Ministere de l'Education Nationale, de l'Enseignement Superieur et de la Recherche
Universite des Comores
Ecole de Medecine et de Sante Publique</t>
        </is>
      </c>
      <c r="D6" s="39" t="inlineStr">
        <is>
          <t>RECAPITULATIF MENSUEL DES HEURES - ENSEIGNANTS</t>
        </is>
      </c>
      <c r="E6" s="39" t="n"/>
      <c r="F6" s="39" t="inlineStr">
        <is>
          <t>Heures uniquement (sans taux ni montant).</t>
        </is>
      </c>
      <c r="G6" s="39" t="inlineStr">
        <is>
          <t>La Direction</t>
        </is>
      </c>
      <c r="H6" s="39" t="inlineStr">
        <is>
          <t>1</t>
        </is>
      </c>
    </row>
    <row r="7" ht="135.75" customHeight="1" s="22">
      <c r="A7" s="39" t="inlineStr">
        <is>
          <t>RECU</t>
        </is>
      </c>
      <c r="B7" s="39" t="inlineStr">
        <is>
          <t>Recu de paiement</t>
        </is>
      </c>
      <c r="C7" s="39" t="inlineStr">
        <is>
          <t>UNION DES COMORES
Unite - Solidarite - Developpement
Ministere de l'Education Nationale, de l'Enseignement Superieur et de la Recherche
Universite des Comores
Ecole de Medecine et de Sante Publique</t>
        </is>
      </c>
      <c r="D7" s="39" t="inlineStr">
        <is>
          <t>RECU DE PAIEMENT</t>
        </is>
      </c>
      <c r="E7" s="39" t="inlineStr">
        <is>
          <t>Recu N {reference}
Recu de {tiers} la somme de {montant} KMF (Francs comoriens),
au titre de : {categorie} - {libelle}.
Date de l'operation : {date_operation}
Mode de paiement : {mode_paiement}
Compte / caisse : {compte}
Fait a Moroni, le {date_jour}.</t>
        </is>
      </c>
      <c r="F7" s="39" t="inlineStr">
        <is>
          <t>Ce recu fait foi de paiement.</t>
        </is>
      </c>
      <c r="G7" s="39" t="inlineStr">
        <is>
          <t>Le Comptable</t>
        </is>
      </c>
      <c r="H7" s="39" t="inlineStr">
        <is>
          <t>2</t>
        </is>
      </c>
    </row>
    <row r="8" ht="135.75" customHeight="1" s="22">
      <c r="A8" s="39" t="inlineStr">
        <is>
          <t>ATTESTATION</t>
        </is>
      </c>
      <c r="B8" s="39" t="inlineStr">
        <is>
          <t>Attestation de passage</t>
        </is>
      </c>
      <c r="C8" s="39" t="inlineStr">
        <is>
          <t>UNION DES COMORES
Unite - Solidarite - Developpement
Ministere de l'Education Nationale, de l'Enseignement Superieur et de la Recherche
Universite des Comores
Ecole de Medecine et de Sante Publique</t>
        </is>
      </c>
      <c r="D8" s="39" t="inlineStr">
        <is>
          <t>ATTESTATION DE PASSAGE</t>
        </is>
      </c>
      <c r="E8" s="39" t="inlineStr">
        <is>
          <t>Je soussigne(e), responsable de la scolarite de l'Ecole de Medecine et de Sante Publique, atteste que :
{civilite} {prenom} {nom}, ne(e) le {date_naissance} a {lieu_naissance}, matricule {matricule}, est regulierement inscrit(e) en {niveau} - {filiere} (section {section}) au titre de l'annee academique {annee}.
La presente attestation est delivree pour servir et valoir ce que de droit.
Fait a Moroni, le {date_jour}.</t>
        </is>
      </c>
      <c r="F8" s="39" t="n"/>
      <c r="G8" s="39" t="inlineStr">
        <is>
          <t>Le Chef de la Scolarite</t>
        </is>
      </c>
      <c r="H8" s="39" t="inlineStr">
        <is>
          <t>1</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P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21" min="1" max="1"/>
    <col width="22" customWidth="1" style="21" min="2" max="2"/>
    <col width="13" customWidth="1" style="21" min="3" max="3"/>
    <col width="12" customWidth="1" style="21" min="4" max="5"/>
    <col width="16" customWidth="1" style="21" min="6" max="6"/>
    <col width="22" customWidth="1" style="21" min="7" max="7"/>
    <col width="30" customWidth="1" style="21" min="8" max="8"/>
    <col width="14" customWidth="1" style="21" min="9" max="10"/>
  </cols>
  <sheetData>
    <row r="1" ht="30" customHeight="1" s="22">
      <c r="A1" s="23" t="inlineStr">
        <is>
          <t>RESERVATIONS DE SALLES (HORS COURS)</t>
        </is>
      </c>
    </row>
    <row r="2" ht="31.5" customHeight="1" s="22">
      <c r="A2" s="28" t="inlineStr">
        <is>
          <t>ID reservation (*)</t>
        </is>
      </c>
      <c r="B2" s="28" t="inlineStr">
        <is>
          <t>Salle (**)</t>
        </is>
      </c>
      <c r="C2" s="28" t="inlineStr">
        <is>
          <t>Date (**)</t>
        </is>
      </c>
      <c r="D2" s="28" t="inlineStr">
        <is>
          <t>Heure debut (**)</t>
        </is>
      </c>
      <c r="E2" s="28" t="inlineStr">
        <is>
          <t>Heure fin (**)</t>
        </is>
      </c>
      <c r="F2" s="28" t="inlineStr">
        <is>
          <t>Type (**)</t>
        </is>
      </c>
      <c r="G2" s="28" t="inlineStr">
        <is>
          <t>Reserve par (**)</t>
        </is>
      </c>
      <c r="H2" s="28" t="inlineStr">
        <is>
          <t>Motif / objet (**)</t>
        </is>
      </c>
      <c r="I2" s="28" t="inlineStr">
        <is>
          <t>Statut (**)</t>
        </is>
      </c>
      <c r="J2" s="28" t="inlineStr">
        <is>
          <t>Saisi par (*)</t>
        </is>
      </c>
      <c r="K2" s="28" t="inlineStr">
        <is>
          <t>Seance liee (ID session A3)</t>
        </is>
      </c>
      <c r="L2" s="28" t="inlineStr">
        <is>
          <t>Filiere</t>
        </is>
      </c>
      <c r="M2" s="28" t="inlineStr">
        <is>
          <t>Niveau</t>
        </is>
      </c>
      <c r="N2" s="28" t="inlineStr">
        <is>
          <t>Matiere</t>
        </is>
      </c>
      <c r="O2" s="28" t="inlineStr">
        <is>
          <t>Matricule ens.</t>
        </is>
      </c>
      <c r="P2" s="28" t="inlineStr">
        <is>
          <t>Enseignant</t>
        </is>
      </c>
    </row>
  </sheetData>
  <mergeCells count="1">
    <mergeCell ref="A1:J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M28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21" min="1" max="1"/>
    <col width="28" customWidth="1" style="21" min="2" max="2"/>
    <col width="20" customWidth="1" style="21" min="3" max="3"/>
    <col width="24" customWidth="1" style="21" min="4" max="4"/>
    <col width="16" customWidth="1" style="21" min="5" max="5"/>
    <col width="30" customWidth="1" style="21" min="6" max="6"/>
    <col width="14" customWidth="1" style="21" min="7" max="7"/>
    <col width="18" customWidth="1" style="21" min="8" max="8"/>
    <col width="14" customWidth="1" style="21" min="9" max="9"/>
    <col width="18" customWidth="1" style="21" min="10" max="10"/>
    <col width="14" customWidth="1" style="21" min="11" max="11"/>
    <col width="10" customWidth="1" style="22" min="13" max="13"/>
  </cols>
  <sheetData>
    <row r="1" ht="30" customHeight="1" s="22">
      <c r="A1" s="23" t="inlineStr">
        <is>
          <t>EQUIPEMENTS — INVENTAIRE DE PILOTAGE</t>
        </is>
      </c>
    </row>
    <row r="2" ht="31.5" customHeight="1" s="22">
      <c r="A2" s="28" t="inlineStr">
        <is>
          <t>ID equipement (*)</t>
        </is>
      </c>
      <c r="B2" s="28" t="inlineStr">
        <is>
          <t>Designation (**)</t>
        </is>
      </c>
      <c r="C2" s="28" t="inlineStr">
        <is>
          <t>Categorie (**)</t>
        </is>
      </c>
      <c r="D2" s="28" t="inlineStr">
        <is>
          <t>Salle / localisation (**)</t>
        </is>
      </c>
      <c r="E2" s="28" t="inlineStr">
        <is>
          <t>Date d'acquisition (**)</t>
        </is>
      </c>
      <c r="F2" s="28" t="inlineStr">
        <is>
          <t>Source de financement / Bailleur (**)</t>
        </is>
      </c>
      <c r="G2" s="28" t="inlineStr">
        <is>
          <t>Montant (KMF) (**)</t>
        </is>
      </c>
      <c r="H2" s="28" t="inlineStr">
        <is>
          <t>Reference / N piece (**)</t>
        </is>
      </c>
      <c r="I2" s="28" t="inlineStr">
        <is>
          <t>Etat (**)</t>
        </is>
      </c>
      <c r="J2" s="28" t="inlineStr">
        <is>
          <t>N inventaire / serie (**)</t>
        </is>
      </c>
      <c r="K2" s="28" t="inlineStr">
        <is>
          <t>Saisi par (*)</t>
        </is>
      </c>
      <c r="L2" s="28" t="inlineStr">
        <is>
          <t>Localisation provisoire (**)</t>
        </is>
      </c>
      <c r="M2" s="28" t="inlineStr">
        <is>
          <t>Quantite (**)</t>
        </is>
      </c>
    </row>
    <row r="3">
      <c r="A3" s="21" t="inlineStr">
        <is>
          <t>EQ001</t>
        </is>
      </c>
      <c r="B3" s="21" t="inlineStr">
        <is>
          <t>Ordinateur</t>
        </is>
      </c>
      <c r="C3" s="21" t="inlineStr">
        <is>
          <t>Informatique</t>
        </is>
      </c>
      <c r="D3" s="21" t="inlineStr">
        <is>
          <t>Bureau de la Direction</t>
        </is>
      </c>
      <c r="E3" s="21" t="inlineStr">
        <is>
          <t>2015</t>
        </is>
      </c>
      <c r="I3" s="21" t="inlineStr">
        <is>
          <t>Opérationnel</t>
        </is>
      </c>
      <c r="J3" s="21" t="inlineStr">
        <is>
          <t>UDC/EMSP/001- 001Bis /ORD/DG</t>
        </is>
      </c>
      <c r="K3" s="21" t="inlineStr">
        <is>
          <t>import inventaire</t>
        </is>
      </c>
      <c r="M3" s="21" t="n">
        <v>2</v>
      </c>
    </row>
    <row r="4">
      <c r="A4" s="21" t="inlineStr">
        <is>
          <t>EQ002</t>
        </is>
      </c>
      <c r="B4" s="21" t="inlineStr">
        <is>
          <t>Imprimante</t>
        </is>
      </c>
      <c r="C4" s="21" t="inlineStr">
        <is>
          <t>Informatique</t>
        </is>
      </c>
      <c r="D4" s="21" t="inlineStr">
        <is>
          <t>Bureau de la Direction</t>
        </is>
      </c>
      <c r="E4" s="21" t="inlineStr">
        <is>
          <t>2015</t>
        </is>
      </c>
      <c r="I4" s="21" t="inlineStr">
        <is>
          <t>Opérationnel</t>
        </is>
      </c>
      <c r="J4" s="21" t="inlineStr">
        <is>
          <t>UDC/EMSP/001/IMP/DG</t>
        </is>
      </c>
      <c r="K4" s="21" t="inlineStr">
        <is>
          <t>import inventaire</t>
        </is>
      </c>
      <c r="M4" s="21" t="n">
        <v>1</v>
      </c>
    </row>
    <row r="5">
      <c r="A5" s="21" t="inlineStr">
        <is>
          <t>EQ003</t>
        </is>
      </c>
      <c r="B5" s="21" t="inlineStr">
        <is>
          <t>Tableau de bureau</t>
        </is>
      </c>
      <c r="C5" s="21" t="inlineStr">
        <is>
          <t>Pédagogique</t>
        </is>
      </c>
      <c r="D5" s="21" t="inlineStr">
        <is>
          <t>Bureau de la Direction</t>
        </is>
      </c>
      <c r="E5" s="21" t="inlineStr">
        <is>
          <t>2015</t>
        </is>
      </c>
      <c r="I5" s="21" t="inlineStr">
        <is>
          <t>Opérationnel</t>
        </is>
      </c>
      <c r="J5" s="21" t="inlineStr">
        <is>
          <t>UD/EMSP/001/TAB/002/TAB/003/TAB/DG</t>
        </is>
      </c>
      <c r="K5" s="21" t="inlineStr">
        <is>
          <t>import inventaire</t>
        </is>
      </c>
      <c r="M5" s="21" t="n">
        <v>3</v>
      </c>
    </row>
    <row r="6">
      <c r="A6" s="21" t="inlineStr">
        <is>
          <t>EQ004</t>
        </is>
      </c>
      <c r="B6" s="21" t="inlineStr">
        <is>
          <t>Etagere</t>
        </is>
      </c>
      <c r="C6" s="21" t="inlineStr">
        <is>
          <t>Mobilier</t>
        </is>
      </c>
      <c r="D6" s="21" t="inlineStr">
        <is>
          <t>Bureau de la Direction</t>
        </is>
      </c>
      <c r="E6" s="21" t="inlineStr">
        <is>
          <t>20155</t>
        </is>
      </c>
      <c r="I6" s="21" t="inlineStr">
        <is>
          <t>Opérationnel</t>
        </is>
      </c>
      <c r="J6" s="21" t="inlineStr">
        <is>
          <t>UDC/EMSP/001/ET/002/ET/DG</t>
        </is>
      </c>
      <c r="K6" s="21" t="inlineStr">
        <is>
          <t>import inventaire</t>
        </is>
      </c>
      <c r="M6" s="21" t="n">
        <v>2</v>
      </c>
    </row>
    <row r="7">
      <c r="A7" s="21" t="inlineStr">
        <is>
          <t>EQ005</t>
        </is>
      </c>
      <c r="B7" s="21" t="inlineStr">
        <is>
          <t>Armoire</t>
        </is>
      </c>
      <c r="C7" s="21" t="inlineStr">
        <is>
          <t>Mobilier</t>
        </is>
      </c>
      <c r="D7" s="21" t="inlineStr">
        <is>
          <t>Bureau de la Direction</t>
        </is>
      </c>
      <c r="E7" s="21" t="inlineStr"/>
      <c r="I7" s="21" t="inlineStr">
        <is>
          <t>Hors usage / En panne</t>
        </is>
      </c>
      <c r="J7" s="21" t="inlineStr">
        <is>
          <t>UDC/EMSP/008/A/DG</t>
        </is>
      </c>
      <c r="K7" s="21" t="inlineStr">
        <is>
          <t>import inventaire</t>
        </is>
      </c>
      <c r="M7" s="21" t="n">
        <v>1</v>
      </c>
    </row>
    <row r="8">
      <c r="A8" s="21" t="inlineStr">
        <is>
          <t>EQ006</t>
        </is>
      </c>
      <c r="B8" s="21" t="inlineStr">
        <is>
          <t>Fauteuil</t>
        </is>
      </c>
      <c r="C8" s="21" t="inlineStr">
        <is>
          <t>Mobilier</t>
        </is>
      </c>
      <c r="D8" s="21" t="inlineStr">
        <is>
          <t>Bureau de la Direction</t>
        </is>
      </c>
      <c r="E8" s="21" t="inlineStr"/>
      <c r="I8" s="21" t="inlineStr">
        <is>
          <t>Opérationnel</t>
        </is>
      </c>
      <c r="J8" s="21" t="inlineStr">
        <is>
          <t>UDC/EMSP/001/FOT/DG</t>
        </is>
      </c>
      <c r="K8" s="21" t="inlineStr">
        <is>
          <t>import inventaire</t>
        </is>
      </c>
      <c r="M8" s="21" t="n">
        <v>1</v>
      </c>
    </row>
    <row r="9">
      <c r="A9" s="21" t="inlineStr">
        <is>
          <t>EQ007</t>
        </is>
      </c>
      <c r="B9" s="21" t="inlineStr">
        <is>
          <t>Chaise</t>
        </is>
      </c>
      <c r="C9" s="21" t="inlineStr">
        <is>
          <t>Mobilier</t>
        </is>
      </c>
      <c r="D9" s="21" t="inlineStr">
        <is>
          <t>Bureau de la Direction</t>
        </is>
      </c>
      <c r="E9" s="21" t="inlineStr"/>
      <c r="I9" s="21" t="inlineStr">
        <is>
          <t>Opérationnel</t>
        </is>
      </c>
      <c r="J9" s="21" t="inlineStr">
        <is>
          <t>UDC/EMSP/001-002-003-004-005-006/CHA/DG</t>
        </is>
      </c>
      <c r="K9" s="21" t="inlineStr">
        <is>
          <t>import inventaire</t>
        </is>
      </c>
      <c r="M9" s="21" t="n">
        <v>6</v>
      </c>
    </row>
    <row r="10">
      <c r="A10" s="21" t="inlineStr">
        <is>
          <t>EQ008</t>
        </is>
      </c>
      <c r="B10" s="21" t="inlineStr">
        <is>
          <t>Frigo</t>
        </is>
      </c>
      <c r="C10" s="21" t="inlineStr">
        <is>
          <t>Divers</t>
        </is>
      </c>
      <c r="D10" s="21" t="inlineStr">
        <is>
          <t>Bureau de la Direction</t>
        </is>
      </c>
      <c r="E10" s="21" t="inlineStr"/>
      <c r="I10" s="21" t="inlineStr">
        <is>
          <t>Opérationnel</t>
        </is>
      </c>
      <c r="J10" s="21" t="inlineStr">
        <is>
          <t>UDC/EMSP/001/F/DG</t>
        </is>
      </c>
      <c r="K10" s="21" t="inlineStr">
        <is>
          <t>import inventaire</t>
        </is>
      </c>
      <c r="M10" s="21" t="n">
        <v>1</v>
      </c>
    </row>
    <row r="11">
      <c r="A11" s="21" t="inlineStr">
        <is>
          <t>EQ009</t>
        </is>
      </c>
      <c r="B11" s="21" t="inlineStr">
        <is>
          <t>Rallonge</t>
        </is>
      </c>
      <c r="C11" s="21" t="inlineStr">
        <is>
          <t>Divers</t>
        </is>
      </c>
      <c r="D11" s="21" t="inlineStr">
        <is>
          <t>Bureau de la Direction</t>
        </is>
      </c>
      <c r="E11" s="21" t="inlineStr">
        <is>
          <t>2018</t>
        </is>
      </c>
      <c r="I11" s="21" t="inlineStr">
        <is>
          <t>Opérationnel</t>
        </is>
      </c>
      <c r="J11" s="21" t="inlineStr">
        <is>
          <t>UDC/EMSP/006/007/R/DG</t>
        </is>
      </c>
      <c r="K11" s="21" t="inlineStr">
        <is>
          <t>import inventaire</t>
        </is>
      </c>
      <c r="M11" s="21" t="n">
        <v>2</v>
      </c>
    </row>
    <row r="12">
      <c r="A12" s="21" t="inlineStr">
        <is>
          <t>EQ010</t>
        </is>
      </c>
      <c r="B12" s="21" t="inlineStr">
        <is>
          <t>Climatiseur</t>
        </is>
      </c>
      <c r="C12" s="21" t="inlineStr">
        <is>
          <t>Climatisation</t>
        </is>
      </c>
      <c r="D12" s="21" t="inlineStr">
        <is>
          <t>Bureau de la Direction</t>
        </is>
      </c>
      <c r="E12" s="21" t="inlineStr">
        <is>
          <t>2015</t>
        </is>
      </c>
      <c r="I12" s="21" t="inlineStr">
        <is>
          <t>Opérationnel</t>
        </is>
      </c>
      <c r="J12" s="21" t="inlineStr">
        <is>
          <t>UDC/EMSP/001/CLI/DG</t>
        </is>
      </c>
      <c r="K12" s="21" t="inlineStr">
        <is>
          <t>import inventaire</t>
        </is>
      </c>
      <c r="M12" s="21" t="n">
        <v>1</v>
      </c>
    </row>
    <row r="13">
      <c r="A13" s="21" t="inlineStr">
        <is>
          <t>EQ011</t>
        </is>
      </c>
      <c r="B13" s="21" t="inlineStr">
        <is>
          <t>Appareil telephoniques</t>
        </is>
      </c>
      <c r="C13" s="21" t="inlineStr">
        <is>
          <t>Divers</t>
        </is>
      </c>
      <c r="D13" s="21" t="inlineStr">
        <is>
          <t>Bureau de la Direction</t>
        </is>
      </c>
      <c r="E13" s="21" t="inlineStr">
        <is>
          <t>2015</t>
        </is>
      </c>
      <c r="I13" s="21" t="inlineStr">
        <is>
          <t>Opérationnel</t>
        </is>
      </c>
      <c r="J13" s="21" t="inlineStr">
        <is>
          <t>UDC/EMSP/001/AT/DG</t>
        </is>
      </c>
      <c r="K13" s="21" t="inlineStr">
        <is>
          <t>import inventaire</t>
        </is>
      </c>
      <c r="M13" s="21" t="n">
        <v>1</v>
      </c>
    </row>
    <row r="14">
      <c r="A14" s="21" t="inlineStr">
        <is>
          <t>EQ012</t>
        </is>
      </c>
      <c r="B14" s="21" t="inlineStr">
        <is>
          <t>Coussin</t>
        </is>
      </c>
      <c r="C14" s="21" t="inlineStr">
        <is>
          <t>Mobilier</t>
        </is>
      </c>
      <c r="D14" s="21" t="inlineStr">
        <is>
          <t>Bureau de la Direction</t>
        </is>
      </c>
      <c r="E14" s="21" t="inlineStr"/>
      <c r="I14" s="21" t="inlineStr">
        <is>
          <t>Moyen état</t>
        </is>
      </c>
      <c r="J14" s="21" t="inlineStr">
        <is>
          <t>UDC/EMSP/001/COU/DG</t>
        </is>
      </c>
      <c r="K14" s="21" t="inlineStr">
        <is>
          <t>import inventaire</t>
        </is>
      </c>
      <c r="M14" s="21" t="n">
        <v>1</v>
      </c>
    </row>
    <row r="15">
      <c r="A15" s="21" t="inlineStr">
        <is>
          <t>EQ013</t>
        </is>
      </c>
      <c r="B15" s="21" t="inlineStr">
        <is>
          <t>Ordinateur</t>
        </is>
      </c>
      <c r="C15" s="21" t="inlineStr">
        <is>
          <t>Informatique</t>
        </is>
      </c>
      <c r="D15" s="21" t="inlineStr">
        <is>
          <t>Bureau de l'Assistant de direction</t>
        </is>
      </c>
      <c r="E15" s="21" t="inlineStr"/>
      <c r="I15" s="21" t="inlineStr">
        <is>
          <t>Opérationnel</t>
        </is>
      </c>
      <c r="J15" s="21" t="inlineStr">
        <is>
          <t>UDC/EMSP/002/OR/AA</t>
        </is>
      </c>
      <c r="K15" s="21" t="inlineStr">
        <is>
          <t>import inventaire</t>
        </is>
      </c>
      <c r="M15" s="21" t="n">
        <v>1</v>
      </c>
    </row>
    <row r="16">
      <c r="A16" s="21" t="inlineStr">
        <is>
          <t>EQ014</t>
        </is>
      </c>
      <c r="B16" s="21" t="inlineStr">
        <is>
          <t>Imprimante</t>
        </is>
      </c>
      <c r="C16" s="21" t="inlineStr">
        <is>
          <t>Informatique</t>
        </is>
      </c>
      <c r="D16" s="21" t="inlineStr">
        <is>
          <t>Bureau de l'Assistant de direction</t>
        </is>
      </c>
      <c r="E16" s="21" t="inlineStr">
        <is>
          <t>2015</t>
        </is>
      </c>
      <c r="I16" s="21" t="inlineStr">
        <is>
          <t>Opérationnel</t>
        </is>
      </c>
      <c r="J16" s="21" t="inlineStr">
        <is>
          <t>UDC/EMSP/002/IMP/AA</t>
        </is>
      </c>
      <c r="K16" s="21" t="inlineStr">
        <is>
          <t>import inventaire</t>
        </is>
      </c>
      <c r="M16" s="21" t="n">
        <v>1</v>
      </c>
    </row>
    <row r="17">
      <c r="A17" s="21" t="inlineStr">
        <is>
          <t>EQ015</t>
        </is>
      </c>
      <c r="B17" s="21" t="inlineStr">
        <is>
          <t>Tableau de bureau</t>
        </is>
      </c>
      <c r="C17" s="21" t="inlineStr">
        <is>
          <t>Pédagogique</t>
        </is>
      </c>
      <c r="D17" s="21" t="inlineStr">
        <is>
          <t>Bureau de l'Assistant de direction</t>
        </is>
      </c>
      <c r="E17" s="21" t="inlineStr"/>
      <c r="I17" s="21" t="inlineStr">
        <is>
          <t>Opérationnel</t>
        </is>
      </c>
      <c r="J17" s="21" t="inlineStr">
        <is>
          <t>UDC/EMSP/004-005/TAB/AA</t>
        </is>
      </c>
      <c r="K17" s="21" t="inlineStr">
        <is>
          <t>import inventaire</t>
        </is>
      </c>
      <c r="M17" s="21" t="n">
        <v>2</v>
      </c>
    </row>
    <row r="18">
      <c r="A18" s="21" t="inlineStr">
        <is>
          <t>EQ016</t>
        </is>
      </c>
      <c r="B18" s="21" t="inlineStr">
        <is>
          <t>Etagere</t>
        </is>
      </c>
      <c r="C18" s="21" t="inlineStr">
        <is>
          <t>Mobilier</t>
        </is>
      </c>
      <c r="D18" s="21" t="inlineStr">
        <is>
          <t>Bureau de l'Assistant de direction</t>
        </is>
      </c>
      <c r="E18" s="21" t="inlineStr">
        <is>
          <t>2015</t>
        </is>
      </c>
      <c r="I18" s="21" t="inlineStr">
        <is>
          <t>Opérationnel</t>
        </is>
      </c>
      <c r="J18" s="21" t="inlineStr">
        <is>
          <t>UDC/EMSP/003/ET/AA</t>
        </is>
      </c>
      <c r="K18" s="21" t="inlineStr">
        <is>
          <t>import inventaire</t>
        </is>
      </c>
      <c r="M18" s="21" t="n">
        <v>1</v>
      </c>
    </row>
    <row r="19">
      <c r="A19" s="21" t="inlineStr">
        <is>
          <t>EQ017</t>
        </is>
      </c>
      <c r="B19" s="21" t="inlineStr">
        <is>
          <t>Armoire</t>
        </is>
      </c>
      <c r="C19" s="21" t="inlineStr">
        <is>
          <t>Mobilier</t>
        </is>
      </c>
      <c r="D19" s="21" t="inlineStr">
        <is>
          <t>Bureau de l'Assistant de direction</t>
        </is>
      </c>
      <c r="E19" s="21" t="inlineStr"/>
      <c r="I19" s="21" t="inlineStr">
        <is>
          <t>Moyen état</t>
        </is>
      </c>
      <c r="J19" s="21" t="inlineStr">
        <is>
          <t>UDC/EMSP/015/SO .UDC/AC/008/SG</t>
        </is>
      </c>
      <c r="K19" s="21" t="inlineStr">
        <is>
          <t>import inventaire</t>
        </is>
      </c>
      <c r="M19" s="21" t="n">
        <v>2</v>
      </c>
    </row>
    <row r="20">
      <c r="A20" s="21" t="inlineStr">
        <is>
          <t>EQ018</t>
        </is>
      </c>
      <c r="B20" s="21" t="inlineStr">
        <is>
          <t>Fauteuil</t>
        </is>
      </c>
      <c r="C20" s="21" t="inlineStr">
        <is>
          <t>Mobilier</t>
        </is>
      </c>
      <c r="D20" s="21" t="inlineStr">
        <is>
          <t>Bureau de l'Assistant de direction</t>
        </is>
      </c>
      <c r="E20" s="21" t="inlineStr">
        <is>
          <t>2015</t>
        </is>
      </c>
      <c r="I20" s="21" t="inlineStr">
        <is>
          <t>Opérationnel</t>
        </is>
      </c>
      <c r="J20" s="21" t="inlineStr">
        <is>
          <t>UDC/EMSP/002/FOT/AA</t>
        </is>
      </c>
      <c r="K20" s="21" t="inlineStr">
        <is>
          <t>import inventaire</t>
        </is>
      </c>
      <c r="M20" s="21" t="n">
        <v>1</v>
      </c>
    </row>
    <row r="21">
      <c r="A21" s="21" t="inlineStr">
        <is>
          <t>EQ019</t>
        </is>
      </c>
      <c r="B21" s="21" t="inlineStr">
        <is>
          <t>Chaise</t>
        </is>
      </c>
      <c r="C21" s="21" t="inlineStr">
        <is>
          <t>Mobilier</t>
        </is>
      </c>
      <c r="D21" s="21" t="inlineStr">
        <is>
          <t>Bureau de l'Assistant de direction</t>
        </is>
      </c>
      <c r="E21" s="21" t="inlineStr"/>
      <c r="I21" s="21" t="inlineStr">
        <is>
          <t>Moyen état</t>
        </is>
      </c>
      <c r="J21" s="21" t="inlineStr">
        <is>
          <t>UDC/EMSP/007-008/AA.UDC/AC/01-090-014-0101/AC/SG</t>
        </is>
      </c>
      <c r="K21" s="21" t="inlineStr">
        <is>
          <t>import inventaire</t>
        </is>
      </c>
      <c r="M21" s="21" t="n">
        <v>6</v>
      </c>
    </row>
    <row r="22">
      <c r="A22" s="21" t="inlineStr">
        <is>
          <t>EQ020</t>
        </is>
      </c>
      <c r="B22" s="21" t="inlineStr">
        <is>
          <t>Ondulair</t>
        </is>
      </c>
      <c r="C22" s="21" t="inlineStr">
        <is>
          <t>Informatique</t>
        </is>
      </c>
      <c r="D22" s="21" t="inlineStr">
        <is>
          <t>Bureau de l'Assistant de direction</t>
        </is>
      </c>
      <c r="E22" s="21" t="inlineStr">
        <is>
          <t>2015</t>
        </is>
      </c>
      <c r="I22" s="21" t="inlineStr">
        <is>
          <t>Hors usage / En panne</t>
        </is>
      </c>
      <c r="J22" s="21" t="inlineStr">
        <is>
          <t>UDC/EMSP/001-002/OND/AA</t>
        </is>
      </c>
      <c r="K22" s="21" t="inlineStr">
        <is>
          <t>import inventaire</t>
        </is>
      </c>
      <c r="M22" s="21" t="n">
        <v>2</v>
      </c>
    </row>
    <row r="23">
      <c r="A23" s="21" t="inlineStr">
        <is>
          <t>EQ021</t>
        </is>
      </c>
      <c r="B23" s="21" t="inlineStr">
        <is>
          <t>Rallonge</t>
        </is>
      </c>
      <c r="C23" s="21" t="inlineStr">
        <is>
          <t>Divers</t>
        </is>
      </c>
      <c r="D23" s="21" t="inlineStr">
        <is>
          <t>Bureau de l'Assistant de direction</t>
        </is>
      </c>
      <c r="E23" s="21" t="inlineStr"/>
      <c r="I23" s="21" t="inlineStr">
        <is>
          <t>Opérationnel</t>
        </is>
      </c>
      <c r="J23" s="21" t="inlineStr">
        <is>
          <t>UDC/EMSP/010-011/R/EMSP. UDC/EMSP/013/R/AA</t>
        </is>
      </c>
      <c r="K23" s="21" t="inlineStr">
        <is>
          <t>import inventaire</t>
        </is>
      </c>
      <c r="M23" s="21" t="n">
        <v>3</v>
      </c>
    </row>
    <row r="24">
      <c r="A24" s="21" t="inlineStr">
        <is>
          <t>EQ022</t>
        </is>
      </c>
      <c r="B24" s="21" t="inlineStr">
        <is>
          <t>Switch</t>
        </is>
      </c>
      <c r="C24" s="21" t="inlineStr">
        <is>
          <t>Informatique</t>
        </is>
      </c>
      <c r="D24" s="21" t="inlineStr">
        <is>
          <t>Bureau de l'Assistant de direction</t>
        </is>
      </c>
      <c r="E24" s="21" t="inlineStr"/>
      <c r="I24" s="21" t="inlineStr">
        <is>
          <t>Opérationnel</t>
        </is>
      </c>
      <c r="J24" s="21" t="inlineStr">
        <is>
          <t>UDC/EMSP/001/SW/EMSP</t>
        </is>
      </c>
      <c r="K24" s="21" t="inlineStr">
        <is>
          <t>import inventaire</t>
        </is>
      </c>
      <c r="M24" s="21" t="n">
        <v>1</v>
      </c>
    </row>
    <row r="25">
      <c r="A25" s="21" t="inlineStr">
        <is>
          <t>EQ023</t>
        </is>
      </c>
      <c r="B25" s="21" t="inlineStr">
        <is>
          <t>Routeur</t>
        </is>
      </c>
      <c r="C25" s="21" t="inlineStr">
        <is>
          <t>Informatique</t>
        </is>
      </c>
      <c r="D25" s="21" t="inlineStr">
        <is>
          <t>Bureau de l'Assistant de direction</t>
        </is>
      </c>
      <c r="E25" s="21" t="inlineStr">
        <is>
          <t>2018</t>
        </is>
      </c>
      <c r="I25" s="21" t="inlineStr">
        <is>
          <t>Opérationnel</t>
        </is>
      </c>
      <c r="J25" s="21" t="inlineStr">
        <is>
          <t>UDC/EMSP/001/ROU/EMSP</t>
        </is>
      </c>
      <c r="K25" s="21" t="inlineStr">
        <is>
          <t>import inventaire</t>
        </is>
      </c>
      <c r="M25" s="21" t="n">
        <v>1</v>
      </c>
    </row>
    <row r="26">
      <c r="A26" s="21" t="inlineStr">
        <is>
          <t>EQ024</t>
        </is>
      </c>
      <c r="B26" s="21" t="inlineStr">
        <is>
          <t>Ventilateur</t>
        </is>
      </c>
      <c r="C26" s="21" t="inlineStr">
        <is>
          <t>Climatisation</t>
        </is>
      </c>
      <c r="D26" s="21" t="inlineStr">
        <is>
          <t>Bureau de l'Assistant de direction</t>
        </is>
      </c>
      <c r="E26" s="21" t="inlineStr"/>
      <c r="I26" s="21" t="inlineStr">
        <is>
          <t>Moyen état</t>
        </is>
      </c>
      <c r="J26" s="21" t="inlineStr">
        <is>
          <t>UDC/EMSP/001/VE/EMSP</t>
        </is>
      </c>
      <c r="K26" s="21" t="inlineStr">
        <is>
          <t>import inventaire</t>
        </is>
      </c>
      <c r="M26" s="21" t="n">
        <v>1</v>
      </c>
    </row>
    <row r="27">
      <c r="A27" s="21" t="inlineStr">
        <is>
          <t>EQ025</t>
        </is>
      </c>
      <c r="B27" s="21" t="inlineStr">
        <is>
          <t>Fointaine d’eau</t>
        </is>
      </c>
      <c r="C27" s="21" t="inlineStr">
        <is>
          <t>Divers</t>
        </is>
      </c>
      <c r="D27" s="21" t="inlineStr">
        <is>
          <t>Bureau de l'Assistant de direction</t>
        </is>
      </c>
      <c r="E27" s="21" t="inlineStr">
        <is>
          <t>2018</t>
        </is>
      </c>
      <c r="I27" s="21" t="inlineStr">
        <is>
          <t>Opérationnel</t>
        </is>
      </c>
      <c r="J27" s="21" t="inlineStr">
        <is>
          <t>UDC/EMSP/001/FO/EMSP</t>
        </is>
      </c>
      <c r="K27" s="21" t="inlineStr">
        <is>
          <t>import inventaire</t>
        </is>
      </c>
      <c r="M27" s="21" t="n">
        <v>1</v>
      </c>
    </row>
    <row r="28">
      <c r="A28" s="21" t="inlineStr">
        <is>
          <t>EQ026</t>
        </is>
      </c>
      <c r="B28" s="21" t="inlineStr">
        <is>
          <t>Ordinateur</t>
        </is>
      </c>
      <c r="C28" s="21" t="inlineStr">
        <is>
          <t>Informatique</t>
        </is>
      </c>
      <c r="D28" s="21" t="inlineStr">
        <is>
          <t>Bureau du Secrétariat</t>
        </is>
      </c>
      <c r="E28" s="21" t="inlineStr"/>
      <c r="I28" s="21" t="inlineStr">
        <is>
          <t>Opérationnel</t>
        </is>
      </c>
      <c r="J28" s="21" t="inlineStr">
        <is>
          <t>UDC/EMSP/005/OR/S</t>
        </is>
      </c>
      <c r="K28" s="21" t="inlineStr">
        <is>
          <t>import inventaire</t>
        </is>
      </c>
      <c r="M28" s="21" t="n">
        <v>1</v>
      </c>
    </row>
    <row r="29">
      <c r="A29" s="21" t="inlineStr">
        <is>
          <t>EQ027</t>
        </is>
      </c>
      <c r="B29" s="21" t="inlineStr">
        <is>
          <t>Imprimante</t>
        </is>
      </c>
      <c r="C29" s="21" t="inlineStr">
        <is>
          <t>Informatique</t>
        </is>
      </c>
      <c r="D29" s="21" t="inlineStr">
        <is>
          <t>Bureau du Secrétariat</t>
        </is>
      </c>
      <c r="E29" s="21" t="inlineStr"/>
      <c r="I29" s="21" t="inlineStr"/>
      <c r="J29" s="21" t="inlineStr"/>
      <c r="K29" s="21" t="inlineStr">
        <is>
          <t>import inventaire</t>
        </is>
      </c>
      <c r="M29" s="21" t="n">
        <v>1</v>
      </c>
    </row>
    <row r="30">
      <c r="A30" s="21" t="inlineStr">
        <is>
          <t>EQ028</t>
        </is>
      </c>
      <c r="B30" s="21" t="inlineStr">
        <is>
          <t>Table</t>
        </is>
      </c>
      <c r="C30" s="21" t="inlineStr">
        <is>
          <t>Mobilier</t>
        </is>
      </c>
      <c r="D30" s="21" t="inlineStr">
        <is>
          <t>Bureau du Secrétariat</t>
        </is>
      </c>
      <c r="E30" s="21" t="inlineStr"/>
      <c r="I30" s="21" t="inlineStr">
        <is>
          <t>Opérationnel</t>
        </is>
      </c>
      <c r="J30" s="21" t="inlineStr">
        <is>
          <t>UDC/EMSP/008-009- 010/TAB/S</t>
        </is>
      </c>
      <c r="K30" s="21" t="inlineStr">
        <is>
          <t>import inventaire</t>
        </is>
      </c>
      <c r="M30" s="21" t="n">
        <v>3</v>
      </c>
    </row>
    <row r="31">
      <c r="A31" s="21" t="inlineStr">
        <is>
          <t>EQ029</t>
        </is>
      </c>
      <c r="B31" s="21" t="inlineStr">
        <is>
          <t>Rallonge</t>
        </is>
      </c>
      <c r="C31" s="21" t="inlineStr">
        <is>
          <t>Divers</t>
        </is>
      </c>
      <c r="D31" s="21" t="inlineStr">
        <is>
          <t>Bureau du Secrétariat</t>
        </is>
      </c>
      <c r="E31" s="21" t="inlineStr">
        <is>
          <t>2018</t>
        </is>
      </c>
      <c r="I31" s="21" t="inlineStr">
        <is>
          <t>Opérationnel</t>
        </is>
      </c>
      <c r="J31" s="21" t="inlineStr">
        <is>
          <t>UDC/EMSP/014/R/S</t>
        </is>
      </c>
      <c r="K31" s="21" t="inlineStr">
        <is>
          <t>import inventaire</t>
        </is>
      </c>
      <c r="M31" s="21" t="n">
        <v>1</v>
      </c>
    </row>
    <row r="32">
      <c r="A32" s="21" t="inlineStr">
        <is>
          <t>EQ030</t>
        </is>
      </c>
      <c r="B32" s="21" t="inlineStr">
        <is>
          <t>clim</t>
        </is>
      </c>
      <c r="C32" s="21" t="inlineStr">
        <is>
          <t>Climatisation</t>
        </is>
      </c>
      <c r="D32" s="21" t="inlineStr">
        <is>
          <t>Bureau du Secrétariat</t>
        </is>
      </c>
      <c r="E32" s="21" t="inlineStr"/>
      <c r="I32" s="21" t="inlineStr">
        <is>
          <t>Hors usage / En panne</t>
        </is>
      </c>
      <c r="J32" s="21" t="inlineStr">
        <is>
          <t>UDC/EMSP/003/CLI/S</t>
        </is>
      </c>
      <c r="K32" s="21" t="inlineStr">
        <is>
          <t>import inventaire</t>
        </is>
      </c>
      <c r="M32" s="21" t="n">
        <v>1</v>
      </c>
    </row>
    <row r="33">
      <c r="A33" s="21" t="inlineStr">
        <is>
          <t>EQ031</t>
        </is>
      </c>
      <c r="B33" s="21" t="inlineStr">
        <is>
          <t>Appareil telephonique</t>
        </is>
      </c>
      <c r="C33" s="21" t="inlineStr">
        <is>
          <t>Divers</t>
        </is>
      </c>
      <c r="D33" s="21" t="inlineStr">
        <is>
          <t>Bureau du Secrétariat</t>
        </is>
      </c>
      <c r="E33" s="21" t="inlineStr">
        <is>
          <t>2018</t>
        </is>
      </c>
      <c r="I33" s="21" t="inlineStr">
        <is>
          <t>Opérationnel</t>
        </is>
      </c>
      <c r="J33" s="21" t="inlineStr">
        <is>
          <t>UDC/EMSP/002/AT/S</t>
        </is>
      </c>
      <c r="K33" s="21" t="inlineStr">
        <is>
          <t>import inventaire</t>
        </is>
      </c>
      <c r="M33" s="21" t="n">
        <v>1</v>
      </c>
    </row>
    <row r="34">
      <c r="A34" s="21" t="inlineStr">
        <is>
          <t>EQ032</t>
        </is>
      </c>
      <c r="B34" s="21" t="inlineStr">
        <is>
          <t>Ondulaire</t>
        </is>
      </c>
      <c r="C34" s="21" t="inlineStr">
        <is>
          <t>Informatique</t>
        </is>
      </c>
      <c r="D34" s="21" t="inlineStr">
        <is>
          <t>Bureau du Secrétariat</t>
        </is>
      </c>
      <c r="E34" s="21" t="inlineStr">
        <is>
          <t>2015</t>
        </is>
      </c>
      <c r="I34" s="21" t="inlineStr">
        <is>
          <t>Opérationnel</t>
        </is>
      </c>
      <c r="J34" s="21" t="inlineStr">
        <is>
          <t>UDC/EMSP/003/OND/S</t>
        </is>
      </c>
      <c r="K34" s="21" t="inlineStr">
        <is>
          <t>import inventaire</t>
        </is>
      </c>
      <c r="M34" s="21" t="n">
        <v>1</v>
      </c>
    </row>
    <row r="35">
      <c r="A35" s="21" t="inlineStr">
        <is>
          <t>EQ033</t>
        </is>
      </c>
      <c r="B35" s="21" t="inlineStr">
        <is>
          <t>Armoire</t>
        </is>
      </c>
      <c r="C35" s="21" t="inlineStr">
        <is>
          <t>Mobilier</t>
        </is>
      </c>
      <c r="D35" s="21" t="inlineStr">
        <is>
          <t>Bureau du Secrétariat</t>
        </is>
      </c>
      <c r="E35" s="21" t="inlineStr"/>
      <c r="I35" s="21" t="inlineStr">
        <is>
          <t>Moyen état</t>
        </is>
      </c>
      <c r="J35" s="21" t="inlineStr">
        <is>
          <t>UDC/EMSP/006/AR/S</t>
        </is>
      </c>
      <c r="K35" s="21" t="inlineStr">
        <is>
          <t>import inventaire</t>
        </is>
      </c>
      <c r="M35" s="21" t="n">
        <v>1</v>
      </c>
    </row>
    <row r="36">
      <c r="A36" s="21" t="inlineStr">
        <is>
          <t>EQ034</t>
        </is>
      </c>
      <c r="B36" s="21" t="inlineStr">
        <is>
          <t>Bac à courrier</t>
        </is>
      </c>
      <c r="C36" s="21" t="inlineStr">
        <is>
          <t>Mobilier</t>
        </is>
      </c>
      <c r="D36" s="21" t="inlineStr">
        <is>
          <t>Bureau du Secrétariat</t>
        </is>
      </c>
      <c r="E36" s="21" t="inlineStr"/>
      <c r="I36" s="21" t="inlineStr">
        <is>
          <t>Opérationnel</t>
        </is>
      </c>
      <c r="J36" s="21" t="inlineStr">
        <is>
          <t>UDC/EMSP/002/BAC/S</t>
        </is>
      </c>
      <c r="K36" s="21" t="inlineStr">
        <is>
          <t>import inventaire</t>
        </is>
      </c>
      <c r="M36" s="21" t="n">
        <v>1</v>
      </c>
    </row>
    <row r="37">
      <c r="A37" s="21" t="inlineStr">
        <is>
          <t>EQ035</t>
        </is>
      </c>
      <c r="B37" s="21" t="inlineStr">
        <is>
          <t>Chaise</t>
        </is>
      </c>
      <c r="C37" s="21" t="inlineStr">
        <is>
          <t>Mobilier</t>
        </is>
      </c>
      <c r="D37" s="21" t="inlineStr">
        <is>
          <t>Bureau du Secrétariat</t>
        </is>
      </c>
      <c r="E37" s="21" t="inlineStr"/>
      <c r="I37" s="21" t="inlineStr">
        <is>
          <t>Opérationnel</t>
        </is>
      </c>
      <c r="J37" s="21" t="inlineStr">
        <is>
          <t>UDC/EMSP/009-010-011/CHA/S et 283</t>
        </is>
      </c>
      <c r="K37" s="21" t="inlineStr">
        <is>
          <t>import inventaire</t>
        </is>
      </c>
      <c r="M37" s="21" t="n">
        <v>4</v>
      </c>
    </row>
    <row r="38">
      <c r="A38" s="21" t="inlineStr">
        <is>
          <t>EQ036</t>
        </is>
      </c>
      <c r="B38" s="21" t="inlineStr">
        <is>
          <t>Ordinateur</t>
        </is>
      </c>
      <c r="C38" s="21" t="inlineStr">
        <is>
          <t>Informatique</t>
        </is>
      </c>
      <c r="D38" s="21" t="inlineStr">
        <is>
          <t>Bureau du Gestionnaire</t>
        </is>
      </c>
      <c r="E38" s="21" t="inlineStr"/>
      <c r="I38" s="21" t="inlineStr">
        <is>
          <t>Opérationnel</t>
        </is>
      </c>
      <c r="J38" s="21" t="inlineStr">
        <is>
          <t>UDC/EMSP/003-004/OR/GES</t>
        </is>
      </c>
      <c r="K38" s="21" t="inlineStr">
        <is>
          <t>import inventaire</t>
        </is>
      </c>
      <c r="M38" s="21" t="n">
        <v>2</v>
      </c>
    </row>
    <row r="39">
      <c r="A39" s="21" t="inlineStr">
        <is>
          <t>EQ037</t>
        </is>
      </c>
      <c r="B39" s="21" t="inlineStr">
        <is>
          <t>Imprimante</t>
        </is>
      </c>
      <c r="C39" s="21" t="inlineStr">
        <is>
          <t>Informatique</t>
        </is>
      </c>
      <c r="D39" s="21" t="inlineStr">
        <is>
          <t>Bureau du Gestionnaire</t>
        </is>
      </c>
      <c r="E39" s="21" t="inlineStr">
        <is>
          <t>2015 et 2018</t>
        </is>
      </c>
      <c r="I39" s="21" t="inlineStr">
        <is>
          <t>Opérationnel</t>
        </is>
      </c>
      <c r="J39" s="21" t="inlineStr">
        <is>
          <t>UDC/EMSP/003-004/IMP/GES</t>
        </is>
      </c>
      <c r="K39" s="21" t="inlineStr">
        <is>
          <t>import inventaire</t>
        </is>
      </c>
      <c r="M39" s="21" t="n">
        <v>2</v>
      </c>
    </row>
    <row r="40">
      <c r="A40" s="21" t="inlineStr">
        <is>
          <t>EQ038</t>
        </is>
      </c>
      <c r="B40" s="21" t="inlineStr">
        <is>
          <t>Table</t>
        </is>
      </c>
      <c r="C40" s="21" t="inlineStr">
        <is>
          <t>Mobilier</t>
        </is>
      </c>
      <c r="D40" s="21" t="inlineStr">
        <is>
          <t>Bureau du Gestionnaire</t>
        </is>
      </c>
      <c r="E40" s="21" t="inlineStr"/>
      <c r="I40" s="21" t="inlineStr">
        <is>
          <t>Opérationnel</t>
        </is>
      </c>
      <c r="J40" s="21" t="inlineStr">
        <is>
          <t>UDC/EMSP/006-007-011-012/TAB/GES</t>
        </is>
      </c>
      <c r="K40" s="21" t="inlineStr">
        <is>
          <t>import inventaire</t>
        </is>
      </c>
      <c r="M40" s="21" t="n">
        <v>4</v>
      </c>
    </row>
    <row r="41">
      <c r="A41" s="21" t="inlineStr">
        <is>
          <t>EQ039</t>
        </is>
      </c>
      <c r="B41" s="21" t="inlineStr">
        <is>
          <t>Etagere</t>
        </is>
      </c>
      <c r="C41" s="21" t="inlineStr">
        <is>
          <t>Mobilier</t>
        </is>
      </c>
      <c r="D41" s="21" t="inlineStr">
        <is>
          <t>Bureau du Gestionnaire</t>
        </is>
      </c>
      <c r="E41" s="21" t="inlineStr"/>
      <c r="I41" s="21" t="inlineStr">
        <is>
          <t>Moyen état</t>
        </is>
      </c>
      <c r="J41" s="21" t="inlineStr">
        <is>
          <t>UDC/EMSP/004/ET/GES</t>
        </is>
      </c>
      <c r="K41" s="21" t="inlineStr">
        <is>
          <t>import inventaire</t>
        </is>
      </c>
      <c r="M41" s="21" t="n">
        <v>1</v>
      </c>
    </row>
    <row r="42">
      <c r="A42" s="21" t="inlineStr">
        <is>
          <t>EQ040</t>
        </is>
      </c>
      <c r="B42" s="21" t="inlineStr">
        <is>
          <t>Armoire</t>
        </is>
      </c>
      <c r="C42" s="21" t="inlineStr">
        <is>
          <t>Mobilier</t>
        </is>
      </c>
      <c r="D42" s="21" t="inlineStr">
        <is>
          <t>Bureau du Gestionnaire</t>
        </is>
      </c>
      <c r="E42" s="21" t="inlineStr">
        <is>
          <t>2015</t>
        </is>
      </c>
      <c r="I42" s="21" t="inlineStr">
        <is>
          <t>Moyen état</t>
        </is>
      </c>
      <c r="J42" s="21" t="inlineStr">
        <is>
          <t>UDC/EMSP/002/GES et UDC/AC/015/SC</t>
        </is>
      </c>
      <c r="K42" s="21" t="inlineStr">
        <is>
          <t>import inventaire</t>
        </is>
      </c>
      <c r="M42" s="21" t="n">
        <v>2</v>
      </c>
    </row>
    <row r="43">
      <c r="A43" s="21" t="inlineStr">
        <is>
          <t>EQ041</t>
        </is>
      </c>
      <c r="B43" s="21" t="inlineStr">
        <is>
          <t>Fauteuil</t>
        </is>
      </c>
      <c r="C43" s="21" t="inlineStr">
        <is>
          <t>Mobilier</t>
        </is>
      </c>
      <c r="D43" s="21" t="inlineStr">
        <is>
          <t>Bureau du Gestionnaire</t>
        </is>
      </c>
      <c r="E43" s="21" t="inlineStr">
        <is>
          <t>2015</t>
        </is>
      </c>
      <c r="I43" s="21" t="inlineStr">
        <is>
          <t>Moyen état</t>
        </is>
      </c>
      <c r="J43" s="21" t="inlineStr">
        <is>
          <t>UDC/EMSP/003/FOT/GES</t>
        </is>
      </c>
      <c r="K43" s="21" t="inlineStr">
        <is>
          <t>import inventaire</t>
        </is>
      </c>
      <c r="M43" s="21" t="n">
        <v>1</v>
      </c>
    </row>
    <row r="44">
      <c r="A44" s="21" t="inlineStr">
        <is>
          <t>EQ042</t>
        </is>
      </c>
      <c r="B44" s="21" t="inlineStr">
        <is>
          <t>Chaise</t>
        </is>
      </c>
      <c r="C44" s="21" t="inlineStr">
        <is>
          <t>Mobilier</t>
        </is>
      </c>
      <c r="D44" s="21" t="inlineStr">
        <is>
          <t>Bureau du Gestionnaire</t>
        </is>
      </c>
      <c r="E44" s="21" t="inlineStr"/>
      <c r="I44" s="21" t="inlineStr">
        <is>
          <t>Opérationnel</t>
        </is>
      </c>
      <c r="J44" s="21" t="inlineStr">
        <is>
          <t>UDC/EMSP/009Bis- 010Bis /CHA/GES</t>
        </is>
      </c>
      <c r="K44" s="21" t="inlineStr">
        <is>
          <t>import inventaire</t>
        </is>
      </c>
      <c r="M44" s="21" t="n">
        <v>2</v>
      </c>
    </row>
    <row r="45">
      <c r="A45" s="21" t="inlineStr">
        <is>
          <t>EQ043</t>
        </is>
      </c>
      <c r="B45" s="21" t="inlineStr">
        <is>
          <t>Rallonge</t>
        </is>
      </c>
      <c r="C45" s="21" t="inlineStr">
        <is>
          <t>Divers</t>
        </is>
      </c>
      <c r="D45" s="21" t="inlineStr">
        <is>
          <t>Bureau du Gestionnaire</t>
        </is>
      </c>
      <c r="E45" s="21" t="inlineStr">
        <is>
          <t>2018</t>
        </is>
      </c>
      <c r="I45" s="21" t="inlineStr">
        <is>
          <t>Opérationnel</t>
        </is>
      </c>
      <c r="J45" s="21" t="inlineStr">
        <is>
          <t>UDC/EMSP/015/R/GES</t>
        </is>
      </c>
      <c r="K45" s="21" t="inlineStr">
        <is>
          <t>import inventaire</t>
        </is>
      </c>
      <c r="M45" s="21" t="n">
        <v>1</v>
      </c>
    </row>
    <row r="46">
      <c r="A46" s="21" t="inlineStr">
        <is>
          <t>EQ044</t>
        </is>
      </c>
      <c r="B46" s="21" t="inlineStr">
        <is>
          <t>Ampli</t>
        </is>
      </c>
      <c r="C46" s="21" t="inlineStr">
        <is>
          <t>Informatique</t>
        </is>
      </c>
      <c r="D46" s="21" t="inlineStr">
        <is>
          <t>Bureau du Gestionnaire</t>
        </is>
      </c>
      <c r="E46" s="21" t="inlineStr">
        <is>
          <t>2018</t>
        </is>
      </c>
      <c r="I46" s="21" t="inlineStr">
        <is>
          <t>Opérationnel</t>
        </is>
      </c>
      <c r="J46" s="21" t="inlineStr">
        <is>
          <t>UDC/EMSP/001-002-003/AMP/EMSP</t>
        </is>
      </c>
      <c r="K46" s="21" t="inlineStr">
        <is>
          <t>import inventaire</t>
        </is>
      </c>
      <c r="M46" s="21" t="n">
        <v>3</v>
      </c>
    </row>
    <row r="47">
      <c r="A47" s="21" t="inlineStr">
        <is>
          <t>EQ045</t>
        </is>
      </c>
      <c r="B47" s="21" t="inlineStr">
        <is>
          <t>Grand rallonge</t>
        </is>
      </c>
      <c r="C47" s="21" t="inlineStr">
        <is>
          <t>Divers</t>
        </is>
      </c>
      <c r="D47" s="21" t="inlineStr">
        <is>
          <t>Bureau du Gestionnaire</t>
        </is>
      </c>
      <c r="E47" s="21" t="inlineStr">
        <is>
          <t>2018</t>
        </is>
      </c>
      <c r="I47" s="21" t="inlineStr">
        <is>
          <t>Opérationnel</t>
        </is>
      </c>
      <c r="J47" s="21" t="inlineStr">
        <is>
          <t>UDC/EMSP/001/GR/EMSP</t>
        </is>
      </c>
      <c r="K47" s="21" t="inlineStr">
        <is>
          <t>import inventaire</t>
        </is>
      </c>
      <c r="M47" s="21" t="n">
        <v>1</v>
      </c>
    </row>
    <row r="48">
      <c r="A48" s="21" t="inlineStr">
        <is>
          <t>EQ046</t>
        </is>
      </c>
      <c r="B48" s="21" t="inlineStr">
        <is>
          <t>Coussin</t>
        </is>
      </c>
      <c r="C48" s="21" t="inlineStr">
        <is>
          <t>Mobilier</t>
        </is>
      </c>
      <c r="D48" s="21" t="inlineStr">
        <is>
          <t>Bureau du Gestionnaire</t>
        </is>
      </c>
      <c r="E48" s="21" t="inlineStr"/>
      <c r="I48" s="21" t="inlineStr">
        <is>
          <t>Moyen état</t>
        </is>
      </c>
      <c r="J48" s="21" t="inlineStr">
        <is>
          <t>UDC/EMSP/002/COU/GES</t>
        </is>
      </c>
      <c r="K48" s="21" t="inlineStr">
        <is>
          <t>import inventaire</t>
        </is>
      </c>
      <c r="M48" s="21" t="n">
        <v>1</v>
      </c>
    </row>
    <row r="49">
      <c r="A49" s="21" t="inlineStr">
        <is>
          <t>EQ047</t>
        </is>
      </c>
      <c r="B49" s="21" t="inlineStr">
        <is>
          <t>Ordinateur Server</t>
        </is>
      </c>
      <c r="C49" s="21" t="inlineStr">
        <is>
          <t>Informatique</t>
        </is>
      </c>
      <c r="D49" s="21" t="inlineStr">
        <is>
          <t>Bureau du Gestionnaire</t>
        </is>
      </c>
      <c r="E49" s="21" t="inlineStr">
        <is>
          <t>2018</t>
        </is>
      </c>
      <c r="I49" s="21" t="inlineStr">
        <is>
          <t>Opérationnel</t>
        </is>
      </c>
      <c r="J49" s="21" t="inlineStr">
        <is>
          <t>UDC/EMSP/006/OR/EMSP</t>
        </is>
      </c>
      <c r="K49" s="21" t="inlineStr">
        <is>
          <t>import inventaire</t>
        </is>
      </c>
      <c r="M49" s="21" t="n">
        <v>1</v>
      </c>
    </row>
    <row r="50">
      <c r="A50" s="21" t="inlineStr">
        <is>
          <t>EQ048</t>
        </is>
      </c>
      <c r="B50" s="21" t="inlineStr">
        <is>
          <t>Appareil telephonique</t>
        </is>
      </c>
      <c r="C50" s="21" t="inlineStr">
        <is>
          <t>Divers</t>
        </is>
      </c>
      <c r="D50" s="21" t="inlineStr">
        <is>
          <t>Bureau du Gestionnaire</t>
        </is>
      </c>
      <c r="E50" s="21" t="inlineStr">
        <is>
          <t>2015</t>
        </is>
      </c>
      <c r="I50" s="21" t="inlineStr">
        <is>
          <t>Opérationnel</t>
        </is>
      </c>
      <c r="J50" s="21" t="inlineStr">
        <is>
          <t>UDC/EMSP/003-005/AT/GES</t>
        </is>
      </c>
      <c r="K50" s="21" t="inlineStr">
        <is>
          <t>import inventaire</t>
        </is>
      </c>
      <c r="M50" s="21" t="n">
        <v>3</v>
      </c>
    </row>
    <row r="51">
      <c r="A51" s="21" t="inlineStr">
        <is>
          <t>EQ049</t>
        </is>
      </c>
      <c r="B51" s="21" t="inlineStr">
        <is>
          <t>Tableau d’affichage</t>
        </is>
      </c>
      <c r="C51" s="21" t="inlineStr">
        <is>
          <t>Pédagogique</t>
        </is>
      </c>
      <c r="D51" s="21" t="inlineStr">
        <is>
          <t>Bureau du Gestionnaire</t>
        </is>
      </c>
      <c r="E51" s="21" t="inlineStr"/>
      <c r="I51" s="21" t="inlineStr">
        <is>
          <t>Opérationnel</t>
        </is>
      </c>
      <c r="J51" s="21" t="inlineStr"/>
      <c r="K51" s="21" t="inlineStr">
        <is>
          <t>import inventaire</t>
        </is>
      </c>
      <c r="M51" s="21" t="n">
        <v>1</v>
      </c>
    </row>
    <row r="52">
      <c r="A52" s="21" t="inlineStr">
        <is>
          <t>EQ050</t>
        </is>
      </c>
      <c r="B52" s="21" t="inlineStr">
        <is>
          <t>routeu</t>
        </is>
      </c>
      <c r="C52" s="21" t="inlineStr">
        <is>
          <t>Informatique</t>
        </is>
      </c>
      <c r="D52" s="21" t="inlineStr">
        <is>
          <t>Bureau du Gestionnaire</t>
        </is>
      </c>
      <c r="E52" s="21" t="inlineStr"/>
      <c r="I52" s="21" t="inlineStr">
        <is>
          <t>Opérationnel</t>
        </is>
      </c>
      <c r="J52" s="21" t="inlineStr">
        <is>
          <t>UDC/EMSP/002/ROU/EMSP</t>
        </is>
      </c>
      <c r="K52" s="21" t="inlineStr">
        <is>
          <t>import inventaire</t>
        </is>
      </c>
      <c r="M52" s="21" t="n">
        <v>1</v>
      </c>
    </row>
    <row r="53">
      <c r="A53" s="21" t="inlineStr">
        <is>
          <t>EQ051</t>
        </is>
      </c>
      <c r="B53" s="21" t="inlineStr">
        <is>
          <t>Ondulaire</t>
        </is>
      </c>
      <c r="C53" s="21" t="inlineStr">
        <is>
          <t>Informatique</t>
        </is>
      </c>
      <c r="D53" s="21" t="inlineStr">
        <is>
          <t>Bureau du Gestionnaire</t>
        </is>
      </c>
      <c r="E53" s="21" t="inlineStr">
        <is>
          <t>2015</t>
        </is>
      </c>
      <c r="I53" s="21" t="inlineStr">
        <is>
          <t>Opérationnel</t>
        </is>
      </c>
      <c r="J53" s="21" t="inlineStr">
        <is>
          <t>UDC/EMSP/004/GES</t>
        </is>
      </c>
      <c r="K53" s="21" t="inlineStr">
        <is>
          <t>import inventaire</t>
        </is>
      </c>
      <c r="M53" s="21" t="n">
        <v>1</v>
      </c>
    </row>
    <row r="54">
      <c r="A54" s="21" t="inlineStr">
        <is>
          <t>EQ052</t>
        </is>
      </c>
      <c r="B54" s="21" t="inlineStr">
        <is>
          <t>Machine à Reluire</t>
        </is>
      </c>
      <c r="C54" s="21" t="inlineStr">
        <is>
          <t>Informatique</t>
        </is>
      </c>
      <c r="D54" s="21" t="inlineStr">
        <is>
          <t>Bureau du Gestionnaire</t>
        </is>
      </c>
      <c r="E54" s="21" t="inlineStr">
        <is>
          <t>2019</t>
        </is>
      </c>
      <c r="I54" s="21" t="inlineStr"/>
      <c r="J54" s="21" t="inlineStr">
        <is>
          <t>UDC/EMSP/001/MA/GES</t>
        </is>
      </c>
      <c r="K54" s="21" t="inlineStr">
        <is>
          <t>import inventaire</t>
        </is>
      </c>
      <c r="M54" s="21" t="n">
        <v>1</v>
      </c>
    </row>
    <row r="55">
      <c r="A55" s="21" t="inlineStr">
        <is>
          <t>EQ053</t>
        </is>
      </c>
      <c r="B55" s="21" t="inlineStr">
        <is>
          <t>Aspirateur</t>
        </is>
      </c>
      <c r="C55" s="21" t="inlineStr">
        <is>
          <t>Informatique</t>
        </is>
      </c>
      <c r="D55" s="21" t="inlineStr">
        <is>
          <t>Bureau du Gestionnaire</t>
        </is>
      </c>
      <c r="E55" s="21" t="inlineStr"/>
      <c r="I55" s="21" t="inlineStr">
        <is>
          <t>Opérationnel</t>
        </is>
      </c>
      <c r="J55" s="21" t="inlineStr">
        <is>
          <t>UDC/EMSP/001/AS/EMSP</t>
        </is>
      </c>
      <c r="K55" s="21" t="inlineStr">
        <is>
          <t>import inventaire</t>
        </is>
      </c>
      <c r="M55" s="21" t="n">
        <v>1</v>
      </c>
    </row>
    <row r="56">
      <c r="A56" s="21" t="inlineStr">
        <is>
          <t>EQ054</t>
        </is>
      </c>
      <c r="B56" s="21" t="inlineStr">
        <is>
          <t>Armoire</t>
        </is>
      </c>
      <c r="C56" s="21" t="inlineStr">
        <is>
          <t>Mobilier</t>
        </is>
      </c>
      <c r="D56" s="21" t="inlineStr">
        <is>
          <t>Salle de reprographie</t>
        </is>
      </c>
      <c r="E56" s="21" t="inlineStr"/>
      <c r="I56" s="21" t="inlineStr">
        <is>
          <t>Moyen état</t>
        </is>
      </c>
      <c r="J56" s="21" t="inlineStr">
        <is>
          <t>UDC/AC/A 021/S. IN</t>
        </is>
      </c>
      <c r="K56" s="21" t="inlineStr">
        <is>
          <t>import inventaire</t>
        </is>
      </c>
      <c r="M56" s="21" t="n">
        <v>1</v>
      </c>
    </row>
    <row r="57">
      <c r="A57" s="21" t="inlineStr">
        <is>
          <t>EQ055</t>
        </is>
      </c>
      <c r="B57" s="21" t="inlineStr">
        <is>
          <t>Frigo</t>
        </is>
      </c>
      <c r="C57" s="21" t="inlineStr">
        <is>
          <t>Divers</t>
        </is>
      </c>
      <c r="D57" s="21" t="inlineStr">
        <is>
          <t>Salle de reprographie</t>
        </is>
      </c>
      <c r="E57" s="21" t="inlineStr"/>
      <c r="I57" s="21" t="inlineStr">
        <is>
          <t>Opérationnel</t>
        </is>
      </c>
      <c r="J57" s="21" t="inlineStr">
        <is>
          <t>UDC/EMSP/002/FR/EMMSP</t>
        </is>
      </c>
      <c r="K57" s="21" t="inlineStr">
        <is>
          <t>import inventaire</t>
        </is>
      </c>
      <c r="M57" s="21" t="n">
        <v>1</v>
      </c>
    </row>
    <row r="58">
      <c r="A58" s="21" t="inlineStr">
        <is>
          <t>EQ056</t>
        </is>
      </c>
      <c r="B58" s="21" t="inlineStr">
        <is>
          <t>Riso</t>
        </is>
      </c>
      <c r="C58" s="21" t="inlineStr">
        <is>
          <t>Informatique</t>
        </is>
      </c>
      <c r="D58" s="21" t="inlineStr">
        <is>
          <t>Salle de reprographie</t>
        </is>
      </c>
      <c r="E58" s="21" t="inlineStr">
        <is>
          <t>2015</t>
        </is>
      </c>
      <c r="I58" s="21" t="inlineStr">
        <is>
          <t>Opérationnel</t>
        </is>
      </c>
      <c r="J58" s="21" t="inlineStr">
        <is>
          <t>UDC/EMSP/001/RI/EMSP</t>
        </is>
      </c>
      <c r="K58" s="21" t="inlineStr">
        <is>
          <t>import inventaire</t>
        </is>
      </c>
      <c r="M58" s="21" t="n">
        <v>1</v>
      </c>
    </row>
    <row r="59">
      <c r="A59" s="21" t="inlineStr">
        <is>
          <t>EQ057</t>
        </is>
      </c>
      <c r="B59" s="21" t="inlineStr">
        <is>
          <t>Photocopieur</t>
        </is>
      </c>
      <c r="C59" s="21" t="inlineStr">
        <is>
          <t>Informatique</t>
        </is>
      </c>
      <c r="D59" s="21" t="inlineStr">
        <is>
          <t>Salle de reprographie</t>
        </is>
      </c>
      <c r="E59" s="21" t="inlineStr"/>
      <c r="I59" s="21" t="inlineStr">
        <is>
          <t>Hors usage / En panne</t>
        </is>
      </c>
      <c r="J59" s="21" t="inlineStr">
        <is>
          <t>UDC/EMSP/002/PH/EMSP</t>
        </is>
      </c>
      <c r="K59" s="21" t="inlineStr">
        <is>
          <t>import inventaire</t>
        </is>
      </c>
      <c r="M59" s="21" t="n">
        <v>1</v>
      </c>
    </row>
    <row r="60">
      <c r="A60" s="21" t="inlineStr">
        <is>
          <t>EQ058</t>
        </is>
      </c>
      <c r="B60" s="21" t="inlineStr">
        <is>
          <t>Chaises</t>
        </is>
      </c>
      <c r="C60" s="21" t="inlineStr">
        <is>
          <t>Mobilier</t>
        </is>
      </c>
      <c r="D60" s="21" t="inlineStr">
        <is>
          <t>Salle de reprographie</t>
        </is>
      </c>
      <c r="E60" s="21" t="inlineStr"/>
      <c r="I60" s="21" t="inlineStr">
        <is>
          <t>Moyen état</t>
        </is>
      </c>
      <c r="J60" s="21" t="inlineStr">
        <is>
          <t>UDC/EMSP/001-OO2-003/CHA/RP</t>
        </is>
      </c>
      <c r="K60" s="21" t="inlineStr">
        <is>
          <t>import inventaire</t>
        </is>
      </c>
      <c r="M60" s="21" t="n">
        <v>3</v>
      </c>
    </row>
    <row r="61">
      <c r="A61" s="21" t="inlineStr">
        <is>
          <t>EQ059</t>
        </is>
      </c>
      <c r="B61" s="21" t="inlineStr">
        <is>
          <t>Ondulaire</t>
        </is>
      </c>
      <c r="C61" s="21" t="inlineStr">
        <is>
          <t>Informatique</t>
        </is>
      </c>
      <c r="D61" s="21" t="inlineStr">
        <is>
          <t>Salle de reprographie</t>
        </is>
      </c>
      <c r="E61" s="21" t="inlineStr"/>
      <c r="I61" s="21" t="inlineStr">
        <is>
          <t>Opérationnel</t>
        </is>
      </c>
      <c r="J61" s="21" t="inlineStr">
        <is>
          <t>UDC/EMSP/001/ON/RP</t>
        </is>
      </c>
      <c r="K61" s="21" t="inlineStr">
        <is>
          <t>import inventaire</t>
        </is>
      </c>
      <c r="M61" s="21" t="n">
        <v>1</v>
      </c>
    </row>
    <row r="62">
      <c r="A62" s="21" t="inlineStr">
        <is>
          <t>EQ060</t>
        </is>
      </c>
      <c r="B62" s="21" t="inlineStr">
        <is>
          <t>Ondulaire</t>
        </is>
      </c>
      <c r="C62" s="21" t="inlineStr">
        <is>
          <t>Informatique</t>
        </is>
      </c>
      <c r="D62" s="21" t="inlineStr">
        <is>
          <t>Salle de reprographie</t>
        </is>
      </c>
      <c r="E62" s="21" t="inlineStr">
        <is>
          <t>2015</t>
        </is>
      </c>
      <c r="I62" s="21" t="inlineStr">
        <is>
          <t>Opérationnel</t>
        </is>
      </c>
      <c r="J62" s="21" t="inlineStr">
        <is>
          <t>UDC/EMSP/005/OND/RP</t>
        </is>
      </c>
      <c r="K62" s="21" t="inlineStr">
        <is>
          <t>import inventaire</t>
        </is>
      </c>
      <c r="M62" s="21" t="n">
        <v>1</v>
      </c>
    </row>
    <row r="63">
      <c r="A63" s="21" t="inlineStr">
        <is>
          <t>EQ061</t>
        </is>
      </c>
      <c r="B63" s="21" t="inlineStr">
        <is>
          <t>Table bancs</t>
        </is>
      </c>
      <c r="C63" s="21" t="inlineStr">
        <is>
          <t>Mobilier</t>
        </is>
      </c>
      <c r="D63" s="21" t="inlineStr">
        <is>
          <t>Salle de reprographie</t>
        </is>
      </c>
      <c r="E63" s="21" t="inlineStr"/>
      <c r="I63" s="21" t="inlineStr">
        <is>
          <t>Opérationnel</t>
        </is>
      </c>
      <c r="J63" s="21" t="inlineStr">
        <is>
          <t>UDC/EMSP/013/TAB/RP</t>
        </is>
      </c>
      <c r="K63" s="21" t="inlineStr">
        <is>
          <t>import inventaire</t>
        </is>
      </c>
      <c r="M63" s="21" t="n">
        <v>1</v>
      </c>
    </row>
    <row r="64">
      <c r="A64" s="21" t="inlineStr">
        <is>
          <t>EQ062</t>
        </is>
      </c>
      <c r="B64" s="21" t="inlineStr">
        <is>
          <t>Table</t>
        </is>
      </c>
      <c r="C64" s="21" t="inlineStr">
        <is>
          <t>Mobilier</t>
        </is>
      </c>
      <c r="D64" s="21" t="inlineStr">
        <is>
          <t>Salle des conférences</t>
        </is>
      </c>
      <c r="E64" s="21" t="inlineStr"/>
      <c r="I64" s="21" t="inlineStr">
        <is>
          <t>Moyen état</t>
        </is>
      </c>
      <c r="J64" s="21" t="inlineStr">
        <is>
          <t>UDC/EMSP/014-029/TAB/SC</t>
        </is>
      </c>
      <c r="K64" s="21" t="inlineStr">
        <is>
          <t>import inventaire</t>
        </is>
      </c>
      <c r="M64" s="21" t="n">
        <v>16</v>
      </c>
    </row>
    <row r="65">
      <c r="A65" s="21" t="inlineStr">
        <is>
          <t>EQ063</t>
        </is>
      </c>
      <c r="B65" s="21" t="inlineStr">
        <is>
          <t>Chaise</t>
        </is>
      </c>
      <c r="C65" s="21" t="inlineStr">
        <is>
          <t>Mobilier</t>
        </is>
      </c>
      <c r="D65" s="21" t="inlineStr">
        <is>
          <t>Salle des conférences</t>
        </is>
      </c>
      <c r="E65" s="21" t="inlineStr"/>
      <c r="I65" s="21" t="inlineStr">
        <is>
          <t>Opérationnel</t>
        </is>
      </c>
      <c r="J65" s="21" t="inlineStr">
        <is>
          <t>UDC/EMSP/011-110/CHA/SC</t>
        </is>
      </c>
      <c r="K65" s="21" t="inlineStr">
        <is>
          <t>import inventaire</t>
        </is>
      </c>
      <c r="M65" s="21" t="n">
        <v>100</v>
      </c>
    </row>
    <row r="66">
      <c r="A66" s="21" t="inlineStr">
        <is>
          <t>EQ064</t>
        </is>
      </c>
      <c r="B66" s="21" t="inlineStr">
        <is>
          <t>Rallonge</t>
        </is>
      </c>
      <c r="C66" s="21" t="inlineStr">
        <is>
          <t>Divers</t>
        </is>
      </c>
      <c r="D66" s="21" t="inlineStr">
        <is>
          <t>Salle des conférences</t>
        </is>
      </c>
      <c r="E66" s="21" t="inlineStr"/>
      <c r="I66" s="21" t="inlineStr">
        <is>
          <t>Opérationnel</t>
        </is>
      </c>
      <c r="J66" s="21" t="inlineStr">
        <is>
          <t>UDC/EMSP/015-017/R/SC</t>
        </is>
      </c>
      <c r="K66" s="21" t="inlineStr">
        <is>
          <t>import inventaire</t>
        </is>
      </c>
      <c r="M66" s="21" t="n">
        <v>3</v>
      </c>
    </row>
    <row r="67">
      <c r="A67" s="21" t="inlineStr">
        <is>
          <t>EQ065</t>
        </is>
      </c>
      <c r="B67" s="21" t="inlineStr">
        <is>
          <t>Ampli</t>
        </is>
      </c>
      <c r="C67" s="21" t="inlineStr">
        <is>
          <t>Informatique</t>
        </is>
      </c>
      <c r="D67" s="21" t="inlineStr">
        <is>
          <t>Salle des conférences</t>
        </is>
      </c>
      <c r="E67" s="21" t="inlineStr"/>
      <c r="I67" s="21" t="inlineStr">
        <is>
          <t>Opérationnel</t>
        </is>
      </c>
      <c r="J67" s="21" t="inlineStr">
        <is>
          <t>UDC/EMSP/004/AMP/SC</t>
        </is>
      </c>
      <c r="K67" s="21" t="inlineStr">
        <is>
          <t>import inventaire</t>
        </is>
      </c>
      <c r="M67" s="21" t="n">
        <v>1</v>
      </c>
    </row>
    <row r="68">
      <c r="A68" s="21" t="inlineStr">
        <is>
          <t>EQ066</t>
        </is>
      </c>
      <c r="B68" s="21" t="inlineStr">
        <is>
          <t>MODEM</t>
        </is>
      </c>
      <c r="C68" s="21" t="inlineStr">
        <is>
          <t>Informatique</t>
        </is>
      </c>
      <c r="D68" s="21" t="inlineStr">
        <is>
          <t>Salle des conférences</t>
        </is>
      </c>
      <c r="E68" s="21" t="inlineStr">
        <is>
          <t>2019</t>
        </is>
      </c>
      <c r="I68" s="21" t="inlineStr">
        <is>
          <t>Opérationnel</t>
        </is>
      </c>
      <c r="J68" s="21" t="inlineStr"/>
      <c r="K68" s="21" t="inlineStr">
        <is>
          <t>import inventaire</t>
        </is>
      </c>
      <c r="M68" s="21" t="n">
        <v>1</v>
      </c>
    </row>
    <row r="69">
      <c r="A69" s="21" t="inlineStr">
        <is>
          <t>EQ067</t>
        </is>
      </c>
      <c r="B69" s="21" t="inlineStr">
        <is>
          <t>SWITCH</t>
        </is>
      </c>
      <c r="C69" s="21" t="inlineStr">
        <is>
          <t>Informatique</t>
        </is>
      </c>
      <c r="D69" s="21" t="inlineStr">
        <is>
          <t>Salle des conférences</t>
        </is>
      </c>
      <c r="E69" s="21" t="inlineStr">
        <is>
          <t>2019</t>
        </is>
      </c>
      <c r="I69" s="21" t="inlineStr">
        <is>
          <t>Opérationnel</t>
        </is>
      </c>
      <c r="J69" s="21" t="inlineStr"/>
      <c r="K69" s="21" t="inlineStr">
        <is>
          <t>import inventaire</t>
        </is>
      </c>
      <c r="M69" s="21" t="n">
        <v>1</v>
      </c>
    </row>
    <row r="70">
      <c r="A70" s="21" t="inlineStr">
        <is>
          <t>EQ068</t>
        </is>
      </c>
      <c r="B70" s="21" t="inlineStr">
        <is>
          <t>Clim</t>
        </is>
      </c>
      <c r="C70" s="21" t="inlineStr">
        <is>
          <t>Climatisation</t>
        </is>
      </c>
      <c r="D70" s="21" t="inlineStr">
        <is>
          <t>Salle des conférences</t>
        </is>
      </c>
      <c r="E70" s="21" t="inlineStr"/>
      <c r="I70" s="21" t="inlineStr">
        <is>
          <t>Opérationnel</t>
        </is>
      </c>
      <c r="J70" s="21" t="inlineStr">
        <is>
          <t>UDC/EMSP/004-006/CLI/SC</t>
        </is>
      </c>
      <c r="K70" s="21" t="inlineStr">
        <is>
          <t>import inventaire</t>
        </is>
      </c>
      <c r="M70" s="21" t="n">
        <v>3</v>
      </c>
    </row>
    <row r="71">
      <c r="A71" s="21" t="inlineStr">
        <is>
          <t>EQ069</t>
        </is>
      </c>
      <c r="B71" s="21" t="inlineStr">
        <is>
          <t>Ecran de Projection</t>
        </is>
      </c>
      <c r="C71" s="21" t="inlineStr">
        <is>
          <t>Pédagogique</t>
        </is>
      </c>
      <c r="D71" s="21" t="inlineStr">
        <is>
          <t>Salle des conférences</t>
        </is>
      </c>
      <c r="E71" s="21" t="inlineStr">
        <is>
          <t>2017</t>
        </is>
      </c>
      <c r="I71" s="21" t="inlineStr">
        <is>
          <t>Opérationnel</t>
        </is>
      </c>
      <c r="J71" s="21" t="inlineStr">
        <is>
          <t>UDC/EMSP/01/EP/SC</t>
        </is>
      </c>
      <c r="K71" s="21" t="inlineStr">
        <is>
          <t>import inventaire</t>
        </is>
      </c>
      <c r="M71" s="21" t="n">
        <v>1</v>
      </c>
    </row>
    <row r="72">
      <c r="A72" s="21" t="inlineStr">
        <is>
          <t>EQ070</t>
        </is>
      </c>
      <c r="B72" s="21" t="inlineStr">
        <is>
          <t>Ondulaire</t>
        </is>
      </c>
      <c r="C72" s="21" t="inlineStr">
        <is>
          <t>Informatique</t>
        </is>
      </c>
      <c r="D72" s="21" t="inlineStr">
        <is>
          <t>Salle des conférences</t>
        </is>
      </c>
      <c r="E72" s="21" t="inlineStr"/>
      <c r="I72" s="21" t="inlineStr">
        <is>
          <t>Opérationnel</t>
        </is>
      </c>
      <c r="J72" s="21" t="inlineStr">
        <is>
          <t>UDC/EMSP/006/OND/SC</t>
        </is>
      </c>
      <c r="K72" s="21" t="inlineStr">
        <is>
          <t>import inventaire</t>
        </is>
      </c>
      <c r="M72" s="21" t="n">
        <v>1</v>
      </c>
    </row>
    <row r="73">
      <c r="A73" s="21" t="inlineStr">
        <is>
          <t>EQ071</t>
        </is>
      </c>
      <c r="B73" s="21" t="inlineStr">
        <is>
          <t>Escarbot</t>
        </is>
      </c>
      <c r="C73" s="21" t="inlineStr">
        <is>
          <t>Divers</t>
        </is>
      </c>
      <c r="D73" s="21" t="inlineStr">
        <is>
          <t>Salle des conférences</t>
        </is>
      </c>
      <c r="E73" s="21" t="inlineStr">
        <is>
          <t>2018</t>
        </is>
      </c>
      <c r="I73" s="21" t="inlineStr">
        <is>
          <t>Opérationnel</t>
        </is>
      </c>
      <c r="J73" s="21" t="inlineStr">
        <is>
          <t>UDC/EMSP/001/ES/SC</t>
        </is>
      </c>
      <c r="K73" s="21" t="inlineStr">
        <is>
          <t>import inventaire</t>
        </is>
      </c>
      <c r="M73" s="21" t="n">
        <v>1</v>
      </c>
    </row>
    <row r="74">
      <c r="A74" s="21" t="inlineStr">
        <is>
          <t>EQ072</t>
        </is>
      </c>
      <c r="B74" s="21" t="inlineStr">
        <is>
          <t>Vidéo Projecteur</t>
        </is>
      </c>
      <c r="C74" s="21" t="inlineStr">
        <is>
          <t>Pédagogique</t>
        </is>
      </c>
      <c r="D74" s="21" t="inlineStr">
        <is>
          <t>Salle des conférences</t>
        </is>
      </c>
      <c r="E74" s="21" t="inlineStr">
        <is>
          <t>2018</t>
        </is>
      </c>
      <c r="I74" s="21" t="inlineStr">
        <is>
          <t>Moyen état</t>
        </is>
      </c>
      <c r="J74" s="21" t="inlineStr">
        <is>
          <t>UDC/EMSP/005/VP/SC</t>
        </is>
      </c>
      <c r="K74" s="21" t="inlineStr">
        <is>
          <t>import inventaire</t>
        </is>
      </c>
      <c r="M74" s="21" t="n">
        <v>1</v>
      </c>
    </row>
    <row r="75">
      <c r="A75" s="21" t="inlineStr">
        <is>
          <t>EQ073</t>
        </is>
      </c>
      <c r="B75" s="21" t="inlineStr">
        <is>
          <t>Tablau blanc</t>
        </is>
      </c>
      <c r="C75" s="21" t="inlineStr">
        <is>
          <t>Pédagogique</t>
        </is>
      </c>
      <c r="D75" s="21" t="inlineStr">
        <is>
          <t>Salle des conférences</t>
        </is>
      </c>
      <c r="E75" s="21" t="inlineStr"/>
      <c r="I75" s="21" t="inlineStr">
        <is>
          <t>Opérationnel</t>
        </is>
      </c>
      <c r="J75" s="21" t="inlineStr">
        <is>
          <t>UDC/EMSP/001/TABB/SC</t>
        </is>
      </c>
      <c r="K75" s="21" t="inlineStr">
        <is>
          <t>import inventaire</t>
        </is>
      </c>
      <c r="M75" s="21" t="n">
        <v>1</v>
      </c>
    </row>
    <row r="76">
      <c r="A76" s="21" t="inlineStr">
        <is>
          <t>EQ074</t>
        </is>
      </c>
      <c r="B76" s="21" t="inlineStr">
        <is>
          <t>BIBLIOTHEQUE</t>
        </is>
      </c>
      <c r="C76" s="21" t="inlineStr">
        <is>
          <t>Mobilier</t>
        </is>
      </c>
      <c r="D76" s="21" t="inlineStr">
        <is>
          <t>Salle des conférences</t>
        </is>
      </c>
      <c r="E76" s="21" t="inlineStr"/>
      <c r="I76" s="21" t="inlineStr"/>
      <c r="J76" s="21" t="inlineStr"/>
      <c r="K76" s="21" t="inlineStr">
        <is>
          <t>import inventaire</t>
        </is>
      </c>
      <c r="M76" s="21" t="n">
        <v>1</v>
      </c>
    </row>
    <row r="77">
      <c r="A77" s="21" t="inlineStr">
        <is>
          <t>EQ075</t>
        </is>
      </c>
      <c r="B77" s="21" t="inlineStr">
        <is>
          <t>Etagere</t>
        </is>
      </c>
      <c r="C77" s="21" t="inlineStr">
        <is>
          <t>Mobilier</t>
        </is>
      </c>
      <c r="D77" s="21" t="inlineStr">
        <is>
          <t>Salle des conférences</t>
        </is>
      </c>
      <c r="E77" s="21" t="inlineStr"/>
      <c r="I77" s="21" t="inlineStr">
        <is>
          <t>Moyen état</t>
        </is>
      </c>
      <c r="J77" s="21" t="inlineStr">
        <is>
          <t>UDC/EMSP/005-0019/ET/BEMSP</t>
        </is>
      </c>
      <c r="K77" s="21" t="inlineStr">
        <is>
          <t>import inventaire</t>
        </is>
      </c>
      <c r="M77" s="21" t="n">
        <v>15</v>
      </c>
    </row>
    <row r="78">
      <c r="A78" s="21" t="inlineStr">
        <is>
          <t>EQ076</t>
        </is>
      </c>
      <c r="B78" s="21" t="inlineStr">
        <is>
          <t>Table bancs</t>
        </is>
      </c>
      <c r="C78" s="21" t="inlineStr">
        <is>
          <t>Mobilier</t>
        </is>
      </c>
      <c r="D78" s="21" t="inlineStr">
        <is>
          <t>Salle des conférences</t>
        </is>
      </c>
      <c r="E78" s="21" t="inlineStr"/>
      <c r="I78" s="21" t="inlineStr">
        <is>
          <t>Moyen état</t>
        </is>
      </c>
      <c r="J78" s="21" t="inlineStr">
        <is>
          <t>UDC/EMSP/001-004/TABB/BEMSP</t>
        </is>
      </c>
      <c r="K78" s="21" t="inlineStr">
        <is>
          <t>import inventaire</t>
        </is>
      </c>
      <c r="M78" s="21" t="n">
        <v>4</v>
      </c>
    </row>
    <row r="79">
      <c r="A79" s="21" t="inlineStr">
        <is>
          <t>EQ077</t>
        </is>
      </c>
      <c r="B79" s="21" t="inlineStr">
        <is>
          <t>Taleau blancs</t>
        </is>
      </c>
      <c r="C79" s="21" t="inlineStr">
        <is>
          <t>Pédagogique</t>
        </is>
      </c>
      <c r="D79" s="21" t="inlineStr">
        <is>
          <t>Salle des conférences</t>
        </is>
      </c>
      <c r="E79" s="21" t="inlineStr"/>
      <c r="I79" s="21" t="inlineStr">
        <is>
          <t>Opérationnel</t>
        </is>
      </c>
      <c r="J79" s="21" t="inlineStr">
        <is>
          <t>UDC/EMSP/002-005/TABB/BEMSP</t>
        </is>
      </c>
      <c r="K79" s="21" t="inlineStr">
        <is>
          <t>import inventaire</t>
        </is>
      </c>
      <c r="M79" s="21" t="n">
        <v>4</v>
      </c>
    </row>
    <row r="80">
      <c r="A80" s="21" t="inlineStr">
        <is>
          <t>EQ078</t>
        </is>
      </c>
      <c r="B80" s="21" t="inlineStr">
        <is>
          <t>Ordinateur</t>
        </is>
      </c>
      <c r="C80" s="21" t="inlineStr">
        <is>
          <t>Informatique</t>
        </is>
      </c>
      <c r="D80" s="21" t="inlineStr">
        <is>
          <t>Salle des conférences</t>
        </is>
      </c>
      <c r="E80" s="21" t="inlineStr"/>
      <c r="I80" s="21" t="inlineStr">
        <is>
          <t>Moyen état</t>
        </is>
      </c>
      <c r="J80" s="21" t="inlineStr">
        <is>
          <t>UDC/EMSP/006/OR/BEMSP</t>
        </is>
      </c>
      <c r="K80" s="21" t="inlineStr">
        <is>
          <t>import inventaire</t>
        </is>
      </c>
      <c r="M80" s="21" t="n">
        <v>1</v>
      </c>
    </row>
    <row r="81">
      <c r="A81" s="21" t="inlineStr">
        <is>
          <t>EQ079</t>
        </is>
      </c>
      <c r="B81" s="21" t="inlineStr">
        <is>
          <t>Chaises</t>
        </is>
      </c>
      <c r="C81" s="21" t="inlineStr">
        <is>
          <t>Mobilier</t>
        </is>
      </c>
      <c r="D81" s="21" t="inlineStr">
        <is>
          <t>Salle des conférences</t>
        </is>
      </c>
      <c r="E81" s="21" t="inlineStr"/>
      <c r="I81" s="21" t="inlineStr">
        <is>
          <t>Moyen état</t>
        </is>
      </c>
      <c r="J81" s="21" t="inlineStr">
        <is>
          <t>UDC/EMSP/111-124/CHA/BEMSP</t>
        </is>
      </c>
      <c r="K81" s="21" t="inlineStr">
        <is>
          <t>import inventaire</t>
        </is>
      </c>
      <c r="M81" s="21" t="n">
        <v>14</v>
      </c>
    </row>
    <row r="82">
      <c r="A82" s="21" t="inlineStr">
        <is>
          <t>EQ080</t>
        </is>
      </c>
      <c r="B82" s="21" t="inlineStr">
        <is>
          <t>Televiseur</t>
        </is>
      </c>
      <c r="C82" s="21" t="inlineStr">
        <is>
          <t>Divers</t>
        </is>
      </c>
      <c r="D82" s="21" t="inlineStr">
        <is>
          <t>Salle des conférences</t>
        </is>
      </c>
      <c r="E82" s="21" t="inlineStr"/>
      <c r="I82" s="21" t="inlineStr"/>
      <c r="J82" s="21" t="inlineStr">
        <is>
          <t>UDC/EMSP/001/TEL/BEMSP</t>
        </is>
      </c>
      <c r="K82" s="21" t="inlineStr">
        <is>
          <t>import inventaire</t>
        </is>
      </c>
      <c r="M82" s="21" t="n">
        <v>1</v>
      </c>
    </row>
    <row r="83">
      <c r="A83" s="21" t="inlineStr">
        <is>
          <t>EQ081</t>
        </is>
      </c>
      <c r="B83" s="21" t="inlineStr">
        <is>
          <t>Ventilateur</t>
        </is>
      </c>
      <c r="C83" s="21" t="inlineStr">
        <is>
          <t>Climatisation</t>
        </is>
      </c>
      <c r="D83" s="21" t="inlineStr">
        <is>
          <t>Salle des conférences</t>
        </is>
      </c>
      <c r="E83" s="21" t="inlineStr"/>
      <c r="I83" s="21" t="inlineStr">
        <is>
          <t>Opérationnel</t>
        </is>
      </c>
      <c r="J83" s="21" t="inlineStr">
        <is>
          <t>UDC/EMSP/002- 006/VE/BEMSP</t>
        </is>
      </c>
      <c r="K83" s="21" t="inlineStr">
        <is>
          <t>import inventaire</t>
        </is>
      </c>
      <c r="M83" s="21" t="n">
        <v>5</v>
      </c>
    </row>
    <row r="84">
      <c r="A84" s="21" t="inlineStr">
        <is>
          <t>EQ082</t>
        </is>
      </c>
      <c r="B84" s="21" t="inlineStr">
        <is>
          <t>MODEM</t>
        </is>
      </c>
      <c r="C84" s="21" t="inlineStr">
        <is>
          <t>Informatique</t>
        </is>
      </c>
      <c r="D84" s="21" t="inlineStr">
        <is>
          <t>Salle des conférences</t>
        </is>
      </c>
      <c r="E84" s="21" t="inlineStr">
        <is>
          <t>2019</t>
        </is>
      </c>
      <c r="I84" s="21" t="inlineStr">
        <is>
          <t>Opérationnel</t>
        </is>
      </c>
      <c r="J84" s="21" t="inlineStr"/>
      <c r="K84" s="21" t="inlineStr">
        <is>
          <t>import inventaire</t>
        </is>
      </c>
      <c r="M84" s="21" t="n">
        <v>1</v>
      </c>
    </row>
    <row r="85">
      <c r="A85" s="21" t="inlineStr">
        <is>
          <t>EQ083</t>
        </is>
      </c>
      <c r="B85" s="21" t="inlineStr">
        <is>
          <t>SWITCH</t>
        </is>
      </c>
      <c r="C85" s="21" t="inlineStr">
        <is>
          <t>Informatique</t>
        </is>
      </c>
      <c r="D85" s="21" t="inlineStr">
        <is>
          <t>Salle des conférences</t>
        </is>
      </c>
      <c r="E85" s="21" t="inlineStr">
        <is>
          <t>2019</t>
        </is>
      </c>
      <c r="I85" s="21" t="inlineStr">
        <is>
          <t>Opérationnel</t>
        </is>
      </c>
      <c r="J85" s="21" t="inlineStr"/>
      <c r="K85" s="21" t="inlineStr">
        <is>
          <t>import inventaire</t>
        </is>
      </c>
      <c r="M85" s="21" t="n">
        <v>1</v>
      </c>
    </row>
    <row r="86">
      <c r="A86" s="21" t="inlineStr">
        <is>
          <t>EQ084</t>
        </is>
      </c>
      <c r="B86" s="21" t="inlineStr">
        <is>
          <t>Bancs</t>
        </is>
      </c>
      <c r="C86" s="21" t="inlineStr">
        <is>
          <t>Mobilier</t>
        </is>
      </c>
      <c r="D86" s="21" t="inlineStr">
        <is>
          <t>Salle des conférences</t>
        </is>
      </c>
      <c r="E86" s="21" t="inlineStr"/>
      <c r="I86" s="21" t="inlineStr">
        <is>
          <t>Moyen état</t>
        </is>
      </c>
      <c r="J86" s="21" t="inlineStr">
        <is>
          <t>UDC/EMSP/001- 008/BAN/BEMSP</t>
        </is>
      </c>
      <c r="K86" s="21" t="inlineStr">
        <is>
          <t>import inventaire</t>
        </is>
      </c>
      <c r="M86" s="21" t="n">
        <v>8</v>
      </c>
    </row>
    <row r="87">
      <c r="A87" s="21" t="inlineStr">
        <is>
          <t>EQ085</t>
        </is>
      </c>
      <c r="B87" s="21" t="inlineStr">
        <is>
          <t>Ordinateur</t>
        </is>
      </c>
      <c r="C87" s="21" t="inlineStr">
        <is>
          <t>Informatique</t>
        </is>
      </c>
      <c r="D87" s="21" t="inlineStr">
        <is>
          <t>Bureau du Chef de département Soins infirmiers</t>
        </is>
      </c>
      <c r="E87" s="21" t="inlineStr">
        <is>
          <t>2015</t>
        </is>
      </c>
      <c r="I87" s="21" t="inlineStr">
        <is>
          <t>Opérationnel</t>
        </is>
      </c>
      <c r="J87" s="21" t="inlineStr">
        <is>
          <t>UDC/ EMSP/007/OR/CDSI</t>
        </is>
      </c>
      <c r="K87" s="21" t="inlineStr">
        <is>
          <t>import inventaire</t>
        </is>
      </c>
      <c r="M87" s="21" t="n">
        <v>1</v>
      </c>
    </row>
    <row r="88">
      <c r="A88" s="21" t="inlineStr">
        <is>
          <t>EQ086</t>
        </is>
      </c>
      <c r="B88" s="21" t="inlineStr">
        <is>
          <t>Foteuil</t>
        </is>
      </c>
      <c r="C88" s="21" t="inlineStr">
        <is>
          <t>Mobilier</t>
        </is>
      </c>
      <c r="D88" s="21" t="inlineStr">
        <is>
          <t>Bureau du Chef de département Soins infirmiers</t>
        </is>
      </c>
      <c r="E88" s="21" t="inlineStr">
        <is>
          <t>2015</t>
        </is>
      </c>
      <c r="I88" s="21" t="inlineStr">
        <is>
          <t>Opérationnel</t>
        </is>
      </c>
      <c r="J88" s="21" t="inlineStr">
        <is>
          <t>UDC/EMSP/004/FOT/CDSI</t>
        </is>
      </c>
      <c r="K88" s="21" t="inlineStr">
        <is>
          <t>import inventaire</t>
        </is>
      </c>
      <c r="M88" s="21" t="n">
        <v>1</v>
      </c>
    </row>
    <row r="89">
      <c r="A89" s="21" t="inlineStr">
        <is>
          <t>EQ087</t>
        </is>
      </c>
      <c r="B89" s="21" t="inlineStr">
        <is>
          <t>Table de Bureau</t>
        </is>
      </c>
      <c r="C89" s="21" t="inlineStr">
        <is>
          <t>Mobilier</t>
        </is>
      </c>
      <c r="D89" s="21" t="inlineStr">
        <is>
          <t>Bureau du Chef de département Soins infirmiers</t>
        </is>
      </c>
      <c r="E89" s="21" t="inlineStr">
        <is>
          <t>2015</t>
        </is>
      </c>
      <c r="I89" s="21" t="inlineStr">
        <is>
          <t>Opérationnel</t>
        </is>
      </c>
      <c r="J89" s="21" t="inlineStr">
        <is>
          <t>UDC/EMSP/030/TAB/CDSI</t>
        </is>
      </c>
      <c r="K89" s="21" t="inlineStr">
        <is>
          <t>import inventaire</t>
        </is>
      </c>
      <c r="M89" s="21" t="n">
        <v>2</v>
      </c>
    </row>
    <row r="90">
      <c r="A90" s="21" t="inlineStr">
        <is>
          <t>EQ088</t>
        </is>
      </c>
      <c r="B90" s="21" t="inlineStr">
        <is>
          <t>Ondulaire</t>
        </is>
      </c>
      <c r="C90" s="21" t="inlineStr">
        <is>
          <t>Informatique</t>
        </is>
      </c>
      <c r="D90" s="21" t="inlineStr">
        <is>
          <t>Bureau du Chef de département Soins infirmiers</t>
        </is>
      </c>
      <c r="E90" s="21" t="inlineStr">
        <is>
          <t>2015</t>
        </is>
      </c>
      <c r="I90" s="21" t="inlineStr">
        <is>
          <t>Opérationnel</t>
        </is>
      </c>
      <c r="J90" s="21" t="inlineStr">
        <is>
          <t>UDC/EMSP/007/OND/CDSI</t>
        </is>
      </c>
      <c r="K90" s="21" t="inlineStr">
        <is>
          <t>import inventaire</t>
        </is>
      </c>
      <c r="M90" s="21" t="n">
        <v>1</v>
      </c>
    </row>
    <row r="91">
      <c r="A91" s="21" t="inlineStr">
        <is>
          <t>EQ089</t>
        </is>
      </c>
      <c r="B91" s="21" t="inlineStr">
        <is>
          <t>Chaise</t>
        </is>
      </c>
      <c r="C91" s="21" t="inlineStr">
        <is>
          <t>Mobilier</t>
        </is>
      </c>
      <c r="D91" s="21" t="inlineStr">
        <is>
          <t>Bureau du Chef de département Soins infirmiers</t>
        </is>
      </c>
      <c r="E91" s="21" t="inlineStr"/>
      <c r="I91" s="21" t="inlineStr">
        <is>
          <t>Opérationnel</t>
        </is>
      </c>
      <c r="J91" s="21" t="inlineStr">
        <is>
          <t>UDC/EMSP/129 -169/CHA/CDSI</t>
        </is>
      </c>
      <c r="K91" s="21" t="inlineStr">
        <is>
          <t>import inventaire</t>
        </is>
      </c>
      <c r="M91" s="21" t="n">
        <v>9</v>
      </c>
    </row>
    <row r="92">
      <c r="A92" s="21" t="inlineStr">
        <is>
          <t>EQ090</t>
        </is>
      </c>
      <c r="B92" s="21" t="inlineStr">
        <is>
          <t>Etagere</t>
        </is>
      </c>
      <c r="C92" s="21" t="inlineStr">
        <is>
          <t>Mobilier</t>
        </is>
      </c>
      <c r="D92" s="21" t="inlineStr">
        <is>
          <t>Bureau du Chef de département Soins infirmiers</t>
        </is>
      </c>
      <c r="E92" s="21" t="inlineStr"/>
      <c r="I92" s="21" t="inlineStr">
        <is>
          <t>Opérationnel</t>
        </is>
      </c>
      <c r="J92" s="21" t="inlineStr">
        <is>
          <t>UDC/EMSP/024/ET/CDSI</t>
        </is>
      </c>
      <c r="K92" s="21" t="inlineStr">
        <is>
          <t>import inventaire</t>
        </is>
      </c>
      <c r="M92" s="21" t="n">
        <v>1</v>
      </c>
    </row>
    <row r="93">
      <c r="A93" s="21" t="inlineStr">
        <is>
          <t>EQ091</t>
        </is>
      </c>
      <c r="B93" s="21" t="inlineStr">
        <is>
          <t>Etagere</t>
        </is>
      </c>
      <c r="C93" s="21" t="inlineStr">
        <is>
          <t>Mobilier</t>
        </is>
      </c>
      <c r="D93" s="21" t="inlineStr">
        <is>
          <t>Bureau du Chef de département Formations continues</t>
        </is>
      </c>
      <c r="E93" s="21" t="inlineStr"/>
      <c r="I93" s="21" t="inlineStr">
        <is>
          <t>Opérationnel</t>
        </is>
      </c>
      <c r="J93" s="21" t="inlineStr">
        <is>
          <t>UDC/EMSP/020-021/ET/CDFC</t>
        </is>
      </c>
      <c r="K93" s="21" t="inlineStr">
        <is>
          <t>import inventaire</t>
        </is>
      </c>
      <c r="M93" s="21" t="n">
        <v>2</v>
      </c>
    </row>
    <row r="94">
      <c r="A94" s="21" t="inlineStr">
        <is>
          <t>EQ092</t>
        </is>
      </c>
      <c r="B94" s="21" t="inlineStr">
        <is>
          <t>Ordinateur</t>
        </is>
      </c>
      <c r="C94" s="21" t="inlineStr">
        <is>
          <t>Informatique</t>
        </is>
      </c>
      <c r="D94" s="21" t="inlineStr">
        <is>
          <t>Bureau du Chef de département Formations continues</t>
        </is>
      </c>
      <c r="E94" s="21" t="inlineStr"/>
      <c r="I94" s="21" t="inlineStr">
        <is>
          <t>Opérationnel</t>
        </is>
      </c>
      <c r="J94" s="21" t="inlineStr">
        <is>
          <t>UDC/EMSP/008/OR/CDFC</t>
        </is>
      </c>
      <c r="K94" s="21" t="inlineStr">
        <is>
          <t>import inventaire</t>
        </is>
      </c>
      <c r="M94" s="21" t="n">
        <v>1</v>
      </c>
    </row>
    <row r="95">
      <c r="A95" s="21" t="inlineStr">
        <is>
          <t>EQ093</t>
        </is>
      </c>
      <c r="B95" s="21" t="inlineStr">
        <is>
          <t>Table de Bureau</t>
        </is>
      </c>
      <c r="C95" s="21" t="inlineStr">
        <is>
          <t>Mobilier</t>
        </is>
      </c>
      <c r="D95" s="21" t="inlineStr">
        <is>
          <t>Bureau du Chef de département Formations continues</t>
        </is>
      </c>
      <c r="E95" s="21" t="inlineStr"/>
      <c r="I95" s="21" t="inlineStr">
        <is>
          <t>Opérationnel</t>
        </is>
      </c>
      <c r="J95" s="21" t="inlineStr">
        <is>
          <t>UDC/EMSP/030- 031/TABB/CDFC</t>
        </is>
      </c>
      <c r="K95" s="21" t="inlineStr">
        <is>
          <t>import inventaire</t>
        </is>
      </c>
      <c r="M95" s="21" t="n">
        <v>2</v>
      </c>
    </row>
    <row r="96">
      <c r="A96" s="21" t="inlineStr">
        <is>
          <t>EQ094</t>
        </is>
      </c>
      <c r="B96" s="21" t="inlineStr">
        <is>
          <t>Chaise noire</t>
        </is>
      </c>
      <c r="C96" s="21" t="inlineStr">
        <is>
          <t>Mobilier</t>
        </is>
      </c>
      <c r="D96" s="21" t="inlineStr">
        <is>
          <t>Bureau du Chef de département Formations continues</t>
        </is>
      </c>
      <c r="E96" s="21" t="inlineStr"/>
      <c r="I96" s="21" t="inlineStr">
        <is>
          <t>Opérationnel</t>
        </is>
      </c>
      <c r="J96" s="21" t="inlineStr">
        <is>
          <t>UDC/EMSP/033-034/CHA/CDFC</t>
        </is>
      </c>
      <c r="K96" s="21" t="inlineStr">
        <is>
          <t>import inventaire</t>
        </is>
      </c>
      <c r="M96" s="21" t="n">
        <v>2</v>
      </c>
    </row>
    <row r="97">
      <c r="A97" s="21" t="inlineStr">
        <is>
          <t>EQ095</t>
        </is>
      </c>
      <c r="B97" s="21" t="inlineStr">
        <is>
          <t>Foteuille</t>
        </is>
      </c>
      <c r="C97" s="21" t="inlineStr">
        <is>
          <t>Mobilier</t>
        </is>
      </c>
      <c r="D97" s="21" t="inlineStr">
        <is>
          <t>Bureau du Chef de département Formations continues</t>
        </is>
      </c>
      <c r="E97" s="21" t="inlineStr"/>
      <c r="I97" s="21" t="inlineStr">
        <is>
          <t>Opérationnel</t>
        </is>
      </c>
      <c r="J97" s="21" t="inlineStr">
        <is>
          <t>UDC/EMSP/005/FOT/CDFC</t>
        </is>
      </c>
      <c r="K97" s="21" t="inlineStr">
        <is>
          <t>import inventaire</t>
        </is>
      </c>
      <c r="M97" s="21" t="n">
        <v>1</v>
      </c>
    </row>
    <row r="98">
      <c r="A98" s="21" t="inlineStr">
        <is>
          <t>EQ096</t>
        </is>
      </c>
      <c r="B98" s="21" t="inlineStr">
        <is>
          <t>Imprimante</t>
        </is>
      </c>
      <c r="C98" s="21" t="inlineStr">
        <is>
          <t>Informatique</t>
        </is>
      </c>
      <c r="D98" s="21" t="inlineStr">
        <is>
          <t>Bureau du Chef de département Formations continues</t>
        </is>
      </c>
      <c r="E98" s="21" t="inlineStr"/>
      <c r="I98" s="21" t="inlineStr">
        <is>
          <t>Opérationnel</t>
        </is>
      </c>
      <c r="J98" s="21" t="inlineStr">
        <is>
          <t>UDC/EMSP/005/IMP/CDFC</t>
        </is>
      </c>
      <c r="K98" s="21" t="inlineStr">
        <is>
          <t>import inventaire</t>
        </is>
      </c>
      <c r="M98" s="21" t="n">
        <v>1</v>
      </c>
    </row>
    <row r="99">
      <c r="A99" s="21" t="inlineStr">
        <is>
          <t>EQ097</t>
        </is>
      </c>
      <c r="B99" s="21" t="inlineStr">
        <is>
          <t>Ondulaire</t>
        </is>
      </c>
      <c r="C99" s="21" t="inlineStr">
        <is>
          <t>Informatique</t>
        </is>
      </c>
      <c r="D99" s="21" t="inlineStr">
        <is>
          <t>Bureau du Chef de département Formations continues</t>
        </is>
      </c>
      <c r="E99" s="21" t="inlineStr">
        <is>
          <t>2015</t>
        </is>
      </c>
      <c r="I99" s="21" t="inlineStr">
        <is>
          <t>Opérationnel</t>
        </is>
      </c>
      <c r="J99" s="21" t="inlineStr">
        <is>
          <t>UDC/EMSP/008/OND/CDFC</t>
        </is>
      </c>
      <c r="K99" s="21" t="inlineStr">
        <is>
          <t>import inventaire</t>
        </is>
      </c>
      <c r="M99" s="21" t="n">
        <v>1</v>
      </c>
    </row>
    <row r="100">
      <c r="A100" s="21" t="inlineStr">
        <is>
          <t>EQ098</t>
        </is>
      </c>
      <c r="B100" s="21" t="inlineStr">
        <is>
          <t>Climatiseur</t>
        </is>
      </c>
      <c r="C100" s="21" t="inlineStr">
        <is>
          <t>Climatisation</t>
        </is>
      </c>
      <c r="D100" s="21" t="inlineStr">
        <is>
          <t>Bureau du Chef de département Formations continues</t>
        </is>
      </c>
      <c r="E100" s="21" t="inlineStr"/>
      <c r="I100" s="21" t="inlineStr">
        <is>
          <t>Opérationnel</t>
        </is>
      </c>
      <c r="J100" s="21" t="inlineStr">
        <is>
          <t>UDC/EMSP/010/CLI/CDFC</t>
        </is>
      </c>
      <c r="K100" s="21" t="inlineStr">
        <is>
          <t>import inventaire</t>
        </is>
      </c>
      <c r="M100" s="21" t="n">
        <v>1</v>
      </c>
    </row>
    <row r="101">
      <c r="A101" s="21" t="inlineStr">
        <is>
          <t>EQ099</t>
        </is>
      </c>
      <c r="B101" s="21" t="inlineStr">
        <is>
          <t>Table de bureau</t>
        </is>
      </c>
      <c r="C101" s="21" t="inlineStr">
        <is>
          <t>Mobilier</t>
        </is>
      </c>
      <c r="D101" s="21" t="inlineStr">
        <is>
          <t>Bureau du Chef de département Soins obstétricaux</t>
        </is>
      </c>
      <c r="E101" s="21" t="inlineStr">
        <is>
          <t>2015</t>
        </is>
      </c>
      <c r="I101" s="21" t="inlineStr">
        <is>
          <t>Opérationnel</t>
        </is>
      </c>
      <c r="J101" s="21" t="inlineStr">
        <is>
          <t>UDC/EMSP/032- 033/TAB/CDSO</t>
        </is>
      </c>
      <c r="K101" s="21" t="inlineStr">
        <is>
          <t>import inventaire</t>
        </is>
      </c>
      <c r="M101" s="21" t="n">
        <v>2</v>
      </c>
    </row>
    <row r="102">
      <c r="A102" s="21" t="inlineStr">
        <is>
          <t>EQ100</t>
        </is>
      </c>
      <c r="B102" s="21" t="inlineStr">
        <is>
          <t>Armoire de bureau</t>
        </is>
      </c>
      <c r="C102" s="21" t="inlineStr">
        <is>
          <t>Mobilier</t>
        </is>
      </c>
      <c r="D102" s="21" t="inlineStr">
        <is>
          <t>Bureau du Chef de département Soins obstétricaux</t>
        </is>
      </c>
      <c r="E102" s="21" t="inlineStr">
        <is>
          <t>2015</t>
        </is>
      </c>
      <c r="I102" s="21" t="inlineStr">
        <is>
          <t>Opérationnel</t>
        </is>
      </c>
      <c r="J102" s="21" t="inlineStr">
        <is>
          <t>UDC/EMSP/009/AR/CDSO</t>
        </is>
      </c>
      <c r="K102" s="21" t="inlineStr">
        <is>
          <t>import inventaire</t>
        </is>
      </c>
      <c r="M102" s="21" t="n">
        <v>1</v>
      </c>
    </row>
    <row r="103">
      <c r="A103" s="21" t="inlineStr">
        <is>
          <t>EQ101</t>
        </is>
      </c>
      <c r="B103" s="21" t="inlineStr">
        <is>
          <t>Chaise</t>
        </is>
      </c>
      <c r="C103" s="21" t="inlineStr">
        <is>
          <t>Mobilier</t>
        </is>
      </c>
      <c r="D103" s="21" t="inlineStr">
        <is>
          <t>Bureau du Chef de département Soins obstétricaux</t>
        </is>
      </c>
      <c r="E103" s="21" t="inlineStr"/>
      <c r="I103" s="21" t="inlineStr">
        <is>
          <t>Opérationnel</t>
        </is>
      </c>
      <c r="J103" s="21" t="inlineStr">
        <is>
          <t>UDC/EMSP/130-134/CHA/CDSO</t>
        </is>
      </c>
      <c r="K103" s="21" t="inlineStr">
        <is>
          <t>import inventaire</t>
        </is>
      </c>
      <c r="M103" s="21" t="n">
        <v>5</v>
      </c>
    </row>
    <row r="104">
      <c r="A104" s="21" t="inlineStr">
        <is>
          <t>EQ102</t>
        </is>
      </c>
      <c r="B104" s="21" t="inlineStr">
        <is>
          <t>Foteuille</t>
        </is>
      </c>
      <c r="C104" s="21" t="inlineStr">
        <is>
          <t>Mobilier</t>
        </is>
      </c>
      <c r="D104" s="21" t="inlineStr">
        <is>
          <t>Bureau du Chef de département Soins obstétricaux</t>
        </is>
      </c>
      <c r="E104" s="21" t="inlineStr">
        <is>
          <t>2015</t>
        </is>
      </c>
      <c r="I104" s="21" t="inlineStr">
        <is>
          <t>Opérationnel</t>
        </is>
      </c>
      <c r="J104" s="21" t="inlineStr">
        <is>
          <t>UDC/EMSP/006/FOT/CDSO</t>
        </is>
      </c>
      <c r="K104" s="21" t="inlineStr">
        <is>
          <t>import inventaire</t>
        </is>
      </c>
      <c r="M104" s="21" t="n">
        <v>1</v>
      </c>
    </row>
    <row r="105">
      <c r="A105" s="21" t="inlineStr">
        <is>
          <t>EQ103</t>
        </is>
      </c>
      <c r="B105" s="21" t="inlineStr">
        <is>
          <t>Ondulaire</t>
        </is>
      </c>
      <c r="C105" s="21" t="inlineStr">
        <is>
          <t>Informatique</t>
        </is>
      </c>
      <c r="D105" s="21" t="inlineStr">
        <is>
          <t>Bureau du Chef de département Soins obstétricaux</t>
        </is>
      </c>
      <c r="E105" s="21" t="inlineStr">
        <is>
          <t>2015</t>
        </is>
      </c>
      <c r="I105" s="21" t="inlineStr">
        <is>
          <t>Opérationnel</t>
        </is>
      </c>
      <c r="J105" s="21" t="inlineStr">
        <is>
          <t>UDC/EMSP/009/OND/CDSO</t>
        </is>
      </c>
      <c r="K105" s="21" t="inlineStr">
        <is>
          <t>import inventaire</t>
        </is>
      </c>
      <c r="M105" s="21" t="n">
        <v>1</v>
      </c>
    </row>
    <row r="106">
      <c r="A106" s="21" t="inlineStr">
        <is>
          <t>EQ104</t>
        </is>
      </c>
      <c r="B106" s="21" t="inlineStr">
        <is>
          <t>Ordinateur</t>
        </is>
      </c>
      <c r="C106" s="21" t="inlineStr">
        <is>
          <t>Informatique</t>
        </is>
      </c>
      <c r="D106" s="21" t="inlineStr">
        <is>
          <t>Bureau du Chef de département Soins obstétricaux</t>
        </is>
      </c>
      <c r="E106" s="21" t="inlineStr">
        <is>
          <t>2015</t>
        </is>
      </c>
      <c r="I106" s="21" t="inlineStr">
        <is>
          <t>Opérationnel</t>
        </is>
      </c>
      <c r="J106" s="21" t="inlineStr">
        <is>
          <t>UDC/EMSP/009-010/OR/CDSO</t>
        </is>
      </c>
      <c r="K106" s="21" t="inlineStr">
        <is>
          <t>import inventaire</t>
        </is>
      </c>
      <c r="M106" s="21" t="n">
        <v>2</v>
      </c>
    </row>
    <row r="107">
      <c r="A107" s="21" t="inlineStr">
        <is>
          <t>EQ105</t>
        </is>
      </c>
      <c r="B107" s="21" t="inlineStr">
        <is>
          <t>Climatiseur</t>
        </is>
      </c>
      <c r="C107" s="21" t="inlineStr">
        <is>
          <t>Climatisation</t>
        </is>
      </c>
      <c r="D107" s="21" t="inlineStr">
        <is>
          <t>Bureau du Chef de département Soins obstétricaux</t>
        </is>
      </c>
      <c r="E107" s="21" t="inlineStr"/>
      <c r="I107" s="21" t="inlineStr">
        <is>
          <t>Opérationnel</t>
        </is>
      </c>
      <c r="J107" s="21" t="inlineStr">
        <is>
          <t>UDC/EMSP/009/CLI/CDSO</t>
        </is>
      </c>
      <c r="K107" s="21" t="inlineStr">
        <is>
          <t>import inventaire</t>
        </is>
      </c>
      <c r="M107" s="21" t="n">
        <v>1</v>
      </c>
    </row>
    <row r="108">
      <c r="A108" s="21" t="inlineStr">
        <is>
          <t>EQ106</t>
        </is>
      </c>
      <c r="B108" s="21" t="inlineStr">
        <is>
          <t>Rallonge</t>
        </is>
      </c>
      <c r="C108" s="21" t="inlineStr">
        <is>
          <t>Divers</t>
        </is>
      </c>
      <c r="D108" s="21" t="inlineStr">
        <is>
          <t>Bureau du Chef de département Soins obstétricaux</t>
        </is>
      </c>
      <c r="E108" s="21" t="inlineStr">
        <is>
          <t>2018</t>
        </is>
      </c>
      <c r="I108" s="21" t="inlineStr">
        <is>
          <t>Opérationnel</t>
        </is>
      </c>
      <c r="J108" s="21" t="inlineStr">
        <is>
          <t>UDC/EMSP/018/CDSO</t>
        </is>
      </c>
      <c r="K108" s="21" t="inlineStr">
        <is>
          <t>import inventaire</t>
        </is>
      </c>
      <c r="M108" s="21" t="n">
        <v>1</v>
      </c>
    </row>
    <row r="109">
      <c r="A109" s="21" t="inlineStr">
        <is>
          <t>EQ107</t>
        </is>
      </c>
      <c r="B109" s="21" t="inlineStr">
        <is>
          <t>Table de bureau</t>
        </is>
      </c>
      <c r="C109" s="21" t="inlineStr">
        <is>
          <t>Mobilier</t>
        </is>
      </c>
      <c r="D109" s="21" t="inlineStr">
        <is>
          <t>Salle des profs</t>
        </is>
      </c>
      <c r="E109" s="21" t="inlineStr"/>
      <c r="I109" s="21" t="inlineStr">
        <is>
          <t>Opérationnel</t>
        </is>
      </c>
      <c r="J109" s="21" t="inlineStr">
        <is>
          <t>UDC/EMSP/034-035/TAB/SP</t>
        </is>
      </c>
      <c r="K109" s="21" t="inlineStr">
        <is>
          <t>import inventaire</t>
        </is>
      </c>
      <c r="M109" s="21" t="n">
        <v>2</v>
      </c>
    </row>
    <row r="110">
      <c r="A110" s="21" t="inlineStr">
        <is>
          <t>EQ108</t>
        </is>
      </c>
      <c r="B110" s="21" t="inlineStr">
        <is>
          <t>Chaises</t>
        </is>
      </c>
      <c r="C110" s="21" t="inlineStr">
        <is>
          <t>Mobilier</t>
        </is>
      </c>
      <c r="D110" s="21" t="inlineStr">
        <is>
          <t>Salle des profs</t>
        </is>
      </c>
      <c r="E110" s="21" t="inlineStr"/>
      <c r="I110" s="21" t="inlineStr">
        <is>
          <t>Opérationnel</t>
        </is>
      </c>
      <c r="J110" s="21" t="inlineStr">
        <is>
          <t>UDC/EMSP/135-162/CHA/SP</t>
        </is>
      </c>
      <c r="K110" s="21" t="inlineStr">
        <is>
          <t>import inventaire</t>
        </is>
      </c>
      <c r="M110" s="21" t="n">
        <v>28</v>
      </c>
    </row>
    <row r="111">
      <c r="A111" s="21" t="inlineStr">
        <is>
          <t>EQ109</t>
        </is>
      </c>
      <c r="B111" s="21" t="inlineStr">
        <is>
          <t>Switch</t>
        </is>
      </c>
      <c r="C111" s="21" t="inlineStr">
        <is>
          <t>Informatique</t>
        </is>
      </c>
      <c r="D111" s="21" t="inlineStr">
        <is>
          <t>Salle des profs</t>
        </is>
      </c>
      <c r="E111" s="21" t="inlineStr"/>
      <c r="I111" s="21" t="inlineStr">
        <is>
          <t>Opérationnel</t>
        </is>
      </c>
      <c r="J111" s="21" t="inlineStr">
        <is>
          <t>UDC/EMSP/002/SWI/EMSP</t>
        </is>
      </c>
      <c r="K111" s="21" t="inlineStr">
        <is>
          <t>import inventaire</t>
        </is>
      </c>
      <c r="M111" s="21" t="n">
        <v>1</v>
      </c>
    </row>
    <row r="112">
      <c r="A112" s="21" t="inlineStr">
        <is>
          <t>EQ110</t>
        </is>
      </c>
      <c r="B112" s="21" t="inlineStr">
        <is>
          <t>Tables de bureau</t>
        </is>
      </c>
      <c r="C112" s="21" t="inlineStr">
        <is>
          <t>Mobilier</t>
        </is>
      </c>
      <c r="D112" s="21" t="inlineStr">
        <is>
          <t>Bureau des Agents de scolarité</t>
        </is>
      </c>
      <c r="E112" s="21" t="inlineStr"/>
      <c r="I112" s="21" t="inlineStr">
        <is>
          <t>Opérationnel</t>
        </is>
      </c>
      <c r="J112" s="21" t="inlineStr">
        <is>
          <t>UDC/EMSP/036-037/TAB/SSC</t>
        </is>
      </c>
      <c r="K112" s="21" t="inlineStr">
        <is>
          <t>import inventaire</t>
        </is>
      </c>
      <c r="M112" s="21" t="n">
        <v>2</v>
      </c>
    </row>
    <row r="113">
      <c r="A113" s="21" t="inlineStr">
        <is>
          <t>EQ111</t>
        </is>
      </c>
      <c r="B113" s="21" t="inlineStr">
        <is>
          <t>Etageres</t>
        </is>
      </c>
      <c r="C113" s="21" t="inlineStr">
        <is>
          <t>Mobilier</t>
        </is>
      </c>
      <c r="D113" s="21" t="inlineStr">
        <is>
          <t>Bureau des Agents de scolarité</t>
        </is>
      </c>
      <c r="E113" s="21" t="inlineStr">
        <is>
          <t>2015</t>
        </is>
      </c>
      <c r="I113" s="21" t="inlineStr">
        <is>
          <t>Opérationnel</t>
        </is>
      </c>
      <c r="J113" s="21" t="inlineStr">
        <is>
          <t>UDC/EMSP/022-023/ET/SSC</t>
        </is>
      </c>
      <c r="K113" s="21" t="inlineStr">
        <is>
          <t>import inventaire</t>
        </is>
      </c>
      <c r="M113" s="21" t="n">
        <v>2</v>
      </c>
    </row>
    <row r="114">
      <c r="A114" s="21" t="inlineStr">
        <is>
          <t>EQ112</t>
        </is>
      </c>
      <c r="B114" s="21" t="inlineStr">
        <is>
          <t>Ondulaire</t>
        </is>
      </c>
      <c r="C114" s="21" t="inlineStr">
        <is>
          <t>Informatique</t>
        </is>
      </c>
      <c r="D114" s="21" t="inlineStr">
        <is>
          <t>Bureau des Agents de scolarité</t>
        </is>
      </c>
      <c r="E114" s="21" t="inlineStr">
        <is>
          <t>2015</t>
        </is>
      </c>
      <c r="I114" s="21" t="inlineStr">
        <is>
          <t>Opérationnel</t>
        </is>
      </c>
      <c r="J114" s="21" t="inlineStr">
        <is>
          <t>UDC/EMSP/010/OND/SSC</t>
        </is>
      </c>
      <c r="K114" s="21" t="inlineStr">
        <is>
          <t>import inventaire</t>
        </is>
      </c>
      <c r="M114" s="21" t="n">
        <v>1</v>
      </c>
    </row>
    <row r="115">
      <c r="A115" s="21" t="inlineStr">
        <is>
          <t>EQ113</t>
        </is>
      </c>
      <c r="B115" s="21" t="inlineStr">
        <is>
          <t>Armoire</t>
        </is>
      </c>
      <c r="C115" s="21" t="inlineStr">
        <is>
          <t>Mobilier</t>
        </is>
      </c>
      <c r="D115" s="21" t="inlineStr">
        <is>
          <t>Bureau des Agents de scolarité</t>
        </is>
      </c>
      <c r="E115" s="21" t="inlineStr">
        <is>
          <t>2015</t>
        </is>
      </c>
      <c r="I115" s="21" t="inlineStr">
        <is>
          <t>Opérationnel</t>
        </is>
      </c>
      <c r="J115" s="21" t="inlineStr">
        <is>
          <t>UDC/EMSP/010/AR/SSC</t>
        </is>
      </c>
      <c r="K115" s="21" t="inlineStr">
        <is>
          <t>import inventaire</t>
        </is>
      </c>
      <c r="M115" s="21" t="n">
        <v>1</v>
      </c>
    </row>
    <row r="116">
      <c r="A116" s="21" t="inlineStr">
        <is>
          <t>EQ114</t>
        </is>
      </c>
      <c r="B116" s="21" t="inlineStr">
        <is>
          <t>Ordinateurs</t>
        </is>
      </c>
      <c r="C116" s="21" t="inlineStr">
        <is>
          <t>Informatique</t>
        </is>
      </c>
      <c r="D116" s="21" t="inlineStr">
        <is>
          <t>Bureau des Agents de scolarité</t>
        </is>
      </c>
      <c r="E116" s="21" t="inlineStr"/>
      <c r="I116" s="21" t="inlineStr">
        <is>
          <t>Opérationnel</t>
        </is>
      </c>
      <c r="J116" s="21" t="inlineStr">
        <is>
          <t>UDC/EMSP/011-012/OR/SSC</t>
        </is>
      </c>
      <c r="K116" s="21" t="inlineStr">
        <is>
          <t>import inventaire</t>
        </is>
      </c>
      <c r="M116" s="21" t="n">
        <v>2</v>
      </c>
    </row>
    <row r="117">
      <c r="A117" s="21" t="inlineStr">
        <is>
          <t>EQ115</t>
        </is>
      </c>
      <c r="B117" s="21" t="inlineStr">
        <is>
          <t>Imprimante</t>
        </is>
      </c>
      <c r="C117" s="21" t="inlineStr">
        <is>
          <t>Informatique</t>
        </is>
      </c>
      <c r="D117" s="21" t="inlineStr">
        <is>
          <t>Bureau des Agents de scolarité</t>
        </is>
      </c>
      <c r="E117" s="21" t="inlineStr"/>
      <c r="I117" s="21" t="inlineStr">
        <is>
          <t>Opérationnel</t>
        </is>
      </c>
      <c r="J117" s="21" t="inlineStr">
        <is>
          <t>UDC/EMSP/006/IMP/SSC</t>
        </is>
      </c>
      <c r="K117" s="21" t="inlineStr">
        <is>
          <t>import inventaire</t>
        </is>
      </c>
      <c r="M117" s="21" t="n">
        <v>1</v>
      </c>
    </row>
    <row r="118">
      <c r="A118" s="21" t="inlineStr">
        <is>
          <t>EQ116</t>
        </is>
      </c>
      <c r="B118" s="21" t="inlineStr">
        <is>
          <t>Rallonges</t>
        </is>
      </c>
      <c r="C118" s="21" t="inlineStr">
        <is>
          <t>Divers</t>
        </is>
      </c>
      <c r="D118" s="21" t="inlineStr">
        <is>
          <t>Bureau des Agents de scolarité</t>
        </is>
      </c>
      <c r="E118" s="21" t="inlineStr">
        <is>
          <t>2018</t>
        </is>
      </c>
      <c r="I118" s="21" t="inlineStr">
        <is>
          <t>Opérationnel</t>
        </is>
      </c>
      <c r="J118" s="21" t="inlineStr">
        <is>
          <t>UDC/EMSP/019-020/R/SSC</t>
        </is>
      </c>
      <c r="K118" s="21" t="inlineStr">
        <is>
          <t>import inventaire</t>
        </is>
      </c>
      <c r="M118" s="21" t="n">
        <v>2</v>
      </c>
    </row>
    <row r="119">
      <c r="A119" s="21" t="inlineStr">
        <is>
          <t>EQ117</t>
        </is>
      </c>
      <c r="B119" s="21" t="inlineStr">
        <is>
          <t>Chaises</t>
        </is>
      </c>
      <c r="C119" s="21" t="inlineStr">
        <is>
          <t>Mobilier</t>
        </is>
      </c>
      <c r="D119" s="21" t="inlineStr">
        <is>
          <t>Bureau des Agents de scolarité</t>
        </is>
      </c>
      <c r="E119" s="21" t="inlineStr"/>
      <c r="I119" s="21" t="inlineStr">
        <is>
          <t>Opérationnel</t>
        </is>
      </c>
      <c r="J119" s="21" t="inlineStr">
        <is>
          <t>UDC/EMSP/163-164/CHA/SSC</t>
        </is>
      </c>
      <c r="K119" s="21" t="inlineStr">
        <is>
          <t>import inventaire</t>
        </is>
      </c>
      <c r="M119" s="21" t="n">
        <v>2</v>
      </c>
    </row>
    <row r="120">
      <c r="A120" s="21" t="inlineStr">
        <is>
          <t>EQ118</t>
        </is>
      </c>
      <c r="B120" s="21" t="inlineStr">
        <is>
          <t>Table de bureau</t>
        </is>
      </c>
      <c r="C120" s="21" t="inlineStr">
        <is>
          <t>Mobilier</t>
        </is>
      </c>
      <c r="D120" s="21" t="inlineStr">
        <is>
          <t>Bureau du Chef de la scolarité</t>
        </is>
      </c>
      <c r="E120" s="21" t="inlineStr">
        <is>
          <t>1pour 2015</t>
        </is>
      </c>
      <c r="I120" s="21" t="inlineStr">
        <is>
          <t>Opérationnel</t>
        </is>
      </c>
      <c r="J120" s="21" t="inlineStr">
        <is>
          <t>UDC/EMSP/038-039/TAB/CS</t>
        </is>
      </c>
      <c r="K120" s="21" t="inlineStr">
        <is>
          <t>import inventaire</t>
        </is>
      </c>
      <c r="M120" s="21" t="n">
        <v>2</v>
      </c>
    </row>
    <row r="121">
      <c r="A121" s="21" t="inlineStr">
        <is>
          <t>EQ119</t>
        </is>
      </c>
      <c r="B121" s="21" t="inlineStr">
        <is>
          <t>Armoire</t>
        </is>
      </c>
      <c r="C121" s="21" t="inlineStr">
        <is>
          <t>Mobilier</t>
        </is>
      </c>
      <c r="D121" s="21" t="inlineStr">
        <is>
          <t>Bureau du Chef de la scolarité</t>
        </is>
      </c>
      <c r="E121" s="21" t="inlineStr">
        <is>
          <t>2015</t>
        </is>
      </c>
      <c r="I121" s="21" t="inlineStr">
        <is>
          <t>Opérationnel</t>
        </is>
      </c>
      <c r="J121" s="21" t="inlineStr">
        <is>
          <t>UDC/EMSP/011/AR/CS</t>
        </is>
      </c>
      <c r="K121" s="21" t="inlineStr">
        <is>
          <t>import inventaire</t>
        </is>
      </c>
      <c r="M121" s="21" t="n">
        <v>1</v>
      </c>
    </row>
    <row r="122">
      <c r="A122" s="21" t="inlineStr">
        <is>
          <t>EQ120</t>
        </is>
      </c>
      <c r="B122" s="21" t="inlineStr">
        <is>
          <t>Ordinateur</t>
        </is>
      </c>
      <c r="C122" s="21" t="inlineStr">
        <is>
          <t>Informatique</t>
        </is>
      </c>
      <c r="D122" s="21" t="inlineStr">
        <is>
          <t>Bureau du Chef de la scolarité</t>
        </is>
      </c>
      <c r="E122" s="21" t="inlineStr">
        <is>
          <t>2015</t>
        </is>
      </c>
      <c r="I122" s="21" t="inlineStr">
        <is>
          <t>Opérationnel</t>
        </is>
      </c>
      <c r="J122" s="21" t="inlineStr">
        <is>
          <t>UDC/EMSP/013/014/OR/CS</t>
        </is>
      </c>
      <c r="K122" s="21" t="inlineStr">
        <is>
          <t>import inventaire</t>
        </is>
      </c>
      <c r="M122" s="21" t="n">
        <v>2</v>
      </c>
    </row>
    <row r="123">
      <c r="A123" s="21" t="inlineStr">
        <is>
          <t>EQ121</t>
        </is>
      </c>
      <c r="B123" s="21" t="inlineStr">
        <is>
          <t>Chaises</t>
        </is>
      </c>
      <c r="C123" s="21" t="inlineStr">
        <is>
          <t>Mobilier</t>
        </is>
      </c>
      <c r="D123" s="21" t="inlineStr">
        <is>
          <t>Bureau du Chef de la scolarité</t>
        </is>
      </c>
      <c r="E123" s="21" t="inlineStr"/>
      <c r="I123" s="21" t="inlineStr"/>
      <c r="J123" s="21" t="inlineStr"/>
      <c r="K123" s="21" t="inlineStr">
        <is>
          <t>import inventaire</t>
        </is>
      </c>
      <c r="M123" s="21" t="n">
        <v>1</v>
      </c>
    </row>
    <row r="124">
      <c r="A124" s="21" t="inlineStr">
        <is>
          <t>EQ122</t>
        </is>
      </c>
      <c r="B124" s="21" t="inlineStr">
        <is>
          <t>Ondulaire</t>
        </is>
      </c>
      <c r="C124" s="21" t="inlineStr">
        <is>
          <t>Informatique</t>
        </is>
      </c>
      <c r="D124" s="21" t="inlineStr">
        <is>
          <t>Bureau du Chef de la scolarité</t>
        </is>
      </c>
      <c r="E124" s="21" t="inlineStr">
        <is>
          <t>2015</t>
        </is>
      </c>
      <c r="I124" s="21" t="inlineStr">
        <is>
          <t>Opérationnel</t>
        </is>
      </c>
      <c r="J124" s="21" t="inlineStr">
        <is>
          <t>UDSC/EMSP/011/OND/CS</t>
        </is>
      </c>
      <c r="K124" s="21" t="inlineStr">
        <is>
          <t>import inventaire</t>
        </is>
      </c>
      <c r="M124" s="21" t="n">
        <v>1</v>
      </c>
    </row>
    <row r="125">
      <c r="A125" s="21" t="inlineStr">
        <is>
          <t>EQ123</t>
        </is>
      </c>
      <c r="B125" s="21" t="inlineStr">
        <is>
          <t>Video projecteur</t>
        </is>
      </c>
      <c r="C125" s="21" t="inlineStr">
        <is>
          <t>Pédagogique</t>
        </is>
      </c>
      <c r="D125" s="21" t="inlineStr">
        <is>
          <t>Bureau du Chef de la scolarité</t>
        </is>
      </c>
      <c r="E125" s="21" t="inlineStr"/>
      <c r="I125" s="21" t="inlineStr">
        <is>
          <t>Opérationnel</t>
        </is>
      </c>
      <c r="J125" s="21" t="inlineStr"/>
      <c r="K125" s="21" t="inlineStr">
        <is>
          <t>import inventaire</t>
        </is>
      </c>
      <c r="M125" s="21" t="n">
        <v>4</v>
      </c>
    </row>
    <row r="126">
      <c r="A126" s="21" t="inlineStr">
        <is>
          <t>EQ124</t>
        </is>
      </c>
      <c r="B126" s="21" t="inlineStr">
        <is>
          <t>Foteuille</t>
        </is>
      </c>
      <c r="C126" s="21" t="inlineStr">
        <is>
          <t>Mobilier</t>
        </is>
      </c>
      <c r="D126" s="21" t="inlineStr">
        <is>
          <t>Bureau du Chef de la scolarité</t>
        </is>
      </c>
      <c r="E126" s="21" t="inlineStr"/>
      <c r="I126" s="21" t="inlineStr">
        <is>
          <t>Opérationnel</t>
        </is>
      </c>
      <c r="J126" s="21" t="inlineStr">
        <is>
          <t>UDC/EMSP/007/FOT/CS</t>
        </is>
      </c>
      <c r="K126" s="21" t="inlineStr">
        <is>
          <t>import inventaire</t>
        </is>
      </c>
      <c r="M126" s="21" t="n">
        <v>1</v>
      </c>
    </row>
    <row r="127">
      <c r="A127" s="21" t="inlineStr">
        <is>
          <t>EQ125</t>
        </is>
      </c>
      <c r="B127" s="21" t="inlineStr">
        <is>
          <t>Climatiseur</t>
        </is>
      </c>
      <c r="C127" s="21" t="inlineStr">
        <is>
          <t>Climatisation</t>
        </is>
      </c>
      <c r="D127" s="21" t="inlineStr">
        <is>
          <t>Bureau du Chef de la scolarité</t>
        </is>
      </c>
      <c r="E127" s="21" t="inlineStr">
        <is>
          <t>2015</t>
        </is>
      </c>
      <c r="I127" s="21" t="inlineStr">
        <is>
          <t>Opérationnel</t>
        </is>
      </c>
      <c r="J127" s="21" t="inlineStr">
        <is>
          <t>UDC/EMSP/012/CLI/CS</t>
        </is>
      </c>
      <c r="K127" s="21" t="inlineStr">
        <is>
          <t>import inventaire</t>
        </is>
      </c>
      <c r="M127" s="21" t="n">
        <v>1</v>
      </c>
    </row>
    <row r="128">
      <c r="A128" s="21" t="inlineStr">
        <is>
          <t>EQ126</t>
        </is>
      </c>
      <c r="B128" s="21" t="inlineStr">
        <is>
          <t>Rallonge</t>
        </is>
      </c>
      <c r="C128" s="21" t="inlineStr">
        <is>
          <t>Divers</t>
        </is>
      </c>
      <c r="D128" s="21" t="inlineStr">
        <is>
          <t>Bureau du Chef de la scolarité</t>
        </is>
      </c>
      <c r="E128" s="21" t="inlineStr"/>
      <c r="I128" s="21" t="inlineStr">
        <is>
          <t>Opérationnel</t>
        </is>
      </c>
      <c r="J128" s="21" t="inlineStr">
        <is>
          <t>UDC/EMSP/021/R/CS</t>
        </is>
      </c>
      <c r="K128" s="21" t="inlineStr">
        <is>
          <t>import inventaire</t>
        </is>
      </c>
      <c r="M128" s="21" t="n">
        <v>4</v>
      </c>
    </row>
    <row r="129">
      <c r="A129" s="21" t="inlineStr">
        <is>
          <t>EQ127</t>
        </is>
      </c>
      <c r="B129" s="21" t="inlineStr">
        <is>
          <t>Imprimante</t>
        </is>
      </c>
      <c r="C129" s="21" t="inlineStr">
        <is>
          <t>Informatique</t>
        </is>
      </c>
      <c r="D129" s="21" t="inlineStr">
        <is>
          <t>Bureau du Chef de la scolarité</t>
        </is>
      </c>
      <c r="E129" s="21" t="inlineStr">
        <is>
          <t>2015</t>
        </is>
      </c>
      <c r="I129" s="21" t="inlineStr">
        <is>
          <t>Opérationnel</t>
        </is>
      </c>
      <c r="J129" s="21" t="inlineStr">
        <is>
          <t>UDC/EMSP/007/IMP/CS</t>
        </is>
      </c>
      <c r="K129" s="21" t="inlineStr">
        <is>
          <t>import inventaire</t>
        </is>
      </c>
      <c r="M129" s="21" t="n">
        <v>1</v>
      </c>
    </row>
    <row r="130">
      <c r="A130" s="21" t="inlineStr">
        <is>
          <t>EQ128</t>
        </is>
      </c>
      <c r="B130" s="21" t="inlineStr">
        <is>
          <t>Rallonges Video projecteurs</t>
        </is>
      </c>
      <c r="C130" s="21" t="inlineStr">
        <is>
          <t>Pédagogique</t>
        </is>
      </c>
      <c r="D130" s="21" t="inlineStr">
        <is>
          <t>Bureau du Chef de la scolarité</t>
        </is>
      </c>
      <c r="E130" s="21" t="inlineStr">
        <is>
          <t>2016</t>
        </is>
      </c>
      <c r="I130" s="21" t="inlineStr"/>
      <c r="J130" s="21" t="inlineStr"/>
      <c r="K130" s="21" t="inlineStr">
        <is>
          <t>import inventaire</t>
        </is>
      </c>
      <c r="M130" s="21" t="n">
        <v>3</v>
      </c>
    </row>
    <row r="131">
      <c r="A131" s="21" t="inlineStr">
        <is>
          <t>EQ129</t>
        </is>
      </c>
      <c r="B131" s="21" t="inlineStr">
        <is>
          <t>Ondulaire</t>
        </is>
      </c>
      <c r="C131" s="21" t="inlineStr">
        <is>
          <t>Informatique</t>
        </is>
      </c>
      <c r="D131" s="21" t="inlineStr">
        <is>
          <t>Bureau du Directeur adjoint</t>
        </is>
      </c>
      <c r="E131" s="21" t="inlineStr">
        <is>
          <t>2015</t>
        </is>
      </c>
      <c r="I131" s="21" t="inlineStr">
        <is>
          <t>Opérationnel</t>
        </is>
      </c>
      <c r="J131" s="21" t="inlineStr">
        <is>
          <t>UDC/EMSP/012/OND/DGA</t>
        </is>
      </c>
      <c r="K131" s="21" t="inlineStr">
        <is>
          <t>import inventaire</t>
        </is>
      </c>
      <c r="M131" s="21" t="n">
        <v>1</v>
      </c>
    </row>
    <row r="132">
      <c r="A132" s="21" t="inlineStr">
        <is>
          <t>EQ130</t>
        </is>
      </c>
      <c r="B132" s="21" t="inlineStr">
        <is>
          <t>Ordinateur</t>
        </is>
      </c>
      <c r="C132" s="21" t="inlineStr">
        <is>
          <t>Informatique</t>
        </is>
      </c>
      <c r="D132" s="21" t="inlineStr">
        <is>
          <t>Bureau du Directeur adjoint</t>
        </is>
      </c>
      <c r="E132" s="21" t="inlineStr"/>
      <c r="I132" s="21" t="inlineStr">
        <is>
          <t>Opérationnel</t>
        </is>
      </c>
      <c r="J132" s="21" t="inlineStr">
        <is>
          <t>UDC/EMSP/015/DGA</t>
        </is>
      </c>
      <c r="K132" s="21" t="inlineStr">
        <is>
          <t>import inventaire</t>
        </is>
      </c>
      <c r="M132" s="21" t="n">
        <v>1</v>
      </c>
    </row>
    <row r="133">
      <c r="A133" s="21" t="inlineStr">
        <is>
          <t>EQ131</t>
        </is>
      </c>
      <c r="B133" s="21" t="inlineStr">
        <is>
          <t>Disque dur</t>
        </is>
      </c>
      <c r="C133" s="21" t="inlineStr">
        <is>
          <t>Informatique</t>
        </is>
      </c>
      <c r="D133" s="21" t="inlineStr">
        <is>
          <t>Bureau du Directeur adjoint</t>
        </is>
      </c>
      <c r="E133" s="21" t="inlineStr">
        <is>
          <t>2017</t>
        </is>
      </c>
      <c r="I133" s="21" t="inlineStr">
        <is>
          <t>Opérationnel</t>
        </is>
      </c>
      <c r="J133" s="21" t="inlineStr">
        <is>
          <t>UDC/EMSP/001/DD/DGA</t>
        </is>
      </c>
      <c r="K133" s="21" t="inlineStr">
        <is>
          <t>import inventaire</t>
        </is>
      </c>
      <c r="M133" s="21" t="n">
        <v>1</v>
      </c>
    </row>
    <row r="134">
      <c r="A134" s="21" t="inlineStr">
        <is>
          <t>EQ132</t>
        </is>
      </c>
      <c r="B134" s="21" t="inlineStr">
        <is>
          <t>Imprimante</t>
        </is>
      </c>
      <c r="C134" s="21" t="inlineStr">
        <is>
          <t>Informatique</t>
        </is>
      </c>
      <c r="D134" s="21" t="inlineStr">
        <is>
          <t>Bureau du Directeur adjoint</t>
        </is>
      </c>
      <c r="E134" s="21" t="inlineStr">
        <is>
          <t>2015</t>
        </is>
      </c>
      <c r="I134" s="21" t="inlineStr">
        <is>
          <t>Opérationnel</t>
        </is>
      </c>
      <c r="J134" s="21" t="inlineStr">
        <is>
          <t>UDC/EMSP/008/IMP/DGA</t>
        </is>
      </c>
      <c r="K134" s="21" t="inlineStr">
        <is>
          <t>import inventaire</t>
        </is>
      </c>
      <c r="M134" s="21" t="n">
        <v>1</v>
      </c>
    </row>
    <row r="135">
      <c r="A135" s="21" t="inlineStr">
        <is>
          <t>EQ133</t>
        </is>
      </c>
      <c r="B135" s="21" t="inlineStr">
        <is>
          <t>Table de bureau</t>
        </is>
      </c>
      <c r="C135" s="21" t="inlineStr">
        <is>
          <t>Mobilier</t>
        </is>
      </c>
      <c r="D135" s="21" t="inlineStr">
        <is>
          <t>Bureau du Directeur adjoint</t>
        </is>
      </c>
      <c r="E135" s="21" t="inlineStr"/>
      <c r="I135" s="21" t="inlineStr">
        <is>
          <t>Opérationnel</t>
        </is>
      </c>
      <c r="J135" s="21" t="inlineStr">
        <is>
          <t>UDC/EMSP/040/TAB/DGA</t>
        </is>
      </c>
      <c r="K135" s="21" t="inlineStr">
        <is>
          <t>import inventaire</t>
        </is>
      </c>
      <c r="M135" s="21" t="n">
        <v>1</v>
      </c>
    </row>
    <row r="136">
      <c r="A136" s="21" t="inlineStr">
        <is>
          <t>EQ134</t>
        </is>
      </c>
      <c r="B136" s="21" t="inlineStr">
        <is>
          <t>Chaise</t>
        </is>
      </c>
      <c r="C136" s="21" t="inlineStr">
        <is>
          <t>Mobilier</t>
        </is>
      </c>
      <c r="D136" s="21" t="inlineStr">
        <is>
          <t>Bureau du Directeur adjoint</t>
        </is>
      </c>
      <c r="E136" s="21" t="inlineStr"/>
      <c r="I136" s="21" t="inlineStr">
        <is>
          <t>Opérationnel</t>
        </is>
      </c>
      <c r="J136" s="21" t="inlineStr">
        <is>
          <t>UDC/EMSP/165 -166/DGA</t>
        </is>
      </c>
      <c r="K136" s="21" t="inlineStr">
        <is>
          <t>import inventaire</t>
        </is>
      </c>
      <c r="M136" s="21" t="n">
        <v>2</v>
      </c>
    </row>
    <row r="137">
      <c r="A137" s="21" t="inlineStr">
        <is>
          <t>EQ135</t>
        </is>
      </c>
      <c r="B137" s="21" t="inlineStr">
        <is>
          <t>Etagère</t>
        </is>
      </c>
      <c r="C137" s="21" t="inlineStr">
        <is>
          <t>Mobilier</t>
        </is>
      </c>
      <c r="D137" s="21" t="inlineStr">
        <is>
          <t>Bureau du Directeur adjoint</t>
        </is>
      </c>
      <c r="E137" s="21" t="inlineStr"/>
      <c r="I137" s="21" t="inlineStr">
        <is>
          <t>Opérationnel</t>
        </is>
      </c>
      <c r="J137" s="21" t="inlineStr">
        <is>
          <t>UDC/EMSP/025/ET/DGA</t>
        </is>
      </c>
      <c r="K137" s="21" t="inlineStr">
        <is>
          <t>import inventaire</t>
        </is>
      </c>
      <c r="M137" s="21" t="n">
        <v>1</v>
      </c>
    </row>
    <row r="138">
      <c r="A138" s="21" t="inlineStr">
        <is>
          <t>EQ136</t>
        </is>
      </c>
      <c r="B138" s="21" t="inlineStr">
        <is>
          <t>Table de Bureau</t>
        </is>
      </c>
      <c r="C138" s="21" t="inlineStr">
        <is>
          <t>Mobilier</t>
        </is>
      </c>
      <c r="D138" s="21" t="inlineStr">
        <is>
          <t>Bureau AUF</t>
        </is>
      </c>
      <c r="E138" s="21" t="inlineStr"/>
      <c r="I138" s="21" t="inlineStr">
        <is>
          <t>Hors usage / En panne</t>
        </is>
      </c>
      <c r="J138" s="21" t="inlineStr">
        <is>
          <t>UDC/EMSP/041-042/BAUF</t>
        </is>
      </c>
      <c r="K138" s="21" t="inlineStr">
        <is>
          <t>import inventaire</t>
        </is>
      </c>
      <c r="M138" s="21" t="n">
        <v>2</v>
      </c>
    </row>
    <row r="139">
      <c r="A139" s="21" t="inlineStr">
        <is>
          <t>EQ137</t>
        </is>
      </c>
      <c r="B139" s="21" t="inlineStr">
        <is>
          <t>Climatiseur</t>
        </is>
      </c>
      <c r="C139" s="21" t="inlineStr">
        <is>
          <t>Climatisation</t>
        </is>
      </c>
      <c r="D139" s="21" t="inlineStr">
        <is>
          <t>Bureau AUF</t>
        </is>
      </c>
      <c r="E139" s="21" t="inlineStr"/>
      <c r="I139" s="21" t="inlineStr">
        <is>
          <t>Opérationnel</t>
        </is>
      </c>
      <c r="J139" s="21" t="inlineStr">
        <is>
          <t>UDC/EMSP/013/CLI/BAUF</t>
        </is>
      </c>
      <c r="K139" s="21" t="inlineStr">
        <is>
          <t>import inventaire</t>
        </is>
      </c>
      <c r="M139" s="21" t="n">
        <v>1</v>
      </c>
    </row>
    <row r="140">
      <c r="A140" s="21" t="inlineStr">
        <is>
          <t>EQ138</t>
        </is>
      </c>
      <c r="B140" s="21" t="inlineStr">
        <is>
          <t>MAGASIN</t>
        </is>
      </c>
      <c r="C140" s="21" t="inlineStr">
        <is>
          <t>Divers</t>
        </is>
      </c>
      <c r="D140" s="21" t="inlineStr">
        <is>
          <t>Bureau AUF</t>
        </is>
      </c>
      <c r="E140" s="21" t="inlineStr"/>
      <c r="I140" s="21" t="inlineStr"/>
      <c r="J140" s="21" t="inlineStr"/>
      <c r="K140" s="21" t="inlineStr">
        <is>
          <t>import inventaire</t>
        </is>
      </c>
      <c r="M140" s="21" t="n">
        <v>1</v>
      </c>
    </row>
    <row r="141">
      <c r="A141" s="21" t="inlineStr">
        <is>
          <t>EQ139</t>
        </is>
      </c>
      <c r="B141" s="21" t="inlineStr">
        <is>
          <t>Chaises noires</t>
        </is>
      </c>
      <c r="C141" s="21" t="inlineStr">
        <is>
          <t>Mobilier</t>
        </is>
      </c>
      <c r="D141" s="21" t="inlineStr">
        <is>
          <t>Bureau AUF</t>
        </is>
      </c>
      <c r="E141" s="21" t="inlineStr"/>
      <c r="I141" s="21" t="inlineStr">
        <is>
          <t>Non utilisé</t>
        </is>
      </c>
      <c r="J141" s="21" t="inlineStr"/>
      <c r="K141" s="21" t="inlineStr">
        <is>
          <t>import inventaire</t>
        </is>
      </c>
      <c r="M141" s="21" t="n">
        <v>100</v>
      </c>
    </row>
    <row r="142">
      <c r="A142" s="21" t="inlineStr">
        <is>
          <t>EQ140</t>
        </is>
      </c>
      <c r="B142" s="21" t="inlineStr">
        <is>
          <t>Matela</t>
        </is>
      </c>
      <c r="C142" s="21" t="inlineStr">
        <is>
          <t>Mobilier</t>
        </is>
      </c>
      <c r="D142" s="21" t="inlineStr">
        <is>
          <t>Bureau AUF</t>
        </is>
      </c>
      <c r="E142" s="21" t="inlineStr"/>
      <c r="I142" s="21" t="inlineStr">
        <is>
          <t>Non utilisé</t>
        </is>
      </c>
      <c r="J142" s="21" t="inlineStr"/>
      <c r="K142" s="21" t="inlineStr">
        <is>
          <t>import inventaire</t>
        </is>
      </c>
      <c r="M142" s="21" t="n">
        <v>1</v>
      </c>
    </row>
    <row r="143">
      <c r="A143" s="21" t="inlineStr">
        <is>
          <t>EQ141</t>
        </is>
      </c>
      <c r="B143" s="21" t="inlineStr">
        <is>
          <t>Table bancs</t>
        </is>
      </c>
      <c r="C143" s="21" t="inlineStr">
        <is>
          <t>Mobilier</t>
        </is>
      </c>
      <c r="D143" s="21" t="inlineStr">
        <is>
          <t>Bureau AUF</t>
        </is>
      </c>
      <c r="E143" s="21" t="inlineStr"/>
      <c r="I143" s="21" t="inlineStr"/>
      <c r="J143" s="21" t="inlineStr"/>
      <c r="K143" s="21" t="inlineStr">
        <is>
          <t>import inventaire</t>
        </is>
      </c>
      <c r="M143" s="21" t="n">
        <v>13</v>
      </c>
    </row>
    <row r="144">
      <c r="A144" s="21" t="inlineStr">
        <is>
          <t>EQ142</t>
        </is>
      </c>
      <c r="B144" s="21" t="inlineStr">
        <is>
          <t>Chaises simples</t>
        </is>
      </c>
      <c r="C144" s="21" t="inlineStr">
        <is>
          <t>Mobilier</t>
        </is>
      </c>
      <c r="D144" s="21" t="inlineStr">
        <is>
          <t>Bureau AUF</t>
        </is>
      </c>
      <c r="E144" s="21" t="inlineStr"/>
      <c r="I144" s="21" t="inlineStr"/>
      <c r="J144" s="21" t="inlineStr"/>
      <c r="K144" s="21" t="inlineStr">
        <is>
          <t>import inventaire</t>
        </is>
      </c>
      <c r="M144" s="21" t="n">
        <v>12</v>
      </c>
    </row>
    <row r="145">
      <c r="A145" s="21" t="inlineStr">
        <is>
          <t>EQ143</t>
        </is>
      </c>
      <c r="B145" s="21" t="inlineStr">
        <is>
          <t>Tableaux flipshart</t>
        </is>
      </c>
      <c r="C145" s="21" t="inlineStr">
        <is>
          <t>Pédagogique</t>
        </is>
      </c>
      <c r="D145" s="21" t="inlineStr">
        <is>
          <t>Bureau AUF</t>
        </is>
      </c>
      <c r="E145" s="21" t="inlineStr"/>
      <c r="I145" s="21" t="inlineStr">
        <is>
          <t>Opérationnel</t>
        </is>
      </c>
      <c r="J145" s="21" t="inlineStr"/>
      <c r="K145" s="21" t="inlineStr">
        <is>
          <t>import inventaire</t>
        </is>
      </c>
      <c r="M145" s="21" t="n">
        <v>3</v>
      </c>
    </row>
    <row r="146">
      <c r="A146" s="21" t="inlineStr">
        <is>
          <t>EQ144</t>
        </is>
      </c>
      <c r="B146" s="21" t="inlineStr">
        <is>
          <t>Lit</t>
        </is>
      </c>
      <c r="C146" s="21" t="inlineStr">
        <is>
          <t>Équipement médical</t>
        </is>
      </c>
      <c r="D146" s="21" t="inlineStr">
        <is>
          <t>Bureau AUF</t>
        </is>
      </c>
      <c r="E146" s="21" t="inlineStr"/>
      <c r="I146" s="21" t="inlineStr">
        <is>
          <t>Opérationnel</t>
        </is>
      </c>
      <c r="J146" s="21" t="inlineStr"/>
      <c r="K146" s="21" t="inlineStr">
        <is>
          <t>import inventaire</t>
        </is>
      </c>
      <c r="M146" s="21" t="n">
        <v>1</v>
      </c>
    </row>
    <row r="147">
      <c r="A147" s="21" t="inlineStr">
        <is>
          <t>EQ145</t>
        </is>
      </c>
      <c r="B147" s="21" t="inlineStr">
        <is>
          <t>Autres materiels informatiques et défectueux</t>
        </is>
      </c>
      <c r="C147" s="21" t="inlineStr">
        <is>
          <t>Informatique</t>
        </is>
      </c>
      <c r="D147" s="21" t="inlineStr">
        <is>
          <t>Bureau AUF</t>
        </is>
      </c>
      <c r="E147" s="21" t="inlineStr"/>
      <c r="I147" s="21" t="inlineStr"/>
      <c r="J147" s="21" t="inlineStr"/>
      <c r="K147" s="21" t="inlineStr">
        <is>
          <t>import inventaire</t>
        </is>
      </c>
      <c r="M147" s="21" t="n">
        <v>1</v>
      </c>
    </row>
    <row r="148">
      <c r="A148" s="21" t="inlineStr">
        <is>
          <t>EQ146</t>
        </is>
      </c>
      <c r="B148" s="21" t="inlineStr">
        <is>
          <t>CHAMBRE CAFETIERIE</t>
        </is>
      </c>
      <c r="C148" s="21" t="inlineStr">
        <is>
          <t>Divers</t>
        </is>
      </c>
      <c r="D148" s="21" t="inlineStr">
        <is>
          <t>Bureau AUF</t>
        </is>
      </c>
      <c r="E148" s="21" t="inlineStr"/>
      <c r="I148" s="21" t="inlineStr"/>
      <c r="J148" s="21" t="inlineStr"/>
      <c r="K148" s="21" t="inlineStr">
        <is>
          <t>import inventaire</t>
        </is>
      </c>
      <c r="M148" s="21" t="n">
        <v>1</v>
      </c>
    </row>
    <row r="149">
      <c r="A149" s="21" t="inlineStr">
        <is>
          <t>EQ147</t>
        </is>
      </c>
      <c r="B149" s="21" t="inlineStr">
        <is>
          <t>Tables</t>
        </is>
      </c>
      <c r="C149" s="21" t="inlineStr">
        <is>
          <t>Mobilier</t>
        </is>
      </c>
      <c r="D149" s="21" t="inlineStr">
        <is>
          <t>Bureau AUF</t>
        </is>
      </c>
      <c r="E149" s="21" t="inlineStr"/>
      <c r="I149" s="21" t="inlineStr">
        <is>
          <t>Opérationnel</t>
        </is>
      </c>
      <c r="J149" s="21" t="inlineStr"/>
      <c r="K149" s="21" t="inlineStr">
        <is>
          <t>import inventaire</t>
        </is>
      </c>
      <c r="M149" s="21" t="n">
        <v>1</v>
      </c>
    </row>
    <row r="150">
      <c r="A150" s="21" t="inlineStr">
        <is>
          <t>EQ148</t>
        </is>
      </c>
      <c r="B150" s="21" t="inlineStr">
        <is>
          <t>Seaux d’eau</t>
        </is>
      </c>
      <c r="C150" s="21" t="inlineStr">
        <is>
          <t>Divers</t>
        </is>
      </c>
      <c r="D150" s="21" t="inlineStr">
        <is>
          <t>Bureau AUF</t>
        </is>
      </c>
      <c r="E150" s="21" t="inlineStr"/>
      <c r="I150" s="21" t="inlineStr">
        <is>
          <t>Opérationnel</t>
        </is>
      </c>
      <c r="J150" s="21" t="inlineStr"/>
      <c r="K150" s="21" t="inlineStr">
        <is>
          <t>import inventaire</t>
        </is>
      </c>
      <c r="M150" s="21" t="n">
        <v>3</v>
      </c>
    </row>
    <row r="151">
      <c r="A151" s="21" t="inlineStr">
        <is>
          <t>EQ149</t>
        </is>
      </c>
      <c r="B151" s="21" t="inlineStr">
        <is>
          <t>Chaises</t>
        </is>
      </c>
      <c r="C151" s="21" t="inlineStr">
        <is>
          <t>Mobilier</t>
        </is>
      </c>
      <c r="D151" s="21" t="inlineStr">
        <is>
          <t>Bureau AUF</t>
        </is>
      </c>
      <c r="E151" s="21" t="inlineStr"/>
      <c r="I151" s="21" t="inlineStr">
        <is>
          <t>Opérationnel</t>
        </is>
      </c>
      <c r="J151" s="21" t="inlineStr"/>
      <c r="K151" s="21" t="inlineStr">
        <is>
          <t>import inventaire</t>
        </is>
      </c>
      <c r="M151" s="21" t="n">
        <v>5</v>
      </c>
    </row>
    <row r="152">
      <c r="A152" s="21" t="inlineStr">
        <is>
          <t>EQ150</t>
        </is>
      </c>
      <c r="B152" s="21" t="inlineStr">
        <is>
          <t>Matériels Informatiques</t>
        </is>
      </c>
      <c r="C152" s="21" t="inlineStr">
        <is>
          <t>Informatique</t>
        </is>
      </c>
      <c r="D152" s="21" t="inlineStr">
        <is>
          <t>Bureau AUF</t>
        </is>
      </c>
      <c r="E152" s="21" t="inlineStr"/>
      <c r="I152" s="21" t="inlineStr"/>
      <c r="J152" s="21" t="inlineStr"/>
      <c r="K152" s="21" t="inlineStr">
        <is>
          <t>import inventaire</t>
        </is>
      </c>
      <c r="M152" s="21" t="n">
        <v>1</v>
      </c>
    </row>
    <row r="153">
      <c r="A153" s="21" t="inlineStr">
        <is>
          <t>EQ151</t>
        </is>
      </c>
      <c r="B153" s="21" t="inlineStr">
        <is>
          <t>Ordinateurs</t>
        </is>
      </c>
      <c r="C153" s="21" t="inlineStr">
        <is>
          <t>Informatique</t>
        </is>
      </c>
      <c r="D153" s="21" t="inlineStr">
        <is>
          <t>Bureau AUF</t>
        </is>
      </c>
      <c r="E153" s="21" t="inlineStr">
        <is>
          <t>16</t>
        </is>
      </c>
      <c r="I153" s="21" t="inlineStr">
        <is>
          <t>Opérationnel</t>
        </is>
      </c>
      <c r="J153" s="21" t="inlineStr">
        <is>
          <t>Opérationnels</t>
        </is>
      </c>
      <c r="K153" s="21" t="inlineStr">
        <is>
          <t>import inventaire</t>
        </is>
      </c>
      <c r="M153" s="21" t="n">
        <v>1</v>
      </c>
    </row>
    <row r="154">
      <c r="A154" s="21" t="inlineStr">
        <is>
          <t>EQ152</t>
        </is>
      </c>
      <c r="B154" s="21" t="inlineStr">
        <is>
          <t>Imprimante</t>
        </is>
      </c>
      <c r="C154" s="21" t="inlineStr">
        <is>
          <t>Informatique</t>
        </is>
      </c>
      <c r="D154" s="21" t="inlineStr">
        <is>
          <t>Bureau AUF</t>
        </is>
      </c>
      <c r="E154" s="21" t="inlineStr">
        <is>
          <t>08</t>
        </is>
      </c>
      <c r="I154" s="21" t="inlineStr">
        <is>
          <t>Opérationnel</t>
        </is>
      </c>
      <c r="J154" s="21" t="inlineStr">
        <is>
          <t>1 non operationnelle (en panne)</t>
        </is>
      </c>
      <c r="K154" s="21" t="inlineStr">
        <is>
          <t>import inventaire</t>
        </is>
      </c>
      <c r="M154" s="21" t="n">
        <v>1</v>
      </c>
    </row>
    <row r="155">
      <c r="A155" s="21" t="inlineStr">
        <is>
          <t>EQ153</t>
        </is>
      </c>
      <c r="B155" s="21" t="inlineStr">
        <is>
          <t>Photocopieuses</t>
        </is>
      </c>
      <c r="C155" s="21" t="inlineStr">
        <is>
          <t>Informatique</t>
        </is>
      </c>
      <c r="D155" s="21" t="inlineStr">
        <is>
          <t>Bureau AUF</t>
        </is>
      </c>
      <c r="E155" s="21" t="inlineStr">
        <is>
          <t>02</t>
        </is>
      </c>
      <c r="I155" s="21" t="inlineStr">
        <is>
          <t>Opérationnel</t>
        </is>
      </c>
      <c r="J155" s="21" t="inlineStr">
        <is>
          <t>1 non operationnelle(en panne)</t>
        </is>
      </c>
      <c r="K155" s="21" t="inlineStr">
        <is>
          <t>import inventaire</t>
        </is>
      </c>
      <c r="M155" s="21" t="n">
        <v>1</v>
      </c>
    </row>
    <row r="156">
      <c r="A156" s="21" t="inlineStr">
        <is>
          <t>EQ154</t>
        </is>
      </c>
      <c r="B156" s="21" t="inlineStr">
        <is>
          <t>Disque dur externe</t>
        </is>
      </c>
      <c r="C156" s="21" t="inlineStr">
        <is>
          <t>Informatique</t>
        </is>
      </c>
      <c r="D156" s="21" t="inlineStr">
        <is>
          <t>Bureau AUF</t>
        </is>
      </c>
      <c r="E156" s="21" t="inlineStr">
        <is>
          <t>01</t>
        </is>
      </c>
      <c r="I156" s="21" t="inlineStr">
        <is>
          <t>Opérationnel</t>
        </is>
      </c>
      <c r="J156" s="21" t="inlineStr">
        <is>
          <t>operationnel</t>
        </is>
      </c>
      <c r="K156" s="21" t="inlineStr">
        <is>
          <t>import inventaire</t>
        </is>
      </c>
      <c r="M156" s="21" t="n">
        <v>1</v>
      </c>
    </row>
    <row r="157">
      <c r="A157" s="21" t="inlineStr">
        <is>
          <t>EQ155</t>
        </is>
      </c>
      <c r="B157" s="21" t="inlineStr">
        <is>
          <t>Riso</t>
        </is>
      </c>
      <c r="C157" s="21" t="inlineStr">
        <is>
          <t>Informatique</t>
        </is>
      </c>
      <c r="D157" s="21" t="inlineStr">
        <is>
          <t>Bureau AUF</t>
        </is>
      </c>
      <c r="E157" s="21" t="inlineStr">
        <is>
          <t>01</t>
        </is>
      </c>
      <c r="I157" s="21" t="inlineStr">
        <is>
          <t>Opérationnel</t>
        </is>
      </c>
      <c r="J157" s="21" t="inlineStr">
        <is>
          <t>operationnel</t>
        </is>
      </c>
      <c r="K157" s="21" t="inlineStr">
        <is>
          <t>import inventaire</t>
        </is>
      </c>
      <c r="M157" s="21" t="n">
        <v>1</v>
      </c>
    </row>
    <row r="158">
      <c r="A158" s="21" t="inlineStr">
        <is>
          <t>EQ156</t>
        </is>
      </c>
      <c r="B158" s="21" t="inlineStr">
        <is>
          <t>Tables de bureau</t>
        </is>
      </c>
      <c r="C158" s="21" t="inlineStr">
        <is>
          <t>Mobilier</t>
        </is>
      </c>
      <c r="D158" s="21" t="inlineStr">
        <is>
          <t>Mobiliers de bureau (non localisé)</t>
        </is>
      </c>
      <c r="E158" s="21" t="inlineStr">
        <is>
          <t>44</t>
        </is>
      </c>
      <c r="I158" s="21" t="inlineStr">
        <is>
          <t>Opérationnel</t>
        </is>
      </c>
      <c r="J158" s="21" t="inlineStr">
        <is>
          <t>operationnelles</t>
        </is>
      </c>
      <c r="K158" s="21" t="inlineStr">
        <is>
          <t>import inventaire</t>
        </is>
      </c>
      <c r="M158" s="21" t="n">
        <v>1</v>
      </c>
    </row>
    <row r="159">
      <c r="A159" s="21" t="inlineStr">
        <is>
          <t>EQ157</t>
        </is>
      </c>
      <c r="B159" s="21" t="inlineStr">
        <is>
          <t>Armoires</t>
        </is>
      </c>
      <c r="C159" s="21" t="inlineStr">
        <is>
          <t>Mobilier</t>
        </is>
      </c>
      <c r="D159" s="21" t="inlineStr">
        <is>
          <t>Mobiliers de bureau (non localisé)</t>
        </is>
      </c>
      <c r="E159" s="21" t="inlineStr">
        <is>
          <t>12</t>
        </is>
      </c>
      <c r="I159" s="21" t="inlineStr"/>
      <c r="J159" s="21" t="inlineStr">
        <is>
          <t>1necessite son remplacement</t>
        </is>
      </c>
      <c r="K159" s="21" t="inlineStr">
        <is>
          <t>import inventaire</t>
        </is>
      </c>
      <c r="M159" s="21" t="n">
        <v>1</v>
      </c>
    </row>
    <row r="160">
      <c r="A160" s="21" t="inlineStr">
        <is>
          <t>EQ158</t>
        </is>
      </c>
      <c r="B160" s="21" t="inlineStr">
        <is>
          <t>Chaises</t>
        </is>
      </c>
      <c r="C160" s="21" t="inlineStr">
        <is>
          <t>Mobilier</t>
        </is>
      </c>
      <c r="D160" s="21" t="inlineStr">
        <is>
          <t>Mobiliers de bureau (non localisé)</t>
        </is>
      </c>
      <c r="E160" s="21" t="inlineStr">
        <is>
          <t>284</t>
        </is>
      </c>
      <c r="I160" s="21" t="inlineStr">
        <is>
          <t>Hors usage / En panne</t>
        </is>
      </c>
      <c r="J160" s="21" t="inlineStr">
        <is>
          <t>1 hors usage</t>
        </is>
      </c>
      <c r="K160" s="21" t="inlineStr">
        <is>
          <t>import inventaire</t>
        </is>
      </c>
      <c r="M160" s="21" t="n">
        <v>1</v>
      </c>
    </row>
    <row r="161">
      <c r="A161" s="21" t="inlineStr">
        <is>
          <t>EQ159</t>
        </is>
      </c>
      <c r="B161" s="21" t="inlineStr">
        <is>
          <t>foteuilles</t>
        </is>
      </c>
      <c r="C161" s="21" t="inlineStr">
        <is>
          <t>Mobilier</t>
        </is>
      </c>
      <c r="D161" s="21" t="inlineStr">
        <is>
          <t>Mobiliers de bureau (non localisé)</t>
        </is>
      </c>
      <c r="E161" s="21" t="inlineStr">
        <is>
          <t>07</t>
        </is>
      </c>
      <c r="I161" s="21" t="inlineStr">
        <is>
          <t>Opérationnel</t>
        </is>
      </c>
      <c r="J161" s="21" t="inlineStr">
        <is>
          <t>operationnels</t>
        </is>
      </c>
      <c r="K161" s="21" t="inlineStr">
        <is>
          <t>import inventaire</t>
        </is>
      </c>
      <c r="M161" s="21" t="n">
        <v>1</v>
      </c>
    </row>
    <row r="162">
      <c r="A162" s="21" t="inlineStr">
        <is>
          <t>EQ160</t>
        </is>
      </c>
      <c r="B162" s="21" t="inlineStr">
        <is>
          <t>Etageres</t>
        </is>
      </c>
      <c r="C162" s="21" t="inlineStr">
        <is>
          <t>Mobilier</t>
        </is>
      </c>
      <c r="D162" s="21" t="inlineStr">
        <is>
          <t>Mobiliers de bureau (non localisé)</t>
        </is>
      </c>
      <c r="E162" s="21" t="inlineStr">
        <is>
          <t>26</t>
        </is>
      </c>
      <c r="I162" s="21" t="inlineStr">
        <is>
          <t>Opérationnel</t>
        </is>
      </c>
      <c r="J162" s="21" t="inlineStr">
        <is>
          <t>operationnels</t>
        </is>
      </c>
      <c r="K162" s="21" t="inlineStr">
        <is>
          <t>import inventaire</t>
        </is>
      </c>
      <c r="M162" s="21" t="n">
        <v>1</v>
      </c>
    </row>
    <row r="163">
      <c r="A163" s="21" t="inlineStr">
        <is>
          <t>EQ161</t>
        </is>
      </c>
      <c r="B163" s="21" t="inlineStr">
        <is>
          <t>Chaises simples</t>
        </is>
      </c>
      <c r="C163" s="21" t="inlineStr">
        <is>
          <t>Mobilier</t>
        </is>
      </c>
      <c r="D163" s="21" t="inlineStr">
        <is>
          <t>Mobiliers de bureau (non localisé)</t>
        </is>
      </c>
      <c r="E163" s="21" t="inlineStr">
        <is>
          <t>12</t>
        </is>
      </c>
      <c r="I163" s="21" t="inlineStr"/>
      <c r="J163" s="21" t="inlineStr">
        <is>
          <t>deffectueux</t>
        </is>
      </c>
      <c r="K163" s="21" t="inlineStr">
        <is>
          <t>import inventaire</t>
        </is>
      </c>
      <c r="M163" s="21" t="n">
        <v>1</v>
      </c>
    </row>
    <row r="164">
      <c r="A164" s="21" t="inlineStr">
        <is>
          <t>EQ162</t>
        </is>
      </c>
      <c r="B164" s="21" t="inlineStr">
        <is>
          <t>Bancs</t>
        </is>
      </c>
      <c r="C164" s="21" t="inlineStr">
        <is>
          <t>Mobilier</t>
        </is>
      </c>
      <c r="D164" s="21" t="inlineStr">
        <is>
          <t>Mobiliers de bureau (non localisé)</t>
        </is>
      </c>
      <c r="E164" s="21" t="inlineStr">
        <is>
          <t>08</t>
        </is>
      </c>
      <c r="I164" s="21" t="inlineStr">
        <is>
          <t>Opérationnel</t>
        </is>
      </c>
      <c r="J164" s="21" t="inlineStr">
        <is>
          <t>operationnels</t>
        </is>
      </c>
      <c r="K164" s="21" t="inlineStr">
        <is>
          <t>import inventaire</t>
        </is>
      </c>
      <c r="M164" s="21" t="n">
        <v>1</v>
      </c>
    </row>
    <row r="165">
      <c r="A165" s="21" t="inlineStr">
        <is>
          <t>EQ163</t>
        </is>
      </c>
      <c r="B165" s="21" t="inlineStr">
        <is>
          <t>Coussins</t>
        </is>
      </c>
      <c r="C165" s="21" t="inlineStr">
        <is>
          <t>Mobilier</t>
        </is>
      </c>
      <c r="D165" s="21" t="inlineStr">
        <is>
          <t>Mobiliers de bureau (non localisé)</t>
        </is>
      </c>
      <c r="E165" s="21" t="inlineStr">
        <is>
          <t>02</t>
        </is>
      </c>
      <c r="I165" s="21" t="inlineStr">
        <is>
          <t>Opérationnel</t>
        </is>
      </c>
      <c r="J165" s="21" t="inlineStr">
        <is>
          <t>operationnels</t>
        </is>
      </c>
      <c r="K165" s="21" t="inlineStr">
        <is>
          <t>import inventaire</t>
        </is>
      </c>
      <c r="M165" s="21" t="n">
        <v>1</v>
      </c>
    </row>
    <row r="166">
      <c r="A166" s="21" t="inlineStr">
        <is>
          <t>EQ164</t>
        </is>
      </c>
      <c r="B166" s="21" t="inlineStr">
        <is>
          <t>Tableau d’affichage</t>
        </is>
      </c>
      <c r="C166" s="21" t="inlineStr">
        <is>
          <t>Pédagogique</t>
        </is>
      </c>
      <c r="D166" s="21" t="inlineStr">
        <is>
          <t>Mobiliers de bureau (non localisé)</t>
        </is>
      </c>
      <c r="E166" s="21" t="inlineStr">
        <is>
          <t>01</t>
        </is>
      </c>
      <c r="I166" s="21" t="inlineStr">
        <is>
          <t>Opérationnel</t>
        </is>
      </c>
      <c r="J166" s="21" t="inlineStr">
        <is>
          <t>operationnel</t>
        </is>
      </c>
      <c r="K166" s="21" t="inlineStr">
        <is>
          <t>import inventaire</t>
        </is>
      </c>
      <c r="M166" s="21" t="n">
        <v>1</v>
      </c>
    </row>
    <row r="167">
      <c r="A167" s="21" t="inlineStr">
        <is>
          <t>EQ165</t>
        </is>
      </c>
      <c r="B167" s="21" t="inlineStr">
        <is>
          <t>Table bancs</t>
        </is>
      </c>
      <c r="C167" s="21" t="inlineStr">
        <is>
          <t>Mobilier</t>
        </is>
      </c>
      <c r="D167" s="21" t="inlineStr">
        <is>
          <t>Mobiliers de bureau (non localisé)</t>
        </is>
      </c>
      <c r="E167" s="21" t="inlineStr">
        <is>
          <t>17</t>
        </is>
      </c>
      <c r="I167" s="21" t="inlineStr"/>
      <c r="J167" s="21" t="inlineStr">
        <is>
          <t>13 deffectueux</t>
        </is>
      </c>
      <c r="K167" s="21" t="inlineStr">
        <is>
          <t>import inventaire</t>
        </is>
      </c>
      <c r="M167" s="21" t="n">
        <v>1</v>
      </c>
    </row>
    <row r="168">
      <c r="A168" s="21" t="inlineStr">
        <is>
          <t>EQ166</t>
        </is>
      </c>
      <c r="B168" s="21" t="inlineStr">
        <is>
          <t>MATERIELS ELECTRIQUES</t>
        </is>
      </c>
      <c r="C168" s="21" t="inlineStr">
        <is>
          <t>Divers</t>
        </is>
      </c>
      <c r="D168" s="21" t="inlineStr">
        <is>
          <t>Mobiliers de bureau (non localisé)</t>
        </is>
      </c>
      <c r="E168" s="21" t="inlineStr"/>
      <c r="I168" s="21" t="inlineStr"/>
      <c r="J168" s="21" t="inlineStr"/>
      <c r="K168" s="21" t="inlineStr">
        <is>
          <t>import inventaire</t>
        </is>
      </c>
      <c r="M168" s="21" t="n">
        <v>1</v>
      </c>
    </row>
    <row r="169">
      <c r="A169" s="21" t="inlineStr">
        <is>
          <t>EQ167</t>
        </is>
      </c>
      <c r="B169" s="21" t="inlineStr">
        <is>
          <t>Rallonges</t>
        </is>
      </c>
      <c r="C169" s="21" t="inlineStr">
        <is>
          <t>Divers</t>
        </is>
      </c>
      <c r="D169" s="21" t="inlineStr">
        <is>
          <t>Mobiliers de bureau (non localisé)</t>
        </is>
      </c>
      <c r="E169" s="21" t="inlineStr">
        <is>
          <t>016</t>
        </is>
      </c>
      <c r="I169" s="21" t="inlineStr">
        <is>
          <t>Opérationnel</t>
        </is>
      </c>
      <c r="J169" s="21" t="inlineStr">
        <is>
          <t>operationnels</t>
        </is>
      </c>
      <c r="K169" s="21" t="inlineStr">
        <is>
          <t>import inventaire</t>
        </is>
      </c>
      <c r="M169" s="21" t="n">
        <v>1</v>
      </c>
    </row>
    <row r="170">
      <c r="A170" s="21" t="inlineStr">
        <is>
          <t>EQ168</t>
        </is>
      </c>
      <c r="B170" s="21" t="inlineStr">
        <is>
          <t>Ondulaires</t>
        </is>
      </c>
      <c r="C170" s="21" t="inlineStr">
        <is>
          <t>Informatique</t>
        </is>
      </c>
      <c r="D170" s="21" t="inlineStr">
        <is>
          <t>Mobiliers de bureau (non localisé)</t>
        </is>
      </c>
      <c r="E170" s="21" t="inlineStr">
        <is>
          <t>011</t>
        </is>
      </c>
      <c r="I170" s="21" t="inlineStr">
        <is>
          <t>Opérationnel</t>
        </is>
      </c>
      <c r="J170" s="21" t="inlineStr">
        <is>
          <t>operationnels</t>
        </is>
      </c>
      <c r="K170" s="21" t="inlineStr">
        <is>
          <t>import inventaire</t>
        </is>
      </c>
      <c r="M170" s="21" t="n">
        <v>1</v>
      </c>
    </row>
    <row r="171">
      <c r="A171" s="21" t="inlineStr">
        <is>
          <t>EQ169</t>
        </is>
      </c>
      <c r="B171" s="21" t="inlineStr">
        <is>
          <t>MATERIELS DIDACTIQUE ET PEDAGOGIQUES</t>
        </is>
      </c>
      <c r="C171" s="21" t="inlineStr">
        <is>
          <t>Divers</t>
        </is>
      </c>
      <c r="D171" s="21" t="inlineStr">
        <is>
          <t>Mobiliers de bureau (non localisé)</t>
        </is>
      </c>
      <c r="E171" s="21" t="inlineStr"/>
      <c r="I171" s="21" t="inlineStr"/>
      <c r="J171" s="21" t="inlineStr"/>
      <c r="K171" s="21" t="inlineStr">
        <is>
          <t>import inventaire</t>
        </is>
      </c>
      <c r="M171" s="21" t="n">
        <v>1</v>
      </c>
    </row>
    <row r="172">
      <c r="A172" s="21" t="inlineStr">
        <is>
          <t>EQ170</t>
        </is>
      </c>
      <c r="B172" s="21" t="inlineStr">
        <is>
          <t>Video projecteurs</t>
        </is>
      </c>
      <c r="C172" s="21" t="inlineStr">
        <is>
          <t>Pédagogique</t>
        </is>
      </c>
      <c r="D172" s="21" t="inlineStr">
        <is>
          <t>Mobiliers de bureau (non localisé)</t>
        </is>
      </c>
      <c r="E172" s="21" t="inlineStr">
        <is>
          <t>5</t>
        </is>
      </c>
      <c r="I172" s="21" t="inlineStr">
        <is>
          <t>Opérationnel</t>
        </is>
      </c>
      <c r="J172" s="21" t="inlineStr">
        <is>
          <t>operationnels</t>
        </is>
      </c>
      <c r="K172" s="21" t="inlineStr">
        <is>
          <t>import inventaire</t>
        </is>
      </c>
      <c r="M172" s="21" t="n">
        <v>1</v>
      </c>
    </row>
    <row r="173">
      <c r="A173" s="21" t="inlineStr">
        <is>
          <t>EQ171</t>
        </is>
      </c>
      <c r="B173" s="21" t="inlineStr">
        <is>
          <t>Amlis</t>
        </is>
      </c>
      <c r="C173" s="21" t="inlineStr">
        <is>
          <t>Divers</t>
        </is>
      </c>
      <c r="D173" s="21" t="inlineStr">
        <is>
          <t>Mobiliers de bureau (non localisé)</t>
        </is>
      </c>
      <c r="E173" s="21" t="inlineStr">
        <is>
          <t>3</t>
        </is>
      </c>
      <c r="I173" s="21" t="inlineStr">
        <is>
          <t>Opérationnel</t>
        </is>
      </c>
      <c r="J173" s="21" t="inlineStr">
        <is>
          <t>operationnels</t>
        </is>
      </c>
      <c r="K173" s="21" t="inlineStr">
        <is>
          <t>import inventaire</t>
        </is>
      </c>
      <c r="M173" s="21" t="n">
        <v>1</v>
      </c>
    </row>
    <row r="174">
      <c r="A174" s="21" t="inlineStr">
        <is>
          <t>EQ172</t>
        </is>
      </c>
      <c r="B174" s="21" t="inlineStr">
        <is>
          <t>Tableaux blancs</t>
        </is>
      </c>
      <c r="C174" s="21" t="inlineStr">
        <is>
          <t>Pédagogique</t>
        </is>
      </c>
      <c r="D174" s="21" t="inlineStr">
        <is>
          <t>Mobiliers de bureau (non localisé)</t>
        </is>
      </c>
      <c r="E174" s="21" t="inlineStr">
        <is>
          <t>03</t>
        </is>
      </c>
      <c r="I174" s="21" t="inlineStr">
        <is>
          <t>Non utilisé</t>
        </is>
      </c>
      <c r="J174" s="21" t="inlineStr">
        <is>
          <t>Non utilisés</t>
        </is>
      </c>
      <c r="K174" s="21" t="inlineStr">
        <is>
          <t>import inventaire</t>
        </is>
      </c>
      <c r="M174" s="21" t="n">
        <v>1</v>
      </c>
    </row>
    <row r="175">
      <c r="A175" s="21" t="inlineStr">
        <is>
          <t>EQ173</t>
        </is>
      </c>
      <c r="B175" s="21" t="inlineStr">
        <is>
          <t>Televiseur</t>
        </is>
      </c>
      <c r="C175" s="21" t="inlineStr">
        <is>
          <t>Divers</t>
        </is>
      </c>
      <c r="D175" s="21" t="inlineStr">
        <is>
          <t>Mobiliers de bureau (non localisé)</t>
        </is>
      </c>
      <c r="E175" s="21" t="inlineStr">
        <is>
          <t>01</t>
        </is>
      </c>
      <c r="I175" s="21" t="inlineStr"/>
      <c r="J175" s="21" t="inlineStr">
        <is>
          <t>?</t>
        </is>
      </c>
      <c r="K175" s="21" t="inlineStr">
        <is>
          <t>import inventaire</t>
        </is>
      </c>
      <c r="M175" s="21" t="n">
        <v>1</v>
      </c>
    </row>
    <row r="176">
      <c r="A176" s="21" t="inlineStr">
        <is>
          <t>EQ174</t>
        </is>
      </c>
      <c r="B176" s="21" t="inlineStr">
        <is>
          <t>lit</t>
        </is>
      </c>
      <c r="C176" s="21" t="inlineStr">
        <is>
          <t>Équipement médical</t>
        </is>
      </c>
      <c r="D176" s="21" t="inlineStr">
        <is>
          <t>Mobiliers de bureau (non localisé)</t>
        </is>
      </c>
      <c r="E176" s="21" t="inlineStr">
        <is>
          <t>01</t>
        </is>
      </c>
      <c r="I176" s="21" t="inlineStr">
        <is>
          <t>Non utilisé</t>
        </is>
      </c>
      <c r="J176" s="21" t="inlineStr">
        <is>
          <t>Non utilisé</t>
        </is>
      </c>
      <c r="K176" s="21" t="inlineStr">
        <is>
          <t>import inventaire</t>
        </is>
      </c>
      <c r="M176" s="21" t="n">
        <v>1</v>
      </c>
    </row>
    <row r="177">
      <c r="A177" s="21" t="inlineStr">
        <is>
          <t>EQ175</t>
        </is>
      </c>
      <c r="B177" s="21" t="inlineStr">
        <is>
          <t>Video Projecteurs</t>
        </is>
      </c>
      <c r="C177" s="21" t="inlineStr">
        <is>
          <t>Pédagogique</t>
        </is>
      </c>
      <c r="D177" s="21" t="inlineStr">
        <is>
          <t>Mobiliers de bureau (non localisé)</t>
        </is>
      </c>
      <c r="E177" s="21" t="inlineStr">
        <is>
          <t>04</t>
        </is>
      </c>
      <c r="I177" s="21" t="inlineStr">
        <is>
          <t>Opérationnel</t>
        </is>
      </c>
      <c r="J177" s="21" t="inlineStr">
        <is>
          <t>operationnels</t>
        </is>
      </c>
      <c r="K177" s="21" t="inlineStr">
        <is>
          <t>import inventaire</t>
        </is>
      </c>
      <c r="M177" s="21" t="n">
        <v>1</v>
      </c>
    </row>
    <row r="178">
      <c r="A178" s="21" t="inlineStr">
        <is>
          <t>EQ176</t>
        </is>
      </c>
      <c r="B178" s="21" t="inlineStr">
        <is>
          <t>Tableaux flipshart</t>
        </is>
      </c>
      <c r="C178" s="21" t="inlineStr">
        <is>
          <t>Pédagogique</t>
        </is>
      </c>
      <c r="D178" s="21" t="inlineStr">
        <is>
          <t>Mobiliers de bureau (non localisé)</t>
        </is>
      </c>
      <c r="E178" s="21" t="inlineStr">
        <is>
          <t>04</t>
        </is>
      </c>
      <c r="I178" s="21" t="inlineStr">
        <is>
          <t>Opérationnel</t>
        </is>
      </c>
      <c r="J178" s="21" t="inlineStr">
        <is>
          <t>Bon etat</t>
        </is>
      </c>
      <c r="K178" s="21" t="inlineStr">
        <is>
          <t>import inventaire</t>
        </is>
      </c>
      <c r="M178" s="21" t="n">
        <v>1</v>
      </c>
    </row>
    <row r="179">
      <c r="A179" s="21" t="inlineStr">
        <is>
          <t>EQ177</t>
        </is>
      </c>
      <c r="B179" s="21" t="inlineStr">
        <is>
          <t>Ecran de projection</t>
        </is>
      </c>
      <c r="C179" s="21" t="inlineStr">
        <is>
          <t>Pédagogique</t>
        </is>
      </c>
      <c r="D179" s="21" t="inlineStr">
        <is>
          <t>Mobiliers de bureau (non localisé)</t>
        </is>
      </c>
      <c r="E179" s="21" t="inlineStr">
        <is>
          <t>1</t>
        </is>
      </c>
      <c r="I179" s="21" t="inlineStr">
        <is>
          <t>Opérationnel</t>
        </is>
      </c>
      <c r="J179" s="21" t="inlineStr">
        <is>
          <t>operationnel</t>
        </is>
      </c>
      <c r="K179" s="21" t="inlineStr">
        <is>
          <t>import inventaire</t>
        </is>
      </c>
      <c r="M179" s="21" t="n">
        <v>1</v>
      </c>
    </row>
    <row r="180">
      <c r="A180" s="21" t="inlineStr">
        <is>
          <t>EQ178</t>
        </is>
      </c>
      <c r="B180" s="21" t="inlineStr">
        <is>
          <t>MATERIELS D’INFORMATION ET COMMUNICATION</t>
        </is>
      </c>
      <c r="C180" s="21" t="inlineStr">
        <is>
          <t>Informatique</t>
        </is>
      </c>
      <c r="D180" s="21" t="inlineStr">
        <is>
          <t>Mobiliers de bureau (non localisé)</t>
        </is>
      </c>
      <c r="E180" s="21" t="inlineStr"/>
      <c r="I180" s="21" t="inlineStr"/>
      <c r="J180" s="21" t="inlineStr"/>
      <c r="K180" s="21" t="inlineStr">
        <is>
          <t>import inventaire</t>
        </is>
      </c>
      <c r="M180" s="21" t="n">
        <v>1</v>
      </c>
    </row>
    <row r="181">
      <c r="A181" s="21" t="inlineStr">
        <is>
          <t>EQ179</t>
        </is>
      </c>
      <c r="B181" s="21" t="inlineStr">
        <is>
          <t>Appareils telephoniques</t>
        </is>
      </c>
      <c r="C181" s="21" t="inlineStr">
        <is>
          <t>Divers</t>
        </is>
      </c>
      <c r="D181" s="21" t="inlineStr">
        <is>
          <t>Mobiliers de bureau (non localisé)</t>
        </is>
      </c>
      <c r="E181" s="21" t="inlineStr">
        <is>
          <t>4</t>
        </is>
      </c>
      <c r="I181" s="21" t="inlineStr">
        <is>
          <t>Opérationnel</t>
        </is>
      </c>
      <c r="J181" s="21" t="inlineStr">
        <is>
          <t>2 non opérationnels</t>
        </is>
      </c>
      <c r="K181" s="21" t="inlineStr">
        <is>
          <t>import inventaire</t>
        </is>
      </c>
      <c r="M181" s="21" t="n">
        <v>1</v>
      </c>
    </row>
    <row r="182">
      <c r="A182" s="21" t="inlineStr">
        <is>
          <t>EQ180</t>
        </is>
      </c>
      <c r="B182" s="21" t="inlineStr">
        <is>
          <t>Switchs</t>
        </is>
      </c>
      <c r="C182" s="21" t="inlineStr">
        <is>
          <t>Informatique</t>
        </is>
      </c>
      <c r="D182" s="21" t="inlineStr">
        <is>
          <t>Mobiliers de bureau (non localisé)</t>
        </is>
      </c>
      <c r="E182" s="21" t="inlineStr">
        <is>
          <t>2</t>
        </is>
      </c>
      <c r="I182" s="21" t="inlineStr">
        <is>
          <t>Opérationnel</t>
        </is>
      </c>
      <c r="J182" s="21" t="inlineStr">
        <is>
          <t>operationnels</t>
        </is>
      </c>
      <c r="K182" s="21" t="inlineStr">
        <is>
          <t>import inventaire</t>
        </is>
      </c>
      <c r="M182" s="21" t="n">
        <v>1</v>
      </c>
    </row>
    <row r="183">
      <c r="A183" s="21" t="inlineStr">
        <is>
          <t>EQ181</t>
        </is>
      </c>
      <c r="B183" s="21" t="inlineStr">
        <is>
          <t>Routeurs</t>
        </is>
      </c>
      <c r="C183" s="21" t="inlineStr">
        <is>
          <t>Informatique</t>
        </is>
      </c>
      <c r="D183" s="21" t="inlineStr">
        <is>
          <t>Mobiliers de bureau (non localisé)</t>
        </is>
      </c>
      <c r="E183" s="21" t="inlineStr">
        <is>
          <t>2</t>
        </is>
      </c>
      <c r="I183" s="21" t="inlineStr">
        <is>
          <t>Opérationnel</t>
        </is>
      </c>
      <c r="J183" s="21" t="inlineStr">
        <is>
          <t>operationnels</t>
        </is>
      </c>
      <c r="K183" s="21" t="inlineStr">
        <is>
          <t>import inventaire</t>
        </is>
      </c>
      <c r="M183" s="21" t="n">
        <v>1</v>
      </c>
    </row>
    <row r="184">
      <c r="A184" s="21" t="inlineStr">
        <is>
          <t>EQ182</t>
        </is>
      </c>
      <c r="B184" s="21" t="inlineStr">
        <is>
          <t>AUTRES MATERIELS</t>
        </is>
      </c>
      <c r="C184" s="21" t="inlineStr">
        <is>
          <t>Divers</t>
        </is>
      </c>
      <c r="D184" s="21" t="inlineStr">
        <is>
          <t>Mobiliers de bureau (non localisé)</t>
        </is>
      </c>
      <c r="E184" s="21" t="inlineStr"/>
      <c r="I184" s="21" t="inlineStr"/>
      <c r="J184" s="21" t="inlineStr"/>
      <c r="K184" s="21" t="inlineStr">
        <is>
          <t>import inventaire</t>
        </is>
      </c>
      <c r="M184" s="21" t="n">
        <v>1</v>
      </c>
    </row>
    <row r="185">
      <c r="A185" s="21" t="inlineStr">
        <is>
          <t>EQ183</t>
        </is>
      </c>
      <c r="B185" s="21" t="inlineStr">
        <is>
          <t>Fointaine d’eau</t>
        </is>
      </c>
      <c r="C185" s="21" t="inlineStr">
        <is>
          <t>Divers</t>
        </is>
      </c>
      <c r="D185" s="21" t="inlineStr">
        <is>
          <t>Mobiliers de bureau (non localisé)</t>
        </is>
      </c>
      <c r="E185" s="21" t="inlineStr">
        <is>
          <t>01</t>
        </is>
      </c>
      <c r="I185" s="21" t="inlineStr">
        <is>
          <t>Opérationnel</t>
        </is>
      </c>
      <c r="J185" s="21" t="inlineStr">
        <is>
          <t>opérationnels</t>
        </is>
      </c>
      <c r="K185" s="21" t="inlineStr">
        <is>
          <t>import inventaire</t>
        </is>
      </c>
      <c r="M185" s="21" t="n">
        <v>1</v>
      </c>
    </row>
    <row r="186">
      <c r="A186" s="21" t="inlineStr">
        <is>
          <t>EQ184</t>
        </is>
      </c>
      <c r="B186" s="21" t="inlineStr">
        <is>
          <t>Frigo</t>
        </is>
      </c>
      <c r="C186" s="21" t="inlineStr">
        <is>
          <t>Divers</t>
        </is>
      </c>
      <c r="D186" s="21" t="inlineStr">
        <is>
          <t>Mobiliers de bureau (non localisé)</t>
        </is>
      </c>
      <c r="E186" s="21" t="inlineStr">
        <is>
          <t>02</t>
        </is>
      </c>
      <c r="I186" s="21" t="inlineStr">
        <is>
          <t>Opérationnel</t>
        </is>
      </c>
      <c r="J186" s="21" t="inlineStr">
        <is>
          <t>opérationnels</t>
        </is>
      </c>
      <c r="K186" s="21" t="inlineStr">
        <is>
          <t>import inventaire</t>
        </is>
      </c>
      <c r="M186" s="21" t="n">
        <v>1</v>
      </c>
    </row>
    <row r="187">
      <c r="A187" s="21" t="inlineStr">
        <is>
          <t>EQ185</t>
        </is>
      </c>
      <c r="B187" s="21" t="inlineStr">
        <is>
          <t>Climatiseur</t>
        </is>
      </c>
      <c r="C187" s="21" t="inlineStr">
        <is>
          <t>Climatisation</t>
        </is>
      </c>
      <c r="D187" s="21" t="inlineStr">
        <is>
          <t>Mobiliers de bureau (non localisé)</t>
        </is>
      </c>
      <c r="E187" s="21" t="inlineStr">
        <is>
          <t>10</t>
        </is>
      </c>
      <c r="I187" s="21" t="inlineStr">
        <is>
          <t>Hors usage / En panne</t>
        </is>
      </c>
      <c r="J187" s="21" t="inlineStr">
        <is>
          <t>2 hors usage</t>
        </is>
      </c>
      <c r="K187" s="21" t="inlineStr">
        <is>
          <t>import inventaire</t>
        </is>
      </c>
      <c r="M187" s="21" t="n">
        <v>1</v>
      </c>
    </row>
    <row r="188">
      <c r="A188" s="21" t="inlineStr">
        <is>
          <t>EQ186</t>
        </is>
      </c>
      <c r="B188" s="21" t="inlineStr">
        <is>
          <t>Escarbo</t>
        </is>
      </c>
      <c r="C188" s="21" t="inlineStr">
        <is>
          <t>Divers</t>
        </is>
      </c>
      <c r="D188" s="21" t="inlineStr">
        <is>
          <t>Mobiliers de bureau (non localisé)</t>
        </is>
      </c>
      <c r="E188" s="21" t="inlineStr">
        <is>
          <t>01</t>
        </is>
      </c>
      <c r="I188" s="21" t="inlineStr">
        <is>
          <t>Opérationnel</t>
        </is>
      </c>
      <c r="J188" s="21" t="inlineStr">
        <is>
          <t>opérationnel</t>
        </is>
      </c>
      <c r="K188" s="21" t="inlineStr">
        <is>
          <t>import inventaire</t>
        </is>
      </c>
      <c r="M188" s="21" t="n">
        <v>1</v>
      </c>
    </row>
    <row r="189">
      <c r="A189" s="21" t="inlineStr">
        <is>
          <t>EQ187</t>
        </is>
      </c>
      <c r="B189" s="21" t="inlineStr">
        <is>
          <t>ventilateur</t>
        </is>
      </c>
      <c r="C189" s="21" t="inlineStr">
        <is>
          <t>Climatisation</t>
        </is>
      </c>
      <c r="D189" s="21" t="inlineStr">
        <is>
          <t>Mobiliers de bureau (non localisé)</t>
        </is>
      </c>
      <c r="E189" s="21" t="inlineStr">
        <is>
          <t>01</t>
        </is>
      </c>
      <c r="I189" s="21" t="inlineStr">
        <is>
          <t>Opérationnel</t>
        </is>
      </c>
      <c r="J189" s="21" t="inlineStr">
        <is>
          <t>opérationnel</t>
        </is>
      </c>
      <c r="K189" s="21" t="inlineStr">
        <is>
          <t>import inventaire</t>
        </is>
      </c>
      <c r="M189" s="21" t="n">
        <v>1</v>
      </c>
    </row>
    <row r="190">
      <c r="A190" s="21" t="inlineStr">
        <is>
          <t>EQ188</t>
        </is>
      </c>
      <c r="B190" s="21" t="inlineStr">
        <is>
          <t>Aspirateur</t>
        </is>
      </c>
      <c r="C190" s="21" t="inlineStr">
        <is>
          <t>Informatique</t>
        </is>
      </c>
      <c r="D190" s="21" t="inlineStr">
        <is>
          <t>Mobiliers de bureau (non localisé)</t>
        </is>
      </c>
      <c r="E190" s="21" t="inlineStr">
        <is>
          <t>01</t>
        </is>
      </c>
      <c r="I190" s="21" t="inlineStr">
        <is>
          <t>Opérationnel</t>
        </is>
      </c>
      <c r="J190" s="21" t="inlineStr">
        <is>
          <t>opérationnel</t>
        </is>
      </c>
      <c r="K190" s="21" t="inlineStr">
        <is>
          <t>import inventaire</t>
        </is>
      </c>
      <c r="M190" s="21" t="n">
        <v>1</v>
      </c>
    </row>
    <row r="191">
      <c r="A191" s="21" t="inlineStr">
        <is>
          <t>EQ189</t>
        </is>
      </c>
      <c r="B191" s="21" t="inlineStr">
        <is>
          <t>Matelas</t>
        </is>
      </c>
      <c r="C191" s="21" t="inlineStr">
        <is>
          <t>Mobilier</t>
        </is>
      </c>
      <c r="D191" s="21" t="inlineStr">
        <is>
          <t>Mobiliers de bureau (non localisé)</t>
        </is>
      </c>
      <c r="E191" s="21" t="inlineStr">
        <is>
          <t>01</t>
        </is>
      </c>
      <c r="I191" s="21" t="inlineStr">
        <is>
          <t>Non utilisé</t>
        </is>
      </c>
      <c r="J191" s="21" t="inlineStr">
        <is>
          <t>Non utilisé</t>
        </is>
      </c>
      <c r="K191" s="21" t="inlineStr">
        <is>
          <t>import inventaire</t>
        </is>
      </c>
      <c r="M191" s="21" t="n">
        <v>1</v>
      </c>
    </row>
    <row r="192">
      <c r="A192" s="21" t="inlineStr">
        <is>
          <t>EQ190</t>
        </is>
      </c>
      <c r="B192" s="21" t="inlineStr">
        <is>
          <t>Bandeses</t>
        </is>
      </c>
      <c r="C192" s="21" t="inlineStr">
        <is>
          <t>Divers</t>
        </is>
      </c>
      <c r="D192" s="21" t="inlineStr">
        <is>
          <t>Mobiliers de bureau (non localisé)</t>
        </is>
      </c>
      <c r="E192" s="21" t="inlineStr">
        <is>
          <t>05</t>
        </is>
      </c>
      <c r="I192" s="21" t="inlineStr">
        <is>
          <t>Opérationnel</t>
        </is>
      </c>
      <c r="J192" s="21" t="inlineStr">
        <is>
          <t>operationnels</t>
        </is>
      </c>
      <c r="K192" s="21" t="inlineStr">
        <is>
          <t>import inventaire</t>
        </is>
      </c>
      <c r="M192" s="21" t="n">
        <v>1</v>
      </c>
    </row>
    <row r="193">
      <c r="A193" s="21" t="inlineStr">
        <is>
          <t>EQ191</t>
        </is>
      </c>
      <c r="B193" s="21" t="inlineStr">
        <is>
          <t>Seaux d’eau</t>
        </is>
      </c>
      <c r="C193" s="21" t="inlineStr">
        <is>
          <t>Divers</t>
        </is>
      </c>
      <c r="D193" s="21" t="inlineStr">
        <is>
          <t>Mobiliers de bureau (non localisé)</t>
        </is>
      </c>
      <c r="E193" s="21" t="inlineStr">
        <is>
          <t>03</t>
        </is>
      </c>
      <c r="I193" s="21" t="inlineStr">
        <is>
          <t>Opérationnel</t>
        </is>
      </c>
      <c r="J193" s="21" t="inlineStr">
        <is>
          <t>operationnels</t>
        </is>
      </c>
      <c r="K193" s="21" t="inlineStr">
        <is>
          <t>import inventaire</t>
        </is>
      </c>
      <c r="M193" s="21" t="n">
        <v>1</v>
      </c>
    </row>
    <row r="194">
      <c r="A194" s="21" t="inlineStr">
        <is>
          <t>EQ192</t>
        </is>
      </c>
      <c r="B194" s="21" t="inlineStr">
        <is>
          <t>MATERIELS D’AFFICHAGE</t>
        </is>
      </c>
      <c r="C194" s="21" t="inlineStr">
        <is>
          <t>Pédagogique</t>
        </is>
      </c>
      <c r="D194" s="21" t="inlineStr">
        <is>
          <t>Mobiliers de bureau (non localisé)</t>
        </is>
      </c>
      <c r="E194" s="21" t="inlineStr"/>
      <c r="I194" s="21" t="inlineStr"/>
      <c r="J194" s="21" t="inlineStr"/>
      <c r="K194" s="21" t="inlineStr">
        <is>
          <t>import inventaire</t>
        </is>
      </c>
      <c r="M194" s="21" t="n">
        <v>1</v>
      </c>
    </row>
    <row r="195">
      <c r="A195" s="21" t="inlineStr">
        <is>
          <t>EQ193</t>
        </is>
      </c>
      <c r="B195" s="21" t="inlineStr">
        <is>
          <t>Tableaux d’affichage</t>
        </is>
      </c>
      <c r="C195" s="21" t="inlineStr">
        <is>
          <t>Pédagogique</t>
        </is>
      </c>
      <c r="D195" s="21" t="inlineStr">
        <is>
          <t>Mobiliers de bureau (non localisé)</t>
        </is>
      </c>
      <c r="E195" s="21" t="inlineStr">
        <is>
          <t>02</t>
        </is>
      </c>
      <c r="I195" s="21" t="inlineStr">
        <is>
          <t>Opérationnel</t>
        </is>
      </c>
      <c r="J195" s="21" t="inlineStr">
        <is>
          <t>operationnelles</t>
        </is>
      </c>
      <c r="K195" s="21" t="inlineStr">
        <is>
          <t>import inventaire</t>
        </is>
      </c>
      <c r="M195" s="21" t="n">
        <v>1</v>
      </c>
    </row>
    <row r="196">
      <c r="A196" s="21" t="inlineStr">
        <is>
          <t>EQ194</t>
        </is>
      </c>
      <c r="B196" s="21" t="inlineStr">
        <is>
          <t>MATERIELS IFORMATIQUES</t>
        </is>
      </c>
      <c r="C196" s="21" t="inlineStr">
        <is>
          <t>Informatique</t>
        </is>
      </c>
      <c r="D196" s="21" t="inlineStr">
        <is>
          <t>Mobiliers de bureau (non localisé)</t>
        </is>
      </c>
      <c r="E196" s="21" t="inlineStr"/>
      <c r="I196" s="21" t="inlineStr"/>
      <c r="J196" s="21" t="inlineStr"/>
      <c r="K196" s="21" t="inlineStr">
        <is>
          <t>import inventaire</t>
        </is>
      </c>
      <c r="M196" s="21" t="n">
        <v>1</v>
      </c>
    </row>
    <row r="197">
      <c r="A197" s="21" t="inlineStr">
        <is>
          <t>EQ195</t>
        </is>
      </c>
      <c r="B197" s="21" t="inlineStr">
        <is>
          <t>Ordinateurs</t>
        </is>
      </c>
      <c r="C197" s="21" t="inlineStr">
        <is>
          <t>Informatique</t>
        </is>
      </c>
      <c r="D197" s="21" t="inlineStr">
        <is>
          <t>Mobiliers de bureau (non localisé)</t>
        </is>
      </c>
      <c r="E197" s="21" t="inlineStr"/>
      <c r="I197" s="21" t="inlineStr"/>
      <c r="J197" s="21" t="inlineStr"/>
      <c r="K197" s="21" t="inlineStr">
        <is>
          <t>import inventaire</t>
        </is>
      </c>
      <c r="M197" s="21" t="n">
        <v>1</v>
      </c>
    </row>
    <row r="198">
      <c r="A198" s="21" t="inlineStr">
        <is>
          <t>EQ196</t>
        </is>
      </c>
      <c r="B198" s="21" t="inlineStr">
        <is>
          <t>Imprimantes</t>
        </is>
      </c>
      <c r="C198" s="21" t="inlineStr">
        <is>
          <t>Informatique</t>
        </is>
      </c>
      <c r="D198" s="21" t="inlineStr">
        <is>
          <t>Mobiliers de bureau (non localisé)</t>
        </is>
      </c>
      <c r="E198" s="21" t="inlineStr"/>
      <c r="I198" s="21" t="inlineStr"/>
      <c r="J198" s="21" t="inlineStr"/>
      <c r="K198" s="21" t="inlineStr">
        <is>
          <t>import inventaire</t>
        </is>
      </c>
      <c r="M198" s="21" t="n">
        <v>1</v>
      </c>
    </row>
    <row r="199">
      <c r="A199" s="21" t="inlineStr">
        <is>
          <t>EQ197</t>
        </is>
      </c>
      <c r="B199" s="21" t="inlineStr">
        <is>
          <t>Disque Dur</t>
        </is>
      </c>
      <c r="C199" s="21" t="inlineStr">
        <is>
          <t>Informatique</t>
        </is>
      </c>
      <c r="D199" s="21" t="inlineStr">
        <is>
          <t>Mobiliers de bureau (non localisé)</t>
        </is>
      </c>
      <c r="E199" s="21" t="inlineStr"/>
      <c r="I199" s="21" t="inlineStr"/>
      <c r="J199" s="21" t="inlineStr"/>
      <c r="K199" s="21" t="inlineStr">
        <is>
          <t>import inventaire</t>
        </is>
      </c>
      <c r="M199" s="21" t="n">
        <v>1</v>
      </c>
    </row>
    <row r="200">
      <c r="A200" s="21" t="inlineStr">
        <is>
          <t>EQ198</t>
        </is>
      </c>
      <c r="B200" s="21" t="inlineStr">
        <is>
          <t>Photocopieuses</t>
        </is>
      </c>
      <c r="C200" s="21" t="inlineStr">
        <is>
          <t>Informatique</t>
        </is>
      </c>
      <c r="D200" s="21" t="inlineStr">
        <is>
          <t>Mobiliers de bureau (non localisé)</t>
        </is>
      </c>
      <c r="E200" s="21" t="inlineStr"/>
      <c r="I200" s="21" t="inlineStr"/>
      <c r="J200" s="21" t="inlineStr"/>
      <c r="K200" s="21" t="inlineStr">
        <is>
          <t>import inventaire</t>
        </is>
      </c>
      <c r="M200" s="21" t="n">
        <v>1</v>
      </c>
    </row>
    <row r="201">
      <c r="A201" s="21" t="inlineStr">
        <is>
          <t>EQ199</t>
        </is>
      </c>
      <c r="B201" s="21" t="inlineStr">
        <is>
          <t>Riso</t>
        </is>
      </c>
      <c r="C201" s="21" t="inlineStr">
        <is>
          <t>Informatique</t>
        </is>
      </c>
      <c r="D201" s="21" t="inlineStr">
        <is>
          <t>Mobiliers de bureau (non localisé)</t>
        </is>
      </c>
      <c r="E201" s="21" t="inlineStr"/>
      <c r="I201" s="21" t="inlineStr"/>
      <c r="J201" s="21" t="inlineStr"/>
      <c r="K201" s="21" t="inlineStr">
        <is>
          <t>import inventaire</t>
        </is>
      </c>
      <c r="M201" s="21" t="n">
        <v>1</v>
      </c>
    </row>
    <row r="202">
      <c r="A202" s="21" t="inlineStr">
        <is>
          <t>EQ200</t>
        </is>
      </c>
      <c r="B202" s="21" t="inlineStr">
        <is>
          <t>Tabliers d’Ordinateur</t>
        </is>
      </c>
      <c r="C202" s="21" t="inlineStr">
        <is>
          <t>Informatique</t>
        </is>
      </c>
      <c r="D202" s="21" t="inlineStr">
        <is>
          <t>Salle d'informatique</t>
        </is>
      </c>
      <c r="E202" s="21" t="inlineStr"/>
      <c r="I202" s="21" t="inlineStr">
        <is>
          <t>Opérationnel</t>
        </is>
      </c>
      <c r="J202" s="21" t="inlineStr"/>
      <c r="K202" s="21" t="inlineStr">
        <is>
          <t>import inventaire</t>
        </is>
      </c>
      <c r="M202" s="21" t="n">
        <v>10</v>
      </c>
    </row>
    <row r="203">
      <c r="A203" s="21" t="inlineStr">
        <is>
          <t>EQ201</t>
        </is>
      </c>
      <c r="B203" s="21" t="inlineStr">
        <is>
          <t>Tables bancs</t>
        </is>
      </c>
      <c r="C203" s="21" t="inlineStr">
        <is>
          <t>Mobilier</t>
        </is>
      </c>
      <c r="D203" s="21" t="inlineStr">
        <is>
          <t>Salle d'informatique</t>
        </is>
      </c>
      <c r="E203" s="21" t="inlineStr"/>
      <c r="I203" s="21" t="inlineStr">
        <is>
          <t>Opérationnel</t>
        </is>
      </c>
      <c r="J203" s="21" t="inlineStr"/>
      <c r="K203" s="21" t="inlineStr">
        <is>
          <t>import inventaire</t>
        </is>
      </c>
      <c r="M203" s="21" t="n">
        <v>5</v>
      </c>
    </row>
    <row r="204">
      <c r="A204" s="21" t="inlineStr">
        <is>
          <t>EQ202</t>
        </is>
      </c>
      <c r="B204" s="21" t="inlineStr">
        <is>
          <t>Ordinateurs</t>
        </is>
      </c>
      <c r="C204" s="21" t="inlineStr">
        <is>
          <t>Informatique</t>
        </is>
      </c>
      <c r="D204" s="21" t="inlineStr">
        <is>
          <t>Salle d'informatique</t>
        </is>
      </c>
      <c r="E204" s="21" t="inlineStr"/>
      <c r="I204" s="21" t="inlineStr">
        <is>
          <t>Opérationnel</t>
        </is>
      </c>
      <c r="J204" s="21" t="inlineStr"/>
      <c r="K204" s="21" t="inlineStr">
        <is>
          <t>import inventaire</t>
        </is>
      </c>
      <c r="M204" s="21" t="n">
        <v>15</v>
      </c>
    </row>
    <row r="205">
      <c r="A205" s="21" t="inlineStr">
        <is>
          <t>EQ203</t>
        </is>
      </c>
      <c r="B205" s="21" t="inlineStr">
        <is>
          <t>Ondulaires</t>
        </is>
      </c>
      <c r="C205" s="21" t="inlineStr">
        <is>
          <t>Informatique</t>
        </is>
      </c>
      <c r="D205" s="21" t="inlineStr">
        <is>
          <t>Salle d'informatique</t>
        </is>
      </c>
      <c r="E205" s="21" t="inlineStr"/>
      <c r="I205" s="21" t="inlineStr">
        <is>
          <t>Opérationnel</t>
        </is>
      </c>
      <c r="J205" s="21" t="inlineStr"/>
      <c r="K205" s="21" t="inlineStr">
        <is>
          <t>import inventaire</t>
        </is>
      </c>
      <c r="M205" s="21" t="n">
        <v>10</v>
      </c>
    </row>
    <row r="206">
      <c r="A206" s="21" t="inlineStr">
        <is>
          <t>EQ204</t>
        </is>
      </c>
      <c r="B206" s="21" t="inlineStr">
        <is>
          <t>Chaises noires</t>
        </is>
      </c>
      <c r="C206" s="21" t="inlineStr">
        <is>
          <t>Mobilier</t>
        </is>
      </c>
      <c r="D206" s="21" t="inlineStr">
        <is>
          <t>Salle d'informatique</t>
        </is>
      </c>
      <c r="E206" s="21" t="inlineStr"/>
      <c r="I206" s="21" t="inlineStr">
        <is>
          <t>Opérationnel</t>
        </is>
      </c>
      <c r="J206" s="21" t="inlineStr">
        <is>
          <t>UDC/EMSP/001-031/CHA/SI</t>
        </is>
      </c>
      <c r="K206" s="21" t="inlineStr">
        <is>
          <t>import inventaire</t>
        </is>
      </c>
      <c r="M206" s="21" t="n">
        <v>31</v>
      </c>
    </row>
    <row r="207">
      <c r="A207" s="21" t="inlineStr">
        <is>
          <t>EQ205</t>
        </is>
      </c>
      <c r="B207" s="21" t="inlineStr">
        <is>
          <t>Climatiseurs</t>
        </is>
      </c>
      <c r="C207" s="21" t="inlineStr">
        <is>
          <t>Climatisation</t>
        </is>
      </c>
      <c r="D207" s="21" t="inlineStr">
        <is>
          <t>Salle d'informatique</t>
        </is>
      </c>
      <c r="E207" s="21" t="inlineStr"/>
      <c r="I207" s="21" t="inlineStr">
        <is>
          <t>Opérationnel</t>
        </is>
      </c>
      <c r="J207" s="21" t="inlineStr">
        <is>
          <t>UDC/EMSP/007-008/CLI/SI</t>
        </is>
      </c>
      <c r="K207" s="21" t="inlineStr">
        <is>
          <t>import inventaire</t>
        </is>
      </c>
      <c r="M207" s="21" t="n">
        <v>2</v>
      </c>
    </row>
    <row r="208">
      <c r="A208" s="21" t="inlineStr">
        <is>
          <t>EQ206</t>
        </is>
      </c>
      <c r="B208" s="21" t="inlineStr">
        <is>
          <t>Chaises Ordinaires</t>
        </is>
      </c>
      <c r="C208" s="21" t="inlineStr">
        <is>
          <t>Mobilier</t>
        </is>
      </c>
      <c r="D208" s="21" t="inlineStr">
        <is>
          <t>Salle d'informatique</t>
        </is>
      </c>
      <c r="E208" s="21" t="inlineStr"/>
      <c r="I208" s="21" t="inlineStr">
        <is>
          <t>Opérationnel</t>
        </is>
      </c>
      <c r="J208" s="21" t="inlineStr"/>
      <c r="K208" s="21" t="inlineStr">
        <is>
          <t>import inventaire</t>
        </is>
      </c>
      <c r="M208" s="21" t="n">
        <v>11</v>
      </c>
    </row>
    <row r="209">
      <c r="A209" s="21" t="inlineStr">
        <is>
          <t>EQ207</t>
        </is>
      </c>
      <c r="B209" s="21" t="inlineStr">
        <is>
          <t>Tableau flipshart</t>
        </is>
      </c>
      <c r="C209" s="21" t="inlineStr">
        <is>
          <t>Pédagogique</t>
        </is>
      </c>
      <c r="D209" s="21" t="inlineStr">
        <is>
          <t>Salle d'informatique</t>
        </is>
      </c>
      <c r="E209" s="21" t="inlineStr"/>
      <c r="I209" s="21" t="inlineStr">
        <is>
          <t>Opérationnel</t>
        </is>
      </c>
      <c r="J209" s="21" t="inlineStr"/>
      <c r="K209" s="21" t="inlineStr">
        <is>
          <t>import inventaire</t>
        </is>
      </c>
      <c r="M209" s="21" t="n">
        <v>2</v>
      </c>
    </row>
    <row r="210">
      <c r="A210" s="21" t="inlineStr">
        <is>
          <t>EQ208</t>
        </is>
      </c>
      <c r="B210" s="21" t="inlineStr">
        <is>
          <t>Armoire</t>
        </is>
      </c>
      <c r="C210" s="21" t="inlineStr">
        <is>
          <t>Mobilier</t>
        </is>
      </c>
      <c r="D210" s="21" t="inlineStr">
        <is>
          <t>Salle d'informatique</t>
        </is>
      </c>
      <c r="E210" s="21" t="inlineStr"/>
      <c r="I210" s="21" t="inlineStr">
        <is>
          <t>Opérationnel</t>
        </is>
      </c>
      <c r="J210" s="21" t="inlineStr">
        <is>
          <t>UDC/EMSP/010//SI</t>
        </is>
      </c>
      <c r="K210" s="21" t="inlineStr">
        <is>
          <t>import inventaire</t>
        </is>
      </c>
      <c r="M210" s="21" t="n">
        <v>1</v>
      </c>
    </row>
    <row r="211">
      <c r="A211" s="21" t="inlineStr">
        <is>
          <t>EQ209</t>
        </is>
      </c>
      <c r="B211" s="21" t="inlineStr">
        <is>
          <t>Montre</t>
        </is>
      </c>
      <c r="C211" s="21" t="inlineStr">
        <is>
          <t>Divers</t>
        </is>
      </c>
      <c r="D211" s="21" t="inlineStr">
        <is>
          <t>Salle d'informatique</t>
        </is>
      </c>
      <c r="E211" s="21" t="inlineStr"/>
      <c r="I211" s="21" t="inlineStr">
        <is>
          <t>Opérationnel</t>
        </is>
      </c>
      <c r="J211" s="21" t="inlineStr"/>
      <c r="K211" s="21" t="inlineStr">
        <is>
          <t>import inventaire</t>
        </is>
      </c>
      <c r="M211" s="21" t="n">
        <v>1</v>
      </c>
    </row>
    <row r="212">
      <c r="A212" s="21" t="inlineStr">
        <is>
          <t>EQ210</t>
        </is>
      </c>
      <c r="B212" s="21" t="inlineStr">
        <is>
          <t>switch</t>
        </is>
      </c>
      <c r="C212" s="21" t="inlineStr">
        <is>
          <t>Informatique</t>
        </is>
      </c>
      <c r="D212" s="21" t="inlineStr">
        <is>
          <t>Salle d'informatique</t>
        </is>
      </c>
      <c r="E212" s="21" t="inlineStr"/>
      <c r="I212" s="21" t="inlineStr">
        <is>
          <t>Opérationnel</t>
        </is>
      </c>
      <c r="J212" s="21" t="inlineStr"/>
      <c r="K212" s="21" t="inlineStr">
        <is>
          <t>import inventaire</t>
        </is>
      </c>
      <c r="M212" s="21" t="n">
        <v>1</v>
      </c>
    </row>
    <row r="213">
      <c r="A213" s="21" t="inlineStr">
        <is>
          <t>EQ211</t>
        </is>
      </c>
      <c r="B213" s="21" t="inlineStr">
        <is>
          <t>Table bancs</t>
        </is>
      </c>
      <c r="C213" s="21" t="inlineStr">
        <is>
          <t>Mobilier</t>
        </is>
      </c>
      <c r="D213" s="21" t="inlineStr">
        <is>
          <t>Salle de cours N°2</t>
        </is>
      </c>
      <c r="E213" s="21" t="inlineStr"/>
      <c r="I213" s="21" t="inlineStr">
        <is>
          <t>Hors usage / En panne</t>
        </is>
      </c>
      <c r="J213" s="21" t="inlineStr"/>
      <c r="K213" s="21" t="inlineStr">
        <is>
          <t>import inventaire</t>
        </is>
      </c>
      <c r="M213" s="21" t="n">
        <v>26</v>
      </c>
    </row>
    <row r="214">
      <c r="A214" s="21" t="inlineStr">
        <is>
          <t>EQ212</t>
        </is>
      </c>
      <c r="B214" s="21" t="inlineStr">
        <is>
          <t>Chaises</t>
        </is>
      </c>
      <c r="C214" s="21" t="inlineStr">
        <is>
          <t>Mobilier</t>
        </is>
      </c>
      <c r="D214" s="21" t="inlineStr">
        <is>
          <t>Salle de cours N°2</t>
        </is>
      </c>
      <c r="E214" s="21" t="inlineStr"/>
      <c r="I214" s="21" t="inlineStr">
        <is>
          <t>Hors usage / En panne</t>
        </is>
      </c>
      <c r="J214" s="21" t="inlineStr"/>
      <c r="K214" s="21" t="inlineStr">
        <is>
          <t>import inventaire</t>
        </is>
      </c>
      <c r="M214" s="21" t="n">
        <v>37</v>
      </c>
    </row>
    <row r="215">
      <c r="A215" s="21" t="inlineStr">
        <is>
          <t>EQ213</t>
        </is>
      </c>
      <c r="B215" s="21" t="inlineStr">
        <is>
          <t>Tableau noir</t>
        </is>
      </c>
      <c r="C215" s="21" t="inlineStr">
        <is>
          <t>Pédagogique</t>
        </is>
      </c>
      <c r="D215" s="21" t="inlineStr">
        <is>
          <t>Salle de cours N°2</t>
        </is>
      </c>
      <c r="E215" s="21" t="inlineStr"/>
      <c r="I215" s="21" t="inlineStr">
        <is>
          <t>Non utilisé</t>
        </is>
      </c>
      <c r="J215" s="21" t="inlineStr"/>
      <c r="K215" s="21" t="inlineStr">
        <is>
          <t>import inventaire</t>
        </is>
      </c>
      <c r="M215" s="21" t="n">
        <v>2</v>
      </c>
    </row>
    <row r="216">
      <c r="A216" s="21" t="inlineStr">
        <is>
          <t>EQ214</t>
        </is>
      </c>
      <c r="B216" s="21" t="inlineStr">
        <is>
          <t>Tableau blanc</t>
        </is>
      </c>
      <c r="C216" s="21" t="inlineStr">
        <is>
          <t>Pédagogique</t>
        </is>
      </c>
      <c r="D216" s="21" t="inlineStr">
        <is>
          <t>Salle de cours N°2</t>
        </is>
      </c>
      <c r="E216" s="21" t="inlineStr"/>
      <c r="I216" s="21" t="inlineStr">
        <is>
          <t>Opérationnel</t>
        </is>
      </c>
      <c r="J216" s="21" t="inlineStr"/>
      <c r="K216" s="21" t="inlineStr">
        <is>
          <t>import inventaire</t>
        </is>
      </c>
      <c r="M216" s="21" t="n">
        <v>1</v>
      </c>
    </row>
    <row r="217">
      <c r="A217" s="21" t="inlineStr">
        <is>
          <t>EQ215</t>
        </is>
      </c>
      <c r="B217" s="21" t="inlineStr">
        <is>
          <t>ventilateurs</t>
        </is>
      </c>
      <c r="C217" s="21" t="inlineStr">
        <is>
          <t>Climatisation</t>
        </is>
      </c>
      <c r="D217" s="21" t="inlineStr">
        <is>
          <t>Salle de cours N°2</t>
        </is>
      </c>
      <c r="E217" s="21" t="inlineStr"/>
      <c r="I217" s="21" t="inlineStr">
        <is>
          <t>Hors usage / En panne</t>
        </is>
      </c>
      <c r="J217" s="21" t="inlineStr"/>
      <c r="K217" s="21" t="inlineStr">
        <is>
          <t>import inventaire</t>
        </is>
      </c>
      <c r="M217" s="21" t="n">
        <v>1</v>
      </c>
    </row>
    <row r="218">
      <c r="A218" s="21" t="inlineStr">
        <is>
          <t>EQ216</t>
        </is>
      </c>
      <c r="B218" s="21" t="inlineStr">
        <is>
          <t>Montre</t>
        </is>
      </c>
      <c r="C218" s="21" t="inlineStr">
        <is>
          <t>Divers</t>
        </is>
      </c>
      <c r="D218" s="21" t="inlineStr">
        <is>
          <t>Salle de cours N°2</t>
        </is>
      </c>
      <c r="E218" s="21" t="inlineStr"/>
      <c r="I218" s="21" t="inlineStr">
        <is>
          <t>Hors usage / En panne</t>
        </is>
      </c>
      <c r="J218" s="21" t="inlineStr"/>
      <c r="K218" s="21" t="inlineStr">
        <is>
          <t>import inventaire</t>
        </is>
      </c>
      <c r="M218" s="21" t="n">
        <v>1</v>
      </c>
    </row>
    <row r="219">
      <c r="A219" s="21" t="inlineStr">
        <is>
          <t>EQ217</t>
        </is>
      </c>
      <c r="B219" s="21" t="inlineStr">
        <is>
          <t>Tables bancs</t>
        </is>
      </c>
      <c r="C219" s="21" t="inlineStr">
        <is>
          <t>Mobilier</t>
        </is>
      </c>
      <c r="D219" s="21" t="inlineStr">
        <is>
          <t>Salle de cours N°4</t>
        </is>
      </c>
      <c r="E219" s="21" t="inlineStr"/>
      <c r="I219" s="21" t="inlineStr">
        <is>
          <t>Hors usage / En panne</t>
        </is>
      </c>
      <c r="J219" s="21" t="inlineStr"/>
      <c r="K219" s="21" t="inlineStr">
        <is>
          <t>import inventaire</t>
        </is>
      </c>
      <c r="M219" s="21" t="n">
        <v>39</v>
      </c>
    </row>
    <row r="220">
      <c r="A220" s="21" t="inlineStr">
        <is>
          <t>EQ218</t>
        </is>
      </c>
      <c r="B220" s="21" t="inlineStr">
        <is>
          <t>Chaises</t>
        </is>
      </c>
      <c r="C220" s="21" t="inlineStr">
        <is>
          <t>Mobilier</t>
        </is>
      </c>
      <c r="D220" s="21" t="inlineStr">
        <is>
          <t>Salle de cours N°4</t>
        </is>
      </c>
      <c r="E220" s="21" t="inlineStr"/>
      <c r="I220" s="21" t="inlineStr">
        <is>
          <t>Hors usage / En panne</t>
        </is>
      </c>
      <c r="J220" s="21" t="inlineStr"/>
      <c r="K220" s="21" t="inlineStr">
        <is>
          <t>import inventaire</t>
        </is>
      </c>
      <c r="M220" s="21" t="n">
        <v>86</v>
      </c>
    </row>
    <row r="221">
      <c r="A221" s="21" t="inlineStr">
        <is>
          <t>EQ219</t>
        </is>
      </c>
      <c r="B221" s="21" t="inlineStr">
        <is>
          <t>Tableau noir</t>
        </is>
      </c>
      <c r="C221" s="21" t="inlineStr">
        <is>
          <t>Pédagogique</t>
        </is>
      </c>
      <c r="D221" s="21" t="inlineStr">
        <is>
          <t>Salle de cours N°4</t>
        </is>
      </c>
      <c r="E221" s="21" t="inlineStr"/>
      <c r="I221" s="21" t="inlineStr"/>
      <c r="J221" s="21" t="inlineStr"/>
      <c r="K221" s="21" t="inlineStr">
        <is>
          <t>import inventaire</t>
        </is>
      </c>
      <c r="M221" s="21" t="n">
        <v>1</v>
      </c>
    </row>
    <row r="222">
      <c r="A222" s="21" t="inlineStr">
        <is>
          <t>EQ220</t>
        </is>
      </c>
      <c r="B222" s="21" t="inlineStr">
        <is>
          <t>Tableau  blancs</t>
        </is>
      </c>
      <c r="C222" s="21" t="inlineStr">
        <is>
          <t>Pédagogique</t>
        </is>
      </c>
      <c r="D222" s="21" t="inlineStr">
        <is>
          <t>Salle de cours N°4</t>
        </is>
      </c>
      <c r="E222" s="21" t="inlineStr"/>
      <c r="I222" s="21" t="inlineStr">
        <is>
          <t>Opérationnel</t>
        </is>
      </c>
      <c r="J222" s="21" t="inlineStr"/>
      <c r="K222" s="21" t="inlineStr">
        <is>
          <t>import inventaire</t>
        </is>
      </c>
      <c r="M222" s="21" t="n">
        <v>1</v>
      </c>
    </row>
    <row r="223">
      <c r="A223" s="21" t="inlineStr">
        <is>
          <t>EQ221</t>
        </is>
      </c>
      <c r="B223" s="21" t="inlineStr">
        <is>
          <t>Ventilateur</t>
        </is>
      </c>
      <c r="C223" s="21" t="inlineStr">
        <is>
          <t>Climatisation</t>
        </is>
      </c>
      <c r="D223" s="21" t="inlineStr">
        <is>
          <t>Salle de cours N°4</t>
        </is>
      </c>
      <c r="E223" s="21" t="inlineStr"/>
      <c r="I223" s="21" t="inlineStr">
        <is>
          <t>Opérationnel</t>
        </is>
      </c>
      <c r="J223" s="21" t="inlineStr"/>
      <c r="K223" s="21" t="inlineStr">
        <is>
          <t>import inventaire</t>
        </is>
      </c>
      <c r="M223" s="21" t="n">
        <v>1</v>
      </c>
    </row>
    <row r="224">
      <c r="A224" s="21" t="inlineStr">
        <is>
          <t>EQ222</t>
        </is>
      </c>
      <c r="B224" s="21" t="inlineStr">
        <is>
          <t>Tables bancs</t>
        </is>
      </c>
      <c r="C224" s="21" t="inlineStr">
        <is>
          <t>Mobilier</t>
        </is>
      </c>
      <c r="D224" s="21" t="inlineStr">
        <is>
          <t>Salle de cours N°6</t>
        </is>
      </c>
      <c r="E224" s="21" t="inlineStr"/>
      <c r="I224" s="21" t="inlineStr">
        <is>
          <t>Hors usage / En panne</t>
        </is>
      </c>
      <c r="J224" s="21" t="inlineStr"/>
      <c r="K224" s="21" t="inlineStr">
        <is>
          <t>import inventaire</t>
        </is>
      </c>
      <c r="M224" s="21" t="n">
        <v>44</v>
      </c>
    </row>
    <row r="225">
      <c r="A225" s="21" t="inlineStr">
        <is>
          <t>EQ223</t>
        </is>
      </c>
      <c r="B225" s="21" t="inlineStr">
        <is>
          <t>Tableau noir</t>
        </is>
      </c>
      <c r="C225" s="21" t="inlineStr">
        <is>
          <t>Pédagogique</t>
        </is>
      </c>
      <c r="D225" s="21" t="inlineStr">
        <is>
          <t>Salle de cours N°6</t>
        </is>
      </c>
      <c r="E225" s="21" t="inlineStr"/>
      <c r="I225" s="21" t="inlineStr">
        <is>
          <t>Non utilisé</t>
        </is>
      </c>
      <c r="J225" s="21" t="inlineStr"/>
      <c r="K225" s="21" t="inlineStr">
        <is>
          <t>import inventaire</t>
        </is>
      </c>
      <c r="M225" s="21" t="n">
        <v>1</v>
      </c>
    </row>
    <row r="226">
      <c r="A226" s="21" t="inlineStr">
        <is>
          <t>EQ224</t>
        </is>
      </c>
      <c r="B226" s="21" t="inlineStr">
        <is>
          <t>Tableau blancs</t>
        </is>
      </c>
      <c r="C226" s="21" t="inlineStr">
        <is>
          <t>Pédagogique</t>
        </is>
      </c>
      <c r="D226" s="21" t="inlineStr">
        <is>
          <t>Salle de cours N°6</t>
        </is>
      </c>
      <c r="E226" s="21" t="inlineStr"/>
      <c r="I226" s="21" t="inlineStr">
        <is>
          <t>Opérationnel</t>
        </is>
      </c>
      <c r="J226" s="21" t="inlineStr"/>
      <c r="K226" s="21" t="inlineStr">
        <is>
          <t>import inventaire</t>
        </is>
      </c>
      <c r="M226" s="21" t="n">
        <v>1</v>
      </c>
    </row>
    <row r="227">
      <c r="A227" s="21" t="inlineStr">
        <is>
          <t>EQ225</t>
        </is>
      </c>
      <c r="B227" s="21" t="inlineStr">
        <is>
          <t>Chaises</t>
        </is>
      </c>
      <c r="C227" s="21" t="inlineStr">
        <is>
          <t>Mobilier</t>
        </is>
      </c>
      <c r="D227" s="21" t="inlineStr">
        <is>
          <t>Salle de cours N°6</t>
        </is>
      </c>
      <c r="E227" s="21" t="inlineStr"/>
      <c r="I227" s="21" t="inlineStr">
        <is>
          <t>Opérationnel</t>
        </is>
      </c>
      <c r="J227" s="21" t="inlineStr"/>
      <c r="K227" s="21" t="inlineStr">
        <is>
          <t>import inventaire</t>
        </is>
      </c>
      <c r="M227" s="21" t="n">
        <v>87</v>
      </c>
    </row>
    <row r="228">
      <c r="A228" s="21" t="inlineStr">
        <is>
          <t>EQ226</t>
        </is>
      </c>
      <c r="B228" s="21" t="inlineStr">
        <is>
          <t>Table bancs</t>
        </is>
      </c>
      <c r="C228" s="21" t="inlineStr">
        <is>
          <t>Mobilier</t>
        </is>
      </c>
      <c r="D228" s="21" t="inlineStr">
        <is>
          <t>Salle de cours N°7</t>
        </is>
      </c>
      <c r="E228" s="21" t="inlineStr"/>
      <c r="I228" s="21" t="inlineStr">
        <is>
          <t>Opérationnel</t>
        </is>
      </c>
      <c r="J228" s="21" t="inlineStr"/>
      <c r="K228" s="21" t="inlineStr">
        <is>
          <t>import inventaire</t>
        </is>
      </c>
      <c r="M228" s="21" t="n">
        <v>13</v>
      </c>
    </row>
    <row r="229">
      <c r="A229" s="21" t="inlineStr">
        <is>
          <t>EQ227</t>
        </is>
      </c>
      <c r="B229" s="21" t="inlineStr">
        <is>
          <t>Chaises</t>
        </is>
      </c>
      <c r="C229" s="21" t="inlineStr">
        <is>
          <t>Mobilier</t>
        </is>
      </c>
      <c r="D229" s="21" t="inlineStr">
        <is>
          <t>Salle de cours N°7</t>
        </is>
      </c>
      <c r="E229" s="21" t="inlineStr"/>
      <c r="I229" s="21" t="inlineStr">
        <is>
          <t>Opérationnel</t>
        </is>
      </c>
      <c r="J229" s="21" t="inlineStr"/>
      <c r="K229" s="21" t="inlineStr">
        <is>
          <t>import inventaire</t>
        </is>
      </c>
      <c r="M229" s="21" t="n">
        <v>19</v>
      </c>
    </row>
    <row r="230">
      <c r="A230" s="21" t="inlineStr">
        <is>
          <t>EQ228</t>
        </is>
      </c>
      <c r="B230" s="21" t="inlineStr">
        <is>
          <t>Tableau noir</t>
        </is>
      </c>
      <c r="C230" s="21" t="inlineStr">
        <is>
          <t>Pédagogique</t>
        </is>
      </c>
      <c r="D230" s="21" t="inlineStr">
        <is>
          <t>Salle de cours N°7</t>
        </is>
      </c>
      <c r="E230" s="21" t="inlineStr"/>
      <c r="I230" s="21" t="inlineStr">
        <is>
          <t>Non utilisé</t>
        </is>
      </c>
      <c r="J230" s="21" t="inlineStr"/>
      <c r="K230" s="21" t="inlineStr">
        <is>
          <t>import inventaire</t>
        </is>
      </c>
      <c r="M230" s="21" t="n">
        <v>1</v>
      </c>
    </row>
    <row r="231">
      <c r="A231" s="21" t="inlineStr">
        <is>
          <t>EQ229</t>
        </is>
      </c>
      <c r="B231" s="21" t="inlineStr">
        <is>
          <t>Tableau blancs</t>
        </is>
      </c>
      <c r="C231" s="21" t="inlineStr">
        <is>
          <t>Pédagogique</t>
        </is>
      </c>
      <c r="D231" s="21" t="inlineStr">
        <is>
          <t>Salle de cours N°7</t>
        </is>
      </c>
      <c r="E231" s="21" t="inlineStr"/>
      <c r="I231" s="21" t="inlineStr">
        <is>
          <t>Opérationnel</t>
        </is>
      </c>
      <c r="J231" s="21" t="inlineStr"/>
      <c r="K231" s="21" t="inlineStr">
        <is>
          <t>import inventaire</t>
        </is>
      </c>
      <c r="M231" s="21" t="n">
        <v>1</v>
      </c>
    </row>
    <row r="232">
      <c r="A232" s="21" t="inlineStr">
        <is>
          <t>EQ230</t>
        </is>
      </c>
      <c r="B232" s="21" t="inlineStr">
        <is>
          <t>Tableau flip shart</t>
        </is>
      </c>
      <c r="C232" s="21" t="inlineStr">
        <is>
          <t>Pédagogique</t>
        </is>
      </c>
      <c r="D232" s="21" t="inlineStr">
        <is>
          <t>Salle de cours N°7</t>
        </is>
      </c>
      <c r="E232" s="21" t="inlineStr"/>
      <c r="I232" s="21" t="inlineStr"/>
      <c r="J232" s="21" t="inlineStr"/>
      <c r="K232" s="21" t="inlineStr">
        <is>
          <t>import inventaire</t>
        </is>
      </c>
      <c r="M232" s="21" t="n">
        <v>1</v>
      </c>
    </row>
    <row r="233">
      <c r="A233" s="21" t="inlineStr">
        <is>
          <t>EQ231</t>
        </is>
      </c>
      <c r="B233" s="21" t="inlineStr">
        <is>
          <t>ventilateurs</t>
        </is>
      </c>
      <c r="C233" s="21" t="inlineStr">
        <is>
          <t>Climatisation</t>
        </is>
      </c>
      <c r="D233" s="21" t="inlineStr">
        <is>
          <t>Salle de cours N°7</t>
        </is>
      </c>
      <c r="E233" s="21" t="inlineStr">
        <is>
          <t>2015</t>
        </is>
      </c>
      <c r="I233" s="21" t="inlineStr">
        <is>
          <t>Opérationnel</t>
        </is>
      </c>
      <c r="J233" s="21" t="inlineStr"/>
      <c r="K233" s="21" t="inlineStr">
        <is>
          <t>import inventaire</t>
        </is>
      </c>
      <c r="M233" s="21" t="n">
        <v>2</v>
      </c>
    </row>
    <row r="234">
      <c r="A234" s="21" t="inlineStr">
        <is>
          <t>EQ232</t>
        </is>
      </c>
      <c r="B234" s="21" t="inlineStr">
        <is>
          <t>Chaises</t>
        </is>
      </c>
      <c r="C234" s="21" t="inlineStr">
        <is>
          <t>Mobilier</t>
        </is>
      </c>
      <c r="D234" s="21" t="inlineStr">
        <is>
          <t>Salle de cours N°8</t>
        </is>
      </c>
      <c r="E234" s="21" t="inlineStr"/>
      <c r="I234" s="21" t="inlineStr"/>
      <c r="J234" s="21" t="inlineStr"/>
      <c r="K234" s="21" t="inlineStr">
        <is>
          <t>import inventaire</t>
        </is>
      </c>
      <c r="M234" s="21" t="n">
        <v>25</v>
      </c>
    </row>
    <row r="235">
      <c r="A235" s="21" t="inlineStr">
        <is>
          <t>EQ233</t>
        </is>
      </c>
      <c r="B235" s="21" t="inlineStr">
        <is>
          <t>Tables bancs</t>
        </is>
      </c>
      <c r="C235" s="21" t="inlineStr">
        <is>
          <t>Mobilier</t>
        </is>
      </c>
      <c r="D235" s="21" t="inlineStr">
        <is>
          <t>Salle de cours N°8</t>
        </is>
      </c>
      <c r="E235" s="21" t="inlineStr"/>
      <c r="I235" s="21" t="inlineStr">
        <is>
          <t>Hors usage / En panne</t>
        </is>
      </c>
      <c r="J235" s="21" t="inlineStr"/>
      <c r="K235" s="21" t="inlineStr">
        <is>
          <t>import inventaire</t>
        </is>
      </c>
      <c r="M235" s="21" t="n">
        <v>3</v>
      </c>
    </row>
    <row r="236">
      <c r="A236" s="21" t="inlineStr">
        <is>
          <t>EQ234</t>
        </is>
      </c>
      <c r="B236" s="21" t="inlineStr">
        <is>
          <t>Tableau noir</t>
        </is>
      </c>
      <c r="C236" s="21" t="inlineStr">
        <is>
          <t>Pédagogique</t>
        </is>
      </c>
      <c r="D236" s="21" t="inlineStr">
        <is>
          <t>Salle de cours N°8</t>
        </is>
      </c>
      <c r="E236" s="21" t="inlineStr"/>
      <c r="I236" s="21" t="inlineStr">
        <is>
          <t>Non utilisé</t>
        </is>
      </c>
      <c r="J236" s="21" t="inlineStr"/>
      <c r="K236" s="21" t="inlineStr">
        <is>
          <t>import inventaire</t>
        </is>
      </c>
      <c r="M236" s="21" t="n">
        <v>1</v>
      </c>
    </row>
    <row r="237">
      <c r="A237" s="21" t="inlineStr">
        <is>
          <t>EQ235</t>
        </is>
      </c>
      <c r="B237" s="21" t="inlineStr">
        <is>
          <t>Tableaux blancs</t>
        </is>
      </c>
      <c r="C237" s="21" t="inlineStr">
        <is>
          <t>Pédagogique</t>
        </is>
      </c>
      <c r="D237" s="21" t="inlineStr">
        <is>
          <t>Salle de cours N°8</t>
        </is>
      </c>
      <c r="E237" s="21" t="inlineStr"/>
      <c r="I237" s="21" t="inlineStr">
        <is>
          <t>Opérationnel</t>
        </is>
      </c>
      <c r="J237" s="21" t="inlineStr"/>
      <c r="K237" s="21" t="inlineStr">
        <is>
          <t>import inventaire</t>
        </is>
      </c>
      <c r="M237" s="21" t="n">
        <v>1</v>
      </c>
    </row>
    <row r="238">
      <c r="A238" s="21" t="inlineStr">
        <is>
          <t>EQ236</t>
        </is>
      </c>
      <c r="B238" s="21" t="inlineStr">
        <is>
          <t>Tables bancs</t>
        </is>
      </c>
      <c r="C238" s="21" t="inlineStr">
        <is>
          <t>Mobilier</t>
        </is>
      </c>
      <c r="D238" s="21" t="inlineStr">
        <is>
          <t>Salle de cours N°9</t>
        </is>
      </c>
      <c r="E238" s="21" t="inlineStr"/>
      <c r="I238" s="21" t="inlineStr">
        <is>
          <t>Hors usage / En panne</t>
        </is>
      </c>
      <c r="J238" s="21" t="inlineStr"/>
      <c r="K238" s="21" t="inlineStr">
        <is>
          <t>import inventaire</t>
        </is>
      </c>
      <c r="M238" s="21" t="n">
        <v>43</v>
      </c>
    </row>
    <row r="239">
      <c r="A239" s="21" t="inlineStr">
        <is>
          <t>EQ237</t>
        </is>
      </c>
      <c r="B239" s="21" t="inlineStr">
        <is>
          <t>Ventilateurs</t>
        </is>
      </c>
      <c r="C239" s="21" t="inlineStr">
        <is>
          <t>Climatisation</t>
        </is>
      </c>
      <c r="D239" s="21" t="inlineStr">
        <is>
          <t>Salle de cours N°9</t>
        </is>
      </c>
      <c r="E239" s="21" t="inlineStr"/>
      <c r="I239" s="21" t="inlineStr">
        <is>
          <t>Hors usage / En panne</t>
        </is>
      </c>
      <c r="J239" s="21" t="inlineStr"/>
      <c r="K239" s="21" t="inlineStr">
        <is>
          <t>import inventaire</t>
        </is>
      </c>
      <c r="M239" s="21" t="n">
        <v>6</v>
      </c>
    </row>
    <row r="240">
      <c r="A240" s="21" t="inlineStr">
        <is>
          <t>EQ238</t>
        </is>
      </c>
      <c r="B240" s="21" t="inlineStr">
        <is>
          <t>Chaises</t>
        </is>
      </c>
      <c r="C240" s="21" t="inlineStr">
        <is>
          <t>Mobilier</t>
        </is>
      </c>
      <c r="D240" s="21" t="inlineStr">
        <is>
          <t>Salle de cours N°9</t>
        </is>
      </c>
      <c r="E240" s="21" t="inlineStr"/>
      <c r="I240" s="21" t="inlineStr">
        <is>
          <t>Hors usage / En panne</t>
        </is>
      </c>
      <c r="J240" s="21" t="inlineStr"/>
      <c r="K240" s="21" t="inlineStr">
        <is>
          <t>import inventaire</t>
        </is>
      </c>
      <c r="M240" s="21" t="n">
        <v>50</v>
      </c>
    </row>
    <row r="241">
      <c r="A241" s="21" t="inlineStr">
        <is>
          <t>EQ239</t>
        </is>
      </c>
      <c r="B241" s="21" t="inlineStr">
        <is>
          <t>Blanches</t>
        </is>
      </c>
      <c r="C241" s="21" t="inlineStr">
        <is>
          <t>Divers</t>
        </is>
      </c>
      <c r="D241" s="21" t="inlineStr">
        <is>
          <t>Salle de cours N°9</t>
        </is>
      </c>
      <c r="E241" s="21" t="inlineStr"/>
      <c r="I241" s="21" t="inlineStr">
        <is>
          <t>Non utilisé</t>
        </is>
      </c>
      <c r="J241" s="21" t="inlineStr"/>
      <c r="K241" s="21" t="inlineStr">
        <is>
          <t>import inventaire</t>
        </is>
      </c>
      <c r="M241" s="21" t="n">
        <v>9</v>
      </c>
    </row>
    <row r="242">
      <c r="A242" s="21" t="inlineStr">
        <is>
          <t>EQ240</t>
        </is>
      </c>
      <c r="B242" s="21" t="inlineStr">
        <is>
          <t>Armoires</t>
        </is>
      </c>
      <c r="C242" s="21" t="inlineStr">
        <is>
          <t>Mobilier</t>
        </is>
      </c>
      <c r="D242" s="21" t="inlineStr">
        <is>
          <t>Salle de cours N°9</t>
        </is>
      </c>
      <c r="E242" s="21" t="inlineStr"/>
      <c r="I242" s="21" t="inlineStr"/>
      <c r="J242" s="21" t="inlineStr">
        <is>
          <t>UDC/EMSP/011-012/AR/STP</t>
        </is>
      </c>
      <c r="K242" s="21" t="inlineStr">
        <is>
          <t>import inventaire</t>
        </is>
      </c>
      <c r="M242" s="21" t="n">
        <v>2</v>
      </c>
    </row>
    <row r="243">
      <c r="A243" s="21" t="inlineStr">
        <is>
          <t>EQ241</t>
        </is>
      </c>
      <c r="B243" s="21" t="inlineStr">
        <is>
          <t>étagères</t>
        </is>
      </c>
      <c r="C243" s="21" t="inlineStr">
        <is>
          <t>Mobilier</t>
        </is>
      </c>
      <c r="D243" s="21" t="inlineStr">
        <is>
          <t>Salle de cours N°9</t>
        </is>
      </c>
      <c r="E243" s="21" t="inlineStr"/>
      <c r="I243" s="21" t="inlineStr">
        <is>
          <t>Hors usage / En panne</t>
        </is>
      </c>
      <c r="J243" s="21" t="inlineStr"/>
      <c r="K243" s="21" t="inlineStr">
        <is>
          <t>import inventaire</t>
        </is>
      </c>
      <c r="M243" s="21" t="n">
        <v>2</v>
      </c>
    </row>
    <row r="244">
      <c r="A244" s="21" t="inlineStr">
        <is>
          <t>EQ242</t>
        </is>
      </c>
      <c r="B244" s="21" t="inlineStr">
        <is>
          <t>Climatiseurs</t>
        </is>
      </c>
      <c r="C244" s="21" t="inlineStr">
        <is>
          <t>Climatisation</t>
        </is>
      </c>
      <c r="D244" s="21" t="inlineStr">
        <is>
          <t>Salle de cours N°10</t>
        </is>
      </c>
      <c r="E244" s="21" t="inlineStr">
        <is>
          <t>2015</t>
        </is>
      </c>
      <c r="I244" s="21" t="inlineStr">
        <is>
          <t>Opérationnel</t>
        </is>
      </c>
      <c r="J244" s="21" t="inlineStr">
        <is>
          <t>UDC/EMSP/010-011/CLI/S10</t>
        </is>
      </c>
      <c r="K244" s="21" t="inlineStr">
        <is>
          <t>import inventaire</t>
        </is>
      </c>
      <c r="M244" s="21" t="n">
        <v>2</v>
      </c>
    </row>
    <row r="245">
      <c r="A245" s="21" t="inlineStr">
        <is>
          <t>EQ243</t>
        </is>
      </c>
      <c r="B245" s="21" t="inlineStr">
        <is>
          <t>Tableau blancs</t>
        </is>
      </c>
      <c r="C245" s="21" t="inlineStr">
        <is>
          <t>Pédagogique</t>
        </is>
      </c>
      <c r="D245" s="21" t="inlineStr">
        <is>
          <t>Salle de cours N°10</t>
        </is>
      </c>
      <c r="E245" s="21" t="inlineStr">
        <is>
          <t>2017</t>
        </is>
      </c>
      <c r="I245" s="21" t="inlineStr">
        <is>
          <t>Opérationnel</t>
        </is>
      </c>
      <c r="J245" s="21" t="inlineStr"/>
      <c r="K245" s="21" t="inlineStr">
        <is>
          <t>import inventaire</t>
        </is>
      </c>
      <c r="M245" s="21" t="n">
        <v>1</v>
      </c>
    </row>
    <row r="246">
      <c r="A246" s="21" t="inlineStr">
        <is>
          <t>EQ244</t>
        </is>
      </c>
      <c r="B246" s="21" t="inlineStr">
        <is>
          <t>Chaises</t>
        </is>
      </c>
      <c r="C246" s="21" t="inlineStr">
        <is>
          <t>Mobilier</t>
        </is>
      </c>
      <c r="D246" s="21" t="inlineStr">
        <is>
          <t>Salle de cours N°10</t>
        </is>
      </c>
      <c r="E246" s="21" t="inlineStr"/>
      <c r="I246" s="21" t="inlineStr">
        <is>
          <t>Opérationnel</t>
        </is>
      </c>
      <c r="J246" s="21" t="inlineStr"/>
      <c r="K246" s="21" t="inlineStr">
        <is>
          <t>import inventaire</t>
        </is>
      </c>
      <c r="M246" s="21" t="n">
        <v>74</v>
      </c>
    </row>
    <row r="247">
      <c r="A247" s="21" t="inlineStr">
        <is>
          <t>EQ245</t>
        </is>
      </c>
      <c r="B247" s="21" t="inlineStr">
        <is>
          <t>Tables bancs</t>
        </is>
      </c>
      <c r="C247" s="21" t="inlineStr">
        <is>
          <t>Mobilier</t>
        </is>
      </c>
      <c r="D247" s="21" t="inlineStr">
        <is>
          <t>Salle de cours N°10</t>
        </is>
      </c>
      <c r="E247" s="21" t="inlineStr"/>
      <c r="I247" s="21" t="inlineStr">
        <is>
          <t>Opérationnel</t>
        </is>
      </c>
      <c r="J247" s="21" t="inlineStr"/>
      <c r="K247" s="21" t="inlineStr">
        <is>
          <t>import inventaire</t>
        </is>
      </c>
      <c r="M247" s="21" t="n">
        <v>70</v>
      </c>
    </row>
    <row r="248">
      <c r="A248" s="21" t="inlineStr">
        <is>
          <t>EQ246</t>
        </is>
      </c>
      <c r="B248" s="21" t="inlineStr">
        <is>
          <t>Pompe à eau</t>
        </is>
      </c>
      <c r="C248" s="21" t="inlineStr">
        <is>
          <t>Divers</t>
        </is>
      </c>
      <c r="D248" s="21" t="inlineStr">
        <is>
          <t>Salle de cours N°10</t>
        </is>
      </c>
      <c r="E248" s="21" t="inlineStr">
        <is>
          <t>2017</t>
        </is>
      </c>
      <c r="I248" s="21" t="inlineStr">
        <is>
          <t>Opérationnel</t>
        </is>
      </c>
      <c r="J248" s="21" t="inlineStr"/>
      <c r="K248" s="21" t="inlineStr">
        <is>
          <t>import inventaire</t>
        </is>
      </c>
      <c r="M248" s="21" t="n">
        <v>1</v>
      </c>
    </row>
    <row r="249">
      <c r="A249" s="21" t="inlineStr">
        <is>
          <t>EQ247</t>
        </is>
      </c>
      <c r="B249" s="21" t="inlineStr">
        <is>
          <t>Citerne plastique</t>
        </is>
      </c>
      <c r="C249" s="21" t="inlineStr">
        <is>
          <t>Divers</t>
        </is>
      </c>
      <c r="D249" s="21" t="inlineStr">
        <is>
          <t>Salle de cours N°10</t>
        </is>
      </c>
      <c r="E249" s="21" t="inlineStr">
        <is>
          <t>2017</t>
        </is>
      </c>
      <c r="I249" s="21" t="inlineStr">
        <is>
          <t>Opérationnel</t>
        </is>
      </c>
      <c r="J249" s="21" t="inlineStr"/>
      <c r="K249" s="21" t="inlineStr">
        <is>
          <t>import inventaire</t>
        </is>
      </c>
      <c r="M249" s="21" t="n">
        <v>1</v>
      </c>
    </row>
    <row r="250">
      <c r="A250" s="21" t="inlineStr">
        <is>
          <t>EQ248</t>
        </is>
      </c>
      <c r="B250" s="21" t="inlineStr">
        <is>
          <t>Etagere</t>
        </is>
      </c>
      <c r="C250" s="21" t="inlineStr">
        <is>
          <t>Mobilier</t>
        </is>
      </c>
      <c r="D250" s="21" t="inlineStr">
        <is>
          <t>Salle de TP (à ventiler)</t>
        </is>
      </c>
      <c r="E250" s="21" t="inlineStr">
        <is>
          <t>2015</t>
        </is>
      </c>
      <c r="I250" s="21" t="inlineStr">
        <is>
          <t>Opérationnel</t>
        </is>
      </c>
      <c r="J250" s="21" t="inlineStr">
        <is>
          <t>UDC/EMSP/026/ET/STP</t>
        </is>
      </c>
      <c r="K250" s="21" t="inlineStr">
        <is>
          <t>import inventaire</t>
        </is>
      </c>
      <c r="M250" s="21" t="n">
        <v>1</v>
      </c>
    </row>
    <row r="251">
      <c r="A251" s="21" t="inlineStr">
        <is>
          <t>EQ249</t>
        </is>
      </c>
      <c r="B251" s="21" t="inlineStr">
        <is>
          <t>Armoire</t>
        </is>
      </c>
      <c r="C251" s="21" t="inlineStr">
        <is>
          <t>Mobilier</t>
        </is>
      </c>
      <c r="D251" s="21" t="inlineStr">
        <is>
          <t>Salle de TP (à ventiler)</t>
        </is>
      </c>
      <c r="E251" s="21" t="inlineStr">
        <is>
          <t>2015</t>
        </is>
      </c>
      <c r="I251" s="21" t="inlineStr">
        <is>
          <t>Opérationnel</t>
        </is>
      </c>
      <c r="J251" s="21" t="inlineStr">
        <is>
          <t>UDC/EMSP/010-011/AR/STP</t>
        </is>
      </c>
      <c r="K251" s="21" t="inlineStr">
        <is>
          <t>import inventaire</t>
        </is>
      </c>
      <c r="M251" s="21" t="n">
        <v>2</v>
      </c>
    </row>
    <row r="252">
      <c r="A252" s="21" t="inlineStr">
        <is>
          <t>EQ250</t>
        </is>
      </c>
      <c r="B252" s="21" t="inlineStr">
        <is>
          <t>Lit</t>
        </is>
      </c>
      <c r="C252" s="21" t="inlineStr">
        <is>
          <t>Équipement médical</t>
        </is>
      </c>
      <c r="D252" s="21" t="inlineStr">
        <is>
          <t>Salle de TP (à ventiler)</t>
        </is>
      </c>
      <c r="E252" s="21" t="inlineStr"/>
      <c r="I252" s="21" t="inlineStr">
        <is>
          <t>Opérationnel</t>
        </is>
      </c>
      <c r="J252" s="21" t="inlineStr"/>
      <c r="K252" s="21" t="inlineStr">
        <is>
          <t>import inventaire</t>
        </is>
      </c>
      <c r="M252" s="21" t="n">
        <v>1</v>
      </c>
    </row>
    <row r="253">
      <c r="A253" s="21" t="inlineStr">
        <is>
          <t>EQ251</t>
        </is>
      </c>
      <c r="B253" s="21" t="inlineStr">
        <is>
          <t>Table bancs</t>
        </is>
      </c>
      <c r="C253" s="21" t="inlineStr">
        <is>
          <t>Mobilier</t>
        </is>
      </c>
      <c r="D253" s="21" t="inlineStr">
        <is>
          <t>Salle de TP (à ventiler)</t>
        </is>
      </c>
      <c r="E253" s="21" t="inlineStr"/>
      <c r="I253" s="21" t="inlineStr">
        <is>
          <t>Opérationnel</t>
        </is>
      </c>
      <c r="J253" s="21" t="inlineStr"/>
      <c r="K253" s="21" t="inlineStr">
        <is>
          <t>import inventaire</t>
        </is>
      </c>
      <c r="M253" s="21" t="n">
        <v>1</v>
      </c>
    </row>
    <row r="254">
      <c r="A254" s="21" t="inlineStr">
        <is>
          <t>EQ252</t>
        </is>
      </c>
      <c r="B254" s="21" t="inlineStr">
        <is>
          <t>Tableau noir</t>
        </is>
      </c>
      <c r="C254" s="21" t="inlineStr">
        <is>
          <t>Pédagogique</t>
        </is>
      </c>
      <c r="D254" s="21" t="inlineStr">
        <is>
          <t>Salle de TP (à ventiler)</t>
        </is>
      </c>
      <c r="E254" s="21" t="inlineStr"/>
      <c r="I254" s="21" t="inlineStr">
        <is>
          <t>Opérationnel</t>
        </is>
      </c>
      <c r="J254" s="21" t="inlineStr"/>
      <c r="K254" s="21" t="inlineStr">
        <is>
          <t>import inventaire</t>
        </is>
      </c>
      <c r="M254" s="21" t="n">
        <v>1</v>
      </c>
    </row>
    <row r="255">
      <c r="A255" s="21" t="inlineStr">
        <is>
          <t>EQ253</t>
        </is>
      </c>
      <c r="B255" s="21" t="inlineStr">
        <is>
          <t>Blancare</t>
        </is>
      </c>
      <c r="C255" s="21" t="inlineStr">
        <is>
          <t>Divers</t>
        </is>
      </c>
      <c r="D255" s="21" t="inlineStr">
        <is>
          <t>Salle de TP (à ventiler)</t>
        </is>
      </c>
      <c r="E255" s="21" t="inlineStr"/>
      <c r="I255" s="21" t="inlineStr">
        <is>
          <t>Opérationnel</t>
        </is>
      </c>
      <c r="J255" s="21" t="inlineStr"/>
      <c r="K255" s="21" t="inlineStr">
        <is>
          <t>import inventaire</t>
        </is>
      </c>
      <c r="M255" s="21" t="n">
        <v>1</v>
      </c>
    </row>
    <row r="256">
      <c r="A256" s="21" t="inlineStr">
        <is>
          <t>EQ254</t>
        </is>
      </c>
      <c r="B256" s="21" t="inlineStr">
        <is>
          <t>Seaux d’eau</t>
        </is>
      </c>
      <c r="C256" s="21" t="inlineStr">
        <is>
          <t>Divers</t>
        </is>
      </c>
      <c r="D256" s="21" t="inlineStr">
        <is>
          <t>Salle de TP (à ventiler)</t>
        </is>
      </c>
      <c r="E256" s="21" t="inlineStr">
        <is>
          <t>2016</t>
        </is>
      </c>
      <c r="I256" s="21" t="inlineStr">
        <is>
          <t>Opérationnel</t>
        </is>
      </c>
      <c r="J256" s="21" t="inlineStr"/>
      <c r="K256" s="21" t="inlineStr">
        <is>
          <t>import inventaire</t>
        </is>
      </c>
      <c r="M256" s="21" t="n">
        <v>2</v>
      </c>
    </row>
    <row r="257">
      <c r="A257" s="21" t="inlineStr">
        <is>
          <t>EQ255</t>
        </is>
      </c>
      <c r="B257" s="21" t="inlineStr">
        <is>
          <t>Climatiseur</t>
        </is>
      </c>
      <c r="C257" s="21" t="inlineStr">
        <is>
          <t>Climatisation</t>
        </is>
      </c>
      <c r="D257" s="21" t="inlineStr">
        <is>
          <t>Salle de TP (à ventiler)</t>
        </is>
      </c>
      <c r="E257" s="21" t="inlineStr">
        <is>
          <t>2015</t>
        </is>
      </c>
      <c r="I257" s="21" t="inlineStr">
        <is>
          <t>Opérationnel</t>
        </is>
      </c>
      <c r="J257" s="21" t="inlineStr">
        <is>
          <t>UDC/EMSP/012/CLI/STP</t>
        </is>
      </c>
      <c r="K257" s="21" t="inlineStr">
        <is>
          <t>import inventaire</t>
        </is>
      </c>
      <c r="M257" s="21" t="n">
        <v>1</v>
      </c>
    </row>
    <row r="258">
      <c r="A258" s="21" t="inlineStr">
        <is>
          <t>EQ256</t>
        </is>
      </c>
      <c r="B258" s="21" t="inlineStr">
        <is>
          <t>Cuvette</t>
        </is>
      </c>
      <c r="C258" s="21" t="inlineStr">
        <is>
          <t>Équipement médical</t>
        </is>
      </c>
      <c r="D258" s="21" t="inlineStr">
        <is>
          <t>Salle de TP (à ventiler)</t>
        </is>
      </c>
      <c r="E258" s="21" t="inlineStr"/>
      <c r="I258" s="21" t="inlineStr">
        <is>
          <t>Opérationnel</t>
        </is>
      </c>
      <c r="J258" s="21" t="inlineStr"/>
      <c r="K258" s="21" t="inlineStr">
        <is>
          <t>import inventaire</t>
        </is>
      </c>
      <c r="M258" s="21" t="n">
        <v>1</v>
      </c>
    </row>
    <row r="259">
      <c r="A259" s="21" t="inlineStr">
        <is>
          <t>EQ257</t>
        </is>
      </c>
      <c r="B259" s="21" t="inlineStr">
        <is>
          <t>Produits medicaux</t>
        </is>
      </c>
      <c r="C259" s="21" t="inlineStr">
        <is>
          <t>Équipement médical</t>
        </is>
      </c>
      <c r="D259" s="21" t="inlineStr">
        <is>
          <t>Salle de TP (à ventiler)</t>
        </is>
      </c>
      <c r="E259" s="21" t="inlineStr"/>
      <c r="I259" s="21" t="inlineStr"/>
      <c r="J259" s="21" t="inlineStr"/>
      <c r="K259" s="21" t="inlineStr">
        <is>
          <t>import inventaire</t>
        </is>
      </c>
      <c r="M259" s="21" t="n">
        <v>1</v>
      </c>
    </row>
    <row r="260">
      <c r="A260" s="21" t="inlineStr">
        <is>
          <t>EQ258</t>
        </is>
      </c>
      <c r="B260" s="21" t="inlineStr">
        <is>
          <t>Manequin et ses accessoirs</t>
        </is>
      </c>
      <c r="C260" s="21" t="inlineStr">
        <is>
          <t>Équipement médical</t>
        </is>
      </c>
      <c r="D260" s="21" t="inlineStr">
        <is>
          <t>Salle de TP (à ventiler)</t>
        </is>
      </c>
      <c r="E260" s="21" t="inlineStr"/>
      <c r="I260" s="21" t="inlineStr">
        <is>
          <t>Opérationnel</t>
        </is>
      </c>
      <c r="J260" s="21" t="inlineStr"/>
      <c r="K260" s="21" t="inlineStr">
        <is>
          <t>import inventaire</t>
        </is>
      </c>
      <c r="M260" s="21" t="n">
        <v>40</v>
      </c>
    </row>
    <row r="261">
      <c r="A261" s="21" t="inlineStr">
        <is>
          <t>EQ259</t>
        </is>
      </c>
      <c r="B261" s="21" t="inlineStr">
        <is>
          <t>Matériels Informatiques</t>
        </is>
      </c>
      <c r="C261" s="21" t="inlineStr">
        <is>
          <t>Informatique</t>
        </is>
      </c>
      <c r="D261" s="21" t="inlineStr">
        <is>
          <t>Salle de TP (à ventiler)</t>
        </is>
      </c>
      <c r="E261" s="21" t="inlineStr"/>
      <c r="I261" s="21" t="inlineStr"/>
      <c r="J261" s="21" t="inlineStr"/>
      <c r="K261" s="21" t="inlineStr">
        <is>
          <t>import inventaire</t>
        </is>
      </c>
      <c r="M261" s="21" t="n">
        <v>1</v>
      </c>
    </row>
    <row r="262">
      <c r="A262" s="21" t="inlineStr">
        <is>
          <t>EQ260</t>
        </is>
      </c>
      <c r="B262" s="21" t="inlineStr">
        <is>
          <t>Ordinateurs</t>
        </is>
      </c>
      <c r="C262" s="21" t="inlineStr">
        <is>
          <t>Informatique</t>
        </is>
      </c>
      <c r="D262" s="21" t="inlineStr">
        <is>
          <t>Salle de TP (à ventiler)</t>
        </is>
      </c>
      <c r="E262" s="21" t="inlineStr">
        <is>
          <t>15</t>
        </is>
      </c>
      <c r="I262" s="21" t="inlineStr">
        <is>
          <t>Hors usage / En panne</t>
        </is>
      </c>
      <c r="J262" s="21" t="inlineStr">
        <is>
          <t>2 hors usage</t>
        </is>
      </c>
      <c r="K262" s="21" t="inlineStr">
        <is>
          <t>import inventaire</t>
        </is>
      </c>
      <c r="M262" s="21" t="n">
        <v>1</v>
      </c>
    </row>
    <row r="263">
      <c r="A263" s="21" t="inlineStr">
        <is>
          <t>EQ261</t>
        </is>
      </c>
      <c r="B263" s="21" t="inlineStr">
        <is>
          <t>Chaises</t>
        </is>
      </c>
      <c r="C263" s="21" t="inlineStr">
        <is>
          <t>Mobilier</t>
        </is>
      </c>
      <c r="D263" s="21" t="inlineStr">
        <is>
          <t>Salle de TP (à ventiler)</t>
        </is>
      </c>
      <c r="E263" s="21" t="inlineStr">
        <is>
          <t>421</t>
        </is>
      </c>
      <c r="I263" s="21" t="inlineStr">
        <is>
          <t>Hors usage / En panne</t>
        </is>
      </c>
      <c r="J263" s="21" t="inlineStr">
        <is>
          <t>10 hors usage</t>
        </is>
      </c>
      <c r="K263" s="21" t="inlineStr">
        <is>
          <t>import inventaire</t>
        </is>
      </c>
      <c r="M263" s="21" t="n">
        <v>1</v>
      </c>
    </row>
    <row r="264">
      <c r="A264" s="21" t="inlineStr">
        <is>
          <t>EQ262</t>
        </is>
      </c>
      <c r="B264" s="21" t="inlineStr">
        <is>
          <t>Tabliers ordinateurs</t>
        </is>
      </c>
      <c r="C264" s="21" t="inlineStr">
        <is>
          <t>Informatique</t>
        </is>
      </c>
      <c r="D264" s="21" t="inlineStr">
        <is>
          <t>Salle de TP (à ventiler)</t>
        </is>
      </c>
      <c r="E264" s="21" t="inlineStr">
        <is>
          <t>10</t>
        </is>
      </c>
      <c r="I264" s="21" t="inlineStr">
        <is>
          <t>Opérationnel</t>
        </is>
      </c>
      <c r="J264" s="21" t="inlineStr">
        <is>
          <t>operationnels</t>
        </is>
      </c>
      <c r="K264" s="21" t="inlineStr">
        <is>
          <t>import inventaire</t>
        </is>
      </c>
      <c r="M264" s="21" t="n">
        <v>1</v>
      </c>
    </row>
    <row r="265">
      <c r="A265" s="21" t="inlineStr">
        <is>
          <t>EQ263</t>
        </is>
      </c>
      <c r="B265" s="21" t="inlineStr">
        <is>
          <t>Tables bancs</t>
        </is>
      </c>
      <c r="C265" s="21" t="inlineStr">
        <is>
          <t>Mobilier</t>
        </is>
      </c>
      <c r="D265" s="21" t="inlineStr">
        <is>
          <t>Salle de TP (à ventiler)</t>
        </is>
      </c>
      <c r="E265" s="21" t="inlineStr">
        <is>
          <t>244</t>
        </is>
      </c>
      <c r="I265" s="21" t="inlineStr">
        <is>
          <t>Hors usage / En panne</t>
        </is>
      </c>
      <c r="J265" s="21" t="inlineStr">
        <is>
          <t>20 hors usage</t>
        </is>
      </c>
      <c r="K265" s="21" t="inlineStr">
        <is>
          <t>import inventaire</t>
        </is>
      </c>
      <c r="M265" s="21" t="n">
        <v>1</v>
      </c>
    </row>
    <row r="266">
      <c r="A266" s="21" t="inlineStr">
        <is>
          <t>EQ264</t>
        </is>
      </c>
      <c r="B266" s="21" t="inlineStr">
        <is>
          <t>Ondulaires</t>
        </is>
      </c>
      <c r="C266" s="21" t="inlineStr">
        <is>
          <t>Informatique</t>
        </is>
      </c>
      <c r="D266" s="21" t="inlineStr">
        <is>
          <t>Salle de TP (à ventiler)</t>
        </is>
      </c>
      <c r="E266" s="21" t="inlineStr">
        <is>
          <t>10</t>
        </is>
      </c>
      <c r="I266" s="21" t="inlineStr">
        <is>
          <t>Hors usage / En panne</t>
        </is>
      </c>
      <c r="J266" s="21" t="inlineStr">
        <is>
          <t>4hors usage</t>
        </is>
      </c>
      <c r="K266" s="21" t="inlineStr">
        <is>
          <t>import inventaire</t>
        </is>
      </c>
      <c r="M266" s="21" t="n">
        <v>1</v>
      </c>
    </row>
    <row r="267">
      <c r="A267" s="21" t="inlineStr">
        <is>
          <t>EQ265</t>
        </is>
      </c>
      <c r="B267" s="21" t="inlineStr">
        <is>
          <t>Climatiseurs</t>
        </is>
      </c>
      <c r="C267" s="21" t="inlineStr">
        <is>
          <t>Climatisation</t>
        </is>
      </c>
      <c r="D267" s="21" t="inlineStr">
        <is>
          <t>Salle de TP (à ventiler)</t>
        </is>
      </c>
      <c r="E267" s="21" t="inlineStr">
        <is>
          <t>05</t>
        </is>
      </c>
      <c r="I267" s="21" t="inlineStr">
        <is>
          <t>Opérationnel</t>
        </is>
      </c>
      <c r="J267" s="21" t="inlineStr">
        <is>
          <t>Operationnels</t>
        </is>
      </c>
      <c r="K267" s="21" t="inlineStr">
        <is>
          <t>import inventaire</t>
        </is>
      </c>
      <c r="M267" s="21" t="n">
        <v>1</v>
      </c>
    </row>
    <row r="268">
      <c r="A268" s="21" t="inlineStr">
        <is>
          <t>EQ266</t>
        </is>
      </c>
      <c r="B268" s="21" t="inlineStr">
        <is>
          <t>Armoires</t>
        </is>
      </c>
      <c r="C268" s="21" t="inlineStr">
        <is>
          <t>Mobilier</t>
        </is>
      </c>
      <c r="D268" s="21" t="inlineStr">
        <is>
          <t>Salle de TP (à ventiler)</t>
        </is>
      </c>
      <c r="E268" s="21" t="inlineStr">
        <is>
          <t>05</t>
        </is>
      </c>
      <c r="I268" s="21" t="inlineStr">
        <is>
          <t>Non utilisé</t>
        </is>
      </c>
      <c r="J268" s="21" t="inlineStr">
        <is>
          <t>2 non utilisés</t>
        </is>
      </c>
      <c r="K268" s="21" t="inlineStr">
        <is>
          <t>import inventaire</t>
        </is>
      </c>
      <c r="M268" s="21" t="n">
        <v>1</v>
      </c>
    </row>
    <row r="269">
      <c r="A269" s="21" t="inlineStr">
        <is>
          <t>EQ267</t>
        </is>
      </c>
      <c r="B269" s="21" t="inlineStr">
        <is>
          <t>Etageres</t>
        </is>
      </c>
      <c r="C269" s="21" t="inlineStr">
        <is>
          <t>Mobilier</t>
        </is>
      </c>
      <c r="D269" s="21" t="inlineStr">
        <is>
          <t>Salle de TP (à ventiler)</t>
        </is>
      </c>
      <c r="E269" s="21" t="inlineStr">
        <is>
          <t>03</t>
        </is>
      </c>
      <c r="I269" s="21" t="inlineStr">
        <is>
          <t>Hors usage / En panne</t>
        </is>
      </c>
      <c r="J269" s="21" t="inlineStr">
        <is>
          <t>2 hors usage</t>
        </is>
      </c>
      <c r="K269" s="21" t="inlineStr">
        <is>
          <t>import inventaire</t>
        </is>
      </c>
      <c r="M269" s="21" t="n">
        <v>1</v>
      </c>
    </row>
    <row r="270">
      <c r="A270" s="21" t="inlineStr">
        <is>
          <t>EQ268</t>
        </is>
      </c>
      <c r="B270" s="21" t="inlineStr">
        <is>
          <t>Tableaux flipshart</t>
        </is>
      </c>
      <c r="C270" s="21" t="inlineStr">
        <is>
          <t>Pédagogique</t>
        </is>
      </c>
      <c r="D270" s="21" t="inlineStr">
        <is>
          <t>Salle de TP (à ventiler)</t>
        </is>
      </c>
      <c r="E270" s="21" t="inlineStr">
        <is>
          <t>03</t>
        </is>
      </c>
      <c r="I270" s="21" t="inlineStr"/>
      <c r="J270" s="21" t="inlineStr">
        <is>
          <t>Non utisé</t>
        </is>
      </c>
      <c r="K270" s="21" t="inlineStr">
        <is>
          <t>import inventaire</t>
        </is>
      </c>
      <c r="M270" s="21" t="n">
        <v>1</v>
      </c>
    </row>
    <row r="271">
      <c r="A271" s="21" t="inlineStr">
        <is>
          <t>EQ269</t>
        </is>
      </c>
      <c r="B271" s="21" t="inlineStr">
        <is>
          <t>Montres</t>
        </is>
      </c>
      <c r="C271" s="21" t="inlineStr">
        <is>
          <t>Divers</t>
        </is>
      </c>
      <c r="D271" s="21" t="inlineStr">
        <is>
          <t>Salle de TP (à ventiler)</t>
        </is>
      </c>
      <c r="E271" s="21" t="inlineStr">
        <is>
          <t>02</t>
        </is>
      </c>
      <c r="I271" s="21" t="inlineStr">
        <is>
          <t>Hors usage / En panne</t>
        </is>
      </c>
      <c r="J271" s="21" t="inlineStr">
        <is>
          <t>Hors usages</t>
        </is>
      </c>
      <c r="K271" s="21" t="inlineStr">
        <is>
          <t>import inventaire</t>
        </is>
      </c>
      <c r="M271" s="21" t="n">
        <v>1</v>
      </c>
    </row>
    <row r="272">
      <c r="A272" s="21" t="inlineStr">
        <is>
          <t>EQ270</t>
        </is>
      </c>
      <c r="B272" s="21" t="inlineStr">
        <is>
          <t>Switch</t>
        </is>
      </c>
      <c r="C272" s="21" t="inlineStr">
        <is>
          <t>Informatique</t>
        </is>
      </c>
      <c r="D272" s="21" t="inlineStr">
        <is>
          <t>Salle de TP (à ventiler)</t>
        </is>
      </c>
      <c r="E272" s="21" t="inlineStr">
        <is>
          <t>01</t>
        </is>
      </c>
      <c r="I272" s="21" t="inlineStr">
        <is>
          <t>Non utilisé</t>
        </is>
      </c>
      <c r="J272" s="21" t="inlineStr">
        <is>
          <t>Non utilisé</t>
        </is>
      </c>
      <c r="K272" s="21" t="inlineStr">
        <is>
          <t>import inventaire</t>
        </is>
      </c>
      <c r="M272" s="21" t="n">
        <v>1</v>
      </c>
    </row>
    <row r="273">
      <c r="A273" s="21" t="inlineStr">
        <is>
          <t>EQ271</t>
        </is>
      </c>
      <c r="B273" s="21" t="inlineStr">
        <is>
          <t>Ventilateurs</t>
        </is>
      </c>
      <c r="C273" s="21" t="inlineStr">
        <is>
          <t>Climatisation</t>
        </is>
      </c>
      <c r="D273" s="21" t="inlineStr">
        <is>
          <t>Salle de TP (à ventiler)</t>
        </is>
      </c>
      <c r="E273" s="21" t="inlineStr">
        <is>
          <t>10</t>
        </is>
      </c>
      <c r="I273" s="21" t="inlineStr">
        <is>
          <t>Hors usage / En panne</t>
        </is>
      </c>
      <c r="J273" s="21" t="inlineStr">
        <is>
          <t>7 hors usage</t>
        </is>
      </c>
      <c r="K273" s="21" t="inlineStr">
        <is>
          <t>import inventaire</t>
        </is>
      </c>
      <c r="M273" s="21" t="n">
        <v>1</v>
      </c>
    </row>
    <row r="274">
      <c r="A274" s="21" t="inlineStr">
        <is>
          <t>EQ272</t>
        </is>
      </c>
      <c r="B274" s="21" t="inlineStr">
        <is>
          <t>Tableaux noirs</t>
        </is>
      </c>
      <c r="C274" s="21" t="inlineStr">
        <is>
          <t>Pédagogique</t>
        </is>
      </c>
      <c r="D274" s="21" t="inlineStr">
        <is>
          <t>Salle de TP (à ventiler)</t>
        </is>
      </c>
      <c r="E274" s="21" t="inlineStr">
        <is>
          <t>06</t>
        </is>
      </c>
      <c r="I274" s="21" t="inlineStr">
        <is>
          <t>Non utilisé</t>
        </is>
      </c>
      <c r="J274" s="21" t="inlineStr">
        <is>
          <t>5 non utilisés</t>
        </is>
      </c>
      <c r="K274" s="21" t="inlineStr">
        <is>
          <t>import inventaire</t>
        </is>
      </c>
      <c r="M274" s="21" t="n">
        <v>1</v>
      </c>
    </row>
    <row r="275">
      <c r="A275" s="21" t="inlineStr">
        <is>
          <t>EQ273</t>
        </is>
      </c>
      <c r="B275" s="21" t="inlineStr">
        <is>
          <t>Tableaux blancs</t>
        </is>
      </c>
      <c r="C275" s="21" t="inlineStr">
        <is>
          <t>Pédagogique</t>
        </is>
      </c>
      <c r="D275" s="21" t="inlineStr">
        <is>
          <t>Salle de TP (à ventiler)</t>
        </is>
      </c>
      <c r="E275" s="21" t="inlineStr">
        <is>
          <t>06</t>
        </is>
      </c>
      <c r="I275" s="21" t="inlineStr"/>
      <c r="J275" s="21" t="inlineStr">
        <is>
          <t>àperationnels</t>
        </is>
      </c>
      <c r="K275" s="21" t="inlineStr">
        <is>
          <t>import inventaire</t>
        </is>
      </c>
      <c r="M275" s="21" t="n">
        <v>1</v>
      </c>
    </row>
    <row r="276">
      <c r="A276" s="21" t="inlineStr">
        <is>
          <t>EQ274</t>
        </is>
      </c>
      <c r="B276" s="21" t="inlineStr">
        <is>
          <t>Pompe à eau</t>
        </is>
      </c>
      <c r="C276" s="21" t="inlineStr">
        <is>
          <t>Divers</t>
        </is>
      </c>
      <c r="D276" s="21" t="inlineStr">
        <is>
          <t>Salle de TP (à ventiler)</t>
        </is>
      </c>
      <c r="E276" s="21" t="inlineStr">
        <is>
          <t>01</t>
        </is>
      </c>
      <c r="I276" s="21" t="inlineStr">
        <is>
          <t>Opérationnel</t>
        </is>
      </c>
      <c r="J276" s="21" t="inlineStr">
        <is>
          <t>operationnel</t>
        </is>
      </c>
      <c r="K276" s="21" t="inlineStr">
        <is>
          <t>import inventaire</t>
        </is>
      </c>
      <c r="M276" s="21" t="n">
        <v>1</v>
      </c>
    </row>
    <row r="277">
      <c r="A277" s="21" t="inlineStr">
        <is>
          <t>EQ275</t>
        </is>
      </c>
      <c r="B277" s="21" t="inlineStr">
        <is>
          <t>Citerne en plastique</t>
        </is>
      </c>
      <c r="C277" s="21" t="inlineStr">
        <is>
          <t>Divers</t>
        </is>
      </c>
      <c r="D277" s="21" t="inlineStr">
        <is>
          <t>Salle de TP (à ventiler)</t>
        </is>
      </c>
      <c r="E277" s="21" t="inlineStr">
        <is>
          <t>01</t>
        </is>
      </c>
      <c r="I277" s="21" t="inlineStr">
        <is>
          <t>Opérationnel</t>
        </is>
      </c>
      <c r="J277" s="21" t="inlineStr">
        <is>
          <t>operationnel</t>
        </is>
      </c>
      <c r="K277" s="21" t="inlineStr">
        <is>
          <t>import inventaire</t>
        </is>
      </c>
      <c r="M277" s="21" t="n">
        <v>1</v>
      </c>
    </row>
    <row r="278">
      <c r="A278" s="21" t="inlineStr">
        <is>
          <t>EQ276</t>
        </is>
      </c>
      <c r="B278" s="21" t="inlineStr">
        <is>
          <t>Seauxd’eau</t>
        </is>
      </c>
      <c r="C278" s="21" t="inlineStr">
        <is>
          <t>Divers</t>
        </is>
      </c>
      <c r="D278" s="21" t="inlineStr">
        <is>
          <t>Salle de TP (à ventiler)</t>
        </is>
      </c>
      <c r="E278" s="21" t="inlineStr">
        <is>
          <t>02</t>
        </is>
      </c>
      <c r="I278" s="21" t="inlineStr">
        <is>
          <t>Opérationnel</t>
        </is>
      </c>
      <c r="J278" s="21" t="inlineStr">
        <is>
          <t>operationnels</t>
        </is>
      </c>
      <c r="K278" s="21" t="inlineStr">
        <is>
          <t>import inventaire</t>
        </is>
      </c>
      <c r="M278" s="21" t="n">
        <v>1</v>
      </c>
    </row>
    <row r="279">
      <c r="A279" s="21" t="inlineStr">
        <is>
          <t>EQ277</t>
        </is>
      </c>
      <c r="B279" s="21" t="inlineStr">
        <is>
          <t>Cuvette</t>
        </is>
      </c>
      <c r="C279" s="21" t="inlineStr">
        <is>
          <t>Équipement médical</t>
        </is>
      </c>
      <c r="D279" s="21" t="inlineStr">
        <is>
          <t>Salle de TP (à ventiler)</t>
        </is>
      </c>
      <c r="E279" s="21" t="inlineStr">
        <is>
          <t>01</t>
        </is>
      </c>
      <c r="I279" s="21" t="inlineStr">
        <is>
          <t>Opérationnel</t>
        </is>
      </c>
      <c r="J279" s="21" t="inlineStr">
        <is>
          <t>operationnel</t>
        </is>
      </c>
      <c r="K279" s="21" t="inlineStr">
        <is>
          <t>import inventaire</t>
        </is>
      </c>
      <c r="M279" s="21" t="n">
        <v>1</v>
      </c>
    </row>
    <row r="280">
      <c r="A280" s="21" t="inlineStr">
        <is>
          <t>EQ278</t>
        </is>
      </c>
      <c r="B280" s="21" t="inlineStr">
        <is>
          <t>Maneuuin</t>
        </is>
      </c>
      <c r="C280" s="21" t="inlineStr">
        <is>
          <t>Équipement médical</t>
        </is>
      </c>
      <c r="D280" s="21" t="inlineStr">
        <is>
          <t>Salle de TP (à ventiler)</t>
        </is>
      </c>
      <c r="E280" s="21" t="inlineStr">
        <is>
          <t>40</t>
        </is>
      </c>
      <c r="I280" s="21" t="inlineStr">
        <is>
          <t>Opérationnel</t>
        </is>
      </c>
      <c r="J280" s="21" t="inlineStr">
        <is>
          <t>operationnels</t>
        </is>
      </c>
      <c r="K280" s="21" t="inlineStr">
        <is>
          <t>import inventaire</t>
        </is>
      </c>
      <c r="M280" s="21" t="n">
        <v>1</v>
      </c>
    </row>
    <row r="281">
      <c r="A281" s="21" t="inlineStr">
        <is>
          <t>EQ279</t>
        </is>
      </c>
      <c r="B281" s="21" t="inlineStr">
        <is>
          <t>Blancard</t>
        </is>
      </c>
      <c r="C281" s="21" t="inlineStr">
        <is>
          <t>Divers</t>
        </is>
      </c>
      <c r="D281" s="21" t="inlineStr">
        <is>
          <t>Salle de TP (à ventiler)</t>
        </is>
      </c>
      <c r="E281" s="21" t="inlineStr">
        <is>
          <t>01</t>
        </is>
      </c>
      <c r="I281" s="21" t="inlineStr">
        <is>
          <t>Opérationnel</t>
        </is>
      </c>
      <c r="J281" s="21" t="inlineStr">
        <is>
          <t>operationnel</t>
        </is>
      </c>
      <c r="K281" s="21" t="inlineStr">
        <is>
          <t>import inventaire</t>
        </is>
      </c>
      <c r="M281" s="21" t="n">
        <v>1</v>
      </c>
    </row>
    <row r="282">
      <c r="A282" s="21" t="inlineStr">
        <is>
          <t>EQ280</t>
        </is>
      </c>
      <c r="B282" s="21" t="inlineStr">
        <is>
          <t>lit</t>
        </is>
      </c>
      <c r="C282" s="21" t="inlineStr">
        <is>
          <t>Équipement médical</t>
        </is>
      </c>
      <c r="D282" s="21" t="inlineStr">
        <is>
          <t>Salle de TP (à ventiler)</t>
        </is>
      </c>
      <c r="E282" s="21" t="inlineStr">
        <is>
          <t>01</t>
        </is>
      </c>
      <c r="I282" s="21" t="inlineStr">
        <is>
          <t>Opérationnel</t>
        </is>
      </c>
      <c r="J282" s="21" t="inlineStr">
        <is>
          <t>operationnel</t>
        </is>
      </c>
      <c r="K282" s="21" t="inlineStr">
        <is>
          <t>import inventaire</t>
        </is>
      </c>
      <c r="M282" s="21" t="n">
        <v>1</v>
      </c>
    </row>
  </sheetData>
  <mergeCells count="1">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outlinePr summaryBelow="1" summaryRight="1"/>
    <pageSetUpPr/>
  </sheetPr>
  <dimension ref="A1:N663"/>
  <sheetViews>
    <sheetView workbookViewId="0">
      <pane ySplit="2" topLeftCell="A3" activePane="bottomLeft" state="frozen"/>
      <selection activeCell="A1" sqref="A1"/>
    </sheetView>
  </sheetViews>
  <sheetFormatPr baseColWidth="8" defaultRowHeight="15"/>
  <cols>
    <col width="20" customWidth="1" style="22" min="1" max="2"/>
    <col width="42" customWidth="1" style="22" min="5" max="6"/>
    <col width="22" customWidth="1" style="22" min="7" max="7"/>
  </cols>
  <sheetData>
    <row r="1">
      <c r="A1" s="21" t="inlineStr">
        <is>
          <t>Référentiel des formations — Maquettes (UE / matières)</t>
        </is>
      </c>
    </row>
    <row r="2">
      <c r="A2" s="21" t="inlineStr">
        <is>
          <t>Filière</t>
        </is>
      </c>
      <c r="B2" s="21" t="inlineStr">
        <is>
          <t>Niveau</t>
        </is>
      </c>
      <c r="C2" s="21" t="inlineStr">
        <is>
          <t>Semestre</t>
        </is>
      </c>
      <c r="D2" s="21" t="inlineStr">
        <is>
          <t>N° UE</t>
        </is>
      </c>
      <c r="E2" s="21" t="inlineStr">
        <is>
          <t>Intitulé UE / Module</t>
        </is>
      </c>
      <c r="F2" s="21" t="inlineStr">
        <is>
          <t>Matière / Contenu</t>
        </is>
      </c>
      <c r="G2" s="21" t="inlineStr">
        <is>
          <t>Enseignant</t>
        </is>
      </c>
      <c r="H2" s="21" t="inlineStr">
        <is>
          <t>CM</t>
        </is>
      </c>
      <c r="I2" s="21" t="inlineStr">
        <is>
          <t>TD</t>
        </is>
      </c>
      <c r="J2" s="21" t="inlineStr">
        <is>
          <t>TP</t>
        </is>
      </c>
      <c r="K2" s="21" t="inlineStr">
        <is>
          <t>Total heures</t>
        </is>
      </c>
      <c r="L2" s="21" t="inlineStr">
        <is>
          <t>Vol. horaire UE</t>
        </is>
      </c>
      <c r="M2" s="21" t="inlineStr">
        <is>
          <t>Crédit (ECTS)</t>
        </is>
      </c>
      <c r="N2" s="21" t="inlineStr">
        <is>
          <t>Coef</t>
        </is>
      </c>
    </row>
    <row r="3">
      <c r="A3" s="21" t="inlineStr">
        <is>
          <t>Soins infirmiers</t>
        </is>
      </c>
      <c r="B3" s="21" t="inlineStr">
        <is>
          <t>L1</t>
        </is>
      </c>
      <c r="C3" s="21" t="inlineStr">
        <is>
          <t>1</t>
        </is>
      </c>
      <c r="D3" s="21" t="inlineStr">
        <is>
          <t>1</t>
        </is>
      </c>
      <c r="E3" s="21" t="inlineStr">
        <is>
          <t>TIC (Technologie de l’information et de la communication)</t>
        </is>
      </c>
      <c r="F3" s="21" t="inlineStr">
        <is>
          <t>Communication</t>
        </is>
      </c>
      <c r="H3" s="21" t="n">
        <v>6</v>
      </c>
      <c r="I3" s="21" t="n">
        <v>4</v>
      </c>
      <c r="J3" s="21" t="n">
        <v>0</v>
      </c>
      <c r="K3" s="21" t="n">
        <v>10</v>
      </c>
      <c r="L3" s="21" t="n">
        <v>50</v>
      </c>
      <c r="M3" s="21" t="n">
        <v>3</v>
      </c>
    </row>
    <row r="4">
      <c r="A4" s="21" t="inlineStr">
        <is>
          <t>Soins infirmiers</t>
        </is>
      </c>
      <c r="B4" s="21" t="inlineStr">
        <is>
          <t>L1</t>
        </is>
      </c>
      <c r="C4" s="21" t="inlineStr">
        <is>
          <t>1</t>
        </is>
      </c>
      <c r="D4" s="21" t="inlineStr">
        <is>
          <t>1</t>
        </is>
      </c>
      <c r="E4" s="21" t="inlineStr">
        <is>
          <t>TIC (Technologie de l’information et de la communication)</t>
        </is>
      </c>
      <c r="F4" s="21" t="inlineStr">
        <is>
          <t>Communication virtuelle</t>
        </is>
      </c>
      <c r="H4" s="21" t="n">
        <v>10</v>
      </c>
      <c r="I4" s="21" t="n">
        <v>0</v>
      </c>
      <c r="J4" s="21" t="n">
        <v>10</v>
      </c>
      <c r="K4" s="21" t="n">
        <v>20</v>
      </c>
      <c r="L4" s="21" t="n">
        <v>50</v>
      </c>
      <c r="M4" s="21" t="n">
        <v>3</v>
      </c>
    </row>
    <row r="5">
      <c r="A5" s="21" t="inlineStr">
        <is>
          <t>Soins infirmiers</t>
        </is>
      </c>
      <c r="B5" s="21" t="inlineStr">
        <is>
          <t>L1</t>
        </is>
      </c>
      <c r="C5" s="21" t="inlineStr">
        <is>
          <t>1</t>
        </is>
      </c>
      <c r="D5" s="21" t="inlineStr">
        <is>
          <t>1</t>
        </is>
      </c>
      <c r="E5" s="21" t="inlineStr">
        <is>
          <t>TIC (Technologie de l’information et de la communication)</t>
        </is>
      </c>
      <c r="F5" s="21" t="inlineStr">
        <is>
          <t>Communication universitaire</t>
        </is>
      </c>
      <c r="H5" s="21" t="n">
        <v>15</v>
      </c>
      <c r="I5" s="21" t="n">
        <v>5</v>
      </c>
      <c r="J5" s="21" t="n">
        <v>0</v>
      </c>
      <c r="K5" s="21" t="n">
        <v>20</v>
      </c>
      <c r="L5" s="21" t="n">
        <v>50</v>
      </c>
      <c r="M5" s="21" t="n">
        <v>3</v>
      </c>
    </row>
    <row r="6">
      <c r="A6" s="21" t="inlineStr">
        <is>
          <t>Soins infirmiers</t>
        </is>
      </c>
      <c r="B6" s="21" t="inlineStr">
        <is>
          <t>L1</t>
        </is>
      </c>
      <c r="C6" s="21" t="inlineStr">
        <is>
          <t>1</t>
        </is>
      </c>
      <c r="D6" s="21" t="inlineStr">
        <is>
          <t>2</t>
        </is>
      </c>
      <c r="E6" s="21" t="inlineStr">
        <is>
          <t>Anatomie et physiologie générale</t>
        </is>
      </c>
      <c r="F6" s="21" t="inlineStr">
        <is>
          <t>Introduction au corps humain</t>
        </is>
      </c>
      <c r="H6" s="21" t="n">
        <v>4</v>
      </c>
      <c r="I6" s="21" t="n">
        <v>2</v>
      </c>
      <c r="J6" s="21" t="n">
        <v>0</v>
      </c>
      <c r="K6" s="21" t="n">
        <v>6</v>
      </c>
      <c r="L6" s="21" t="n">
        <v>112</v>
      </c>
      <c r="M6" s="21" t="n">
        <v>7</v>
      </c>
    </row>
    <row r="7">
      <c r="A7" s="21" t="inlineStr">
        <is>
          <t>Soins infirmiers</t>
        </is>
      </c>
      <c r="B7" s="21" t="inlineStr">
        <is>
          <t>L1</t>
        </is>
      </c>
      <c r="C7" s="21" t="inlineStr">
        <is>
          <t>1</t>
        </is>
      </c>
      <c r="D7" s="21" t="inlineStr">
        <is>
          <t>2</t>
        </is>
      </c>
      <c r="E7" s="21" t="inlineStr">
        <is>
          <t>Anatomie et physiologie générale</t>
        </is>
      </c>
      <c r="F7" s="21" t="inlineStr">
        <is>
          <t>Appareil respiratoire</t>
        </is>
      </c>
      <c r="H7" s="21" t="n">
        <v>6</v>
      </c>
      <c r="I7" s="21" t="n">
        <v>2</v>
      </c>
      <c r="J7" s="21" t="n">
        <v>0</v>
      </c>
      <c r="K7" s="21" t="n">
        <v>8</v>
      </c>
      <c r="L7" s="21" t="n">
        <v>112</v>
      </c>
      <c r="M7" s="21" t="n">
        <v>7</v>
      </c>
    </row>
    <row r="8">
      <c r="A8" s="21" t="inlineStr">
        <is>
          <t>Soins infirmiers</t>
        </is>
      </c>
      <c r="B8" s="21" t="inlineStr">
        <is>
          <t>L1</t>
        </is>
      </c>
      <c r="C8" s="21" t="inlineStr">
        <is>
          <t>1</t>
        </is>
      </c>
      <c r="D8" s="21" t="inlineStr">
        <is>
          <t>2</t>
        </is>
      </c>
      <c r="E8" s="21" t="inlineStr">
        <is>
          <t>Anatomie et physiologie générale</t>
        </is>
      </c>
      <c r="F8" s="21" t="inlineStr">
        <is>
          <t>Le sang</t>
        </is>
      </c>
      <c r="H8" s="21" t="n">
        <v>6</v>
      </c>
      <c r="I8" s="21" t="n">
        <v>2</v>
      </c>
      <c r="J8" s="21" t="n">
        <v>0</v>
      </c>
      <c r="K8" s="21" t="n">
        <v>8</v>
      </c>
      <c r="L8" s="21" t="n">
        <v>112</v>
      </c>
      <c r="M8" s="21" t="n">
        <v>7</v>
      </c>
    </row>
    <row r="9">
      <c r="A9" s="21" t="inlineStr">
        <is>
          <t>Soins infirmiers</t>
        </is>
      </c>
      <c r="B9" s="21" t="inlineStr">
        <is>
          <t>L1</t>
        </is>
      </c>
      <c r="C9" s="21" t="inlineStr">
        <is>
          <t>1</t>
        </is>
      </c>
      <c r="D9" s="21" t="inlineStr">
        <is>
          <t>2</t>
        </is>
      </c>
      <c r="E9" s="21" t="inlineStr">
        <is>
          <t>Anatomie et physiologie générale</t>
        </is>
      </c>
      <c r="F9" s="21" t="inlineStr">
        <is>
          <t>Système cardiovasculaire</t>
        </is>
      </c>
      <c r="H9" s="21" t="n">
        <v>6</v>
      </c>
      <c r="I9" s="21" t="n">
        <v>2</v>
      </c>
      <c r="J9" s="21" t="n">
        <v>0</v>
      </c>
      <c r="K9" s="21" t="n">
        <v>8</v>
      </c>
      <c r="L9" s="21" t="n">
        <v>112</v>
      </c>
      <c r="M9" s="21" t="n">
        <v>7</v>
      </c>
    </row>
    <row r="10">
      <c r="A10" s="21" t="inlineStr">
        <is>
          <t>Soins infirmiers</t>
        </is>
      </c>
      <c r="B10" s="21" t="inlineStr">
        <is>
          <t>L1</t>
        </is>
      </c>
      <c r="C10" s="21" t="inlineStr">
        <is>
          <t>1</t>
        </is>
      </c>
      <c r="D10" s="21" t="inlineStr">
        <is>
          <t>2</t>
        </is>
      </c>
      <c r="E10" s="21" t="inlineStr">
        <is>
          <t>Anatomie et physiologie générale</t>
        </is>
      </c>
      <c r="F10" s="21" t="inlineStr">
        <is>
          <t>Liquides et électrolytes</t>
        </is>
      </c>
      <c r="H10" s="21" t="n">
        <v>8</v>
      </c>
      <c r="I10" s="21" t="n">
        <v>2</v>
      </c>
      <c r="J10" s="21" t="n">
        <v>0</v>
      </c>
      <c r="K10" s="21" t="n">
        <v>10</v>
      </c>
      <c r="L10" s="21" t="n">
        <v>112</v>
      </c>
      <c r="M10" s="21" t="n">
        <v>7</v>
      </c>
    </row>
    <row r="11">
      <c r="A11" s="21" t="inlineStr">
        <is>
          <t>Soins infirmiers</t>
        </is>
      </c>
      <c r="B11" s="21" t="inlineStr">
        <is>
          <t>L1</t>
        </is>
      </c>
      <c r="C11" s="21" t="inlineStr">
        <is>
          <t>1</t>
        </is>
      </c>
      <c r="D11" s="21" t="inlineStr">
        <is>
          <t>2</t>
        </is>
      </c>
      <c r="E11" s="21" t="inlineStr">
        <is>
          <t>Anatomie et physiologie générale</t>
        </is>
      </c>
      <c r="F11" s="21" t="inlineStr">
        <is>
          <t>Système tégumentaire</t>
        </is>
      </c>
      <c r="H11" s="21" t="n">
        <v>6</v>
      </c>
      <c r="I11" s="21" t="n">
        <v>2</v>
      </c>
      <c r="J11" s="21" t="n">
        <v>0</v>
      </c>
      <c r="K11" s="21" t="n">
        <v>8</v>
      </c>
      <c r="L11" s="21" t="n">
        <v>112</v>
      </c>
      <c r="M11" s="21" t="n">
        <v>7</v>
      </c>
    </row>
    <row r="12">
      <c r="A12" s="21" t="inlineStr">
        <is>
          <t>Soins infirmiers</t>
        </is>
      </c>
      <c r="B12" s="21" t="inlineStr">
        <is>
          <t>L1</t>
        </is>
      </c>
      <c r="C12" s="21" t="inlineStr">
        <is>
          <t>1</t>
        </is>
      </c>
      <c r="D12" s="21" t="inlineStr">
        <is>
          <t>2</t>
        </is>
      </c>
      <c r="E12" s="21" t="inlineStr">
        <is>
          <t>Anatomie et physiologie générale</t>
        </is>
      </c>
      <c r="F12" s="21" t="inlineStr">
        <is>
          <t>Appareil digestif</t>
        </is>
      </c>
      <c r="H12" s="21" t="n">
        <v>6</v>
      </c>
      <c r="I12" s="21" t="n">
        <v>2</v>
      </c>
      <c r="J12" s="21" t="n">
        <v>0</v>
      </c>
      <c r="K12" s="21" t="n">
        <v>8</v>
      </c>
      <c r="L12" s="21" t="n">
        <v>112</v>
      </c>
      <c r="M12" s="21" t="n">
        <v>7</v>
      </c>
    </row>
    <row r="13">
      <c r="A13" s="21" t="inlineStr">
        <is>
          <t>Soins infirmiers</t>
        </is>
      </c>
      <c r="B13" s="21" t="inlineStr">
        <is>
          <t>L1</t>
        </is>
      </c>
      <c r="C13" s="21" t="inlineStr">
        <is>
          <t>1</t>
        </is>
      </c>
      <c r="D13" s="21" t="inlineStr">
        <is>
          <t>2</t>
        </is>
      </c>
      <c r="E13" s="21" t="inlineStr">
        <is>
          <t>Anatomie et physiologie générale</t>
        </is>
      </c>
      <c r="F13" s="21" t="inlineStr">
        <is>
          <t>Appareil urinaire</t>
        </is>
      </c>
      <c r="H13" s="21" t="n">
        <v>6</v>
      </c>
      <c r="I13" s="21" t="n">
        <v>2</v>
      </c>
      <c r="J13" s="21" t="n">
        <v>0</v>
      </c>
      <c r="K13" s="21" t="n">
        <v>8</v>
      </c>
      <c r="L13" s="21" t="n">
        <v>112</v>
      </c>
      <c r="M13" s="21" t="n">
        <v>7</v>
      </c>
    </row>
    <row r="14">
      <c r="A14" s="21" t="inlineStr">
        <is>
          <t>Soins infirmiers</t>
        </is>
      </c>
      <c r="B14" s="21" t="inlineStr">
        <is>
          <t>L1</t>
        </is>
      </c>
      <c r="C14" s="21" t="inlineStr">
        <is>
          <t>1</t>
        </is>
      </c>
      <c r="D14" s="21" t="inlineStr">
        <is>
          <t>2</t>
        </is>
      </c>
      <c r="E14" s="21" t="inlineStr">
        <is>
          <t>Anatomie et physiologie générale</t>
        </is>
      </c>
      <c r="F14" s="21" t="inlineStr">
        <is>
          <t>Appareil genital masculin et feminin</t>
        </is>
      </c>
      <c r="H14" s="21" t="n">
        <v>6</v>
      </c>
      <c r="I14" s="21" t="n">
        <v>2</v>
      </c>
      <c r="J14" s="21" t="n">
        <v>0</v>
      </c>
      <c r="K14" s="21" t="n">
        <v>8</v>
      </c>
      <c r="L14" s="21" t="n">
        <v>112</v>
      </c>
      <c r="M14" s="21" t="n">
        <v>7</v>
      </c>
    </row>
    <row r="15">
      <c r="A15" s="21" t="inlineStr">
        <is>
          <t>Soins infirmiers</t>
        </is>
      </c>
      <c r="B15" s="21" t="inlineStr">
        <is>
          <t>L1</t>
        </is>
      </c>
      <c r="C15" s="21" t="inlineStr">
        <is>
          <t>1</t>
        </is>
      </c>
      <c r="D15" s="21" t="inlineStr">
        <is>
          <t>2</t>
        </is>
      </c>
      <c r="E15" s="21" t="inlineStr">
        <is>
          <t>Anatomie et physiologie générale</t>
        </is>
      </c>
      <c r="F15" s="21" t="inlineStr">
        <is>
          <t>Anatomie des organes de sens</t>
        </is>
      </c>
      <c r="H15" s="21" t="n">
        <v>8</v>
      </c>
      <c r="I15" s="21" t="n">
        <v>2</v>
      </c>
      <c r="J15" s="21" t="n">
        <v>0</v>
      </c>
      <c r="K15" s="21" t="n">
        <v>10</v>
      </c>
      <c r="L15" s="21" t="n">
        <v>112</v>
      </c>
      <c r="M15" s="21" t="n">
        <v>7</v>
      </c>
    </row>
    <row r="16">
      <c r="A16" s="21" t="inlineStr">
        <is>
          <t>Soins infirmiers</t>
        </is>
      </c>
      <c r="B16" s="21" t="inlineStr">
        <is>
          <t>L1</t>
        </is>
      </c>
      <c r="C16" s="21" t="inlineStr">
        <is>
          <t>1</t>
        </is>
      </c>
      <c r="D16" s="21" t="inlineStr">
        <is>
          <t>2</t>
        </is>
      </c>
      <c r="E16" s="21" t="inlineStr">
        <is>
          <t>Anatomie et physiologie générale</t>
        </is>
      </c>
      <c r="F16" s="21" t="inlineStr">
        <is>
          <t>Système endocrinien</t>
        </is>
      </c>
      <c r="H16" s="21" t="n">
        <v>8</v>
      </c>
      <c r="I16" s="21" t="n">
        <v>2</v>
      </c>
      <c r="J16" s="21" t="n">
        <v>0</v>
      </c>
      <c r="K16" s="21" t="n">
        <v>10</v>
      </c>
      <c r="L16" s="21" t="n">
        <v>112</v>
      </c>
      <c r="M16" s="21" t="n">
        <v>7</v>
      </c>
    </row>
    <row r="17">
      <c r="A17" s="21" t="inlineStr">
        <is>
          <t>Soins infirmiers</t>
        </is>
      </c>
      <c r="B17" s="21" t="inlineStr">
        <is>
          <t>L1</t>
        </is>
      </c>
      <c r="C17" s="21" t="inlineStr">
        <is>
          <t>1</t>
        </is>
      </c>
      <c r="D17" s="21" t="inlineStr">
        <is>
          <t>2</t>
        </is>
      </c>
      <c r="E17" s="21" t="inlineStr">
        <is>
          <t>Anatomie et physiologie générale</t>
        </is>
      </c>
      <c r="F17" s="21" t="inlineStr">
        <is>
          <t>Appareil locomoteur</t>
        </is>
      </c>
      <c r="H17" s="21" t="n">
        <v>10</v>
      </c>
      <c r="I17" s="21" t="n">
        <v>2</v>
      </c>
      <c r="J17" s="21" t="n">
        <v>0</v>
      </c>
      <c r="K17" s="21" t="n">
        <v>12</v>
      </c>
      <c r="L17" s="21" t="n">
        <v>112</v>
      </c>
      <c r="M17" s="21" t="n">
        <v>7</v>
      </c>
    </row>
    <row r="18">
      <c r="A18" s="21" t="inlineStr">
        <is>
          <t>Soins infirmiers</t>
        </is>
      </c>
      <c r="B18" s="21" t="inlineStr">
        <is>
          <t>L1</t>
        </is>
      </c>
      <c r="C18" s="21" t="inlineStr">
        <is>
          <t>1</t>
        </is>
      </c>
      <c r="D18" s="21" t="inlineStr">
        <is>
          <t>2</t>
        </is>
      </c>
      <c r="E18" s="21" t="inlineStr">
        <is>
          <t>Anatomie et physiologie générale</t>
        </is>
      </c>
      <c r="F18" s="21" t="inlineStr">
        <is>
          <t>Système nerveux</t>
        </is>
      </c>
      <c r="H18" s="21" t="n">
        <v>6</v>
      </c>
      <c r="I18" s="21" t="n">
        <v>2</v>
      </c>
      <c r="J18" s="21" t="n">
        <v>0</v>
      </c>
      <c r="K18" s="21" t="n">
        <v>8</v>
      </c>
      <c r="L18" s="21" t="n">
        <v>112</v>
      </c>
      <c r="M18" s="21" t="n">
        <v>7</v>
      </c>
    </row>
    <row r="19">
      <c r="A19" s="21" t="inlineStr">
        <is>
          <t>Soins infirmiers</t>
        </is>
      </c>
      <c r="B19" s="21" t="inlineStr">
        <is>
          <t>L1</t>
        </is>
      </c>
      <c r="C19" s="21" t="inlineStr">
        <is>
          <t>1</t>
        </is>
      </c>
      <c r="D19" s="21" t="inlineStr">
        <is>
          <t>3</t>
        </is>
      </c>
      <c r="E19" s="21" t="inlineStr">
        <is>
          <t>Principes fondamentaux des soins obstétricaux</t>
        </is>
      </c>
      <c r="F19" s="21" t="inlineStr">
        <is>
          <t>Système de dispense de soins aux Comores</t>
        </is>
      </c>
      <c r="H19" s="21" t="n">
        <v>4</v>
      </c>
      <c r="I19" s="21" t="n">
        <v>2</v>
      </c>
      <c r="J19" s="21" t="n">
        <v>0</v>
      </c>
      <c r="K19" s="21" t="n">
        <v>6</v>
      </c>
      <c r="L19" s="21" t="n">
        <v>92</v>
      </c>
      <c r="M19" s="21" t="n">
        <v>6</v>
      </c>
    </row>
    <row r="20">
      <c r="A20" s="21" t="inlineStr">
        <is>
          <t>Soins infirmiers</t>
        </is>
      </c>
      <c r="B20" s="21" t="inlineStr">
        <is>
          <t>L1</t>
        </is>
      </c>
      <c r="C20" s="21" t="inlineStr">
        <is>
          <t>1</t>
        </is>
      </c>
      <c r="D20" s="21" t="inlineStr">
        <is>
          <t>3</t>
        </is>
      </c>
      <c r="E20" s="21" t="inlineStr">
        <is>
          <t>Principes fondamentaux des soins obstétricaux</t>
        </is>
      </c>
      <c r="F20" s="21" t="inlineStr">
        <is>
          <t>L’infirmier dans l’environnement sanitaire</t>
        </is>
      </c>
      <c r="H20" s="21" t="n">
        <v>6</v>
      </c>
      <c r="I20" s="21" t="n">
        <v>2</v>
      </c>
      <c r="J20" s="21" t="n">
        <v>0</v>
      </c>
      <c r="K20" s="21" t="n">
        <v>8</v>
      </c>
      <c r="L20" s="21" t="n">
        <v>92</v>
      </c>
      <c r="M20" s="21" t="n">
        <v>6</v>
      </c>
    </row>
    <row r="21">
      <c r="A21" s="21" t="inlineStr">
        <is>
          <t>Soins infirmiers</t>
        </is>
      </c>
      <c r="B21" s="21" t="inlineStr">
        <is>
          <t>L1</t>
        </is>
      </c>
      <c r="C21" s="21" t="inlineStr">
        <is>
          <t>1</t>
        </is>
      </c>
      <c r="D21" s="21" t="inlineStr">
        <is>
          <t>3</t>
        </is>
      </c>
      <c r="E21" s="21" t="inlineStr">
        <is>
          <t>Principes fondamentaux des soins obstétricaux</t>
        </is>
      </c>
      <c r="F21" s="21" t="inlineStr">
        <is>
          <t>Perceptions en matière de santé</t>
        </is>
      </c>
      <c r="H21" s="21" t="n">
        <v>4</v>
      </c>
      <c r="I21" s="21" t="n">
        <v>2</v>
      </c>
      <c r="J21" s="21" t="n">
        <v>0</v>
      </c>
      <c r="K21" s="21" t="n">
        <v>6</v>
      </c>
      <c r="L21" s="21" t="n">
        <v>92</v>
      </c>
      <c r="M21" s="21" t="n">
        <v>6</v>
      </c>
    </row>
    <row r="22">
      <c r="A22" s="21" t="inlineStr">
        <is>
          <t>Soins infirmiers</t>
        </is>
      </c>
      <c r="B22" s="21" t="inlineStr">
        <is>
          <t>L1</t>
        </is>
      </c>
      <c r="C22" s="21" t="inlineStr">
        <is>
          <t>1</t>
        </is>
      </c>
      <c r="D22" s="21" t="inlineStr">
        <is>
          <t>3</t>
        </is>
      </c>
      <c r="E22" s="21" t="inlineStr">
        <is>
          <t>Principes fondamentaux des soins obstétricaux</t>
        </is>
      </c>
      <c r="F22" s="21" t="inlineStr">
        <is>
          <t>Théories, modèles de soins</t>
        </is>
      </c>
      <c r="H22" s="21" t="n">
        <v>4</v>
      </c>
      <c r="I22" s="21" t="n">
        <v>2</v>
      </c>
      <c r="J22" s="21" t="n">
        <v>0</v>
      </c>
      <c r="K22" s="21" t="n">
        <v>6</v>
      </c>
      <c r="L22" s="21" t="n">
        <v>92</v>
      </c>
      <c r="M22" s="21" t="n">
        <v>6</v>
      </c>
    </row>
    <row r="23">
      <c r="A23" s="21" t="inlineStr">
        <is>
          <t>Soins infirmiers</t>
        </is>
      </c>
      <c r="B23" s="21" t="inlineStr">
        <is>
          <t>L1</t>
        </is>
      </c>
      <c r="C23" s="21" t="inlineStr">
        <is>
          <t>1</t>
        </is>
      </c>
      <c r="D23" s="21" t="inlineStr">
        <is>
          <t>3</t>
        </is>
      </c>
      <c r="E23" s="21" t="inlineStr">
        <is>
          <t>Principes fondamentaux des soins obstétricaux</t>
        </is>
      </c>
      <c r="F23" s="21" t="inlineStr">
        <is>
          <t>Disposition d’un environnement sûr</t>
        </is>
      </c>
      <c r="H23" s="21" t="n">
        <v>8</v>
      </c>
      <c r="I23" s="21" t="n">
        <v>4</v>
      </c>
      <c r="J23" s="21" t="n">
        <v>0</v>
      </c>
      <c r="K23" s="21" t="n">
        <v>12</v>
      </c>
      <c r="L23" s="21" t="n">
        <v>92</v>
      </c>
      <c r="M23" s="21" t="n">
        <v>6</v>
      </c>
    </row>
    <row r="24">
      <c r="A24" s="21" t="inlineStr">
        <is>
          <t>Soins infirmiers</t>
        </is>
      </c>
      <c r="B24" s="21" t="inlineStr">
        <is>
          <t>L1</t>
        </is>
      </c>
      <c r="C24" s="21" t="inlineStr">
        <is>
          <t>1</t>
        </is>
      </c>
      <c r="D24" s="21" t="inlineStr">
        <is>
          <t>3</t>
        </is>
      </c>
      <c r="E24" s="21" t="inlineStr">
        <is>
          <t>Principes fondamentaux des soins obstétricaux</t>
        </is>
      </c>
      <c r="F24" s="21" t="inlineStr">
        <is>
          <t>Besoins fondamentaux du patient</t>
        </is>
      </c>
      <c r="H24" s="21" t="n">
        <v>4</v>
      </c>
      <c r="I24" s="21" t="n">
        <v>6</v>
      </c>
      <c r="J24" s="21" t="n">
        <v>0</v>
      </c>
      <c r="K24" s="21" t="n">
        <v>10</v>
      </c>
      <c r="L24" s="21" t="n">
        <v>92</v>
      </c>
      <c r="M24" s="21" t="n">
        <v>6</v>
      </c>
    </row>
    <row r="25">
      <c r="A25" s="21" t="inlineStr">
        <is>
          <t>Soins infirmiers</t>
        </is>
      </c>
      <c r="B25" s="21" t="inlineStr">
        <is>
          <t>L1</t>
        </is>
      </c>
      <c r="C25" s="21" t="inlineStr">
        <is>
          <t>1</t>
        </is>
      </c>
      <c r="D25" s="21" t="inlineStr">
        <is>
          <t>3</t>
        </is>
      </c>
      <c r="E25" s="21" t="inlineStr">
        <is>
          <t>Principes fondamentaux des soins obstétricaux</t>
        </is>
      </c>
      <c r="F25" s="21" t="inlineStr">
        <is>
          <t>Démarche de soins et Projet de soins</t>
        </is>
      </c>
      <c r="H25" s="21" t="n">
        <v>6</v>
      </c>
      <c r="I25" s="21" t="n">
        <v>6</v>
      </c>
      <c r="J25" s="21" t="n">
        <v>0</v>
      </c>
      <c r="K25" s="21" t="n">
        <v>12</v>
      </c>
      <c r="L25" s="21" t="n">
        <v>92</v>
      </c>
      <c r="M25" s="21" t="n">
        <v>6</v>
      </c>
    </row>
    <row r="26">
      <c r="A26" s="21" t="inlineStr">
        <is>
          <t>Soins infirmiers</t>
        </is>
      </c>
      <c r="B26" s="21" t="inlineStr">
        <is>
          <t>L1</t>
        </is>
      </c>
      <c r="C26" s="21" t="inlineStr">
        <is>
          <t>1</t>
        </is>
      </c>
      <c r="D26" s="21" t="inlineStr">
        <is>
          <t>3</t>
        </is>
      </c>
      <c r="E26" s="21" t="inlineStr">
        <is>
          <t>Principes fondamentaux des soins obstétricaux</t>
        </is>
      </c>
      <c r="F26" s="21" t="inlineStr">
        <is>
          <t>Procédure d’admission</t>
        </is>
      </c>
      <c r="H26" s="21" t="n">
        <v>4</v>
      </c>
      <c r="I26" s="21" t="n">
        <v>2</v>
      </c>
      <c r="J26" s="21" t="n">
        <v>0</v>
      </c>
      <c r="K26" s="21" t="n">
        <v>6</v>
      </c>
      <c r="L26" s="21" t="n">
        <v>92</v>
      </c>
      <c r="M26" s="21" t="n">
        <v>6</v>
      </c>
    </row>
    <row r="27">
      <c r="A27" s="21" t="inlineStr">
        <is>
          <t>Soins infirmiers</t>
        </is>
      </c>
      <c r="B27" s="21" t="inlineStr">
        <is>
          <t>L1</t>
        </is>
      </c>
      <c r="C27" s="21" t="inlineStr">
        <is>
          <t>1</t>
        </is>
      </c>
      <c r="D27" s="21" t="inlineStr">
        <is>
          <t>3</t>
        </is>
      </c>
      <c r="E27" s="21" t="inlineStr">
        <is>
          <t>Principes fondamentaux des soins obstétricaux</t>
        </is>
      </c>
      <c r="F27" s="21" t="inlineStr">
        <is>
          <t>Soins de base prodigués au patient</t>
        </is>
      </c>
      <c r="H27" s="21" t="n">
        <v>14</v>
      </c>
      <c r="I27" s="21" t="n">
        <v>4</v>
      </c>
      <c r="J27" s="21" t="n">
        <v>8</v>
      </c>
      <c r="K27" s="21" t="n">
        <v>26</v>
      </c>
      <c r="L27" s="21" t="n">
        <v>92</v>
      </c>
      <c r="M27" s="21" t="n">
        <v>6</v>
      </c>
    </row>
    <row r="28">
      <c r="A28" s="21" t="inlineStr">
        <is>
          <t>Soins infirmiers</t>
        </is>
      </c>
      <c r="B28" s="21" t="inlineStr">
        <is>
          <t>L1</t>
        </is>
      </c>
      <c r="C28" s="21" t="inlineStr">
        <is>
          <t>1</t>
        </is>
      </c>
      <c r="D28" s="21" t="inlineStr">
        <is>
          <t>4</t>
        </is>
      </c>
      <c r="E28" s="21" t="inlineStr">
        <is>
          <t>Microbiologie et parasitologie</t>
        </is>
      </c>
      <c r="F28" s="21" t="inlineStr">
        <is>
          <t>Microbiologie</t>
        </is>
      </c>
      <c r="H28" s="21" t="n">
        <v>8</v>
      </c>
      <c r="I28" s="21" t="n">
        <v>2</v>
      </c>
      <c r="J28" s="21" t="n">
        <v>0</v>
      </c>
      <c r="K28" s="21" t="n">
        <v>10</v>
      </c>
      <c r="L28" s="21" t="n">
        <v>48</v>
      </c>
      <c r="M28" s="21" t="n">
        <v>3</v>
      </c>
    </row>
    <row r="29">
      <c r="A29" s="21" t="inlineStr">
        <is>
          <t>Soins infirmiers</t>
        </is>
      </c>
      <c r="B29" s="21" t="inlineStr">
        <is>
          <t>L1</t>
        </is>
      </c>
      <c r="C29" s="21" t="inlineStr">
        <is>
          <t>1</t>
        </is>
      </c>
      <c r="D29" s="21" t="inlineStr">
        <is>
          <t>4</t>
        </is>
      </c>
      <c r="E29" s="21" t="inlineStr">
        <is>
          <t>Microbiologie et parasitologie</t>
        </is>
      </c>
      <c r="F29" s="21" t="inlineStr">
        <is>
          <t>Parasitologie</t>
        </is>
      </c>
      <c r="H29" s="21" t="n">
        <v>8</v>
      </c>
      <c r="I29" s="21" t="n">
        <v>2</v>
      </c>
      <c r="J29" s="21" t="n">
        <v>0</v>
      </c>
      <c r="K29" s="21" t="n">
        <v>10</v>
      </c>
      <c r="L29" s="21" t="n">
        <v>48</v>
      </c>
      <c r="M29" s="21" t="n">
        <v>3</v>
      </c>
    </row>
    <row r="30">
      <c r="A30" s="21" t="inlineStr">
        <is>
          <t>Soins infirmiers</t>
        </is>
      </c>
      <c r="B30" s="21" t="inlineStr">
        <is>
          <t>L1</t>
        </is>
      </c>
      <c r="C30" s="21" t="inlineStr">
        <is>
          <t>1</t>
        </is>
      </c>
      <c r="D30" s="21" t="inlineStr">
        <is>
          <t>4</t>
        </is>
      </c>
      <c r="E30" s="21" t="inlineStr">
        <is>
          <t>Microbiologie et parasitologie</t>
        </is>
      </c>
      <c r="F30" s="21" t="inlineStr">
        <is>
          <t>Examens de laboratoire</t>
        </is>
      </c>
      <c r="H30" s="21" t="n">
        <v>10</v>
      </c>
      <c r="I30" s="21" t="n">
        <v>4</v>
      </c>
      <c r="J30" s="21" t="n">
        <v>6</v>
      </c>
      <c r="K30" s="21" t="n">
        <v>20</v>
      </c>
      <c r="L30" s="21" t="n">
        <v>48</v>
      </c>
      <c r="M30" s="21" t="n">
        <v>3</v>
      </c>
    </row>
    <row r="31">
      <c r="A31" s="21" t="inlineStr">
        <is>
          <t>Soins infirmiers</t>
        </is>
      </c>
      <c r="B31" s="21" t="inlineStr">
        <is>
          <t>L1</t>
        </is>
      </c>
      <c r="C31" s="21" t="inlineStr">
        <is>
          <t>1</t>
        </is>
      </c>
      <c r="D31" s="21" t="inlineStr">
        <is>
          <t>6</t>
        </is>
      </c>
      <c r="E31" s="21" t="inlineStr">
        <is>
          <t>Pharmacologie Générale et Biochimie</t>
        </is>
      </c>
      <c r="F31" s="21" t="inlineStr">
        <is>
          <t>Introduction à la pharmacologie</t>
        </is>
      </c>
      <c r="H31" s="21" t="n">
        <v>4</v>
      </c>
      <c r="I31" s="21" t="n">
        <v>0</v>
      </c>
      <c r="J31" s="21" t="n">
        <v>0</v>
      </c>
      <c r="K31" s="21" t="n">
        <v>4</v>
      </c>
      <c r="L31" s="21" t="n">
        <v>40</v>
      </c>
      <c r="M31" s="21" t="n">
        <v>3</v>
      </c>
    </row>
    <row r="32">
      <c r="A32" s="21" t="inlineStr">
        <is>
          <t>Soins infirmiers</t>
        </is>
      </c>
      <c r="B32" s="21" t="inlineStr">
        <is>
          <t>L1</t>
        </is>
      </c>
      <c r="C32" s="21" t="inlineStr">
        <is>
          <t>1</t>
        </is>
      </c>
      <c r="D32" s="21" t="inlineStr">
        <is>
          <t>6</t>
        </is>
      </c>
      <c r="E32" s="21" t="inlineStr">
        <is>
          <t>Pharmacologie Générale et Biochimie</t>
        </is>
      </c>
      <c r="F32" s="21" t="inlineStr">
        <is>
          <t>Actions pharmacologiques des médicaments</t>
        </is>
      </c>
      <c r="H32" s="21" t="n">
        <v>4</v>
      </c>
      <c r="I32" s="21" t="n">
        <v>0</v>
      </c>
      <c r="J32" s="21" t="n">
        <v>0</v>
      </c>
      <c r="K32" s="21" t="n">
        <v>4</v>
      </c>
      <c r="L32" s="21" t="n">
        <v>40</v>
      </c>
      <c r="M32" s="21" t="n">
        <v>3</v>
      </c>
    </row>
    <row r="33">
      <c r="A33" s="21" t="inlineStr">
        <is>
          <t>Soins infirmiers</t>
        </is>
      </c>
      <c r="B33" s="21" t="inlineStr">
        <is>
          <t>L1</t>
        </is>
      </c>
      <c r="C33" s="21" t="inlineStr">
        <is>
          <t>1</t>
        </is>
      </c>
      <c r="D33" s="21" t="inlineStr">
        <is>
          <t>6</t>
        </is>
      </c>
      <c r="E33" s="21" t="inlineStr">
        <is>
          <t>Pharmacologie Générale et Biochimie</t>
        </is>
      </c>
      <c r="F33" s="21" t="inlineStr">
        <is>
          <t>Les grandes classes thérapeutiques</t>
        </is>
      </c>
      <c r="H33" s="21" t="n">
        <v>4</v>
      </c>
      <c r="I33" s="21" t="n">
        <v>2</v>
      </c>
      <c r="J33" s="21" t="n">
        <v>0</v>
      </c>
      <c r="K33" s="21" t="n">
        <v>6</v>
      </c>
      <c r="L33" s="21" t="n">
        <v>40</v>
      </c>
      <c r="M33" s="21" t="n">
        <v>3</v>
      </c>
    </row>
    <row r="34">
      <c r="A34" s="21" t="inlineStr">
        <is>
          <t>Soins infirmiers</t>
        </is>
      </c>
      <c r="B34" s="21" t="inlineStr">
        <is>
          <t>L1</t>
        </is>
      </c>
      <c r="C34" s="21" t="inlineStr">
        <is>
          <t>1</t>
        </is>
      </c>
      <c r="D34" s="21" t="inlineStr">
        <is>
          <t>6</t>
        </is>
      </c>
      <c r="E34" s="21" t="inlineStr">
        <is>
          <t>Pharmacologie Générale et Biochimie</t>
        </is>
      </c>
      <c r="F34" s="21" t="inlineStr">
        <is>
          <t>Logistique et gestion des médicaments</t>
        </is>
      </c>
      <c r="H34" s="21" t="n">
        <v>4</v>
      </c>
      <c r="I34" s="21" t="n">
        <v>2</v>
      </c>
      <c r="J34" s="21" t="n">
        <v>0</v>
      </c>
      <c r="K34" s="21" t="n">
        <v>6</v>
      </c>
      <c r="L34" s="21" t="n">
        <v>40</v>
      </c>
      <c r="M34" s="21" t="n">
        <v>3</v>
      </c>
    </row>
    <row r="35">
      <c r="A35" s="21" t="inlineStr">
        <is>
          <t>Soins infirmiers</t>
        </is>
      </c>
      <c r="B35" s="21" t="inlineStr">
        <is>
          <t>L1</t>
        </is>
      </c>
      <c r="C35" s="21" t="inlineStr">
        <is>
          <t>1</t>
        </is>
      </c>
      <c r="D35" s="21" t="inlineStr">
        <is>
          <t>6</t>
        </is>
      </c>
      <c r="E35" s="21" t="inlineStr">
        <is>
          <t>Pharmacologie Générale et Biochimie</t>
        </is>
      </c>
      <c r="F35" s="21" t="inlineStr">
        <is>
          <t>Biochimie</t>
        </is>
      </c>
      <c r="H35" s="21" t="n">
        <v>16</v>
      </c>
      <c r="I35" s="21" t="n">
        <v>4</v>
      </c>
      <c r="J35" s="21" t="n">
        <v>0</v>
      </c>
      <c r="K35" s="21" t="n">
        <v>20</v>
      </c>
      <c r="L35" s="21" t="n">
        <v>40</v>
      </c>
      <c r="M35" s="21" t="n">
        <v>3</v>
      </c>
    </row>
    <row r="36">
      <c r="A36" s="21" t="inlineStr">
        <is>
          <t>Soins infirmiers</t>
        </is>
      </c>
      <c r="B36" s="21" t="inlineStr">
        <is>
          <t>L1</t>
        </is>
      </c>
      <c r="C36" s="21" t="inlineStr">
        <is>
          <t>1</t>
        </is>
      </c>
      <c r="D36" s="21" t="inlineStr">
        <is>
          <t>7</t>
        </is>
      </c>
      <c r="E36" s="21" t="inlineStr">
        <is>
          <t>Sémiologie médico-chirurgicale</t>
        </is>
      </c>
      <c r="F36" s="21" t="inlineStr">
        <is>
          <t>Observation du malade</t>
        </is>
      </c>
      <c r="H36" s="21" t="n">
        <v>6</v>
      </c>
      <c r="I36" s="21" t="n">
        <v>2</v>
      </c>
      <c r="J36" s="21" t="n">
        <v>0</v>
      </c>
      <c r="K36" s="21" t="n">
        <v>8</v>
      </c>
      <c r="L36" s="21" t="n">
        <v>40</v>
      </c>
      <c r="M36" s="21" t="n">
        <v>3</v>
      </c>
    </row>
    <row r="37">
      <c r="A37" s="21" t="inlineStr">
        <is>
          <t>Soins infirmiers</t>
        </is>
      </c>
      <c r="B37" s="21" t="inlineStr">
        <is>
          <t>L1</t>
        </is>
      </c>
      <c r="C37" s="21" t="inlineStr">
        <is>
          <t>1</t>
        </is>
      </c>
      <c r="D37" s="21" t="inlineStr">
        <is>
          <t>7</t>
        </is>
      </c>
      <c r="E37" s="21" t="inlineStr">
        <is>
          <t>Sémiologie médico-chirurgicale</t>
        </is>
      </c>
      <c r="F37" s="21" t="inlineStr">
        <is>
          <t>Sémiologi chirurgicale</t>
        </is>
      </c>
      <c r="H37" s="21" t="n">
        <v>10</v>
      </c>
      <c r="I37" s="21" t="n">
        <v>4</v>
      </c>
      <c r="J37" s="21" t="n">
        <v>0</v>
      </c>
      <c r="K37" s="21" t="n">
        <v>14</v>
      </c>
      <c r="L37" s="21" t="n">
        <v>40</v>
      </c>
      <c r="M37" s="21" t="n">
        <v>3</v>
      </c>
    </row>
    <row r="38">
      <c r="A38" s="21" t="inlineStr">
        <is>
          <t>Soins infirmiers</t>
        </is>
      </c>
      <c r="B38" s="21" t="inlineStr">
        <is>
          <t>L1</t>
        </is>
      </c>
      <c r="C38" s="21" t="inlineStr">
        <is>
          <t>1</t>
        </is>
      </c>
      <c r="D38" s="21" t="inlineStr">
        <is>
          <t>7</t>
        </is>
      </c>
      <c r="E38" s="21" t="inlineStr">
        <is>
          <t>Sémiologie médico-chirurgicale</t>
        </is>
      </c>
      <c r="F38" s="21" t="inlineStr">
        <is>
          <t>Sémiologie médicale</t>
        </is>
      </c>
      <c r="H38" s="21" t="n">
        <v>14</v>
      </c>
      <c r="I38" s="21" t="n">
        <v>4</v>
      </c>
      <c r="J38" s="21" t="n">
        <v>0</v>
      </c>
      <c r="K38" s="21" t="n">
        <v>18</v>
      </c>
      <c r="L38" s="21" t="n">
        <v>40</v>
      </c>
      <c r="M38" s="21" t="n">
        <v>3</v>
      </c>
    </row>
    <row r="39">
      <c r="A39" s="21" t="inlineStr">
        <is>
          <t>Soins infirmiers</t>
        </is>
      </c>
      <c r="B39" s="21" t="inlineStr">
        <is>
          <t>L1</t>
        </is>
      </c>
      <c r="C39" s="21" t="inlineStr">
        <is>
          <t>1</t>
        </is>
      </c>
      <c r="D39" s="21" t="inlineStr">
        <is>
          <t>8</t>
        </is>
      </c>
      <c r="E39" s="21" t="inlineStr">
        <is>
          <t>Santé publique-Santé Communautaire/1</t>
        </is>
      </c>
      <c r="F39" s="21" t="inlineStr">
        <is>
          <t>Généralités sur la SP/SC</t>
        </is>
      </c>
      <c r="H39" s="21" t="n">
        <v>4</v>
      </c>
      <c r="I39" s="21" t="n">
        <v>1</v>
      </c>
      <c r="J39" s="21" t="n">
        <v>0</v>
      </c>
      <c r="K39" s="21" t="n">
        <v>5</v>
      </c>
      <c r="L39" s="21" t="n">
        <v>45</v>
      </c>
      <c r="M39" s="21" t="n">
        <v>3</v>
      </c>
    </row>
    <row r="40">
      <c r="A40" s="21" t="inlineStr">
        <is>
          <t>Soins infirmiers</t>
        </is>
      </c>
      <c r="B40" s="21" t="inlineStr">
        <is>
          <t>L1</t>
        </is>
      </c>
      <c r="C40" s="21" t="inlineStr">
        <is>
          <t>1</t>
        </is>
      </c>
      <c r="D40" s="21" t="inlineStr">
        <is>
          <t>8</t>
        </is>
      </c>
      <c r="E40" s="21" t="inlineStr">
        <is>
          <t>Santé publique-Santé Communautaire/1</t>
        </is>
      </c>
      <c r="F40" s="21" t="inlineStr">
        <is>
          <t>Approche SP/SC</t>
        </is>
      </c>
      <c r="H40" s="21" t="n">
        <v>8</v>
      </c>
      <c r="I40" s="21" t="n">
        <v>2</v>
      </c>
      <c r="J40" s="21" t="n">
        <v>0</v>
      </c>
      <c r="K40" s="21" t="n">
        <v>10</v>
      </c>
      <c r="L40" s="21" t="n">
        <v>45</v>
      </c>
      <c r="M40" s="21" t="n">
        <v>3</v>
      </c>
    </row>
    <row r="41">
      <c r="A41" s="21" t="inlineStr">
        <is>
          <t>Soins infirmiers</t>
        </is>
      </c>
      <c r="B41" s="21" t="inlineStr">
        <is>
          <t>L1</t>
        </is>
      </c>
      <c r="C41" s="21" t="inlineStr">
        <is>
          <t>1</t>
        </is>
      </c>
      <c r="D41" s="21" t="inlineStr">
        <is>
          <t>8</t>
        </is>
      </c>
      <c r="E41" s="21" t="inlineStr">
        <is>
          <t>Santé publique-Santé Communautaire/1</t>
        </is>
      </c>
      <c r="F41" s="21" t="inlineStr">
        <is>
          <t>Santé et environnement</t>
        </is>
      </c>
      <c r="H41" s="21" t="n">
        <v>8</v>
      </c>
      <c r="I41" s="21" t="n">
        <v>2</v>
      </c>
      <c r="J41" s="21" t="n">
        <v>0</v>
      </c>
      <c r="K41" s="21" t="n">
        <v>10</v>
      </c>
      <c r="L41" s="21" t="n">
        <v>45</v>
      </c>
      <c r="M41" s="21" t="n">
        <v>3</v>
      </c>
    </row>
    <row r="42">
      <c r="A42" s="21" t="inlineStr">
        <is>
          <t>Soins infirmiers</t>
        </is>
      </c>
      <c r="B42" s="21" t="inlineStr">
        <is>
          <t>L1</t>
        </is>
      </c>
      <c r="C42" s="21" t="inlineStr">
        <is>
          <t>1</t>
        </is>
      </c>
      <c r="D42" s="21" t="inlineStr">
        <is>
          <t>8</t>
        </is>
      </c>
      <c r="E42" s="21" t="inlineStr">
        <is>
          <t>Santé publique-Santé Communautaire/1</t>
        </is>
      </c>
      <c r="F42" s="21" t="inlineStr">
        <is>
          <t>Démographie</t>
        </is>
      </c>
      <c r="H42" s="21" t="n">
        <v>8</v>
      </c>
      <c r="I42" s="21" t="n">
        <v>2</v>
      </c>
      <c r="J42" s="21" t="n">
        <v>0</v>
      </c>
      <c r="K42" s="21" t="n">
        <v>10</v>
      </c>
      <c r="L42" s="21" t="n">
        <v>45</v>
      </c>
      <c r="M42" s="21" t="n">
        <v>3</v>
      </c>
    </row>
    <row r="43">
      <c r="A43" s="21" t="inlineStr">
        <is>
          <t>Soins infirmiers</t>
        </is>
      </c>
      <c r="B43" s="21" t="inlineStr">
        <is>
          <t>L1</t>
        </is>
      </c>
      <c r="C43" s="21" t="inlineStr">
        <is>
          <t>1</t>
        </is>
      </c>
      <c r="D43" s="21" t="inlineStr">
        <is>
          <t>8</t>
        </is>
      </c>
      <c r="E43" s="21" t="inlineStr">
        <is>
          <t>Santé publique-Santé Communautaire/1</t>
        </is>
      </c>
      <c r="F43" s="21" t="inlineStr">
        <is>
          <t>Epidémiologie</t>
        </is>
      </c>
      <c r="H43" s="21" t="n">
        <v>8</v>
      </c>
      <c r="I43" s="21" t="n">
        <v>2</v>
      </c>
      <c r="J43" s="21" t="n">
        <v>0</v>
      </c>
      <c r="K43" s="21" t="n">
        <v>10</v>
      </c>
      <c r="L43" s="21" t="n">
        <v>45</v>
      </c>
      <c r="M43" s="21" t="n">
        <v>3</v>
      </c>
    </row>
    <row r="44">
      <c r="A44" s="21" t="inlineStr">
        <is>
          <t>Soins infirmiers</t>
        </is>
      </c>
      <c r="B44" s="21" t="inlineStr">
        <is>
          <t>L1</t>
        </is>
      </c>
      <c r="C44" s="21" t="inlineStr">
        <is>
          <t>1</t>
        </is>
      </c>
      <c r="D44" s="21" t="inlineStr">
        <is>
          <t>9</t>
        </is>
      </c>
      <c r="E44" s="21" t="inlineStr">
        <is>
          <t>Outils de recherche</t>
        </is>
      </c>
      <c r="F44" s="21" t="inlineStr">
        <is>
          <t>Anglais médical</t>
        </is>
      </c>
      <c r="H44" s="21" t="n">
        <v>8</v>
      </c>
      <c r="I44" s="21" t="n">
        <v>2</v>
      </c>
      <c r="J44" s="21" t="n">
        <v>0</v>
      </c>
      <c r="K44" s="21" t="n">
        <v>10</v>
      </c>
      <c r="L44" s="21" t="n">
        <v>38</v>
      </c>
      <c r="M44" s="21" t="n">
        <v>2</v>
      </c>
    </row>
    <row r="45">
      <c r="A45" s="21" t="inlineStr">
        <is>
          <t>Soins infirmiers</t>
        </is>
      </c>
      <c r="B45" s="21" t="inlineStr">
        <is>
          <t>L1</t>
        </is>
      </c>
      <c r="C45" s="21" t="inlineStr">
        <is>
          <t>1</t>
        </is>
      </c>
      <c r="D45" s="21" t="inlineStr">
        <is>
          <t>9</t>
        </is>
      </c>
      <c r="E45" s="21" t="inlineStr">
        <is>
          <t>Outils de recherche</t>
        </is>
      </c>
      <c r="F45" s="21" t="inlineStr">
        <is>
          <t>Expression française</t>
        </is>
      </c>
      <c r="H45" s="21" t="n">
        <v>8</v>
      </c>
      <c r="I45" s="21" t="n">
        <v>2</v>
      </c>
      <c r="J45" s="21" t="n">
        <v>0</v>
      </c>
      <c r="K45" s="21" t="n">
        <v>10</v>
      </c>
      <c r="L45" s="21" t="n">
        <v>38</v>
      </c>
      <c r="M45" s="21" t="n">
        <v>2</v>
      </c>
    </row>
    <row r="46">
      <c r="A46" s="21" t="inlineStr">
        <is>
          <t>Soins infirmiers</t>
        </is>
      </c>
      <c r="B46" s="21" t="inlineStr">
        <is>
          <t>L1</t>
        </is>
      </c>
      <c r="C46" s="21" t="inlineStr">
        <is>
          <t>1</t>
        </is>
      </c>
      <c r="D46" s="21" t="inlineStr">
        <is>
          <t>9</t>
        </is>
      </c>
      <c r="E46" s="21" t="inlineStr">
        <is>
          <t>Outils de recherche</t>
        </is>
      </c>
      <c r="F46" s="21" t="inlineStr">
        <is>
          <t>Méthodes statistiques</t>
        </is>
      </c>
      <c r="H46" s="21" t="n">
        <v>10</v>
      </c>
      <c r="I46" s="21" t="n">
        <v>8</v>
      </c>
      <c r="J46" s="21" t="n">
        <v>0</v>
      </c>
      <c r="K46" s="21" t="n">
        <v>18</v>
      </c>
      <c r="L46" s="21" t="n">
        <v>38</v>
      </c>
      <c r="M46" s="21" t="n">
        <v>2</v>
      </c>
    </row>
    <row r="47">
      <c r="A47" s="21" t="inlineStr">
        <is>
          <t>Soins infirmiers</t>
        </is>
      </c>
      <c r="B47" s="21" t="inlineStr">
        <is>
          <t>L1</t>
        </is>
      </c>
      <c r="C47" s="21" t="inlineStr">
        <is>
          <t>2</t>
        </is>
      </c>
      <c r="D47" s="21" t="inlineStr">
        <is>
          <t>10</t>
        </is>
      </c>
      <c r="E47" s="21" t="inlineStr">
        <is>
          <t>Sciences humaines et sociales</t>
        </is>
      </c>
      <c r="F47" s="21" t="inlineStr">
        <is>
          <t>Sociologie</t>
        </is>
      </c>
      <c r="H47" s="21" t="n">
        <v>30</v>
      </c>
      <c r="I47" s="21" t="n">
        <v>4</v>
      </c>
      <c r="J47" s="21" t="n">
        <v>0</v>
      </c>
      <c r="K47" s="21" t="n">
        <v>34</v>
      </c>
      <c r="L47" s="21" t="n">
        <v>80</v>
      </c>
      <c r="M47" s="21" t="n">
        <v>5</v>
      </c>
      <c r="N47" s="21" t="inlineStr">
        <is>
          <t>Coef</t>
        </is>
      </c>
    </row>
    <row r="48">
      <c r="A48" s="21" t="inlineStr">
        <is>
          <t>Soins infirmiers</t>
        </is>
      </c>
      <c r="B48" s="21" t="inlineStr">
        <is>
          <t>L1</t>
        </is>
      </c>
      <c r="C48" s="21" t="inlineStr">
        <is>
          <t>2</t>
        </is>
      </c>
      <c r="D48" s="21" t="inlineStr">
        <is>
          <t>10</t>
        </is>
      </c>
      <c r="E48" s="21" t="inlineStr">
        <is>
          <t>Sciences humaines et sociales</t>
        </is>
      </c>
      <c r="F48" s="21" t="inlineStr">
        <is>
          <t>Psychologie</t>
        </is>
      </c>
      <c r="H48" s="21" t="n">
        <v>30</v>
      </c>
      <c r="I48" s="21" t="n">
        <v>4</v>
      </c>
      <c r="J48" s="21" t="n">
        <v>0</v>
      </c>
      <c r="K48" s="21" t="n">
        <v>34</v>
      </c>
      <c r="L48" s="21" t="n">
        <v>80</v>
      </c>
      <c r="M48" s="21" t="n">
        <v>5</v>
      </c>
      <c r="N48" s="21" t="inlineStr">
        <is>
          <t>Coef</t>
        </is>
      </c>
    </row>
    <row r="49">
      <c r="A49" s="21" t="inlineStr">
        <is>
          <t>Soins infirmiers</t>
        </is>
      </c>
      <c r="B49" s="21" t="inlineStr">
        <is>
          <t>L1</t>
        </is>
      </c>
      <c r="C49" s="21" t="inlineStr">
        <is>
          <t>2</t>
        </is>
      </c>
      <c r="D49" s="21" t="inlineStr">
        <is>
          <t>10</t>
        </is>
      </c>
      <c r="E49" s="21" t="inlineStr">
        <is>
          <t>Sciences humaines et sociales</t>
        </is>
      </c>
      <c r="F49" s="21" t="inlineStr">
        <is>
          <t>Anthropologie et ethnologie</t>
        </is>
      </c>
      <c r="H49" s="21" t="n">
        <v>10</v>
      </c>
      <c r="I49" s="21" t="n">
        <v>2</v>
      </c>
      <c r="J49" s="21" t="n">
        <v>0</v>
      </c>
      <c r="K49" s="21" t="n">
        <v>12</v>
      </c>
      <c r="L49" s="21" t="n">
        <v>80</v>
      </c>
      <c r="M49" s="21" t="n">
        <v>5</v>
      </c>
      <c r="N49" s="21" t="inlineStr">
        <is>
          <t>Coef</t>
        </is>
      </c>
    </row>
    <row r="50">
      <c r="A50" s="21" t="inlineStr">
        <is>
          <t>Soins infirmiers</t>
        </is>
      </c>
      <c r="B50" s="21" t="inlineStr">
        <is>
          <t>L1</t>
        </is>
      </c>
      <c r="C50" s="21" t="inlineStr">
        <is>
          <t>2</t>
        </is>
      </c>
      <c r="D50" s="21" t="inlineStr">
        <is>
          <t>12</t>
        </is>
      </c>
      <c r="E50" s="21" t="inlineStr">
        <is>
          <t>Aspects professionnels éthiques et juridiques de la profession d’infirmière /1</t>
        </is>
      </c>
      <c r="F50" s="21" t="inlineStr">
        <is>
          <t>Les métiers d’infirmier et de sage-femme</t>
        </is>
      </c>
      <c r="H50" s="21" t="n">
        <v>6</v>
      </c>
      <c r="I50" s="21" t="n">
        <v>2</v>
      </c>
      <c r="J50" s="21" t="n">
        <v>0</v>
      </c>
      <c r="K50" s="21" t="n">
        <v>8</v>
      </c>
      <c r="L50" s="21" t="n">
        <v>46</v>
      </c>
      <c r="M50" s="21" t="n">
        <v>3</v>
      </c>
      <c r="N50" s="21" t="inlineStr">
        <is>
          <t>Coef</t>
        </is>
      </c>
    </row>
    <row r="51">
      <c r="A51" s="21" t="inlineStr">
        <is>
          <t>Soins infirmiers</t>
        </is>
      </c>
      <c r="B51" s="21" t="inlineStr">
        <is>
          <t>L1</t>
        </is>
      </c>
      <c r="C51" s="21" t="inlineStr">
        <is>
          <t>2</t>
        </is>
      </c>
      <c r="D51" s="21" t="inlineStr">
        <is>
          <t>12</t>
        </is>
      </c>
      <c r="E51" s="21" t="inlineStr">
        <is>
          <t>Aspects professionnels éthiques et juridiques de la profession d’infirmière /1</t>
        </is>
      </c>
      <c r="F51" s="21" t="inlineStr">
        <is>
          <t>Législation et réglementation de la profession et protection du public</t>
        </is>
      </c>
      <c r="H51" s="21" t="n">
        <v>8</v>
      </c>
      <c r="I51" s="21" t="n">
        <v>2</v>
      </c>
      <c r="J51" s="21" t="n">
        <v>0</v>
      </c>
      <c r="K51" s="21" t="n">
        <v>10</v>
      </c>
      <c r="L51" s="21" t="n">
        <v>46</v>
      </c>
      <c r="M51" s="21" t="n">
        <v>3</v>
      </c>
      <c r="N51" s="21" t="inlineStr">
        <is>
          <t>Coef</t>
        </is>
      </c>
    </row>
    <row r="52">
      <c r="A52" s="21" t="inlineStr">
        <is>
          <t>Soins infirmiers</t>
        </is>
      </c>
      <c r="B52" s="21" t="inlineStr">
        <is>
          <t>L1</t>
        </is>
      </c>
      <c r="C52" s="21" t="inlineStr">
        <is>
          <t>2</t>
        </is>
      </c>
      <c r="D52" s="21" t="inlineStr">
        <is>
          <t>12</t>
        </is>
      </c>
      <c r="E52" s="21" t="inlineStr">
        <is>
          <t>Aspects professionnels éthiques et juridiques de la profession d’infirmière /1</t>
        </is>
      </c>
      <c r="F52" s="21" t="inlineStr">
        <is>
          <t>Déontologie, théories et principes éthiques</t>
        </is>
      </c>
      <c r="H52" s="21" t="n">
        <v>16</v>
      </c>
      <c r="I52" s="21" t="n">
        <v>4</v>
      </c>
      <c r="J52" s="21" t="n">
        <v>0</v>
      </c>
      <c r="K52" s="21" t="n">
        <v>20</v>
      </c>
      <c r="L52" s="21" t="n">
        <v>46</v>
      </c>
      <c r="M52" s="21" t="n">
        <v>3</v>
      </c>
      <c r="N52" s="21" t="inlineStr">
        <is>
          <t>Coef</t>
        </is>
      </c>
    </row>
    <row r="53">
      <c r="A53" s="21" t="inlineStr">
        <is>
          <t>Soins infirmiers</t>
        </is>
      </c>
      <c r="B53" s="21" t="inlineStr">
        <is>
          <t>L1</t>
        </is>
      </c>
      <c r="C53" s="21" t="inlineStr">
        <is>
          <t>2</t>
        </is>
      </c>
      <c r="D53" s="21" t="inlineStr">
        <is>
          <t>12</t>
        </is>
      </c>
      <c r="E53" s="21" t="inlineStr">
        <is>
          <t>Aspects professionnels éthiques et juridiques de la profession d’infirmière /1</t>
        </is>
      </c>
      <c r="F53" s="21" t="inlineStr">
        <is>
          <t>Organisations et associations professionnelles</t>
        </is>
      </c>
      <c r="H53" s="21" t="n">
        <v>6</v>
      </c>
      <c r="I53" s="21" t="n">
        <v>2</v>
      </c>
      <c r="J53" s="21" t="n">
        <v>0</v>
      </c>
      <c r="K53" s="21" t="n">
        <v>8</v>
      </c>
      <c r="L53" s="21" t="n">
        <v>46</v>
      </c>
      <c r="M53" s="21" t="n">
        <v>3</v>
      </c>
      <c r="N53" s="21" t="inlineStr">
        <is>
          <t>Coef</t>
        </is>
      </c>
    </row>
    <row r="54">
      <c r="A54" s="21" t="inlineStr">
        <is>
          <t>Soins infirmiers</t>
        </is>
      </c>
      <c r="B54" s="21" t="inlineStr">
        <is>
          <t>L1</t>
        </is>
      </c>
      <c r="C54" s="21" t="inlineStr">
        <is>
          <t>2</t>
        </is>
      </c>
      <c r="D54" s="21" t="inlineStr">
        <is>
          <t>13</t>
        </is>
      </c>
      <c r="E54" s="21" t="inlineStr">
        <is>
          <t>Nutrition et diététique/1</t>
        </is>
      </c>
      <c r="F54" s="21" t="inlineStr">
        <is>
          <t>Alimentation et nutrition : les aliments organiques et leurs fonctions</t>
        </is>
      </c>
      <c r="H54" s="21" t="n">
        <v>24</v>
      </c>
      <c r="I54" s="21" t="n">
        <v>6</v>
      </c>
      <c r="J54" s="21" t="n">
        <v>0</v>
      </c>
      <c r="K54" s="21" t="n">
        <v>30</v>
      </c>
      <c r="L54" s="21" t="n">
        <v>30</v>
      </c>
      <c r="M54" s="21" t="n">
        <v>2</v>
      </c>
      <c r="N54" s="21" t="inlineStr">
        <is>
          <t>Coef</t>
        </is>
      </c>
    </row>
    <row r="55">
      <c r="A55" s="21" t="inlineStr">
        <is>
          <t>Soins infirmiers</t>
        </is>
      </c>
      <c r="B55" s="21" t="inlineStr">
        <is>
          <t>L1</t>
        </is>
      </c>
      <c r="C55" s="21" t="inlineStr">
        <is>
          <t>2</t>
        </is>
      </c>
      <c r="D55" s="21" t="inlineStr">
        <is>
          <t>13</t>
        </is>
      </c>
      <c r="E55" s="21" t="inlineStr">
        <is>
          <t>Nutrition et diététique/1</t>
        </is>
      </c>
      <c r="F55" s="21" t="inlineStr">
        <is>
          <t>Métabolisme</t>
        </is>
      </c>
      <c r="L55" s="21" t="n">
        <v>30</v>
      </c>
      <c r="M55" s="21" t="n">
        <v>2</v>
      </c>
      <c r="N55" s="21" t="inlineStr">
        <is>
          <t>Coef</t>
        </is>
      </c>
    </row>
    <row r="56">
      <c r="A56" s="21" t="inlineStr">
        <is>
          <t>Soins infirmiers</t>
        </is>
      </c>
      <c r="B56" s="21" t="inlineStr">
        <is>
          <t>L1</t>
        </is>
      </c>
      <c r="C56" s="21" t="inlineStr">
        <is>
          <t>2</t>
        </is>
      </c>
      <c r="D56" s="21" t="inlineStr">
        <is>
          <t>13</t>
        </is>
      </c>
      <c r="E56" s="21" t="inlineStr">
        <is>
          <t>Nutrition et diététique/1</t>
        </is>
      </c>
      <c r="F56" s="21" t="inlineStr">
        <is>
          <t>Besoins nutritionnels des différentes tranches d’âge</t>
        </is>
      </c>
      <c r="L56" s="21" t="n">
        <v>30</v>
      </c>
      <c r="M56" s="21" t="n">
        <v>2</v>
      </c>
      <c r="N56" s="21" t="inlineStr">
        <is>
          <t>Coef</t>
        </is>
      </c>
    </row>
    <row r="57">
      <c r="A57" s="21" t="inlineStr">
        <is>
          <t>Soins infirmiers</t>
        </is>
      </c>
      <c r="B57" s="21" t="inlineStr">
        <is>
          <t>L1</t>
        </is>
      </c>
      <c r="C57" s="21" t="inlineStr">
        <is>
          <t>2</t>
        </is>
      </c>
      <c r="D57" s="21" t="inlineStr">
        <is>
          <t>13</t>
        </is>
      </c>
      <c r="E57" s="21" t="inlineStr">
        <is>
          <t>Nutrition et diététique/1</t>
        </is>
      </c>
      <c r="F57" s="21" t="inlineStr">
        <is>
          <t>Sécurité et disponibilité alimentaire</t>
        </is>
      </c>
      <c r="L57" s="21" t="n">
        <v>30</v>
      </c>
      <c r="M57" s="21" t="n">
        <v>2</v>
      </c>
      <c r="N57" s="21" t="inlineStr">
        <is>
          <t>Coef</t>
        </is>
      </c>
    </row>
    <row r="58">
      <c r="A58" s="21" t="inlineStr">
        <is>
          <t>Soins infirmiers</t>
        </is>
      </c>
      <c r="B58" s="21" t="inlineStr">
        <is>
          <t>L1</t>
        </is>
      </c>
      <c r="C58" s="21" t="inlineStr">
        <is>
          <t>2</t>
        </is>
      </c>
      <c r="D58" s="21" t="inlineStr">
        <is>
          <t>13</t>
        </is>
      </c>
      <c r="E58" s="21" t="inlineStr">
        <is>
          <t>Nutrition et diététique/1</t>
        </is>
      </c>
      <c r="F58" s="21" t="inlineStr">
        <is>
          <t>Aspects comportementaux et culturels de la nutrition</t>
        </is>
      </c>
      <c r="L58" s="21" t="n">
        <v>30</v>
      </c>
      <c r="M58" s="21" t="n">
        <v>2</v>
      </c>
      <c r="N58" s="21" t="inlineStr">
        <is>
          <t>Coef</t>
        </is>
      </c>
    </row>
    <row r="59">
      <c r="A59" s="21" t="inlineStr">
        <is>
          <t>Soins infirmiers</t>
        </is>
      </c>
      <c r="B59" s="21" t="inlineStr">
        <is>
          <t>L1</t>
        </is>
      </c>
      <c r="C59" s="21" t="inlineStr">
        <is>
          <t>2</t>
        </is>
      </c>
      <c r="D59" s="21" t="inlineStr">
        <is>
          <t>14</t>
        </is>
      </c>
      <c r="E59" s="21" t="inlineStr">
        <is>
          <t>Prise en charge des affections primaires</t>
        </is>
      </c>
      <c r="F59" s="21" t="inlineStr">
        <is>
          <t>Maladies infectieuses</t>
        </is>
      </c>
      <c r="H59" s="21" t="n">
        <v>14</v>
      </c>
      <c r="I59" s="21" t="n">
        <v>6</v>
      </c>
      <c r="J59" s="21" t="n">
        <v>0</v>
      </c>
      <c r="K59" s="21" t="n">
        <v>20</v>
      </c>
      <c r="L59" s="21" t="n">
        <v>150</v>
      </c>
      <c r="M59" s="21" t="n">
        <v>10</v>
      </c>
      <c r="N59" s="21" t="inlineStr">
        <is>
          <t>Coef</t>
        </is>
      </c>
    </row>
    <row r="60">
      <c r="A60" s="21" t="inlineStr">
        <is>
          <t>Soins infirmiers</t>
        </is>
      </c>
      <c r="B60" s="21" t="inlineStr">
        <is>
          <t>L1</t>
        </is>
      </c>
      <c r="C60" s="21" t="inlineStr">
        <is>
          <t>2</t>
        </is>
      </c>
      <c r="D60" s="21" t="inlineStr">
        <is>
          <t>14</t>
        </is>
      </c>
      <c r="E60" s="21" t="inlineStr">
        <is>
          <t>Prise en charge des affections primaires</t>
        </is>
      </c>
      <c r="F60" s="21" t="inlineStr">
        <is>
          <t>Soins infirmiers en maladies infectieuses</t>
        </is>
      </c>
      <c r="H60" s="21" t="n">
        <v>10</v>
      </c>
      <c r="I60" s="21" t="n">
        <v>2</v>
      </c>
      <c r="J60" s="21" t="n">
        <v>6</v>
      </c>
      <c r="K60" s="21" t="n">
        <v>18</v>
      </c>
      <c r="L60" s="21" t="n">
        <v>150</v>
      </c>
      <c r="M60" s="21" t="n">
        <v>10</v>
      </c>
      <c r="N60" s="21" t="inlineStr">
        <is>
          <t>Coef</t>
        </is>
      </c>
    </row>
    <row r="61">
      <c r="A61" s="21" t="inlineStr">
        <is>
          <t>Soins infirmiers</t>
        </is>
      </c>
      <c r="B61" s="21" t="inlineStr">
        <is>
          <t>L1</t>
        </is>
      </c>
      <c r="C61" s="21" t="inlineStr">
        <is>
          <t>2</t>
        </is>
      </c>
      <c r="D61" s="21" t="inlineStr">
        <is>
          <t>14</t>
        </is>
      </c>
      <c r="E61" s="21" t="inlineStr">
        <is>
          <t>Prise en charge des affections primaires</t>
        </is>
      </c>
      <c r="F61" s="21" t="inlineStr">
        <is>
          <t>Affections respiratoires</t>
        </is>
      </c>
      <c r="H61" s="21" t="n">
        <v>10</v>
      </c>
      <c r="I61" s="21" t="n">
        <v>4</v>
      </c>
      <c r="J61" s="21" t="n">
        <v>8</v>
      </c>
      <c r="K61" s="21" t="n">
        <v>22</v>
      </c>
      <c r="L61" s="21" t="n">
        <v>150</v>
      </c>
      <c r="M61" s="21" t="n">
        <v>10</v>
      </c>
      <c r="N61" s="21" t="inlineStr">
        <is>
          <t>Coef</t>
        </is>
      </c>
    </row>
    <row r="62">
      <c r="A62" s="21" t="inlineStr">
        <is>
          <t>Soins infirmiers</t>
        </is>
      </c>
      <c r="B62" s="21" t="inlineStr">
        <is>
          <t>L1</t>
        </is>
      </c>
      <c r="C62" s="21" t="inlineStr">
        <is>
          <t>2</t>
        </is>
      </c>
      <c r="D62" s="21" t="inlineStr">
        <is>
          <t>14</t>
        </is>
      </c>
      <c r="E62" s="21" t="inlineStr">
        <is>
          <t>Prise en charge des affections primaires</t>
        </is>
      </c>
      <c r="F62" s="21" t="inlineStr">
        <is>
          <t>Soins infirmiers en affections respiratoires</t>
        </is>
      </c>
      <c r="H62" s="21" t="n">
        <v>10</v>
      </c>
      <c r="I62" s="21" t="n">
        <v>4</v>
      </c>
      <c r="J62" s="21" t="n">
        <v>6</v>
      </c>
      <c r="K62" s="21" t="n">
        <v>20</v>
      </c>
      <c r="L62" s="21" t="n">
        <v>150</v>
      </c>
      <c r="M62" s="21" t="n">
        <v>10</v>
      </c>
      <c r="N62" s="21" t="inlineStr">
        <is>
          <t>Coef</t>
        </is>
      </c>
    </row>
    <row r="63">
      <c r="A63" s="21" t="inlineStr">
        <is>
          <t>Soins infirmiers</t>
        </is>
      </c>
      <c r="B63" s="21" t="inlineStr">
        <is>
          <t>L1</t>
        </is>
      </c>
      <c r="C63" s="21" t="inlineStr">
        <is>
          <t>2</t>
        </is>
      </c>
      <c r="D63" s="21" t="inlineStr">
        <is>
          <t>14</t>
        </is>
      </c>
      <c r="E63" s="21" t="inlineStr">
        <is>
          <t>Prise en charge des affections primaires</t>
        </is>
      </c>
      <c r="F63" s="21" t="inlineStr">
        <is>
          <t>Pathologies digestives</t>
        </is>
      </c>
      <c r="H63" s="21" t="n">
        <v>22</v>
      </c>
      <c r="I63" s="21" t="n">
        <v>6</v>
      </c>
      <c r="J63" s="21" t="n">
        <v>0</v>
      </c>
      <c r="K63" s="21" t="n">
        <v>28</v>
      </c>
      <c r="L63" s="21" t="n">
        <v>150</v>
      </c>
      <c r="M63" s="21" t="n">
        <v>10</v>
      </c>
      <c r="N63" s="21" t="inlineStr">
        <is>
          <t>Coef</t>
        </is>
      </c>
    </row>
    <row r="64">
      <c r="A64" s="21" t="inlineStr">
        <is>
          <t>Soins infirmiers</t>
        </is>
      </c>
      <c r="B64" s="21" t="inlineStr">
        <is>
          <t>L1</t>
        </is>
      </c>
      <c r="C64" s="21" t="inlineStr">
        <is>
          <t>2</t>
        </is>
      </c>
      <c r="D64" s="21" t="inlineStr">
        <is>
          <t>14</t>
        </is>
      </c>
      <c r="E64" s="21" t="inlineStr">
        <is>
          <t>Prise en charge des affections primaires</t>
        </is>
      </c>
      <c r="F64" s="21" t="inlineStr">
        <is>
          <t>Soins infirmiers en affections digestives</t>
        </is>
      </c>
      <c r="H64" s="21" t="n">
        <v>10</v>
      </c>
      <c r="I64" s="21" t="n">
        <v>4</v>
      </c>
      <c r="J64" s="21" t="n">
        <v>6</v>
      </c>
      <c r="K64" s="21" t="n">
        <v>20</v>
      </c>
      <c r="L64" s="21" t="n">
        <v>150</v>
      </c>
      <c r="M64" s="21" t="n">
        <v>10</v>
      </c>
      <c r="N64" s="21" t="inlineStr">
        <is>
          <t>Coef</t>
        </is>
      </c>
    </row>
    <row r="65">
      <c r="A65" s="21" t="inlineStr">
        <is>
          <t>Soins infirmiers</t>
        </is>
      </c>
      <c r="B65" s="21" t="inlineStr">
        <is>
          <t>L1</t>
        </is>
      </c>
      <c r="C65" s="21" t="inlineStr">
        <is>
          <t>2</t>
        </is>
      </c>
      <c r="D65" s="21" t="inlineStr">
        <is>
          <t>14</t>
        </is>
      </c>
      <c r="E65" s="21" t="inlineStr">
        <is>
          <t>Prise en charge des affections primaires</t>
        </is>
      </c>
      <c r="F65" s="21" t="inlineStr">
        <is>
          <t>Pharmacologie et thérapeutique</t>
        </is>
      </c>
      <c r="H65" s="21" t="n">
        <v>16</v>
      </c>
      <c r="I65" s="21" t="n">
        <v>6</v>
      </c>
      <c r="J65" s="21" t="n">
        <v>0</v>
      </c>
      <c r="K65" s="21" t="n">
        <v>22</v>
      </c>
      <c r="L65" s="21" t="n">
        <v>150</v>
      </c>
      <c r="M65" s="21" t="n">
        <v>10</v>
      </c>
      <c r="N65" s="21" t="inlineStr">
        <is>
          <t>Coef</t>
        </is>
      </c>
    </row>
    <row r="66">
      <c r="A66" s="21" t="inlineStr">
        <is>
          <t>Soins infirmiers</t>
        </is>
      </c>
      <c r="B66" s="21" t="inlineStr">
        <is>
          <t>L2</t>
        </is>
      </c>
      <c r="C66" s="21" t="inlineStr">
        <is>
          <t>3</t>
        </is>
      </c>
      <c r="D66" s="21" t="inlineStr">
        <is>
          <t>16</t>
        </is>
      </c>
      <c r="E66" s="21" t="inlineStr">
        <is>
          <t>Obstétrique normale</t>
        </is>
      </c>
      <c r="F66" s="21" t="inlineStr">
        <is>
          <t>Physiologie de la grossesse</t>
        </is>
      </c>
      <c r="H66" s="21" t="n">
        <v>10</v>
      </c>
      <c r="I66" s="21" t="n">
        <v>2</v>
      </c>
      <c r="J66" s="21" t="n">
        <v>0</v>
      </c>
      <c r="K66" s="21" t="n">
        <v>12</v>
      </c>
      <c r="L66" s="21" t="n">
        <v>36</v>
      </c>
      <c r="M66" s="21" t="n">
        <v>2</v>
      </c>
      <c r="N66" s="21" t="inlineStr">
        <is>
          <t>Coef</t>
        </is>
      </c>
    </row>
    <row r="67">
      <c r="A67" s="21" t="inlineStr">
        <is>
          <t>Soins infirmiers</t>
        </is>
      </c>
      <c r="B67" s="21" t="inlineStr">
        <is>
          <t>L2</t>
        </is>
      </c>
      <c r="C67" s="21" t="inlineStr">
        <is>
          <t>3</t>
        </is>
      </c>
      <c r="D67" s="21" t="inlineStr">
        <is>
          <t>16</t>
        </is>
      </c>
      <c r="E67" s="21" t="inlineStr">
        <is>
          <t>Obstétrique normale</t>
        </is>
      </c>
      <c r="F67" s="21" t="inlineStr">
        <is>
          <t>Signe, diagnostique et surveillance de la grossesse</t>
        </is>
      </c>
      <c r="H67" s="21" t="n">
        <v>6</v>
      </c>
      <c r="I67" s="21" t="n">
        <v>2</v>
      </c>
      <c r="J67" s="21" t="n">
        <v>0</v>
      </c>
      <c r="K67" s="21" t="n">
        <v>8</v>
      </c>
      <c r="L67" s="21" t="n">
        <v>36</v>
      </c>
      <c r="M67" s="21" t="n">
        <v>2</v>
      </c>
      <c r="N67" s="21" t="inlineStr">
        <is>
          <t>Coef</t>
        </is>
      </c>
    </row>
    <row r="68">
      <c r="A68" s="21" t="inlineStr">
        <is>
          <t>Soins infirmiers</t>
        </is>
      </c>
      <c r="B68" s="21" t="inlineStr">
        <is>
          <t>L2</t>
        </is>
      </c>
      <c r="C68" s="21" t="inlineStr">
        <is>
          <t>3</t>
        </is>
      </c>
      <c r="D68" s="21" t="inlineStr">
        <is>
          <t>16</t>
        </is>
      </c>
      <c r="E68" s="21" t="inlineStr">
        <is>
          <t>Obstétrique normale</t>
        </is>
      </c>
      <c r="F68" s="21" t="inlineStr">
        <is>
          <t>Accouchement eutocique</t>
        </is>
      </c>
      <c r="H68" s="21" t="n">
        <v>8</v>
      </c>
      <c r="I68" s="21" t="n">
        <v>2</v>
      </c>
      <c r="J68" s="21" t="n">
        <v>6</v>
      </c>
      <c r="K68" s="21" t="n">
        <v>16</v>
      </c>
      <c r="L68" s="21" t="n">
        <v>36</v>
      </c>
      <c r="M68" s="21" t="n">
        <v>2</v>
      </c>
      <c r="N68" s="21" t="inlineStr">
        <is>
          <t>Coef</t>
        </is>
      </c>
    </row>
    <row r="69">
      <c r="A69" s="21" t="inlineStr">
        <is>
          <t>Soins infirmiers</t>
        </is>
      </c>
      <c r="B69" s="21" t="inlineStr">
        <is>
          <t>L2</t>
        </is>
      </c>
      <c r="C69" s="21" t="inlineStr">
        <is>
          <t>3</t>
        </is>
      </c>
      <c r="D69" s="21" t="inlineStr">
        <is>
          <t>18</t>
        </is>
      </c>
      <c r="E69" s="21" t="inlineStr">
        <is>
          <t>Education à la santé et communication</t>
        </is>
      </c>
      <c r="F69" s="21" t="inlineStr">
        <is>
          <t>Education à la santé</t>
        </is>
      </c>
      <c r="H69" s="21" t="n">
        <v>4</v>
      </c>
      <c r="I69" s="21" t="n">
        <v>2</v>
      </c>
      <c r="J69" s="21" t="n">
        <v>0</v>
      </c>
      <c r="K69" s="21" t="n">
        <v>6</v>
      </c>
      <c r="L69" s="21" t="n">
        <v>24</v>
      </c>
      <c r="M69" s="21" t="n">
        <v>1</v>
      </c>
      <c r="N69" s="21" t="inlineStr">
        <is>
          <t>Coef</t>
        </is>
      </c>
    </row>
    <row r="70">
      <c r="A70" s="21" t="inlineStr">
        <is>
          <t>Soins infirmiers</t>
        </is>
      </c>
      <c r="B70" s="21" t="inlineStr">
        <is>
          <t>L2</t>
        </is>
      </c>
      <c r="C70" s="21" t="inlineStr">
        <is>
          <t>3</t>
        </is>
      </c>
      <c r="D70" s="21" t="inlineStr">
        <is>
          <t>18</t>
        </is>
      </c>
      <c r="E70" s="21" t="inlineStr">
        <is>
          <t>Education à la santé et communication</t>
        </is>
      </c>
      <c r="F70" s="21" t="inlineStr">
        <is>
          <t>Education thérapeutique du patient</t>
        </is>
      </c>
      <c r="H70" s="21" t="n">
        <v>4</v>
      </c>
      <c r="I70" s="21" t="n">
        <v>4</v>
      </c>
      <c r="J70" s="21" t="n">
        <v>0</v>
      </c>
      <c r="K70" s="21" t="n">
        <v>8</v>
      </c>
      <c r="L70" s="21" t="n">
        <v>24</v>
      </c>
      <c r="M70" s="21" t="n">
        <v>1</v>
      </c>
      <c r="N70" s="21" t="inlineStr">
        <is>
          <t>Coef</t>
        </is>
      </c>
    </row>
    <row r="71">
      <c r="A71" s="21" t="inlineStr">
        <is>
          <t>Soins infirmiers</t>
        </is>
      </c>
      <c r="B71" s="21" t="inlineStr">
        <is>
          <t>L2</t>
        </is>
      </c>
      <c r="C71" s="21" t="inlineStr">
        <is>
          <t>3</t>
        </is>
      </c>
      <c r="D71" s="21" t="inlineStr">
        <is>
          <t>18</t>
        </is>
      </c>
      <c r="E71" s="21" t="inlineStr">
        <is>
          <t>Education à la santé et communication</t>
        </is>
      </c>
      <c r="F71" s="21" t="inlineStr">
        <is>
          <t>Communication</t>
        </is>
      </c>
      <c r="H71" s="21" t="n">
        <v>8</v>
      </c>
      <c r="I71" s="21" t="n">
        <v>2</v>
      </c>
      <c r="J71" s="21" t="n">
        <v>0</v>
      </c>
      <c r="K71" s="21" t="n">
        <v>10</v>
      </c>
      <c r="L71" s="21" t="n">
        <v>24</v>
      </c>
      <c r="M71" s="21" t="n">
        <v>1</v>
      </c>
      <c r="N71" s="21" t="inlineStr">
        <is>
          <t>Coef</t>
        </is>
      </c>
    </row>
    <row r="72">
      <c r="A72" s="21" t="inlineStr">
        <is>
          <t>Soins infirmiers</t>
        </is>
      </c>
      <c r="B72" s="21" t="inlineStr">
        <is>
          <t>L2</t>
        </is>
      </c>
      <c r="C72" s="21" t="inlineStr">
        <is>
          <t>3</t>
        </is>
      </c>
      <c r="D72" s="21" t="inlineStr">
        <is>
          <t>18</t>
        </is>
      </c>
      <c r="E72" s="21" t="inlineStr">
        <is>
          <t>Soins infirmiers en pédiatrie</t>
        </is>
      </c>
      <c r="F72" s="21" t="inlineStr">
        <is>
          <t>Psychologie de l’enfant</t>
        </is>
      </c>
      <c r="H72" s="21" t="n">
        <v>6</v>
      </c>
      <c r="I72" s="21" t="n">
        <v>2</v>
      </c>
      <c r="J72" s="21" t="n">
        <v>0</v>
      </c>
      <c r="K72" s="21" t="n">
        <v>8</v>
      </c>
      <c r="L72" s="21" t="n">
        <v>86</v>
      </c>
      <c r="M72" s="21" t="n">
        <v>5</v>
      </c>
      <c r="N72" s="21" t="inlineStr">
        <is>
          <t>Coef</t>
        </is>
      </c>
    </row>
    <row r="73">
      <c r="A73" s="21" t="inlineStr">
        <is>
          <t>Soins infirmiers</t>
        </is>
      </c>
      <c r="B73" s="21" t="inlineStr">
        <is>
          <t>L2</t>
        </is>
      </c>
      <c r="C73" s="21" t="inlineStr">
        <is>
          <t>3</t>
        </is>
      </c>
      <c r="D73" s="21" t="inlineStr">
        <is>
          <t>18</t>
        </is>
      </c>
      <c r="E73" s="21" t="inlineStr">
        <is>
          <t>Soins infirmiers en pédiatrie</t>
        </is>
      </c>
      <c r="F73" s="21" t="inlineStr">
        <is>
          <t>Pédiatrie et néonatologie</t>
        </is>
      </c>
      <c r="H73" s="21" t="n">
        <v>16</v>
      </c>
      <c r="I73" s="21" t="n">
        <v>4</v>
      </c>
      <c r="J73" s="21" t="n">
        <v>0</v>
      </c>
      <c r="K73" s="21" t="n">
        <v>20</v>
      </c>
      <c r="L73" s="21" t="n">
        <v>86</v>
      </c>
      <c r="M73" s="21" t="n">
        <v>5</v>
      </c>
      <c r="N73" s="21" t="inlineStr">
        <is>
          <t>Coef</t>
        </is>
      </c>
    </row>
    <row r="74">
      <c r="A74" s="21" t="inlineStr">
        <is>
          <t>Soins infirmiers</t>
        </is>
      </c>
      <c r="B74" s="21" t="inlineStr">
        <is>
          <t>L2</t>
        </is>
      </c>
      <c r="C74" s="21" t="inlineStr">
        <is>
          <t>3</t>
        </is>
      </c>
      <c r="D74" s="21" t="inlineStr">
        <is>
          <t>18</t>
        </is>
      </c>
      <c r="E74" s="21" t="inlineStr">
        <is>
          <t>Soins infirmiers en pédiatrie</t>
        </is>
      </c>
      <c r="F74" s="21" t="inlineStr">
        <is>
          <t>Pathologies spécifiques</t>
        </is>
      </c>
      <c r="H74" s="21" t="n">
        <v>16</v>
      </c>
      <c r="I74" s="21" t="n">
        <v>4</v>
      </c>
      <c r="J74" s="21" t="n">
        <v>0</v>
      </c>
      <c r="K74" s="21" t="n">
        <v>20</v>
      </c>
      <c r="L74" s="21" t="n">
        <v>86</v>
      </c>
      <c r="M74" s="21" t="n">
        <v>5</v>
      </c>
      <c r="N74" s="21" t="inlineStr">
        <is>
          <t>Coef</t>
        </is>
      </c>
    </row>
    <row r="75">
      <c r="A75" s="21" t="inlineStr">
        <is>
          <t>Soins infirmiers</t>
        </is>
      </c>
      <c r="B75" s="21" t="inlineStr">
        <is>
          <t>L2</t>
        </is>
      </c>
      <c r="C75" s="21" t="inlineStr">
        <is>
          <t>3</t>
        </is>
      </c>
      <c r="D75" s="21" t="inlineStr">
        <is>
          <t>18</t>
        </is>
      </c>
      <c r="E75" s="21" t="inlineStr">
        <is>
          <t>Soins infirmiers en pédiatrie</t>
        </is>
      </c>
      <c r="F75" s="21" t="inlineStr">
        <is>
          <t>Soins infirmiers en pédiatrie</t>
        </is>
      </c>
      <c r="H75" s="21" t="n">
        <v>10</v>
      </c>
      <c r="I75" s="21" t="n">
        <v>2</v>
      </c>
      <c r="J75" s="21" t="n">
        <v>6</v>
      </c>
      <c r="K75" s="21" t="n">
        <v>18</v>
      </c>
      <c r="L75" s="21" t="n">
        <v>86</v>
      </c>
      <c r="M75" s="21" t="n">
        <v>5</v>
      </c>
      <c r="N75" s="21" t="inlineStr">
        <is>
          <t>Coef</t>
        </is>
      </c>
    </row>
    <row r="76">
      <c r="A76" s="21" t="inlineStr">
        <is>
          <t>Soins infirmiers</t>
        </is>
      </c>
      <c r="B76" s="21" t="inlineStr">
        <is>
          <t>L2</t>
        </is>
      </c>
      <c r="C76" s="21" t="inlineStr">
        <is>
          <t>3</t>
        </is>
      </c>
      <c r="D76" s="21" t="inlineStr">
        <is>
          <t>18</t>
        </is>
      </c>
      <c r="E76" s="21" t="inlineStr">
        <is>
          <t>Soins infirmiers en pédiatrie</t>
        </is>
      </c>
      <c r="F76" s="21" t="inlineStr">
        <is>
          <t>Pathologie chirurgicale pédiatrique</t>
        </is>
      </c>
      <c r="H76" s="21" t="n">
        <v>18</v>
      </c>
      <c r="I76" s="21" t="n">
        <v>2</v>
      </c>
      <c r="J76" s="21" t="n">
        <v>0</v>
      </c>
      <c r="K76" s="21" t="n">
        <v>20</v>
      </c>
      <c r="L76" s="21" t="n">
        <v>86</v>
      </c>
      <c r="M76" s="21" t="n">
        <v>5</v>
      </c>
      <c r="N76" s="21" t="inlineStr">
        <is>
          <t>Coef</t>
        </is>
      </c>
    </row>
    <row r="77">
      <c r="A77" s="21" t="inlineStr">
        <is>
          <t>Soins infirmiers</t>
        </is>
      </c>
      <c r="B77" s="21" t="inlineStr">
        <is>
          <t>L2</t>
        </is>
      </c>
      <c r="C77" s="21" t="inlineStr">
        <is>
          <t>3</t>
        </is>
      </c>
      <c r="D77" s="21" t="inlineStr">
        <is>
          <t>20</t>
        </is>
      </c>
      <c r="E77" s="21" t="inlineStr">
        <is>
          <t>Nutrition et diététique/2</t>
        </is>
      </c>
      <c r="F77" s="21" t="inlineStr">
        <is>
          <t>Prise en charge diététique des carences et de la surnutrition</t>
        </is>
      </c>
      <c r="H77" s="21" t="n">
        <v>6</v>
      </c>
      <c r="I77" s="21" t="n">
        <v>4</v>
      </c>
      <c r="J77" s="21" t="n">
        <v>0</v>
      </c>
      <c r="K77" s="21" t="n">
        <v>10</v>
      </c>
      <c r="L77" s="21" t="n">
        <v>30</v>
      </c>
      <c r="M77" s="21" t="n">
        <v>2</v>
      </c>
      <c r="N77" s="21" t="inlineStr">
        <is>
          <t>Coef</t>
        </is>
      </c>
    </row>
    <row r="78">
      <c r="A78" s="21" t="inlineStr">
        <is>
          <t>Soins infirmiers</t>
        </is>
      </c>
      <c r="B78" s="21" t="inlineStr">
        <is>
          <t>L2</t>
        </is>
      </c>
      <c r="C78" s="21" t="inlineStr">
        <is>
          <t>3</t>
        </is>
      </c>
      <c r="D78" s="21" t="inlineStr">
        <is>
          <t>20</t>
        </is>
      </c>
      <c r="E78" s="21" t="inlineStr">
        <is>
          <t>Nutrition et diététique/2</t>
        </is>
      </c>
      <c r="F78" s="21" t="inlineStr">
        <is>
          <t>Aspects cliniques et pratiques de la nutrition et de la diététique</t>
        </is>
      </c>
      <c r="H78" s="21" t="n">
        <v>16</v>
      </c>
      <c r="I78" s="21" t="n">
        <v>4</v>
      </c>
      <c r="J78" s="21" t="n">
        <v>0</v>
      </c>
      <c r="K78" s="21" t="n">
        <v>20</v>
      </c>
      <c r="L78" s="21" t="n">
        <v>30</v>
      </c>
      <c r="M78" s="21" t="n">
        <v>2</v>
      </c>
      <c r="N78" s="21" t="inlineStr">
        <is>
          <t>Coef</t>
        </is>
      </c>
    </row>
    <row r="79">
      <c r="A79" s="21" t="inlineStr">
        <is>
          <t>Soins infirmiers</t>
        </is>
      </c>
      <c r="B79" s="21" t="inlineStr">
        <is>
          <t>L2</t>
        </is>
      </c>
      <c r="C79" s="21" t="inlineStr">
        <is>
          <t>3</t>
        </is>
      </c>
      <c r="D79" s="21" t="inlineStr">
        <is>
          <t>21</t>
        </is>
      </c>
      <c r="E79" s="21" t="inlineStr">
        <is>
          <t>Soins promotionnels, préventifs et adaptatifs/1</t>
        </is>
      </c>
      <c r="F79" s="21" t="inlineStr">
        <is>
          <t>Puériculture</t>
        </is>
      </c>
      <c r="H79" s="21" t="n">
        <v>8</v>
      </c>
      <c r="I79" s="21" t="n">
        <v>2</v>
      </c>
      <c r="J79" s="21" t="n">
        <v>4</v>
      </c>
      <c r="K79" s="21" t="n">
        <v>14</v>
      </c>
      <c r="L79" s="21" t="n">
        <v>64</v>
      </c>
      <c r="M79" s="21" t="n">
        <v>4</v>
      </c>
      <c r="N79" s="21" t="inlineStr">
        <is>
          <t>Coef</t>
        </is>
      </c>
    </row>
    <row r="80">
      <c r="A80" s="21" t="inlineStr">
        <is>
          <t>Soins infirmiers</t>
        </is>
      </c>
      <c r="B80" s="21" t="inlineStr">
        <is>
          <t>L2</t>
        </is>
      </c>
      <c r="C80" s="21" t="inlineStr">
        <is>
          <t>3</t>
        </is>
      </c>
      <c r="D80" s="21" t="inlineStr">
        <is>
          <t>21</t>
        </is>
      </c>
      <c r="E80" s="21" t="inlineStr">
        <is>
          <t>Soins promotionnels, préventifs et adaptatifs/1</t>
        </is>
      </c>
      <c r="F80" s="21" t="inlineStr">
        <is>
          <t>Santé de la reproduction</t>
        </is>
      </c>
      <c r="H80" s="21" t="n">
        <v>20</v>
      </c>
      <c r="I80" s="21" t="n">
        <v>2</v>
      </c>
      <c r="J80" s="21" t="n">
        <v>0</v>
      </c>
      <c r="K80" s="21" t="n">
        <v>22</v>
      </c>
      <c r="L80" s="21" t="n">
        <v>64</v>
      </c>
      <c r="M80" s="21" t="n">
        <v>4</v>
      </c>
      <c r="N80" s="21" t="inlineStr">
        <is>
          <t>Coef</t>
        </is>
      </c>
    </row>
    <row r="81">
      <c r="A81" s="21" t="inlineStr">
        <is>
          <t>Soins infirmiers</t>
        </is>
      </c>
      <c r="B81" s="21" t="inlineStr">
        <is>
          <t>L2</t>
        </is>
      </c>
      <c r="C81" s="21" t="inlineStr">
        <is>
          <t>3</t>
        </is>
      </c>
      <c r="D81" s="21" t="inlineStr">
        <is>
          <t>21</t>
        </is>
      </c>
      <c r="E81" s="21" t="inlineStr">
        <is>
          <t>Soins promotionnels, préventifs et adaptatifs/1</t>
        </is>
      </c>
      <c r="F81" s="21" t="inlineStr">
        <is>
          <t>Vaccination</t>
        </is>
      </c>
      <c r="H81" s="21" t="n">
        <v>6</v>
      </c>
      <c r="I81" s="21" t="n">
        <v>2</v>
      </c>
      <c r="K81" s="21" t="n">
        <v>8</v>
      </c>
      <c r="L81" s="21" t="n">
        <v>64</v>
      </c>
      <c r="M81" s="21" t="n">
        <v>4</v>
      </c>
      <c r="N81" s="21" t="inlineStr">
        <is>
          <t>Coef</t>
        </is>
      </c>
    </row>
    <row r="82">
      <c r="A82" s="21" t="inlineStr">
        <is>
          <t>Soins infirmiers</t>
        </is>
      </c>
      <c r="B82" s="21" t="inlineStr">
        <is>
          <t>L2</t>
        </is>
      </c>
      <c r="C82" s="21" t="inlineStr">
        <is>
          <t>3</t>
        </is>
      </c>
      <c r="D82" s="21" t="inlineStr">
        <is>
          <t>21</t>
        </is>
      </c>
      <c r="E82" s="21" t="inlineStr">
        <is>
          <t>Soins promotionnels, préventifs et adaptatifs/1</t>
        </is>
      </c>
      <c r="F82" s="21" t="inlineStr">
        <is>
          <t>PCIMA (Prise en charge intégrée de la malnutrition aigüe)</t>
        </is>
      </c>
      <c r="H82" s="21" t="n">
        <v>6</v>
      </c>
      <c r="I82" s="21" t="n">
        <v>4</v>
      </c>
      <c r="J82" s="21" t="n">
        <v>0</v>
      </c>
      <c r="K82" s="21" t="n">
        <v>10</v>
      </c>
      <c r="L82" s="21" t="n">
        <v>64</v>
      </c>
      <c r="M82" s="21" t="n">
        <v>4</v>
      </c>
      <c r="N82" s="21" t="inlineStr">
        <is>
          <t>Coef</t>
        </is>
      </c>
    </row>
    <row r="83">
      <c r="A83" s="21" t="inlineStr">
        <is>
          <t>Soins infirmiers</t>
        </is>
      </c>
      <c r="B83" s="21" t="inlineStr">
        <is>
          <t>L2</t>
        </is>
      </c>
      <c r="C83" s="21" t="inlineStr">
        <is>
          <t>3</t>
        </is>
      </c>
      <c r="D83" s="21" t="inlineStr">
        <is>
          <t>21</t>
        </is>
      </c>
      <c r="E83" s="21" t="inlineStr">
        <is>
          <t>Soins promotionnels, préventifs et adaptatifs/1</t>
        </is>
      </c>
      <c r="F83" s="21" t="inlineStr">
        <is>
          <t>PCIME (Prise en charge intégrée des maladies de l’enfant)</t>
        </is>
      </c>
      <c r="H83" s="21" t="n">
        <v>6</v>
      </c>
      <c r="I83" s="21" t="n">
        <v>4</v>
      </c>
      <c r="J83" s="21" t="n">
        <v>0</v>
      </c>
      <c r="K83" s="21" t="n">
        <v>10</v>
      </c>
      <c r="L83" s="21" t="n">
        <v>64</v>
      </c>
      <c r="M83" s="21" t="n">
        <v>4</v>
      </c>
      <c r="N83" s="21" t="inlineStr">
        <is>
          <t>Coef</t>
        </is>
      </c>
    </row>
    <row r="84">
      <c r="A84" s="21" t="inlineStr">
        <is>
          <t>Soins infirmiers</t>
        </is>
      </c>
      <c r="B84" s="21" t="inlineStr">
        <is>
          <t>L2</t>
        </is>
      </c>
      <c r="C84" s="21" t="inlineStr">
        <is>
          <t>3</t>
        </is>
      </c>
      <c r="D84" s="21" t="inlineStr">
        <is>
          <t>22</t>
        </is>
      </c>
      <c r="E84" s="21" t="inlineStr">
        <is>
          <t>Examen de santé</t>
        </is>
      </c>
      <c r="F84" s="21" t="inlineStr">
        <is>
          <t>Antécédents médicaux complets</t>
        </is>
      </c>
      <c r="H84" s="21" t="n">
        <v>4</v>
      </c>
      <c r="I84" s="21" t="n">
        <v>2</v>
      </c>
      <c r="J84" s="21" t="n">
        <v>0</v>
      </c>
      <c r="K84" s="21" t="n">
        <v>6</v>
      </c>
      <c r="L84" s="21" t="n">
        <v>38</v>
      </c>
      <c r="M84" s="21" t="n">
        <v>2</v>
      </c>
      <c r="N84" s="21" t="inlineStr">
        <is>
          <t>Coef</t>
        </is>
      </c>
    </row>
    <row r="85">
      <c r="A85" s="21" t="inlineStr">
        <is>
          <t>Soins infirmiers</t>
        </is>
      </c>
      <c r="B85" s="21" t="inlineStr">
        <is>
          <t>L2</t>
        </is>
      </c>
      <c r="C85" s="21" t="inlineStr">
        <is>
          <t>3</t>
        </is>
      </c>
      <c r="D85" s="21" t="inlineStr">
        <is>
          <t>22</t>
        </is>
      </c>
      <c r="E85" s="21" t="inlineStr">
        <is>
          <t>Examen de santé</t>
        </is>
      </c>
      <c r="F85" s="21" t="inlineStr">
        <is>
          <t>Examen physique</t>
        </is>
      </c>
      <c r="H85" s="21" t="n">
        <v>8</v>
      </c>
      <c r="I85" s="21" t="n">
        <v>2</v>
      </c>
      <c r="J85" s="21" t="n">
        <v>6</v>
      </c>
      <c r="K85" s="21" t="n">
        <v>16</v>
      </c>
      <c r="L85" s="21" t="n">
        <v>38</v>
      </c>
      <c r="M85" s="21" t="n">
        <v>2</v>
      </c>
      <c r="N85" s="21" t="inlineStr">
        <is>
          <t>Coef</t>
        </is>
      </c>
    </row>
    <row r="86">
      <c r="A86" s="21" t="inlineStr">
        <is>
          <t>Soins infirmiers</t>
        </is>
      </c>
      <c r="B86" s="21" t="inlineStr">
        <is>
          <t>L2</t>
        </is>
      </c>
      <c r="C86" s="21" t="inlineStr">
        <is>
          <t>3</t>
        </is>
      </c>
      <c r="D86" s="21" t="inlineStr">
        <is>
          <t>22</t>
        </is>
      </c>
      <c r="E86" s="21" t="inlineStr">
        <is>
          <t>Examen de santé</t>
        </is>
      </c>
      <c r="F86" s="21" t="inlineStr">
        <is>
          <t>Evaluation de groupes spéciaux</t>
        </is>
      </c>
      <c r="H86" s="21" t="n">
        <v>4</v>
      </c>
      <c r="I86" s="21" t="n">
        <v>2</v>
      </c>
      <c r="J86" s="21" t="n">
        <v>0</v>
      </c>
      <c r="K86" s="21" t="n">
        <v>6</v>
      </c>
      <c r="L86" s="21" t="n">
        <v>38</v>
      </c>
      <c r="M86" s="21" t="n">
        <v>2</v>
      </c>
      <c r="N86" s="21" t="inlineStr">
        <is>
          <t>Coef</t>
        </is>
      </c>
    </row>
    <row r="87">
      <c r="A87" s="21" t="inlineStr">
        <is>
          <t>Soins infirmiers</t>
        </is>
      </c>
      <c r="B87" s="21" t="inlineStr">
        <is>
          <t>L2</t>
        </is>
      </c>
      <c r="C87" s="21" t="inlineStr">
        <is>
          <t>3</t>
        </is>
      </c>
      <c r="D87" s="21" t="inlineStr">
        <is>
          <t>22</t>
        </is>
      </c>
      <c r="E87" s="21" t="inlineStr">
        <is>
          <t>Examen de santé</t>
        </is>
      </c>
      <c r="F87" s="21" t="inlineStr">
        <is>
          <t>Investigations cliniques</t>
        </is>
      </c>
      <c r="H87" s="21" t="n">
        <v>4</v>
      </c>
      <c r="I87" s="21" t="n">
        <v>2</v>
      </c>
      <c r="J87" s="21" t="n">
        <v>4</v>
      </c>
      <c r="K87" s="21" t="n">
        <v>10</v>
      </c>
      <c r="L87" s="21" t="n">
        <v>38</v>
      </c>
      <c r="M87" s="21" t="n">
        <v>2</v>
      </c>
      <c r="N87" s="21" t="inlineStr">
        <is>
          <t>Coef</t>
        </is>
      </c>
    </row>
    <row r="88">
      <c r="A88" s="21" t="inlineStr">
        <is>
          <t>Soins infirmiers</t>
        </is>
      </c>
      <c r="B88" s="21" t="inlineStr">
        <is>
          <t>L2</t>
        </is>
      </c>
      <c r="C88" s="21" t="inlineStr">
        <is>
          <t>3</t>
        </is>
      </c>
      <c r="D88" s="21" t="inlineStr">
        <is>
          <t>24</t>
        </is>
      </c>
      <c r="E88" s="21" t="inlineStr">
        <is>
          <t>Prises en charges des pathologies médico-chirurgicales 1:</t>
        </is>
      </c>
      <c r="F88" s="21" t="inlineStr">
        <is>
          <t>Pathologies orthopédiques et traumatologiques</t>
        </is>
      </c>
      <c r="H88" s="21" t="n">
        <v>18</v>
      </c>
      <c r="I88" s="21" t="n">
        <v>2</v>
      </c>
      <c r="J88" s="21" t="n">
        <v>0</v>
      </c>
      <c r="K88" s="21" t="n">
        <v>20</v>
      </c>
      <c r="L88" s="21" t="n">
        <v>96</v>
      </c>
      <c r="M88" s="21" t="n">
        <v>6</v>
      </c>
      <c r="N88" s="21" t="inlineStr">
        <is>
          <t>Coef</t>
        </is>
      </c>
    </row>
    <row r="89">
      <c r="A89" s="21" t="inlineStr">
        <is>
          <t>Soins infirmiers</t>
        </is>
      </c>
      <c r="B89" s="21" t="inlineStr">
        <is>
          <t>L2</t>
        </is>
      </c>
      <c r="C89" s="21" t="inlineStr">
        <is>
          <t>3</t>
        </is>
      </c>
      <c r="D89" s="21" t="inlineStr">
        <is>
          <t>24</t>
        </is>
      </c>
      <c r="E89" s="21" t="inlineStr">
        <is>
          <t>Prises en charges des pathologies médico-chirurgicales 1:</t>
        </is>
      </c>
      <c r="F89" s="21" t="inlineStr">
        <is>
          <t>Soins infirmiers en orthopédie et traumatologie</t>
        </is>
      </c>
      <c r="H89" s="21" t="n">
        <v>8</v>
      </c>
      <c r="I89" s="21" t="n">
        <v>2</v>
      </c>
      <c r="J89" s="21" t="n">
        <v>4</v>
      </c>
      <c r="K89" s="21" t="n">
        <v>14</v>
      </c>
      <c r="L89" s="21" t="n">
        <v>96</v>
      </c>
      <c r="M89" s="21" t="n">
        <v>6</v>
      </c>
      <c r="N89" s="21" t="inlineStr">
        <is>
          <t>Coef</t>
        </is>
      </c>
    </row>
    <row r="90">
      <c r="A90" s="21" t="inlineStr">
        <is>
          <t>Soins infirmiers</t>
        </is>
      </c>
      <c r="B90" s="21" t="inlineStr">
        <is>
          <t>L2</t>
        </is>
      </c>
      <c r="C90" s="21" t="inlineStr">
        <is>
          <t>3</t>
        </is>
      </c>
      <c r="D90" s="21" t="inlineStr">
        <is>
          <t>24</t>
        </is>
      </c>
      <c r="E90" s="21" t="inlineStr">
        <is>
          <t>Prises en charges des pathologies médico-chirurgicales 1:</t>
        </is>
      </c>
      <c r="F90" s="21" t="inlineStr">
        <is>
          <t>Affections urologiques</t>
        </is>
      </c>
      <c r="H90" s="21" t="n">
        <v>8</v>
      </c>
      <c r="I90" s="21" t="n">
        <v>2</v>
      </c>
      <c r="J90" s="21" t="n">
        <v>0</v>
      </c>
      <c r="K90" s="21" t="n">
        <v>10</v>
      </c>
      <c r="L90" s="21" t="n">
        <v>96</v>
      </c>
      <c r="M90" s="21" t="n">
        <v>6</v>
      </c>
      <c r="N90" s="21" t="inlineStr">
        <is>
          <t>Coef</t>
        </is>
      </c>
    </row>
    <row r="91">
      <c r="A91" s="21" t="inlineStr">
        <is>
          <t>Soins infirmiers</t>
        </is>
      </c>
      <c r="B91" s="21" t="inlineStr">
        <is>
          <t>L2</t>
        </is>
      </c>
      <c r="C91" s="21" t="inlineStr">
        <is>
          <t>3</t>
        </is>
      </c>
      <c r="D91" s="21" t="inlineStr">
        <is>
          <t>24</t>
        </is>
      </c>
      <c r="E91" s="21" t="inlineStr">
        <is>
          <t>Prises en charges des pathologies médico-chirurgicales 1:</t>
        </is>
      </c>
      <c r="F91" s="21" t="inlineStr">
        <is>
          <t>Affections néphrologiques et dialyse</t>
        </is>
      </c>
      <c r="H91" s="21" t="n">
        <v>20</v>
      </c>
      <c r="I91" s="21" t="n">
        <v>2</v>
      </c>
      <c r="J91" s="21" t="n">
        <v>0</v>
      </c>
      <c r="K91" s="21" t="n">
        <v>22</v>
      </c>
      <c r="L91" s="21" t="n">
        <v>96</v>
      </c>
      <c r="M91" s="21" t="n">
        <v>6</v>
      </c>
      <c r="N91" s="21" t="inlineStr">
        <is>
          <t>Coef</t>
        </is>
      </c>
    </row>
    <row r="92">
      <c r="A92" s="21" t="inlineStr">
        <is>
          <t>Soins infirmiers</t>
        </is>
      </c>
      <c r="B92" s="21" t="inlineStr">
        <is>
          <t>L2</t>
        </is>
      </c>
      <c r="C92" s="21" t="inlineStr">
        <is>
          <t>3</t>
        </is>
      </c>
      <c r="D92" s="21" t="inlineStr">
        <is>
          <t>24</t>
        </is>
      </c>
      <c r="E92" s="21" t="inlineStr">
        <is>
          <t>Prises en charges des pathologies médico-chirurgicales 1:</t>
        </is>
      </c>
      <c r="F92" s="21" t="inlineStr">
        <is>
          <t>Soins infirmiers en uronéphrologie</t>
        </is>
      </c>
      <c r="H92" s="21" t="n">
        <v>8</v>
      </c>
      <c r="I92" s="21" t="n">
        <v>2</v>
      </c>
      <c r="J92" s="21" t="n">
        <v>4</v>
      </c>
      <c r="K92" s="21" t="n">
        <v>14</v>
      </c>
      <c r="L92" s="21" t="n">
        <v>96</v>
      </c>
      <c r="M92" s="21" t="n">
        <v>6</v>
      </c>
      <c r="N92" s="21" t="inlineStr">
        <is>
          <t>Coef</t>
        </is>
      </c>
    </row>
    <row r="93">
      <c r="A93" s="21" t="inlineStr">
        <is>
          <t>Soins infirmiers</t>
        </is>
      </c>
      <c r="B93" s="21" t="inlineStr">
        <is>
          <t>L2</t>
        </is>
      </c>
      <c r="C93" s="21" t="inlineStr">
        <is>
          <t>3</t>
        </is>
      </c>
      <c r="D93" s="21" t="inlineStr">
        <is>
          <t>24</t>
        </is>
      </c>
      <c r="E93" s="21" t="inlineStr">
        <is>
          <t>Prises en charges des pathologies médico-chirurgicales 1:</t>
        </is>
      </c>
      <c r="F93" s="21" t="inlineStr">
        <is>
          <t>Pharmacologie et thérapeutiques</t>
        </is>
      </c>
      <c r="H93" s="21" t="n">
        <v>12</v>
      </c>
      <c r="I93" s="21" t="n">
        <v>4</v>
      </c>
      <c r="J93" s="21" t="n">
        <v>0</v>
      </c>
      <c r="K93" s="21" t="n">
        <v>16</v>
      </c>
      <c r="L93" s="21" t="n">
        <v>96</v>
      </c>
      <c r="M93" s="21" t="n">
        <v>6</v>
      </c>
      <c r="N93" s="21" t="inlineStr">
        <is>
          <t>Coef</t>
        </is>
      </c>
    </row>
    <row r="94">
      <c r="A94" s="21" t="inlineStr">
        <is>
          <t>Soins infirmiers</t>
        </is>
      </c>
      <c r="B94" s="21" t="inlineStr">
        <is>
          <t>L2</t>
        </is>
      </c>
      <c r="C94" s="21" t="inlineStr">
        <is>
          <t>4</t>
        </is>
      </c>
      <c r="D94" s="21" t="inlineStr">
        <is>
          <t>25</t>
        </is>
      </c>
      <c r="E94" s="21" t="inlineStr">
        <is>
          <t>Prise en charge des pathologies médico-chirurgicales/2</t>
        </is>
      </c>
      <c r="F94" s="21" t="inlineStr">
        <is>
          <t>Affections neurologiques</t>
        </is>
      </c>
      <c r="H94" s="21" t="n">
        <v>18</v>
      </c>
      <c r="I94" s="21" t="n">
        <v>2</v>
      </c>
      <c r="J94" s="21" t="n">
        <v>0</v>
      </c>
      <c r="K94" s="21" t="n">
        <v>20</v>
      </c>
      <c r="L94" s="21" t="n">
        <v>157</v>
      </c>
      <c r="M94" s="21" t="n">
        <v>10</v>
      </c>
      <c r="N94" s="21" t="inlineStr">
        <is>
          <t>Coef</t>
        </is>
      </c>
    </row>
    <row r="95">
      <c r="A95" s="21" t="inlineStr">
        <is>
          <t>Soins infirmiers</t>
        </is>
      </c>
      <c r="B95" s="21" t="inlineStr">
        <is>
          <t>L2</t>
        </is>
      </c>
      <c r="C95" s="21" t="inlineStr">
        <is>
          <t>4</t>
        </is>
      </c>
      <c r="D95" s="21" t="inlineStr">
        <is>
          <t>25</t>
        </is>
      </c>
      <c r="E95" s="21" t="inlineStr">
        <is>
          <t>Prise en charge des pathologies médico-chirurgicales/2</t>
        </is>
      </c>
      <c r="F95" s="21" t="inlineStr">
        <is>
          <t>Soins infirmiers en neurologie</t>
        </is>
      </c>
      <c r="H95" s="21" t="n">
        <v>14</v>
      </c>
      <c r="I95" s="21" t="n">
        <v>2</v>
      </c>
      <c r="J95" s="21" t="n">
        <v>0</v>
      </c>
      <c r="K95" s="21" t="n">
        <v>16</v>
      </c>
      <c r="L95" s="21" t="n">
        <v>157</v>
      </c>
      <c r="M95" s="21" t="n">
        <v>10</v>
      </c>
      <c r="N95" s="21" t="inlineStr">
        <is>
          <t>Coef</t>
        </is>
      </c>
    </row>
    <row r="96">
      <c r="A96" s="21" t="inlineStr">
        <is>
          <t>Soins infirmiers</t>
        </is>
      </c>
      <c r="B96" s="21" t="inlineStr">
        <is>
          <t>L2</t>
        </is>
      </c>
      <c r="C96" s="21" t="inlineStr">
        <is>
          <t>4</t>
        </is>
      </c>
      <c r="D96" s="21" t="inlineStr">
        <is>
          <t>25</t>
        </is>
      </c>
      <c r="E96" s="21" t="inlineStr">
        <is>
          <t>Prise en charge des pathologies médico-chirurgicales/2</t>
        </is>
      </c>
      <c r="F96" s="21" t="inlineStr">
        <is>
          <t>Affections cardiologiques</t>
        </is>
      </c>
      <c r="H96" s="21" t="n">
        <v>26</v>
      </c>
      <c r="I96" s="21" t="n">
        <v>4</v>
      </c>
      <c r="J96" s="21" t="n">
        <v>0</v>
      </c>
      <c r="K96" s="21" t="n">
        <v>30</v>
      </c>
      <c r="L96" s="21" t="n">
        <v>157</v>
      </c>
      <c r="M96" s="21" t="n">
        <v>10</v>
      </c>
      <c r="N96" s="21" t="inlineStr">
        <is>
          <t>Coef</t>
        </is>
      </c>
    </row>
    <row r="97">
      <c r="A97" s="21" t="inlineStr">
        <is>
          <t>Soins infirmiers</t>
        </is>
      </c>
      <c r="B97" s="21" t="inlineStr">
        <is>
          <t>L2</t>
        </is>
      </c>
      <c r="C97" s="21" t="inlineStr">
        <is>
          <t>4</t>
        </is>
      </c>
      <c r="D97" s="21" t="inlineStr">
        <is>
          <t>25</t>
        </is>
      </c>
      <c r="E97" s="21" t="inlineStr">
        <is>
          <t>Prise en charge des pathologies médico-chirurgicales/2</t>
        </is>
      </c>
      <c r="F97" s="21" t="inlineStr">
        <is>
          <t>Soins infirmiers en cardiologie</t>
        </is>
      </c>
      <c r="H97" s="21" t="n">
        <v>15</v>
      </c>
      <c r="I97" s="21" t="n">
        <v>4</v>
      </c>
      <c r="J97" s="21" t="n">
        <v>6</v>
      </c>
      <c r="K97" s="21" t="n">
        <v>25</v>
      </c>
      <c r="L97" s="21" t="n">
        <v>157</v>
      </c>
      <c r="M97" s="21" t="n">
        <v>10</v>
      </c>
      <c r="N97" s="21" t="inlineStr">
        <is>
          <t>Coef</t>
        </is>
      </c>
    </row>
    <row r="98">
      <c r="A98" s="21" t="inlineStr">
        <is>
          <t>Soins infirmiers</t>
        </is>
      </c>
      <c r="B98" s="21" t="inlineStr">
        <is>
          <t>L2</t>
        </is>
      </c>
      <c r="C98" s="21" t="inlineStr">
        <is>
          <t>4</t>
        </is>
      </c>
      <c r="D98" s="21" t="inlineStr">
        <is>
          <t>25</t>
        </is>
      </c>
      <c r="E98" s="21" t="inlineStr">
        <is>
          <t>Prise en charge des pathologies médico-chirurgicales/2</t>
        </is>
      </c>
      <c r="F98" s="21" t="inlineStr">
        <is>
          <t>Personnes âgées (gériatrie)</t>
        </is>
      </c>
      <c r="H98" s="21" t="n">
        <v>18</v>
      </c>
      <c r="I98" s="21" t="n">
        <v>2</v>
      </c>
      <c r="J98" s="21" t="n">
        <v>0</v>
      </c>
      <c r="K98" s="21" t="n">
        <v>20</v>
      </c>
      <c r="L98" s="21" t="n">
        <v>157</v>
      </c>
      <c r="M98" s="21" t="n">
        <v>10</v>
      </c>
      <c r="N98" s="21" t="inlineStr">
        <is>
          <t>Coef</t>
        </is>
      </c>
    </row>
    <row r="99">
      <c r="A99" s="21" t="inlineStr">
        <is>
          <t>Soins infirmiers</t>
        </is>
      </c>
      <c r="B99" s="21" t="inlineStr">
        <is>
          <t>L2</t>
        </is>
      </c>
      <c r="C99" s="21" t="inlineStr">
        <is>
          <t>4</t>
        </is>
      </c>
      <c r="D99" s="21" t="inlineStr">
        <is>
          <t>25</t>
        </is>
      </c>
      <c r="E99" s="21" t="inlineStr">
        <is>
          <t>Prise en charge des pathologies médico-chirurgicales/2</t>
        </is>
      </c>
      <c r="F99" s="21" t="inlineStr">
        <is>
          <t>Soins infirmiers aux personnes âgées</t>
        </is>
      </c>
      <c r="H99" s="21" t="n">
        <v>10</v>
      </c>
      <c r="I99" s="21" t="n">
        <v>4</v>
      </c>
      <c r="J99" s="21" t="n">
        <v>0</v>
      </c>
      <c r="K99" s="21" t="n">
        <v>14</v>
      </c>
      <c r="L99" s="21" t="n">
        <v>157</v>
      </c>
      <c r="M99" s="21" t="n">
        <v>10</v>
      </c>
      <c r="N99" s="21" t="inlineStr">
        <is>
          <t>Coef</t>
        </is>
      </c>
    </row>
    <row r="100">
      <c r="A100" s="21" t="inlineStr">
        <is>
          <t>Soins infirmiers</t>
        </is>
      </c>
      <c r="B100" s="21" t="inlineStr">
        <is>
          <t>L2</t>
        </is>
      </c>
      <c r="C100" s="21" t="inlineStr">
        <is>
          <t>4</t>
        </is>
      </c>
      <c r="D100" s="21" t="inlineStr">
        <is>
          <t>25</t>
        </is>
      </c>
      <c r="E100" s="21" t="inlineStr">
        <is>
          <t>Prise en charge des pathologies médico-chirurgicales/2</t>
        </is>
      </c>
      <c r="F100" s="21" t="inlineStr">
        <is>
          <t>Personnes agonisantes et décédées</t>
        </is>
      </c>
      <c r="H100" s="21" t="n">
        <v>6</v>
      </c>
      <c r="I100" s="21" t="n">
        <v>2</v>
      </c>
      <c r="J100" s="21" t="n">
        <v>0</v>
      </c>
      <c r="K100" s="21" t="n">
        <v>8</v>
      </c>
      <c r="L100" s="21" t="n">
        <v>157</v>
      </c>
      <c r="M100" s="21" t="n">
        <v>10</v>
      </c>
      <c r="N100" s="21" t="inlineStr">
        <is>
          <t>Coef</t>
        </is>
      </c>
    </row>
    <row r="101">
      <c r="A101" s="21" t="inlineStr">
        <is>
          <t>Soins infirmiers</t>
        </is>
      </c>
      <c r="B101" s="21" t="inlineStr">
        <is>
          <t>L2</t>
        </is>
      </c>
      <c r="C101" s="21" t="inlineStr">
        <is>
          <t>4</t>
        </is>
      </c>
      <c r="D101" s="21" t="inlineStr">
        <is>
          <t>25</t>
        </is>
      </c>
      <c r="E101" s="21" t="inlineStr">
        <is>
          <t>Prise en charge des pathologies médico-chirurgicales/2</t>
        </is>
      </c>
      <c r="F101" s="21" t="inlineStr">
        <is>
          <t>Pharmacologie et thérapeutiques</t>
        </is>
      </c>
      <c r="H101" s="21" t="n">
        <v>20</v>
      </c>
      <c r="I101" s="21" t="n">
        <v>4</v>
      </c>
      <c r="J101" s="21" t="n">
        <v>0</v>
      </c>
      <c r="K101" s="21" t="n">
        <v>24</v>
      </c>
      <c r="L101" s="21" t="n">
        <v>157</v>
      </c>
      <c r="M101" s="21" t="n">
        <v>10</v>
      </c>
      <c r="N101" s="21" t="inlineStr">
        <is>
          <t>Coef</t>
        </is>
      </c>
    </row>
    <row r="102">
      <c r="A102" s="21" t="inlineStr">
        <is>
          <t>Soins infirmiers</t>
        </is>
      </c>
      <c r="B102" s="21" t="inlineStr">
        <is>
          <t>L2</t>
        </is>
      </c>
      <c r="C102" s="21" t="inlineStr">
        <is>
          <t>4</t>
        </is>
      </c>
      <c r="D102" s="21" t="inlineStr">
        <is>
          <t>27</t>
        </is>
      </c>
      <c r="E102" s="21" t="inlineStr">
        <is>
          <t>Soins infirmiers en milieu communautaire</t>
        </is>
      </c>
      <c r="F102" s="21" t="inlineStr">
        <is>
          <t>Base théorique des soins infirmiers en milieu communautaire</t>
        </is>
      </c>
      <c r="H102" s="21" t="n">
        <v>6</v>
      </c>
      <c r="I102" s="21" t="n">
        <v>2</v>
      </c>
      <c r="J102" s="21" t="n">
        <v>0</v>
      </c>
      <c r="K102" s="21" t="n">
        <v>8</v>
      </c>
      <c r="L102" s="21" t="n">
        <v>60</v>
      </c>
      <c r="M102" s="21" t="n">
        <v>4</v>
      </c>
      <c r="N102" s="21" t="inlineStr">
        <is>
          <t>Coef</t>
        </is>
      </c>
    </row>
    <row r="103">
      <c r="A103" s="21" t="inlineStr">
        <is>
          <t>Soins infirmiers</t>
        </is>
      </c>
      <c r="B103" s="21" t="inlineStr">
        <is>
          <t>L2</t>
        </is>
      </c>
      <c r="C103" s="21" t="inlineStr">
        <is>
          <t>4</t>
        </is>
      </c>
      <c r="D103" s="21" t="inlineStr">
        <is>
          <t>27</t>
        </is>
      </c>
      <c r="E103" s="21" t="inlineStr">
        <is>
          <t>Soins infirmiers en milieu communautaire</t>
        </is>
      </c>
      <c r="F103" s="21" t="inlineStr">
        <is>
          <t>Art et science des soins infirmiers en milieu communautaire</t>
        </is>
      </c>
      <c r="H103" s="21" t="n">
        <v>6</v>
      </c>
      <c r="I103" s="21" t="n">
        <v>2</v>
      </c>
      <c r="J103" s="21" t="n">
        <v>0</v>
      </c>
      <c r="K103" s="21" t="n">
        <v>8</v>
      </c>
      <c r="L103" s="21" t="n">
        <v>60</v>
      </c>
      <c r="M103" s="21" t="n">
        <v>4</v>
      </c>
      <c r="N103" s="21" t="inlineStr">
        <is>
          <t>Coef</t>
        </is>
      </c>
    </row>
    <row r="104">
      <c r="A104" s="21" t="inlineStr">
        <is>
          <t>Soins infirmiers</t>
        </is>
      </c>
      <c r="B104" s="21" t="inlineStr">
        <is>
          <t>L2</t>
        </is>
      </c>
      <c r="C104" s="21" t="inlineStr">
        <is>
          <t>4</t>
        </is>
      </c>
      <c r="D104" s="21" t="inlineStr">
        <is>
          <t>27</t>
        </is>
      </c>
      <c r="E104" s="21" t="inlineStr">
        <is>
          <t>Soins infirmiers en milieu communautaire</t>
        </is>
      </c>
      <c r="F104" s="21" t="inlineStr">
        <is>
          <t>Maladies transmissibles : prévention et intervention</t>
        </is>
      </c>
      <c r="H104" s="21" t="n">
        <v>6</v>
      </c>
      <c r="I104" s="21" t="n">
        <v>2</v>
      </c>
      <c r="J104" s="21" t="n">
        <v>0</v>
      </c>
      <c r="K104" s="21" t="n">
        <v>8</v>
      </c>
      <c r="L104" s="21" t="n">
        <v>60</v>
      </c>
      <c r="M104" s="21" t="n">
        <v>4</v>
      </c>
      <c r="N104" s="21" t="inlineStr">
        <is>
          <t>Coef</t>
        </is>
      </c>
    </row>
    <row r="105">
      <c r="A105" s="21" t="inlineStr">
        <is>
          <t>Soins infirmiers</t>
        </is>
      </c>
      <c r="B105" s="21" t="inlineStr">
        <is>
          <t>L2</t>
        </is>
      </c>
      <c r="C105" s="21" t="inlineStr">
        <is>
          <t>4</t>
        </is>
      </c>
      <c r="D105" s="21" t="inlineStr">
        <is>
          <t>27</t>
        </is>
      </c>
      <c r="E105" s="21" t="inlineStr">
        <is>
          <t>Soins infirmiers en milieu communautaire</t>
        </is>
      </c>
      <c r="F105" s="21" t="inlineStr">
        <is>
          <t>Santé familiale</t>
        </is>
      </c>
      <c r="H105" s="21" t="n">
        <v>6</v>
      </c>
      <c r="I105" s="21" t="n">
        <v>2</v>
      </c>
      <c r="J105" s="21" t="n">
        <v>0</v>
      </c>
      <c r="K105" s="21" t="n">
        <v>8</v>
      </c>
      <c r="L105" s="21" t="n">
        <v>60</v>
      </c>
      <c r="M105" s="21" t="n">
        <v>4</v>
      </c>
      <c r="N105" s="21" t="inlineStr">
        <is>
          <t>Coef</t>
        </is>
      </c>
    </row>
    <row r="106">
      <c r="A106" s="21" t="inlineStr">
        <is>
          <t>Soins infirmiers</t>
        </is>
      </c>
      <c r="B106" s="21" t="inlineStr">
        <is>
          <t>L2</t>
        </is>
      </c>
      <c r="C106" s="21" t="inlineStr">
        <is>
          <t>4</t>
        </is>
      </c>
      <c r="D106" s="21" t="inlineStr">
        <is>
          <t>27</t>
        </is>
      </c>
      <c r="E106" s="21" t="inlineStr">
        <is>
          <t>Soins infirmiers en milieu communautaire</t>
        </is>
      </c>
      <c r="F106" s="21" t="inlineStr">
        <is>
          <t>Santé scolaire</t>
        </is>
      </c>
      <c r="H106" s="21" t="n">
        <v>6</v>
      </c>
      <c r="I106" s="21" t="n">
        <v>2</v>
      </c>
      <c r="J106" s="21" t="n">
        <v>0</v>
      </c>
      <c r="K106" s="21" t="n">
        <v>8</v>
      </c>
      <c r="L106" s="21" t="n">
        <v>60</v>
      </c>
      <c r="M106" s="21" t="n">
        <v>4</v>
      </c>
      <c r="N106" s="21" t="inlineStr">
        <is>
          <t>Coef</t>
        </is>
      </c>
    </row>
    <row r="107">
      <c r="A107" s="21" t="inlineStr">
        <is>
          <t>Soins infirmiers</t>
        </is>
      </c>
      <c r="B107" s="21" t="inlineStr">
        <is>
          <t>L2</t>
        </is>
      </c>
      <c r="C107" s="21" t="inlineStr">
        <is>
          <t>4</t>
        </is>
      </c>
      <c r="D107" s="21" t="inlineStr">
        <is>
          <t>27</t>
        </is>
      </c>
      <c r="E107" s="21" t="inlineStr">
        <is>
          <t>Soins infirmiers en milieu communautaire</t>
        </is>
      </c>
      <c r="F107" s="21" t="inlineStr">
        <is>
          <t>Soins à domicile, en milieu communautaire et soins palliatifs</t>
        </is>
      </c>
      <c r="H107" s="21" t="n">
        <v>4</v>
      </c>
      <c r="I107" s="21" t="n">
        <v>2</v>
      </c>
      <c r="J107" s="21" t="n">
        <v>0</v>
      </c>
      <c r="K107" s="21" t="n">
        <v>6</v>
      </c>
      <c r="L107" s="21" t="n">
        <v>60</v>
      </c>
      <c r="M107" s="21" t="n">
        <v>4</v>
      </c>
      <c r="N107" s="21" t="inlineStr">
        <is>
          <t>Coef</t>
        </is>
      </c>
    </row>
    <row r="108">
      <c r="A108" s="21" t="inlineStr">
        <is>
          <t>Soins infirmiers</t>
        </is>
      </c>
      <c r="B108" s="21" t="inlineStr">
        <is>
          <t>L2</t>
        </is>
      </c>
      <c r="C108" s="21" t="inlineStr">
        <is>
          <t>4</t>
        </is>
      </c>
      <c r="D108" s="21" t="inlineStr">
        <is>
          <t>27</t>
        </is>
      </c>
      <c r="E108" s="21" t="inlineStr">
        <is>
          <t>Soins infirmiers en milieu communautaire</t>
        </is>
      </c>
      <c r="F108" s="21" t="inlineStr">
        <is>
          <t>Soins infirmiers en médecine de travail</t>
        </is>
      </c>
      <c r="H108" s="21" t="n">
        <v>4</v>
      </c>
      <c r="I108" s="21" t="n">
        <v>2</v>
      </c>
      <c r="J108" s="21" t="n">
        <v>0</v>
      </c>
      <c r="K108" s="21" t="n">
        <v>6</v>
      </c>
      <c r="L108" s="21" t="n">
        <v>60</v>
      </c>
      <c r="M108" s="21" t="n">
        <v>4</v>
      </c>
      <c r="N108" s="21" t="inlineStr">
        <is>
          <t>Coef</t>
        </is>
      </c>
    </row>
    <row r="109">
      <c r="A109" s="21" t="inlineStr">
        <is>
          <t>Soins infirmiers</t>
        </is>
      </c>
      <c r="B109" s="21" t="inlineStr">
        <is>
          <t>L2</t>
        </is>
      </c>
      <c r="C109" s="21" t="inlineStr">
        <is>
          <t>4</t>
        </is>
      </c>
      <c r="D109" s="21" t="inlineStr">
        <is>
          <t>27</t>
        </is>
      </c>
      <c r="E109" s="21" t="inlineStr">
        <is>
          <t>Soins infirmiers en milieu communautaire</t>
        </is>
      </c>
      <c r="F109" s="21" t="inlineStr">
        <is>
          <t>Soins infirmiers en médecine de catastrophe</t>
        </is>
      </c>
      <c r="H109" s="21" t="n">
        <v>6</v>
      </c>
      <c r="I109" s="21" t="n">
        <v>2</v>
      </c>
      <c r="J109" s="21" t="n">
        <v>0</v>
      </c>
      <c r="K109" s="21" t="n">
        <v>8</v>
      </c>
      <c r="L109" s="21" t="n">
        <v>60</v>
      </c>
      <c r="M109" s="21" t="n">
        <v>4</v>
      </c>
      <c r="N109" s="21" t="inlineStr">
        <is>
          <t>Coef</t>
        </is>
      </c>
    </row>
    <row r="110">
      <c r="A110" s="21" t="inlineStr">
        <is>
          <t>Soins infirmiers</t>
        </is>
      </c>
      <c r="B110" s="21" t="inlineStr">
        <is>
          <t>L2</t>
        </is>
      </c>
      <c r="C110" s="21" t="inlineStr">
        <is>
          <t>4</t>
        </is>
      </c>
      <c r="D110" s="21" t="inlineStr">
        <is>
          <t>29</t>
        </is>
      </c>
      <c r="E110" s="21" t="inlineStr">
        <is>
          <t>Introduction à la recherche</t>
        </is>
      </c>
      <c r="F110" s="21" t="inlineStr">
        <is>
          <t>Fondements de la recherche en soins infirmiers et pratique basée sur des données factuelles</t>
        </is>
      </c>
      <c r="H110" s="21" t="n">
        <v>8</v>
      </c>
      <c r="I110" s="21" t="n">
        <v>2</v>
      </c>
      <c r="J110" s="21" t="n">
        <v>0</v>
      </c>
      <c r="K110" s="21" t="n">
        <v>10</v>
      </c>
      <c r="L110" s="21" t="n">
        <v>30</v>
      </c>
      <c r="M110" s="21" t="n">
        <v>2</v>
      </c>
      <c r="N110" s="21" t="inlineStr">
        <is>
          <t>Coef</t>
        </is>
      </c>
    </row>
    <row r="111">
      <c r="A111" s="21" t="inlineStr">
        <is>
          <t>Soins infirmiers</t>
        </is>
      </c>
      <c r="B111" s="21" t="inlineStr">
        <is>
          <t>L2</t>
        </is>
      </c>
      <c r="C111" s="21" t="inlineStr">
        <is>
          <t>4</t>
        </is>
      </c>
      <c r="D111" s="21" t="inlineStr">
        <is>
          <t>29</t>
        </is>
      </c>
      <c r="E111" s="21" t="inlineStr">
        <is>
          <t>Introduction à la recherche</t>
        </is>
      </c>
      <c r="F111" s="21" t="inlineStr">
        <is>
          <t>Conceptualisation des problèmes, questions et hypothèses de recherche</t>
        </is>
      </c>
      <c r="H111" s="21" t="n">
        <v>10</v>
      </c>
      <c r="I111" s="21" t="n">
        <v>2</v>
      </c>
      <c r="J111" s="21" t="n">
        <v>4</v>
      </c>
      <c r="K111" s="21" t="n">
        <v>16</v>
      </c>
      <c r="L111" s="21" t="n">
        <v>30</v>
      </c>
      <c r="M111" s="21" t="n">
        <v>2</v>
      </c>
      <c r="N111" s="21" t="inlineStr">
        <is>
          <t>Coef</t>
        </is>
      </c>
    </row>
    <row r="112">
      <c r="A112" s="21" t="inlineStr">
        <is>
          <t>Soins infirmiers</t>
        </is>
      </c>
      <c r="B112" s="21" t="inlineStr">
        <is>
          <t>L2</t>
        </is>
      </c>
      <c r="C112" s="21" t="inlineStr">
        <is>
          <t>4</t>
        </is>
      </c>
      <c r="D112" s="21" t="inlineStr">
        <is>
          <t>29</t>
        </is>
      </c>
      <c r="E112" s="21" t="inlineStr">
        <is>
          <t>Introduction à la recherche</t>
        </is>
      </c>
      <c r="F112" s="21" t="inlineStr">
        <is>
          <t>Ethique de la recherche</t>
        </is>
      </c>
      <c r="H112" s="21" t="n">
        <v>4</v>
      </c>
      <c r="I112" s="21" t="n">
        <v>0</v>
      </c>
      <c r="J112" s="21" t="n">
        <v>0</v>
      </c>
      <c r="K112" s="21" t="n">
        <v>4</v>
      </c>
      <c r="L112" s="21" t="n">
        <v>30</v>
      </c>
      <c r="M112" s="21" t="n">
        <v>2</v>
      </c>
      <c r="N112" s="21" t="inlineStr">
        <is>
          <t>Coef</t>
        </is>
      </c>
    </row>
    <row r="113">
      <c r="A113" s="21" t="inlineStr">
        <is>
          <t>Soins infirmiers</t>
        </is>
      </c>
      <c r="B113" s="21" t="inlineStr">
        <is>
          <t>L2</t>
        </is>
      </c>
      <c r="C113" s="21" t="inlineStr">
        <is>
          <t>4</t>
        </is>
      </c>
      <c r="D113" s="21" t="inlineStr">
        <is>
          <t>31</t>
        </is>
      </c>
      <c r="E113" s="21" t="inlineStr">
        <is>
          <t>Soins promotionnels préventifs et adaptatifs/2</t>
        </is>
      </c>
      <c r="F113" s="21" t="inlineStr">
        <is>
          <t>Troisième âge, andropause, ménopause</t>
        </is>
      </c>
      <c r="H113" s="21" t="n">
        <v>8</v>
      </c>
      <c r="I113" s="21" t="n">
        <v>2</v>
      </c>
      <c r="J113" s="21" t="n">
        <v>0</v>
      </c>
      <c r="K113" s="21" t="n">
        <v>10</v>
      </c>
      <c r="L113" s="21" t="n">
        <v>56</v>
      </c>
      <c r="M113" s="21" t="n">
        <v>4</v>
      </c>
      <c r="N113" s="21" t="inlineStr">
        <is>
          <t>Coef</t>
        </is>
      </c>
    </row>
    <row r="114">
      <c r="A114" s="21" t="inlineStr">
        <is>
          <t>Soins infirmiers</t>
        </is>
      </c>
      <c r="B114" s="21" t="inlineStr">
        <is>
          <t>L2</t>
        </is>
      </c>
      <c r="C114" s="21" t="inlineStr">
        <is>
          <t>4</t>
        </is>
      </c>
      <c r="D114" s="21" t="inlineStr">
        <is>
          <t>31</t>
        </is>
      </c>
      <c r="E114" s="21" t="inlineStr">
        <is>
          <t>Soins promotionnels préventifs et adaptatifs/2</t>
        </is>
      </c>
      <c r="F114" s="21" t="inlineStr">
        <is>
          <t>Addictologie (drogue, alcoolisme, tabagisme)</t>
        </is>
      </c>
      <c r="H114" s="21" t="n">
        <v>18</v>
      </c>
      <c r="I114" s="21" t="n">
        <v>4</v>
      </c>
      <c r="J114" s="21" t="n">
        <v>0</v>
      </c>
      <c r="K114" s="21" t="n">
        <v>22</v>
      </c>
      <c r="L114" s="21" t="n">
        <v>56</v>
      </c>
      <c r="M114" s="21" t="n">
        <v>4</v>
      </c>
      <c r="N114" s="21" t="inlineStr">
        <is>
          <t>Coef</t>
        </is>
      </c>
    </row>
    <row r="115">
      <c r="A115" s="21" t="inlineStr">
        <is>
          <t>Soins infirmiers</t>
        </is>
      </c>
      <c r="B115" s="21" t="inlineStr">
        <is>
          <t>L2</t>
        </is>
      </c>
      <c r="C115" s="21" t="inlineStr">
        <is>
          <t>4</t>
        </is>
      </c>
      <c r="D115" s="21" t="inlineStr">
        <is>
          <t>31</t>
        </is>
      </c>
      <c r="E115" s="21" t="inlineStr">
        <is>
          <t>Soins promotionnels préventifs et adaptatifs/2</t>
        </is>
      </c>
      <c r="F115" s="21" t="inlineStr">
        <is>
          <t>Allaitement maternel</t>
        </is>
      </c>
      <c r="H115" s="21" t="n">
        <v>8</v>
      </c>
      <c r="I115" s="21" t="n">
        <v>2</v>
      </c>
      <c r="J115" s="21" t="n">
        <v>0</v>
      </c>
      <c r="K115" s="21" t="n">
        <v>10</v>
      </c>
      <c r="L115" s="21" t="n">
        <v>56</v>
      </c>
      <c r="M115" s="21" t="n">
        <v>4</v>
      </c>
      <c r="N115" s="21" t="inlineStr">
        <is>
          <t>Coef</t>
        </is>
      </c>
    </row>
    <row r="116">
      <c r="A116" s="21" t="inlineStr">
        <is>
          <t>Soins infirmiers</t>
        </is>
      </c>
      <c r="B116" s="21" t="inlineStr">
        <is>
          <t>L2</t>
        </is>
      </c>
      <c r="C116" s="21" t="inlineStr">
        <is>
          <t>4</t>
        </is>
      </c>
      <c r="D116" s="21" t="inlineStr">
        <is>
          <t>31</t>
        </is>
      </c>
      <c r="E116" s="21" t="inlineStr">
        <is>
          <t>Soins promotionnels préventifs et adaptatifs/2</t>
        </is>
      </c>
      <c r="F116" s="21" t="inlineStr">
        <is>
          <t>Rééducation périnéale post natale</t>
        </is>
      </c>
      <c r="H116" s="21" t="n">
        <v>6</v>
      </c>
      <c r="I116" s="21" t="n">
        <v>2</v>
      </c>
      <c r="J116" s="21" t="n">
        <v>6</v>
      </c>
      <c r="K116" s="21" t="n">
        <v>14</v>
      </c>
      <c r="L116" s="21" t="n">
        <v>56</v>
      </c>
      <c r="M116" s="21" t="n">
        <v>4</v>
      </c>
      <c r="N116" s="21" t="inlineStr">
        <is>
          <t>Coef</t>
        </is>
      </c>
    </row>
    <row r="117">
      <c r="A117" s="21" t="inlineStr">
        <is>
          <t>Soins infirmiers</t>
        </is>
      </c>
      <c r="B117" s="21" t="inlineStr">
        <is>
          <t>L3</t>
        </is>
      </c>
      <c r="C117" s="21" t="inlineStr">
        <is>
          <t>5</t>
        </is>
      </c>
      <c r="D117" s="21" t="inlineStr">
        <is>
          <t>32</t>
        </is>
      </c>
      <c r="E117" s="21" t="inlineStr">
        <is>
          <t>Gestion des services de santé</t>
        </is>
      </c>
      <c r="F117" s="21" t="inlineStr">
        <is>
          <t>Etablissements de soins de santé</t>
        </is>
      </c>
      <c r="H117" s="21" t="n">
        <v>2</v>
      </c>
      <c r="I117" s="21" t="n">
        <v>1</v>
      </c>
      <c r="J117" s="21" t="n">
        <v>0</v>
      </c>
      <c r="K117" s="21" t="n">
        <v>3</v>
      </c>
      <c r="L117" s="21" t="n">
        <v>30</v>
      </c>
      <c r="M117" s="21" t="n">
        <v>2</v>
      </c>
      <c r="N117" s="21" t="inlineStr">
        <is>
          <t>Coef</t>
        </is>
      </c>
    </row>
    <row r="118">
      <c r="A118" s="21" t="inlineStr">
        <is>
          <t>Soins infirmiers</t>
        </is>
      </c>
      <c r="B118" s="21" t="inlineStr">
        <is>
          <t>L3</t>
        </is>
      </c>
      <c r="C118" s="21" t="inlineStr">
        <is>
          <t>5</t>
        </is>
      </c>
      <c r="D118" s="21" t="inlineStr">
        <is>
          <t>32</t>
        </is>
      </c>
      <c r="E118" s="21" t="inlineStr">
        <is>
          <t>Gestion des services de santé</t>
        </is>
      </c>
      <c r="F118" s="21" t="inlineStr">
        <is>
          <t>Planification stratégique</t>
        </is>
      </c>
      <c r="H118" s="21" t="n">
        <v>2</v>
      </c>
      <c r="I118" s="21" t="n">
        <v>2</v>
      </c>
      <c r="J118" s="21" t="n">
        <v>0</v>
      </c>
      <c r="K118" s="21" t="n">
        <v>4</v>
      </c>
      <c r="L118" s="21" t="n">
        <v>30</v>
      </c>
      <c r="M118" s="21" t="n">
        <v>2</v>
      </c>
      <c r="N118" s="21" t="inlineStr">
        <is>
          <t>Coef</t>
        </is>
      </c>
    </row>
    <row r="119">
      <c r="A119" s="21" t="inlineStr">
        <is>
          <t>Soins infirmiers</t>
        </is>
      </c>
      <c r="B119" s="21" t="inlineStr">
        <is>
          <t>L3</t>
        </is>
      </c>
      <c r="C119" s="21" t="inlineStr">
        <is>
          <t>5</t>
        </is>
      </c>
      <c r="D119" s="21" t="inlineStr">
        <is>
          <t>32</t>
        </is>
      </c>
      <c r="E119" s="21" t="inlineStr">
        <is>
          <t>Gestion des services de santé</t>
        </is>
      </c>
      <c r="F119" s="21" t="inlineStr">
        <is>
          <t>Gestion des ressources humaines</t>
        </is>
      </c>
      <c r="H119" s="21" t="n">
        <v>4</v>
      </c>
      <c r="I119" s="21" t="n">
        <v>2</v>
      </c>
      <c r="J119" s="21" t="n">
        <v>0</v>
      </c>
      <c r="K119" s="21" t="n">
        <v>6</v>
      </c>
      <c r="L119" s="21" t="n">
        <v>30</v>
      </c>
      <c r="M119" s="21" t="n">
        <v>2</v>
      </c>
      <c r="N119" s="21" t="inlineStr">
        <is>
          <t>Coef</t>
        </is>
      </c>
    </row>
    <row r="120">
      <c r="A120" s="21" t="inlineStr">
        <is>
          <t>Soins infirmiers</t>
        </is>
      </c>
      <c r="B120" s="21" t="inlineStr">
        <is>
          <t>L3</t>
        </is>
      </c>
      <c r="C120" s="21" t="inlineStr">
        <is>
          <t>5</t>
        </is>
      </c>
      <c r="D120" s="21" t="inlineStr">
        <is>
          <t>32</t>
        </is>
      </c>
      <c r="E120" s="21" t="inlineStr">
        <is>
          <t>Gestion des services de santé</t>
        </is>
      </c>
      <c r="F120" s="21" t="inlineStr">
        <is>
          <t>Gestion de la performance</t>
        </is>
      </c>
      <c r="H120" s="21" t="n">
        <v>4</v>
      </c>
      <c r="I120" s="21" t="n">
        <v>2</v>
      </c>
      <c r="J120" s="21" t="n">
        <v>0</v>
      </c>
      <c r="K120" s="21" t="n">
        <v>6</v>
      </c>
      <c r="L120" s="21" t="n">
        <v>30</v>
      </c>
      <c r="M120" s="21" t="n">
        <v>2</v>
      </c>
      <c r="N120" s="21" t="inlineStr">
        <is>
          <t>Coef</t>
        </is>
      </c>
    </row>
    <row r="121">
      <c r="A121" s="21" t="inlineStr">
        <is>
          <t>Soins infirmiers</t>
        </is>
      </c>
      <c r="B121" s="21" t="inlineStr">
        <is>
          <t>L3</t>
        </is>
      </c>
      <c r="C121" s="21" t="inlineStr">
        <is>
          <t>5</t>
        </is>
      </c>
      <c r="D121" s="21" t="inlineStr">
        <is>
          <t>32</t>
        </is>
      </c>
      <c r="E121" s="21" t="inlineStr">
        <is>
          <t>Gestion des services de santé</t>
        </is>
      </c>
      <c r="F121" s="21" t="inlineStr">
        <is>
          <t>Gestion des finances</t>
        </is>
      </c>
      <c r="H121" s="21" t="n">
        <v>4</v>
      </c>
      <c r="I121" s="21" t="n">
        <v>2</v>
      </c>
      <c r="J121" s="21" t="n">
        <v>0</v>
      </c>
      <c r="K121" s="21" t="n">
        <v>6</v>
      </c>
      <c r="L121" s="21" t="n">
        <v>30</v>
      </c>
      <c r="M121" s="21" t="n">
        <v>2</v>
      </c>
      <c r="N121" s="21" t="inlineStr">
        <is>
          <t>Coef</t>
        </is>
      </c>
    </row>
    <row r="122">
      <c r="A122" s="21" t="inlineStr">
        <is>
          <t>Soins infirmiers</t>
        </is>
      </c>
      <c r="B122" s="21" t="inlineStr">
        <is>
          <t>L3</t>
        </is>
      </c>
      <c r="C122" s="21" t="inlineStr">
        <is>
          <t>5</t>
        </is>
      </c>
      <c r="D122" s="21" t="inlineStr">
        <is>
          <t>32</t>
        </is>
      </c>
      <c r="E122" s="21" t="inlineStr">
        <is>
          <t>Gestion des services de santé</t>
        </is>
      </c>
      <c r="F122" s="21" t="inlineStr">
        <is>
          <t>Direction et gestion des soins infirmiers</t>
        </is>
      </c>
      <c r="H122" s="21" t="n">
        <v>4</v>
      </c>
      <c r="I122" s="21" t="n">
        <v>1</v>
      </c>
      <c r="J122" s="21" t="n">
        <v>0</v>
      </c>
      <c r="K122" s="21" t="n">
        <v>5</v>
      </c>
      <c r="L122" s="21" t="n">
        <v>30</v>
      </c>
      <c r="M122" s="21" t="n">
        <v>2</v>
      </c>
      <c r="N122" s="21" t="inlineStr">
        <is>
          <t>Coef</t>
        </is>
      </c>
    </row>
    <row r="123">
      <c r="A123" s="21" t="inlineStr">
        <is>
          <t>Soins infirmiers</t>
        </is>
      </c>
      <c r="B123" s="21" t="inlineStr">
        <is>
          <t>L3</t>
        </is>
      </c>
      <c r="C123" s="21" t="inlineStr">
        <is>
          <t>5</t>
        </is>
      </c>
      <c r="D123" s="21" t="inlineStr">
        <is>
          <t>34</t>
        </is>
      </c>
      <c r="E123" s="21" t="inlineStr">
        <is>
          <t>Prise en charge psychologique et sociale des victimes de violences et traumatismes</t>
        </is>
      </c>
      <c r="F123" s="21" t="inlineStr">
        <is>
          <t>Psychologie et psycho-traumatologie</t>
        </is>
      </c>
      <c r="H123" s="21" t="n">
        <v>6</v>
      </c>
      <c r="I123" s="21" t="n">
        <v>2</v>
      </c>
      <c r="J123" s="21" t="n">
        <v>0</v>
      </c>
      <c r="K123" s="21" t="n">
        <v>8</v>
      </c>
      <c r="L123" s="21" t="n">
        <v>22</v>
      </c>
      <c r="M123" s="21" t="n">
        <v>1</v>
      </c>
      <c r="N123" s="21" t="inlineStr">
        <is>
          <t>Coef</t>
        </is>
      </c>
    </row>
    <row r="124">
      <c r="A124" s="21" t="inlineStr">
        <is>
          <t>Soins infirmiers</t>
        </is>
      </c>
      <c r="B124" s="21" t="inlineStr">
        <is>
          <t>L3</t>
        </is>
      </c>
      <c r="C124" s="21" t="inlineStr">
        <is>
          <t>5</t>
        </is>
      </c>
      <c r="D124" s="21" t="inlineStr">
        <is>
          <t>34</t>
        </is>
      </c>
      <c r="E124" s="21" t="inlineStr">
        <is>
          <t>Prise en charge psychologique et sociale des victimes de violences et traumatismes</t>
        </is>
      </c>
      <c r="F124" s="21" t="inlineStr">
        <is>
          <t>Violences basées sur le genre</t>
        </is>
      </c>
      <c r="H124" s="21" t="n">
        <v>6</v>
      </c>
      <c r="I124" s="21" t="n">
        <v>2</v>
      </c>
      <c r="J124" s="21" t="n">
        <v>0</v>
      </c>
      <c r="K124" s="21" t="n">
        <v>8</v>
      </c>
      <c r="L124" s="21" t="n">
        <v>22</v>
      </c>
      <c r="M124" s="21" t="n">
        <v>1</v>
      </c>
      <c r="N124" s="21" t="inlineStr">
        <is>
          <t>Coef</t>
        </is>
      </c>
    </row>
    <row r="125">
      <c r="A125" s="21" t="inlineStr">
        <is>
          <t>Soins infirmiers</t>
        </is>
      </c>
      <c r="B125" s="21" t="inlineStr">
        <is>
          <t>L3</t>
        </is>
      </c>
      <c r="C125" s="21" t="inlineStr">
        <is>
          <t>5</t>
        </is>
      </c>
      <c r="D125" s="21" t="inlineStr">
        <is>
          <t>34</t>
        </is>
      </c>
      <c r="E125" s="21" t="inlineStr">
        <is>
          <t>Prise en charge psychologique et sociale des victimes de violences et traumatismes</t>
        </is>
      </c>
      <c r="F125" s="21" t="inlineStr">
        <is>
          <t>Participation communautaire</t>
        </is>
      </c>
      <c r="H125" s="21" t="n">
        <v>4</v>
      </c>
      <c r="I125" s="21" t="n">
        <v>2</v>
      </c>
      <c r="J125" s="21" t="n">
        <v>0</v>
      </c>
      <c r="K125" s="21" t="n">
        <v>6</v>
      </c>
      <c r="L125" s="21" t="n">
        <v>22</v>
      </c>
      <c r="M125" s="21" t="n">
        <v>1</v>
      </c>
      <c r="N125" s="21" t="inlineStr">
        <is>
          <t>Coef</t>
        </is>
      </c>
    </row>
    <row r="126">
      <c r="A126" s="21" t="inlineStr">
        <is>
          <t>Soins infirmiers</t>
        </is>
      </c>
      <c r="B126" s="21" t="inlineStr">
        <is>
          <t>L3</t>
        </is>
      </c>
      <c r="C126" s="21" t="inlineStr">
        <is>
          <t>5</t>
        </is>
      </c>
      <c r="D126" s="21" t="inlineStr">
        <is>
          <t>35</t>
        </is>
      </c>
      <c r="E126" s="21" t="inlineStr">
        <is>
          <t>Imagerie médicale</t>
        </is>
      </c>
      <c r="F126" s="21" t="inlineStr">
        <is>
          <t>Introduction à l'imagerie médicale</t>
        </is>
      </c>
      <c r="H126" s="21" t="n">
        <v>2</v>
      </c>
      <c r="I126" s="21" t="n">
        <v>0</v>
      </c>
      <c r="J126" s="21" t="n">
        <v>0</v>
      </c>
      <c r="K126" s="21" t="n">
        <v>2</v>
      </c>
      <c r="L126" s="21" t="n">
        <v>30</v>
      </c>
      <c r="M126" s="21" t="n">
        <v>2</v>
      </c>
      <c r="N126" s="21" t="inlineStr">
        <is>
          <t>Coef</t>
        </is>
      </c>
    </row>
    <row r="127">
      <c r="A127" s="21" t="inlineStr">
        <is>
          <t>Soins infirmiers</t>
        </is>
      </c>
      <c r="B127" s="21" t="inlineStr">
        <is>
          <t>L3</t>
        </is>
      </c>
      <c r="C127" s="21" t="inlineStr">
        <is>
          <t>5</t>
        </is>
      </c>
      <c r="D127" s="21" t="inlineStr">
        <is>
          <t>35</t>
        </is>
      </c>
      <c r="E127" s="21" t="inlineStr">
        <is>
          <t>Imagerie médicale</t>
        </is>
      </c>
      <c r="F127" s="21" t="inlineStr">
        <is>
          <t>Types d'imagerie</t>
        </is>
      </c>
      <c r="H127" s="21" t="n">
        <v>6</v>
      </c>
      <c r="I127" s="21" t="n">
        <v>2</v>
      </c>
      <c r="J127" s="21" t="n">
        <v>0</v>
      </c>
      <c r="K127" s="21" t="n">
        <v>8</v>
      </c>
      <c r="L127" s="21" t="n">
        <v>30</v>
      </c>
      <c r="M127" s="21" t="n">
        <v>2</v>
      </c>
      <c r="N127" s="21" t="inlineStr">
        <is>
          <t>Coef</t>
        </is>
      </c>
    </row>
    <row r="128">
      <c r="A128" s="21" t="inlineStr">
        <is>
          <t>Soins infirmiers</t>
        </is>
      </c>
      <c r="B128" s="21" t="inlineStr">
        <is>
          <t>L3</t>
        </is>
      </c>
      <c r="C128" s="21" t="inlineStr">
        <is>
          <t>5</t>
        </is>
      </c>
      <c r="D128" s="21" t="inlineStr">
        <is>
          <t>35</t>
        </is>
      </c>
      <c r="E128" s="21" t="inlineStr">
        <is>
          <t>Imagerie médicale</t>
        </is>
      </c>
      <c r="F128" s="21" t="inlineStr">
        <is>
          <t>Techniques d'imagerie</t>
        </is>
      </c>
      <c r="H128" s="21" t="n">
        <v>6</v>
      </c>
      <c r="I128" s="21" t="n">
        <v>2</v>
      </c>
      <c r="J128" s="21" t="n">
        <v>0</v>
      </c>
      <c r="K128" s="21" t="n">
        <v>8</v>
      </c>
      <c r="L128" s="21" t="n">
        <v>30</v>
      </c>
      <c r="M128" s="21" t="n">
        <v>2</v>
      </c>
      <c r="N128" s="21" t="inlineStr">
        <is>
          <t>Coef</t>
        </is>
      </c>
    </row>
    <row r="129">
      <c r="A129" s="21" t="inlineStr">
        <is>
          <t>Soins infirmiers</t>
        </is>
      </c>
      <c r="B129" s="21" t="inlineStr">
        <is>
          <t>L3</t>
        </is>
      </c>
      <c r="C129" s="21" t="inlineStr">
        <is>
          <t>5</t>
        </is>
      </c>
      <c r="D129" s="21" t="inlineStr">
        <is>
          <t>35</t>
        </is>
      </c>
      <c r="E129" s="21" t="inlineStr">
        <is>
          <t>Imagerie médicale</t>
        </is>
      </c>
      <c r="F129" s="21" t="inlineStr">
        <is>
          <t>Sécurité et radioprotection</t>
        </is>
      </c>
      <c r="H129" s="21" t="n">
        <v>2</v>
      </c>
      <c r="I129" s="21" t="n">
        <v>1</v>
      </c>
      <c r="J129" s="21" t="n">
        <v>0</v>
      </c>
      <c r="K129" s="21" t="n">
        <v>3</v>
      </c>
      <c r="L129" s="21" t="n">
        <v>30</v>
      </c>
      <c r="M129" s="21" t="n">
        <v>2</v>
      </c>
      <c r="N129" s="21" t="inlineStr">
        <is>
          <t>Coef</t>
        </is>
      </c>
    </row>
    <row r="130">
      <c r="A130" s="21" t="inlineStr">
        <is>
          <t>Soins infirmiers</t>
        </is>
      </c>
      <c r="B130" s="21" t="inlineStr">
        <is>
          <t>L3</t>
        </is>
      </c>
      <c r="C130" s="21" t="inlineStr">
        <is>
          <t>5</t>
        </is>
      </c>
      <c r="D130" s="21" t="inlineStr">
        <is>
          <t>35</t>
        </is>
      </c>
      <c r="E130" s="21" t="inlineStr">
        <is>
          <t>Imagerie médicale</t>
        </is>
      </c>
      <c r="F130" s="21" t="inlineStr">
        <is>
          <t>Interprétation des résultats</t>
        </is>
      </c>
      <c r="H130" s="21" t="n">
        <v>4</v>
      </c>
      <c r="I130" s="21" t="n">
        <v>2</v>
      </c>
      <c r="J130" s="21" t="n">
        <v>0</v>
      </c>
      <c r="K130" s="21" t="n">
        <v>6</v>
      </c>
      <c r="L130" s="21" t="n">
        <v>30</v>
      </c>
      <c r="M130" s="21" t="n">
        <v>2</v>
      </c>
      <c r="N130" s="21" t="inlineStr">
        <is>
          <t>Coef</t>
        </is>
      </c>
    </row>
    <row r="131">
      <c r="A131" s="21" t="inlineStr">
        <is>
          <t>Soins infirmiers</t>
        </is>
      </c>
      <c r="B131" s="21" t="inlineStr">
        <is>
          <t>L3</t>
        </is>
      </c>
      <c r="C131" s="21" t="inlineStr">
        <is>
          <t>5</t>
        </is>
      </c>
      <c r="D131" s="21" t="inlineStr">
        <is>
          <t>35</t>
        </is>
      </c>
      <c r="E131" s="21" t="inlineStr">
        <is>
          <t>Imagerie médicale</t>
        </is>
      </c>
      <c r="F131" s="21" t="inlineStr">
        <is>
          <t>Aspects éthiques et légaux</t>
        </is>
      </c>
      <c r="H131" s="21" t="n">
        <v>2</v>
      </c>
      <c r="I131" s="21" t="n">
        <v>1</v>
      </c>
      <c r="J131" s="21" t="n">
        <v>0</v>
      </c>
      <c r="K131" s="21" t="n">
        <v>3</v>
      </c>
      <c r="L131" s="21" t="n">
        <v>30</v>
      </c>
      <c r="M131" s="21" t="n">
        <v>2</v>
      </c>
      <c r="N131" s="21" t="inlineStr">
        <is>
          <t>Coef</t>
        </is>
      </c>
    </row>
    <row r="132">
      <c r="A132" s="21" t="inlineStr">
        <is>
          <t>Soins infirmiers</t>
        </is>
      </c>
      <c r="B132" s="21" t="inlineStr">
        <is>
          <t>L3</t>
        </is>
      </c>
      <c r="C132" s="21" t="inlineStr">
        <is>
          <t>5</t>
        </is>
      </c>
      <c r="D132" s="21" t="inlineStr">
        <is>
          <t>36</t>
        </is>
      </c>
      <c r="E132" s="21" t="inlineStr">
        <is>
          <t>Initiation à la recherche</t>
        </is>
      </c>
      <c r="F132" s="21" t="inlineStr">
        <is>
          <t>Processus de recherche</t>
        </is>
      </c>
      <c r="H132" s="21" t="n">
        <v>10</v>
      </c>
      <c r="I132" s="21" t="n">
        <v>2</v>
      </c>
      <c r="J132" s="21" t="n">
        <v>0</v>
      </c>
      <c r="K132" s="21" t="n">
        <v>12</v>
      </c>
      <c r="L132" s="21" t="n">
        <v>26</v>
      </c>
      <c r="M132" s="21" t="n">
        <v>1</v>
      </c>
      <c r="N132" s="21" t="inlineStr">
        <is>
          <t>Coef</t>
        </is>
      </c>
    </row>
    <row r="133">
      <c r="A133" s="21" t="inlineStr">
        <is>
          <t>Soins infirmiers</t>
        </is>
      </c>
      <c r="B133" s="21" t="inlineStr">
        <is>
          <t>L3</t>
        </is>
      </c>
      <c r="C133" s="21" t="inlineStr">
        <is>
          <t>5</t>
        </is>
      </c>
      <c r="D133" s="21" t="inlineStr">
        <is>
          <t>36</t>
        </is>
      </c>
      <c r="E133" s="21" t="inlineStr">
        <is>
          <t>Initiation à la recherche</t>
        </is>
      </c>
      <c r="F133" s="21" t="inlineStr">
        <is>
          <t>Méthodes statistiques</t>
        </is>
      </c>
      <c r="H133" s="21" t="n">
        <v>4</v>
      </c>
      <c r="I133" s="21" t="n">
        <v>4</v>
      </c>
      <c r="J133" s="21" t="n">
        <v>0</v>
      </c>
      <c r="K133" s="21" t="n">
        <v>8</v>
      </c>
      <c r="L133" s="21" t="n">
        <v>26</v>
      </c>
      <c r="M133" s="21" t="n">
        <v>1</v>
      </c>
      <c r="N133" s="21" t="inlineStr">
        <is>
          <t>Coef</t>
        </is>
      </c>
    </row>
    <row r="134">
      <c r="A134" s="21" t="inlineStr">
        <is>
          <t>Soins infirmiers</t>
        </is>
      </c>
      <c r="B134" s="21" t="inlineStr">
        <is>
          <t>L3</t>
        </is>
      </c>
      <c r="C134" s="21" t="inlineStr">
        <is>
          <t>5</t>
        </is>
      </c>
      <c r="D134" s="21" t="inlineStr">
        <is>
          <t>36</t>
        </is>
      </c>
      <c r="E134" s="21" t="inlineStr">
        <is>
          <t>Initiation à la recherche</t>
        </is>
      </c>
      <c r="F134" s="21" t="inlineStr">
        <is>
          <t>Rédaction du travail de fin d’étude</t>
        </is>
      </c>
      <c r="H134" s="21" t="n">
        <v>4</v>
      </c>
      <c r="I134" s="21" t="n">
        <v>2</v>
      </c>
      <c r="J134" s="21" t="n">
        <v>0</v>
      </c>
      <c r="K134" s="21" t="n">
        <v>6</v>
      </c>
      <c r="L134" s="21" t="n">
        <v>26</v>
      </c>
      <c r="M134" s="21" t="n">
        <v>1</v>
      </c>
      <c r="N134" s="21" t="inlineStr">
        <is>
          <t>Coef</t>
        </is>
      </c>
    </row>
    <row r="135">
      <c r="A135" s="21" t="inlineStr">
        <is>
          <t>Soins infirmiers</t>
        </is>
      </c>
      <c r="B135" s="21" t="inlineStr">
        <is>
          <t>L3</t>
        </is>
      </c>
      <c r="C135" s="21" t="inlineStr">
        <is>
          <t>5</t>
        </is>
      </c>
      <c r="D135" s="21" t="inlineStr">
        <is>
          <t>37</t>
        </is>
      </c>
      <c r="E135" s="21" t="inlineStr">
        <is>
          <t>Prise en charge des pathologies spécialisées/1</t>
        </is>
      </c>
      <c r="F135" s="21" t="inlineStr">
        <is>
          <t>Approche syndromique : maladie sexuellement transmissible</t>
        </is>
      </c>
      <c r="H135" s="21" t="n">
        <v>4</v>
      </c>
      <c r="I135" s="21" t="n">
        <v>2</v>
      </c>
      <c r="J135" s="21" t="n">
        <v>0</v>
      </c>
      <c r="K135" s="21" t="n">
        <v>6</v>
      </c>
      <c r="L135" s="21" t="n">
        <v>204</v>
      </c>
      <c r="M135" s="21" t="n">
        <v>12</v>
      </c>
      <c r="N135" s="21" t="inlineStr">
        <is>
          <t>Coef</t>
        </is>
      </c>
    </row>
    <row r="136">
      <c r="A136" s="21" t="inlineStr">
        <is>
          <t>Soins infirmiers</t>
        </is>
      </c>
      <c r="B136" s="21" t="inlineStr">
        <is>
          <t>L3</t>
        </is>
      </c>
      <c r="C136" s="21" t="inlineStr">
        <is>
          <t>5</t>
        </is>
      </c>
      <c r="D136" s="21" t="inlineStr">
        <is>
          <t>37</t>
        </is>
      </c>
      <c r="E136" s="21" t="inlineStr">
        <is>
          <t>Prise en charge des pathologies spécialisées/1</t>
        </is>
      </c>
      <c r="F136" s="21" t="inlineStr">
        <is>
          <t>Pathologies ophtalmologiques</t>
        </is>
      </c>
      <c r="H136" s="21" t="n">
        <v>18</v>
      </c>
      <c r="I136" s="21" t="n">
        <v>2</v>
      </c>
      <c r="J136" s="21" t="n">
        <v>0</v>
      </c>
      <c r="K136" s="21" t="n">
        <v>20</v>
      </c>
      <c r="L136" s="21" t="n">
        <v>204</v>
      </c>
      <c r="M136" s="21" t="n">
        <v>12</v>
      </c>
      <c r="N136" s="21" t="inlineStr">
        <is>
          <t>Coef</t>
        </is>
      </c>
    </row>
    <row r="137">
      <c r="A137" s="21" t="inlineStr">
        <is>
          <t>Soins infirmiers</t>
        </is>
      </c>
      <c r="B137" s="21" t="inlineStr">
        <is>
          <t>L3</t>
        </is>
      </c>
      <c r="C137" s="21" t="inlineStr">
        <is>
          <t>5</t>
        </is>
      </c>
      <c r="D137" s="21" t="inlineStr">
        <is>
          <t>37</t>
        </is>
      </c>
      <c r="E137" s="21" t="inlineStr">
        <is>
          <t>Prise en charge des pathologies spécialisées/1</t>
        </is>
      </c>
      <c r="F137" s="21" t="inlineStr">
        <is>
          <t>Soins infirmiers en ophtalmologie</t>
        </is>
      </c>
      <c r="H137" s="21" t="n">
        <v>8</v>
      </c>
      <c r="I137" s="21" t="n">
        <v>2</v>
      </c>
      <c r="J137" s="21" t="n">
        <v>2</v>
      </c>
      <c r="K137" s="21" t="n">
        <v>12</v>
      </c>
      <c r="L137" s="21" t="n">
        <v>204</v>
      </c>
      <c r="M137" s="21" t="n">
        <v>12</v>
      </c>
      <c r="N137" s="21" t="inlineStr">
        <is>
          <t>Coef</t>
        </is>
      </c>
    </row>
    <row r="138">
      <c r="A138" s="21" t="inlineStr">
        <is>
          <t>Soins infirmiers</t>
        </is>
      </c>
      <c r="B138" s="21" t="inlineStr">
        <is>
          <t>L3</t>
        </is>
      </c>
      <c r="C138" s="21" t="inlineStr">
        <is>
          <t>5</t>
        </is>
      </c>
      <c r="D138" s="21" t="inlineStr">
        <is>
          <t>37</t>
        </is>
      </c>
      <c r="E138" s="21" t="inlineStr">
        <is>
          <t>Prise en charge des pathologies spécialisées/1</t>
        </is>
      </c>
      <c r="F138" s="21" t="inlineStr">
        <is>
          <t>Pathologies ORL</t>
        </is>
      </c>
      <c r="H138" s="21" t="n">
        <v>18</v>
      </c>
      <c r="I138" s="21" t="n">
        <v>2</v>
      </c>
      <c r="J138" s="21" t="n">
        <v>0</v>
      </c>
      <c r="K138" s="21" t="n">
        <v>20</v>
      </c>
      <c r="L138" s="21" t="n">
        <v>204</v>
      </c>
      <c r="M138" s="21" t="n">
        <v>12</v>
      </c>
      <c r="N138" s="21" t="inlineStr">
        <is>
          <t>Coef</t>
        </is>
      </c>
    </row>
    <row r="139">
      <c r="A139" s="21" t="inlineStr">
        <is>
          <t>Soins infirmiers</t>
        </is>
      </c>
      <c r="B139" s="21" t="inlineStr">
        <is>
          <t>L3</t>
        </is>
      </c>
      <c r="C139" s="21" t="inlineStr">
        <is>
          <t>5</t>
        </is>
      </c>
      <c r="D139" s="21" t="inlineStr">
        <is>
          <t>37</t>
        </is>
      </c>
      <c r="E139" s="21" t="inlineStr">
        <is>
          <t>Prise en charge des pathologies spécialisées/1</t>
        </is>
      </c>
      <c r="F139" s="21" t="inlineStr">
        <is>
          <t>Soins infirmiers en ORL</t>
        </is>
      </c>
      <c r="H139" s="21" t="n">
        <v>8</v>
      </c>
      <c r="I139" s="21" t="n">
        <v>2</v>
      </c>
      <c r="J139" s="21" t="n">
        <v>2</v>
      </c>
      <c r="K139" s="21" t="n">
        <v>12</v>
      </c>
      <c r="L139" s="21" t="n">
        <v>204</v>
      </c>
      <c r="M139" s="21" t="n">
        <v>12</v>
      </c>
      <c r="N139" s="21" t="inlineStr">
        <is>
          <t>Coef</t>
        </is>
      </c>
    </row>
    <row r="140">
      <c r="A140" s="21" t="inlineStr">
        <is>
          <t>Soins infirmiers</t>
        </is>
      </c>
      <c r="B140" s="21" t="inlineStr">
        <is>
          <t>L3</t>
        </is>
      </c>
      <c r="C140" s="21" t="inlineStr">
        <is>
          <t>5</t>
        </is>
      </c>
      <c r="D140" s="21" t="inlineStr">
        <is>
          <t>37</t>
        </is>
      </c>
      <c r="E140" s="21" t="inlineStr">
        <is>
          <t>Prise en charge des pathologies spécialisées/1</t>
        </is>
      </c>
      <c r="F140" s="21" t="inlineStr">
        <is>
          <t>Pathologies stomatologiques</t>
        </is>
      </c>
      <c r="H140" s="21" t="n">
        <v>18</v>
      </c>
      <c r="I140" s="21" t="n">
        <v>2</v>
      </c>
      <c r="J140" s="21" t="n">
        <v>0</v>
      </c>
      <c r="K140" s="21" t="n">
        <v>20</v>
      </c>
      <c r="L140" s="21" t="n">
        <v>204</v>
      </c>
      <c r="M140" s="21" t="n">
        <v>12</v>
      </c>
      <c r="N140" s="21" t="inlineStr">
        <is>
          <t>Coef</t>
        </is>
      </c>
    </row>
    <row r="141">
      <c r="A141" s="21" t="inlineStr">
        <is>
          <t>Soins infirmiers</t>
        </is>
      </c>
      <c r="B141" s="21" t="inlineStr">
        <is>
          <t>L3</t>
        </is>
      </c>
      <c r="C141" s="21" t="inlineStr">
        <is>
          <t>5</t>
        </is>
      </c>
      <c r="D141" s="21" t="inlineStr">
        <is>
          <t>37</t>
        </is>
      </c>
      <c r="E141" s="21" t="inlineStr">
        <is>
          <t>Prise en charge des pathologies spécialisées/1</t>
        </is>
      </c>
      <c r="F141" s="21" t="inlineStr">
        <is>
          <t>Soins infirmiers den stomatologie</t>
        </is>
      </c>
      <c r="H141" s="21" t="n">
        <v>4</v>
      </c>
      <c r="I141" s="21" t="n">
        <v>2</v>
      </c>
      <c r="J141" s="21" t="n">
        <v>2</v>
      </c>
      <c r="K141" s="21" t="n">
        <v>8</v>
      </c>
      <c r="L141" s="21" t="n">
        <v>204</v>
      </c>
      <c r="M141" s="21" t="n">
        <v>12</v>
      </c>
      <c r="N141" s="21" t="inlineStr">
        <is>
          <t>Coef</t>
        </is>
      </c>
    </row>
    <row r="142">
      <c r="A142" s="21" t="inlineStr">
        <is>
          <t>Soins infirmiers</t>
        </is>
      </c>
      <c r="B142" s="21" t="inlineStr">
        <is>
          <t>L3</t>
        </is>
      </c>
      <c r="C142" s="21" t="inlineStr">
        <is>
          <t>5</t>
        </is>
      </c>
      <c r="D142" s="21" t="inlineStr">
        <is>
          <t>37</t>
        </is>
      </c>
      <c r="E142" s="21" t="inlineStr">
        <is>
          <t>Prise en charge des pathologies spécialisées/1</t>
        </is>
      </c>
      <c r="F142" s="21" t="inlineStr">
        <is>
          <t>Pathologies dermatologiques</t>
        </is>
      </c>
      <c r="H142" s="21" t="n">
        <v>18</v>
      </c>
      <c r="I142" s="21" t="n">
        <v>2</v>
      </c>
      <c r="J142" s="21" t="n">
        <v>0</v>
      </c>
      <c r="K142" s="21" t="n">
        <v>20</v>
      </c>
      <c r="L142" s="21" t="n">
        <v>204</v>
      </c>
      <c r="M142" s="21" t="n">
        <v>12</v>
      </c>
      <c r="N142" s="21" t="inlineStr">
        <is>
          <t>Coef</t>
        </is>
      </c>
    </row>
    <row r="143">
      <c r="A143" s="21" t="inlineStr">
        <is>
          <t>Soins infirmiers</t>
        </is>
      </c>
      <c r="B143" s="21" t="inlineStr">
        <is>
          <t>L3</t>
        </is>
      </c>
      <c r="C143" s="21" t="inlineStr">
        <is>
          <t>5</t>
        </is>
      </c>
      <c r="D143" s="21" t="inlineStr">
        <is>
          <t>37</t>
        </is>
      </c>
      <c r="E143" s="21" t="inlineStr">
        <is>
          <t>Prise en charge des pathologies spécialisées/1</t>
        </is>
      </c>
      <c r="F143" s="21" t="inlineStr">
        <is>
          <t>Pathologies en oncologie</t>
        </is>
      </c>
      <c r="H143" s="21" t="n">
        <v>18</v>
      </c>
      <c r="I143" s="21" t="n">
        <v>2</v>
      </c>
      <c r="J143" s="21" t="n">
        <v>0</v>
      </c>
      <c r="K143" s="21" t="n">
        <v>20</v>
      </c>
      <c r="L143" s="21" t="n">
        <v>204</v>
      </c>
      <c r="M143" s="21" t="n">
        <v>12</v>
      </c>
      <c r="N143" s="21" t="inlineStr">
        <is>
          <t>Coef</t>
        </is>
      </c>
    </row>
    <row r="144">
      <c r="A144" s="21" t="inlineStr">
        <is>
          <t>Soins infirmiers</t>
        </is>
      </c>
      <c r="B144" s="21" t="inlineStr">
        <is>
          <t>L3</t>
        </is>
      </c>
      <c r="C144" s="21" t="inlineStr">
        <is>
          <t>5</t>
        </is>
      </c>
      <c r="D144" s="21" t="inlineStr">
        <is>
          <t>37</t>
        </is>
      </c>
      <c r="E144" s="21" t="inlineStr">
        <is>
          <t>Prise en charge des pathologies spécialisées/1</t>
        </is>
      </c>
      <c r="F144" s="21" t="inlineStr">
        <is>
          <t>Soins infirmiers en oncologie</t>
        </is>
      </c>
      <c r="H144" s="21" t="n">
        <v>10</v>
      </c>
      <c r="I144" s="21" t="n">
        <v>2</v>
      </c>
      <c r="J144" s="21" t="n">
        <v>2</v>
      </c>
      <c r="K144" s="21" t="n">
        <v>14</v>
      </c>
      <c r="L144" s="21" t="n">
        <v>204</v>
      </c>
      <c r="M144" s="21" t="n">
        <v>12</v>
      </c>
      <c r="N144" s="21" t="inlineStr">
        <is>
          <t>Coef</t>
        </is>
      </c>
    </row>
    <row r="145">
      <c r="A145" s="21" t="inlineStr">
        <is>
          <t>Soins infirmiers</t>
        </is>
      </c>
      <c r="B145" s="21" t="inlineStr">
        <is>
          <t>L3</t>
        </is>
      </c>
      <c r="C145" s="21" t="inlineStr">
        <is>
          <t>5</t>
        </is>
      </c>
      <c r="D145" s="21" t="inlineStr">
        <is>
          <t>37</t>
        </is>
      </c>
      <c r="E145" s="21" t="inlineStr">
        <is>
          <t>Prise en charge des pathologies spécialisées/1</t>
        </is>
      </c>
      <c r="F145" s="21" t="inlineStr">
        <is>
          <t>Pathologies endocriniennes</t>
        </is>
      </c>
      <c r="H145" s="21" t="n">
        <v>18</v>
      </c>
      <c r="I145" s="21" t="n">
        <v>2</v>
      </c>
      <c r="J145" s="21" t="n">
        <v>0</v>
      </c>
      <c r="K145" s="21" t="n">
        <v>20</v>
      </c>
      <c r="L145" s="21" t="n">
        <v>204</v>
      </c>
      <c r="M145" s="21" t="n">
        <v>12</v>
      </c>
      <c r="N145" s="21" t="inlineStr">
        <is>
          <t>Coef</t>
        </is>
      </c>
    </row>
    <row r="146">
      <c r="A146" s="21" t="inlineStr">
        <is>
          <t>Soins infirmiers</t>
        </is>
      </c>
      <c r="B146" s="21" t="inlineStr">
        <is>
          <t>L3</t>
        </is>
      </c>
      <c r="C146" s="21" t="inlineStr">
        <is>
          <t>5</t>
        </is>
      </c>
      <c r="D146" s="21" t="inlineStr">
        <is>
          <t>37</t>
        </is>
      </c>
      <c r="E146" s="21" t="inlineStr">
        <is>
          <t>Prise en charge des pathologies spécialisées/1</t>
        </is>
      </c>
      <c r="F146" s="21" t="inlineStr">
        <is>
          <t>Soins infirmiers en endocrinologie</t>
        </is>
      </c>
      <c r="H146" s="21" t="n">
        <v>8</v>
      </c>
      <c r="I146" s="21" t="n">
        <v>2</v>
      </c>
      <c r="J146" s="21" t="n">
        <v>2</v>
      </c>
      <c r="K146" s="21" t="n">
        <v>12</v>
      </c>
      <c r="L146" s="21" t="n">
        <v>204</v>
      </c>
      <c r="M146" s="21" t="n">
        <v>12</v>
      </c>
      <c r="N146" s="21" t="inlineStr">
        <is>
          <t>Coef</t>
        </is>
      </c>
    </row>
    <row r="147">
      <c r="A147" s="21" t="inlineStr">
        <is>
          <t>Soins infirmiers</t>
        </is>
      </c>
      <c r="B147" s="21" t="inlineStr">
        <is>
          <t>L3</t>
        </is>
      </c>
      <c r="C147" s="21" t="inlineStr">
        <is>
          <t>5</t>
        </is>
      </c>
      <c r="D147" s="21" t="inlineStr">
        <is>
          <t>37</t>
        </is>
      </c>
      <c r="E147" s="21" t="inlineStr">
        <is>
          <t>Prise en charge des pathologies spécialisées/1</t>
        </is>
      </c>
      <c r="F147" s="21" t="inlineStr">
        <is>
          <t>Pharmacologie et thérapeutiques des pathologies spécialisées</t>
        </is>
      </c>
      <c r="H147" s="21" t="n">
        <v>16</v>
      </c>
      <c r="I147" s="21" t="n">
        <v>4</v>
      </c>
      <c r="J147" s="21" t="n">
        <v>0</v>
      </c>
      <c r="K147" s="21" t="n">
        <v>20</v>
      </c>
      <c r="L147" s="21" t="n">
        <v>204</v>
      </c>
      <c r="M147" s="21" t="n">
        <v>12</v>
      </c>
      <c r="N147" s="21" t="inlineStr">
        <is>
          <t>Coef</t>
        </is>
      </c>
    </row>
    <row r="148">
      <c r="A148" s="21" t="inlineStr">
        <is>
          <t>Soins infirmiers</t>
        </is>
      </c>
      <c r="B148" s="21" t="inlineStr">
        <is>
          <t>L3</t>
        </is>
      </c>
      <c r="C148" s="21" t="inlineStr">
        <is>
          <t>5</t>
        </is>
      </c>
      <c r="D148" s="21" t="inlineStr">
        <is>
          <t>38</t>
        </is>
      </c>
      <c r="E148" s="21" t="inlineStr">
        <is>
          <t>Santé sexuelle et reproductive et droits connexes</t>
        </is>
      </c>
      <c r="F148" s="21" t="inlineStr">
        <is>
          <t>Concepts de base des droits sexuels et reproductifs</t>
        </is>
      </c>
      <c r="H148" s="21" t="n">
        <v>4</v>
      </c>
      <c r="I148" s="21" t="n">
        <v>2</v>
      </c>
      <c r="J148" s="21" t="n">
        <v>0</v>
      </c>
      <c r="K148" s="21" t="n">
        <v>6</v>
      </c>
      <c r="L148" s="21" t="n">
        <v>56</v>
      </c>
      <c r="M148" s="21" t="n">
        <v>3</v>
      </c>
      <c r="N148" s="21" t="inlineStr">
        <is>
          <t>Coef</t>
        </is>
      </c>
    </row>
    <row r="149">
      <c r="A149" s="21" t="inlineStr">
        <is>
          <t>Soins infirmiers</t>
        </is>
      </c>
      <c r="B149" s="21" t="inlineStr">
        <is>
          <t>L3</t>
        </is>
      </c>
      <c r="C149" s="21" t="inlineStr">
        <is>
          <t>5</t>
        </is>
      </c>
      <c r="D149" s="21" t="inlineStr">
        <is>
          <t>38</t>
        </is>
      </c>
      <c r="E149" s="21" t="inlineStr">
        <is>
          <t>Santé sexuelle et reproductive et droits connexes</t>
        </is>
      </c>
      <c r="F149" s="21" t="inlineStr">
        <is>
          <t>Cadre légal et politique</t>
        </is>
      </c>
      <c r="H149" s="21" t="n">
        <v>4</v>
      </c>
      <c r="I149" s="21" t="n">
        <v>0</v>
      </c>
      <c r="J149" s="21" t="n">
        <v>0</v>
      </c>
      <c r="K149" s="21" t="n">
        <v>4</v>
      </c>
      <c r="L149" s="21" t="n">
        <v>56</v>
      </c>
      <c r="M149" s="21" t="n">
        <v>3</v>
      </c>
      <c r="N149" s="21" t="inlineStr">
        <is>
          <t>Coef</t>
        </is>
      </c>
    </row>
    <row r="150">
      <c r="A150" s="21" t="inlineStr">
        <is>
          <t>Soins infirmiers</t>
        </is>
      </c>
      <c r="B150" s="21" t="inlineStr">
        <is>
          <t>L3</t>
        </is>
      </c>
      <c r="C150" s="21" t="inlineStr">
        <is>
          <t>5</t>
        </is>
      </c>
      <c r="D150" s="21" t="inlineStr">
        <is>
          <t>38</t>
        </is>
      </c>
      <c r="E150" s="21" t="inlineStr">
        <is>
          <t>Santé sexuelle et reproductive et droits connexes</t>
        </is>
      </c>
      <c r="F150" s="21" t="inlineStr">
        <is>
          <t>Accès aux soins de santé sexuelle et reproductive</t>
        </is>
      </c>
      <c r="H150" s="21" t="n">
        <v>4</v>
      </c>
      <c r="I150" s="21" t="n">
        <v>2</v>
      </c>
      <c r="J150" s="21" t="n">
        <v>0</v>
      </c>
      <c r="K150" s="21" t="n">
        <v>6</v>
      </c>
      <c r="L150" s="21" t="n">
        <v>56</v>
      </c>
      <c r="M150" s="21" t="n">
        <v>3</v>
      </c>
      <c r="N150" s="21" t="inlineStr">
        <is>
          <t>Coef</t>
        </is>
      </c>
    </row>
    <row r="151">
      <c r="A151" s="21" t="inlineStr">
        <is>
          <t>Soins infirmiers</t>
        </is>
      </c>
      <c r="B151" s="21" t="inlineStr">
        <is>
          <t>L3</t>
        </is>
      </c>
      <c r="C151" s="21" t="inlineStr">
        <is>
          <t>5</t>
        </is>
      </c>
      <c r="D151" s="21" t="inlineStr">
        <is>
          <t>38</t>
        </is>
      </c>
      <c r="E151" s="21" t="inlineStr">
        <is>
          <t>Santé sexuelle et reproductive et droits connexes</t>
        </is>
      </c>
      <c r="F151" s="21" t="inlineStr">
        <is>
          <t>Pratiques infirmières et droits sexuels et reproductifs</t>
        </is>
      </c>
      <c r="H151" s="21" t="n">
        <v>4</v>
      </c>
      <c r="I151" s="21" t="n">
        <v>1</v>
      </c>
      <c r="J151" s="21" t="n">
        <v>0</v>
      </c>
      <c r="K151" s="21" t="n">
        <v>5</v>
      </c>
      <c r="L151" s="21" t="n">
        <v>56</v>
      </c>
      <c r="M151" s="21" t="n">
        <v>3</v>
      </c>
      <c r="N151" s="21" t="inlineStr">
        <is>
          <t>Coef</t>
        </is>
      </c>
    </row>
    <row r="152">
      <c r="A152" s="21" t="inlineStr">
        <is>
          <t>Soins infirmiers</t>
        </is>
      </c>
      <c r="B152" s="21" t="inlineStr">
        <is>
          <t>L3</t>
        </is>
      </c>
      <c r="C152" s="21" t="inlineStr">
        <is>
          <t>5</t>
        </is>
      </c>
      <c r="D152" s="21" t="inlineStr">
        <is>
          <t>38</t>
        </is>
      </c>
      <c r="E152" s="21" t="inlineStr">
        <is>
          <t>Santé sexuelle et reproductive et droits connexes</t>
        </is>
      </c>
      <c r="F152" s="21" t="inlineStr">
        <is>
          <t>Sensibilisation et plaidoyer</t>
        </is>
      </c>
      <c r="H152" s="21" t="n">
        <v>4</v>
      </c>
      <c r="I152" s="21" t="n">
        <v>1</v>
      </c>
      <c r="J152" s="21" t="n">
        <v>0</v>
      </c>
      <c r="K152" s="21" t="n">
        <v>5</v>
      </c>
      <c r="L152" s="21" t="n">
        <v>56</v>
      </c>
      <c r="M152" s="21" t="n">
        <v>3</v>
      </c>
      <c r="N152" s="21" t="inlineStr">
        <is>
          <t>Coef</t>
        </is>
      </c>
    </row>
    <row r="153">
      <c r="A153" s="21" t="inlineStr">
        <is>
          <t>Soins infirmiers</t>
        </is>
      </c>
      <c r="B153" s="21" t="inlineStr">
        <is>
          <t>L3</t>
        </is>
      </c>
      <c r="C153" s="21" t="inlineStr">
        <is>
          <t>5</t>
        </is>
      </c>
      <c r="D153" s="21" t="inlineStr">
        <is>
          <t>38</t>
        </is>
      </c>
      <c r="E153" s="21" t="inlineStr">
        <is>
          <t>Santé sexuelle et reproductive et droits connexes</t>
        </is>
      </c>
      <c r="F153" s="21" t="inlineStr">
        <is>
          <t>Santé sexuelle et reproductive des adolescents</t>
        </is>
      </c>
      <c r="H153" s="21" t="n">
        <v>8</v>
      </c>
      <c r="I153" s="21" t="n">
        <v>2</v>
      </c>
      <c r="J153" s="21" t="n">
        <v>0</v>
      </c>
      <c r="K153" s="21" t="n">
        <v>10</v>
      </c>
      <c r="L153" s="21" t="n">
        <v>56</v>
      </c>
      <c r="M153" s="21" t="n">
        <v>3</v>
      </c>
      <c r="N153" s="21" t="inlineStr">
        <is>
          <t>Coef</t>
        </is>
      </c>
    </row>
    <row r="154">
      <c r="A154" s="21" t="inlineStr">
        <is>
          <t>Soins infirmiers</t>
        </is>
      </c>
      <c r="B154" s="21" t="inlineStr">
        <is>
          <t>L3</t>
        </is>
      </c>
      <c r="C154" s="21" t="inlineStr">
        <is>
          <t>5</t>
        </is>
      </c>
      <c r="D154" s="21" t="inlineStr">
        <is>
          <t>38</t>
        </is>
      </c>
      <c r="E154" s="21" t="inlineStr">
        <is>
          <t>Santé sexuelle et reproductive et droits connexes</t>
        </is>
      </c>
      <c r="F154" s="21" t="inlineStr">
        <is>
          <t>Planification familiale et moyens contraceptifs</t>
        </is>
      </c>
      <c r="H154" s="21" t="n">
        <v>10</v>
      </c>
      <c r="I154" s="21" t="n">
        <v>4</v>
      </c>
      <c r="J154" s="21" t="n">
        <v>6</v>
      </c>
      <c r="K154" s="21" t="n">
        <v>20</v>
      </c>
      <c r="L154" s="21" t="n">
        <v>56</v>
      </c>
      <c r="M154" s="21" t="n">
        <v>3</v>
      </c>
      <c r="N154" s="21" t="inlineStr">
        <is>
          <t>Coef</t>
        </is>
      </c>
    </row>
    <row r="155">
      <c r="A155" s="21" t="inlineStr">
        <is>
          <t>Soins infirmiers</t>
        </is>
      </c>
      <c r="B155" s="21" t="inlineStr">
        <is>
          <t>L3</t>
        </is>
      </c>
      <c r="C155" s="21" t="inlineStr">
        <is>
          <t>6</t>
        </is>
      </c>
      <c r="D155" s="21" t="inlineStr">
        <is>
          <t>41</t>
        </is>
      </c>
      <c r="E155" s="21" t="inlineStr">
        <is>
          <t>Prise en charge des pathologies spécialisées/1</t>
        </is>
      </c>
      <c r="F155" s="21" t="inlineStr">
        <is>
          <t>Troubless psychiatriques</t>
        </is>
      </c>
      <c r="H155" s="21" t="n">
        <v>26</v>
      </c>
      <c r="I155" s="21" t="n">
        <v>4</v>
      </c>
      <c r="J155" s="21" t="n">
        <v>0</v>
      </c>
      <c r="K155" s="21" t="n">
        <v>30</v>
      </c>
      <c r="L155" s="21" t="n">
        <v>62</v>
      </c>
      <c r="M155" s="21" t="n">
        <v>4</v>
      </c>
      <c r="N155" s="21" t="inlineStr">
        <is>
          <t>Coef</t>
        </is>
      </c>
    </row>
    <row r="156">
      <c r="A156" s="21" t="inlineStr">
        <is>
          <t>Soins infirmiers</t>
        </is>
      </c>
      <c r="B156" s="21" t="inlineStr">
        <is>
          <t>L3</t>
        </is>
      </c>
      <c r="C156" s="21" t="inlineStr">
        <is>
          <t>6</t>
        </is>
      </c>
      <c r="D156" s="21" t="inlineStr">
        <is>
          <t>41</t>
        </is>
      </c>
      <c r="E156" s="21" t="inlineStr">
        <is>
          <t>Prise en charge des pathologies spécialisées/1</t>
        </is>
      </c>
      <c r="F156" s="21" t="inlineStr">
        <is>
          <t>S.I en psychiatrie</t>
        </is>
      </c>
      <c r="H156" s="21" t="n">
        <v>14</v>
      </c>
      <c r="I156" s="21" t="n">
        <v>6</v>
      </c>
      <c r="J156" s="21" t="n">
        <v>0</v>
      </c>
      <c r="K156" s="21" t="n">
        <v>20</v>
      </c>
      <c r="L156" s="21" t="n">
        <v>62</v>
      </c>
      <c r="M156" s="21" t="n">
        <v>4</v>
      </c>
      <c r="N156" s="21" t="inlineStr">
        <is>
          <t>Coef</t>
        </is>
      </c>
    </row>
    <row r="157">
      <c r="A157" s="21" t="inlineStr">
        <is>
          <t>Soins infirmiers</t>
        </is>
      </c>
      <c r="B157" s="21" t="inlineStr">
        <is>
          <t>L3</t>
        </is>
      </c>
      <c r="C157" s="21" t="inlineStr">
        <is>
          <t>6</t>
        </is>
      </c>
      <c r="D157" s="21" t="inlineStr">
        <is>
          <t>41</t>
        </is>
      </c>
      <c r="E157" s="21" t="inlineStr">
        <is>
          <t>Prise en charge des pathologies spécialisées/1</t>
        </is>
      </c>
      <c r="F157" s="21" t="inlineStr">
        <is>
          <t>Pharmacologie et thérapeutiques</t>
        </is>
      </c>
      <c r="H157" s="21" t="n">
        <v>10</v>
      </c>
      <c r="I157" s="21" t="n">
        <v>2</v>
      </c>
      <c r="J157" s="21" t="n">
        <v>0</v>
      </c>
      <c r="K157" s="21" t="n">
        <v>12</v>
      </c>
      <c r="L157" s="21" t="n">
        <v>62</v>
      </c>
      <c r="M157" s="21" t="n">
        <v>4</v>
      </c>
      <c r="N157" s="21" t="inlineStr">
        <is>
          <t>Coef</t>
        </is>
      </c>
    </row>
    <row r="158">
      <c r="A158" s="21" t="inlineStr">
        <is>
          <t>Soins infirmiers</t>
        </is>
      </c>
      <c r="B158" s="21" t="inlineStr">
        <is>
          <t>L3</t>
        </is>
      </c>
      <c r="C158" s="21" t="inlineStr">
        <is>
          <t>6</t>
        </is>
      </c>
      <c r="D158" s="21" t="inlineStr">
        <is>
          <t>43</t>
        </is>
      </c>
      <c r="E158" s="21" t="inlineStr">
        <is>
          <t>Soins infirmiers en urgences et réanimation</t>
        </is>
      </c>
      <c r="F158" s="21" t="inlineStr">
        <is>
          <t>Urgences médicales et Réanimation</t>
        </is>
      </c>
      <c r="H158" s="21" t="n">
        <v>36</v>
      </c>
      <c r="I158" s="21" t="n">
        <v>4</v>
      </c>
      <c r="J158" s="21" t="n">
        <v>0</v>
      </c>
      <c r="K158" s="21" t="n">
        <v>40</v>
      </c>
      <c r="L158" s="21" t="n">
        <v>112</v>
      </c>
      <c r="M158" s="21" t="n">
        <v>7</v>
      </c>
      <c r="N158" s="21" t="inlineStr">
        <is>
          <t>Coef</t>
        </is>
      </c>
    </row>
    <row r="159">
      <c r="A159" s="21" t="inlineStr">
        <is>
          <t>Soins infirmiers</t>
        </is>
      </c>
      <c r="B159" s="21" t="inlineStr">
        <is>
          <t>L3</t>
        </is>
      </c>
      <c r="C159" s="21" t="inlineStr">
        <is>
          <t>6</t>
        </is>
      </c>
      <c r="D159" s="21" t="inlineStr">
        <is>
          <t>43</t>
        </is>
      </c>
      <c r="E159" s="21" t="inlineStr">
        <is>
          <t>Soins infirmiers en urgences et réanimation</t>
        </is>
      </c>
      <c r="F159" s="21" t="inlineStr">
        <is>
          <t>Urgences traumatologiques</t>
        </is>
      </c>
      <c r="H159" s="21" t="n">
        <v>24</v>
      </c>
      <c r="I159" s="21" t="n">
        <v>6</v>
      </c>
      <c r="J159" s="21" t="n">
        <v>0</v>
      </c>
      <c r="K159" s="21" t="n">
        <v>30</v>
      </c>
      <c r="L159" s="21" t="n">
        <v>112</v>
      </c>
      <c r="M159" s="21" t="n">
        <v>7</v>
      </c>
      <c r="N159" s="21" t="inlineStr">
        <is>
          <t>Coef</t>
        </is>
      </c>
    </row>
    <row r="160">
      <c r="A160" s="21" t="inlineStr">
        <is>
          <t>Soins infirmiers</t>
        </is>
      </c>
      <c r="B160" s="21" t="inlineStr">
        <is>
          <t>L3</t>
        </is>
      </c>
      <c r="C160" s="21" t="inlineStr">
        <is>
          <t>6</t>
        </is>
      </c>
      <c r="D160" s="21" t="inlineStr">
        <is>
          <t>43</t>
        </is>
      </c>
      <c r="E160" s="21" t="inlineStr">
        <is>
          <t>Soins infirmiers en urgences et réanimation</t>
        </is>
      </c>
      <c r="F160" s="21" t="inlineStr">
        <is>
          <t>S.I en urgences et réanimation</t>
        </is>
      </c>
      <c r="H160" s="21" t="n">
        <v>16</v>
      </c>
      <c r="I160" s="21" t="n">
        <v>2</v>
      </c>
      <c r="J160" s="21" t="n">
        <v>4</v>
      </c>
      <c r="K160" s="21" t="n">
        <v>22</v>
      </c>
      <c r="L160" s="21" t="n">
        <v>112</v>
      </c>
      <c r="M160" s="21" t="n">
        <v>7</v>
      </c>
      <c r="N160" s="21" t="inlineStr">
        <is>
          <t>Coef</t>
        </is>
      </c>
    </row>
    <row r="161">
      <c r="A161" s="21" t="inlineStr">
        <is>
          <t>Soins infirmiers</t>
        </is>
      </c>
      <c r="B161" s="21" t="inlineStr">
        <is>
          <t>L3</t>
        </is>
      </c>
      <c r="C161" s="21" t="inlineStr">
        <is>
          <t>6</t>
        </is>
      </c>
      <c r="D161" s="21" t="inlineStr">
        <is>
          <t>43</t>
        </is>
      </c>
      <c r="E161" s="21" t="inlineStr">
        <is>
          <t>Soins infirmiers en urgences et réanimation</t>
        </is>
      </c>
      <c r="F161" s="21" t="inlineStr">
        <is>
          <t>Pharmacologie et thérapeutiques</t>
        </is>
      </c>
      <c r="H161" s="21" t="n">
        <v>16</v>
      </c>
      <c r="I161" s="21" t="n">
        <v>4</v>
      </c>
      <c r="J161" s="21" t="n">
        <v>0</v>
      </c>
      <c r="K161" s="21" t="n">
        <v>20</v>
      </c>
      <c r="L161" s="21" t="n">
        <v>112</v>
      </c>
      <c r="M161" s="21" t="n">
        <v>7</v>
      </c>
      <c r="N161" s="21" t="inlineStr">
        <is>
          <t>Coef</t>
        </is>
      </c>
    </row>
    <row r="162">
      <c r="A162" s="21" t="inlineStr">
        <is>
          <t>Soins infirmiers</t>
        </is>
      </c>
      <c r="B162" s="21" t="inlineStr">
        <is>
          <t>L3</t>
        </is>
      </c>
      <c r="C162" s="21" t="inlineStr">
        <is>
          <t>6</t>
        </is>
      </c>
      <c r="D162" s="21" t="inlineStr">
        <is>
          <t>45</t>
        </is>
      </c>
      <c r="E162" s="21" t="inlineStr">
        <is>
          <t>Soins infirmiers du nouveau-né</t>
        </is>
      </c>
      <c r="F162" s="21" t="inlineStr">
        <is>
          <t>Néonatologie et soins infirmier néonatale</t>
        </is>
      </c>
      <c r="H162" s="21" t="n">
        <v>26</v>
      </c>
      <c r="I162" s="21" t="n">
        <v>4</v>
      </c>
      <c r="J162" s="21" t="n">
        <v>0</v>
      </c>
      <c r="K162" s="21" t="n">
        <v>30</v>
      </c>
      <c r="L162" s="21" t="n">
        <v>50</v>
      </c>
      <c r="M162" s="21" t="n">
        <v>3</v>
      </c>
      <c r="N162" s="21" t="inlineStr">
        <is>
          <t>Coef</t>
        </is>
      </c>
    </row>
    <row r="163">
      <c r="A163" s="21" t="inlineStr">
        <is>
          <t>Soins infirmiers</t>
        </is>
      </c>
      <c r="B163" s="21" t="inlineStr">
        <is>
          <t>L3</t>
        </is>
      </c>
      <c r="C163" s="21" t="inlineStr">
        <is>
          <t>6</t>
        </is>
      </c>
      <c r="D163" s="21" t="inlineStr">
        <is>
          <t>45</t>
        </is>
      </c>
      <c r="E163" s="21" t="inlineStr">
        <is>
          <t>Soins infirmiers du nouveau-né</t>
        </is>
      </c>
      <c r="F163" s="21" t="inlineStr">
        <is>
          <t>Pathologies chirurgicales néonatales et soins infirmiers opératoire</t>
        </is>
      </c>
      <c r="H163" s="21" t="n">
        <v>16</v>
      </c>
      <c r="I163" s="21" t="n">
        <v>4</v>
      </c>
      <c r="J163" s="21" t="n">
        <v>0</v>
      </c>
      <c r="K163" s="21" t="n">
        <v>20</v>
      </c>
      <c r="L163" s="21" t="n">
        <v>50</v>
      </c>
      <c r="M163" s="21" t="n">
        <v>3</v>
      </c>
      <c r="N163" s="21" t="inlineStr">
        <is>
          <t>Coef</t>
        </is>
      </c>
    </row>
    <row r="164">
      <c r="A164" s="21" t="inlineStr">
        <is>
          <t>Soins obstétricaux</t>
        </is>
      </c>
      <c r="B164" s="21" t="inlineStr">
        <is>
          <t>L1</t>
        </is>
      </c>
      <c r="C164" s="21" t="inlineStr">
        <is>
          <t>1</t>
        </is>
      </c>
      <c r="D164" s="21" t="inlineStr">
        <is>
          <t>1</t>
        </is>
      </c>
      <c r="E164" s="21" t="inlineStr">
        <is>
          <t>TIC (Technologie de l’information et de la communication)</t>
        </is>
      </c>
      <c r="F164" s="21" t="inlineStr">
        <is>
          <t>Communication</t>
        </is>
      </c>
      <c r="H164" s="21" t="n">
        <v>6</v>
      </c>
      <c r="I164" s="21" t="n">
        <v>4</v>
      </c>
      <c r="J164" s="21" t="n">
        <v>0</v>
      </c>
      <c r="K164" s="21" t="n">
        <v>10</v>
      </c>
      <c r="L164" s="21" t="n">
        <v>50</v>
      </c>
      <c r="M164" s="21" t="n">
        <v>3</v>
      </c>
    </row>
    <row r="165">
      <c r="A165" s="21" t="inlineStr">
        <is>
          <t>Soins obstétricaux</t>
        </is>
      </c>
      <c r="B165" s="21" t="inlineStr">
        <is>
          <t>L1</t>
        </is>
      </c>
      <c r="C165" s="21" t="inlineStr">
        <is>
          <t>1</t>
        </is>
      </c>
      <c r="D165" s="21" t="inlineStr">
        <is>
          <t>1</t>
        </is>
      </c>
      <c r="E165" s="21" t="inlineStr">
        <is>
          <t>TIC (Technologie de l’information et de la communication)</t>
        </is>
      </c>
      <c r="F165" s="21" t="inlineStr">
        <is>
          <t>Communication virtuelle</t>
        </is>
      </c>
      <c r="H165" s="21" t="n">
        <v>10</v>
      </c>
      <c r="I165" s="21" t="n">
        <v>0</v>
      </c>
      <c r="J165" s="21" t="n">
        <v>10</v>
      </c>
      <c r="K165" s="21" t="n">
        <v>20</v>
      </c>
      <c r="L165" s="21" t="n">
        <v>50</v>
      </c>
      <c r="M165" s="21" t="n">
        <v>3</v>
      </c>
    </row>
    <row r="166">
      <c r="A166" s="21" t="inlineStr">
        <is>
          <t>Soins obstétricaux</t>
        </is>
      </c>
      <c r="B166" s="21" t="inlineStr">
        <is>
          <t>L1</t>
        </is>
      </c>
      <c r="C166" s="21" t="inlineStr">
        <is>
          <t>1</t>
        </is>
      </c>
      <c r="D166" s="21" t="inlineStr">
        <is>
          <t>1</t>
        </is>
      </c>
      <c r="E166" s="21" t="inlineStr">
        <is>
          <t>TIC (Technologie de l’information et de la communication)</t>
        </is>
      </c>
      <c r="F166" s="21" t="inlineStr">
        <is>
          <t>Communication universitaire</t>
        </is>
      </c>
      <c r="H166" s="21" t="n">
        <v>15</v>
      </c>
      <c r="I166" s="21" t="n">
        <v>5</v>
      </c>
      <c r="J166" s="21" t="n">
        <v>0</v>
      </c>
      <c r="K166" s="21" t="n">
        <v>20</v>
      </c>
      <c r="L166" s="21" t="n">
        <v>50</v>
      </c>
      <c r="M166" s="21" t="n">
        <v>3</v>
      </c>
    </row>
    <row r="167">
      <c r="A167" s="21" t="inlineStr">
        <is>
          <t>Soins obstétricaux</t>
        </is>
      </c>
      <c r="B167" s="21" t="inlineStr">
        <is>
          <t>L1</t>
        </is>
      </c>
      <c r="C167" s="21" t="inlineStr">
        <is>
          <t>1</t>
        </is>
      </c>
      <c r="D167" s="21" t="inlineStr">
        <is>
          <t>2</t>
        </is>
      </c>
      <c r="E167" s="21" t="inlineStr">
        <is>
          <t>Anatomie et physiologie générale</t>
        </is>
      </c>
      <c r="F167" s="21" t="inlineStr">
        <is>
          <t>Introduction au corps humain</t>
        </is>
      </c>
      <c r="H167" s="21" t="n">
        <v>4</v>
      </c>
      <c r="I167" s="21" t="n">
        <v>2</v>
      </c>
      <c r="J167" s="21" t="n">
        <v>0</v>
      </c>
      <c r="K167" s="21" t="n">
        <v>6</v>
      </c>
      <c r="L167" s="21" t="n">
        <v>112</v>
      </c>
      <c r="M167" s="21" t="n">
        <v>7</v>
      </c>
    </row>
    <row r="168">
      <c r="A168" s="21" t="inlineStr">
        <is>
          <t>Soins obstétricaux</t>
        </is>
      </c>
      <c r="B168" s="21" t="inlineStr">
        <is>
          <t>L1</t>
        </is>
      </c>
      <c r="C168" s="21" t="inlineStr">
        <is>
          <t>1</t>
        </is>
      </c>
      <c r="D168" s="21" t="inlineStr">
        <is>
          <t>2</t>
        </is>
      </c>
      <c r="E168" s="21" t="inlineStr">
        <is>
          <t>Anatomie et physiologie générale</t>
        </is>
      </c>
      <c r="F168" s="21" t="inlineStr">
        <is>
          <t>Appareil respiratoire</t>
        </is>
      </c>
      <c r="H168" s="21" t="n">
        <v>6</v>
      </c>
      <c r="I168" s="21" t="n">
        <v>2</v>
      </c>
      <c r="J168" s="21" t="n">
        <v>0</v>
      </c>
      <c r="K168" s="21" t="n">
        <v>8</v>
      </c>
      <c r="L168" s="21" t="n">
        <v>112</v>
      </c>
      <c r="M168" s="21" t="n">
        <v>7</v>
      </c>
    </row>
    <row r="169">
      <c r="A169" s="21" t="inlineStr">
        <is>
          <t>Soins obstétricaux</t>
        </is>
      </c>
      <c r="B169" s="21" t="inlineStr">
        <is>
          <t>L1</t>
        </is>
      </c>
      <c r="C169" s="21" t="inlineStr">
        <is>
          <t>1</t>
        </is>
      </c>
      <c r="D169" s="21" t="inlineStr">
        <is>
          <t>2</t>
        </is>
      </c>
      <c r="E169" s="21" t="inlineStr">
        <is>
          <t>Anatomie et physiologie générale</t>
        </is>
      </c>
      <c r="F169" s="21" t="inlineStr">
        <is>
          <t>Le sang</t>
        </is>
      </c>
      <c r="H169" s="21" t="n">
        <v>6</v>
      </c>
      <c r="I169" s="21" t="n">
        <v>2</v>
      </c>
      <c r="J169" s="21" t="n">
        <v>0</v>
      </c>
      <c r="K169" s="21" t="n">
        <v>8</v>
      </c>
      <c r="L169" s="21" t="n">
        <v>112</v>
      </c>
      <c r="M169" s="21" t="n">
        <v>7</v>
      </c>
    </row>
    <row r="170">
      <c r="A170" s="21" t="inlineStr">
        <is>
          <t>Soins obstétricaux</t>
        </is>
      </c>
      <c r="B170" s="21" t="inlineStr">
        <is>
          <t>L1</t>
        </is>
      </c>
      <c r="C170" s="21" t="inlineStr">
        <is>
          <t>1</t>
        </is>
      </c>
      <c r="D170" s="21" t="inlineStr">
        <is>
          <t>2</t>
        </is>
      </c>
      <c r="E170" s="21" t="inlineStr">
        <is>
          <t>Anatomie et physiologie générale</t>
        </is>
      </c>
      <c r="F170" s="21" t="inlineStr">
        <is>
          <t>Système cardiovasculaire</t>
        </is>
      </c>
      <c r="H170" s="21" t="n">
        <v>6</v>
      </c>
      <c r="I170" s="21" t="n">
        <v>2</v>
      </c>
      <c r="J170" s="21" t="n">
        <v>0</v>
      </c>
      <c r="K170" s="21" t="n">
        <v>8</v>
      </c>
      <c r="L170" s="21" t="n">
        <v>112</v>
      </c>
      <c r="M170" s="21" t="n">
        <v>7</v>
      </c>
    </row>
    <row r="171">
      <c r="A171" s="21" t="inlineStr">
        <is>
          <t>Soins obstétricaux</t>
        </is>
      </c>
      <c r="B171" s="21" t="inlineStr">
        <is>
          <t>L1</t>
        </is>
      </c>
      <c r="C171" s="21" t="inlineStr">
        <is>
          <t>1</t>
        </is>
      </c>
      <c r="D171" s="21" t="inlineStr">
        <is>
          <t>2</t>
        </is>
      </c>
      <c r="E171" s="21" t="inlineStr">
        <is>
          <t>Anatomie et physiologie générale</t>
        </is>
      </c>
      <c r="F171" s="21" t="inlineStr">
        <is>
          <t>Liquides et électrolytes</t>
        </is>
      </c>
      <c r="H171" s="21" t="n">
        <v>8</v>
      </c>
      <c r="I171" s="21" t="n">
        <v>2</v>
      </c>
      <c r="J171" s="21" t="n">
        <v>0</v>
      </c>
      <c r="K171" s="21" t="n">
        <v>10</v>
      </c>
      <c r="L171" s="21" t="n">
        <v>112</v>
      </c>
      <c r="M171" s="21" t="n">
        <v>7</v>
      </c>
    </row>
    <row r="172">
      <c r="A172" s="21" t="inlineStr">
        <is>
          <t>Soins obstétricaux</t>
        </is>
      </c>
      <c r="B172" s="21" t="inlineStr">
        <is>
          <t>L1</t>
        </is>
      </c>
      <c r="C172" s="21" t="inlineStr">
        <is>
          <t>1</t>
        </is>
      </c>
      <c r="D172" s="21" t="inlineStr">
        <is>
          <t>2</t>
        </is>
      </c>
      <c r="E172" s="21" t="inlineStr">
        <is>
          <t>Anatomie et physiologie générale</t>
        </is>
      </c>
      <c r="F172" s="21" t="inlineStr">
        <is>
          <t>Système tégumentaire</t>
        </is>
      </c>
      <c r="H172" s="21" t="n">
        <v>6</v>
      </c>
      <c r="I172" s="21" t="n">
        <v>2</v>
      </c>
      <c r="J172" s="21" t="n">
        <v>0</v>
      </c>
      <c r="K172" s="21" t="n">
        <v>8</v>
      </c>
      <c r="L172" s="21" t="n">
        <v>112</v>
      </c>
      <c r="M172" s="21" t="n">
        <v>7</v>
      </c>
    </row>
    <row r="173">
      <c r="A173" s="21" t="inlineStr">
        <is>
          <t>Soins obstétricaux</t>
        </is>
      </c>
      <c r="B173" s="21" t="inlineStr">
        <is>
          <t>L1</t>
        </is>
      </c>
      <c r="C173" s="21" t="inlineStr">
        <is>
          <t>1</t>
        </is>
      </c>
      <c r="D173" s="21" t="inlineStr">
        <is>
          <t>2</t>
        </is>
      </c>
      <c r="E173" s="21" t="inlineStr">
        <is>
          <t>Anatomie et physiologie générale</t>
        </is>
      </c>
      <c r="F173" s="21" t="inlineStr">
        <is>
          <t>Appareil digestif</t>
        </is>
      </c>
      <c r="H173" s="21" t="n">
        <v>6</v>
      </c>
      <c r="I173" s="21" t="n">
        <v>2</v>
      </c>
      <c r="J173" s="21" t="n">
        <v>0</v>
      </c>
      <c r="K173" s="21" t="n">
        <v>8</v>
      </c>
      <c r="L173" s="21" t="n">
        <v>112</v>
      </c>
      <c r="M173" s="21" t="n">
        <v>7</v>
      </c>
    </row>
    <row r="174">
      <c r="A174" s="21" t="inlineStr">
        <is>
          <t>Soins obstétricaux</t>
        </is>
      </c>
      <c r="B174" s="21" t="inlineStr">
        <is>
          <t>L1</t>
        </is>
      </c>
      <c r="C174" s="21" t="inlineStr">
        <is>
          <t>1</t>
        </is>
      </c>
      <c r="D174" s="21" t="inlineStr">
        <is>
          <t>2</t>
        </is>
      </c>
      <c r="E174" s="21" t="inlineStr">
        <is>
          <t>Anatomie et physiologie générale</t>
        </is>
      </c>
      <c r="F174" s="21" t="inlineStr">
        <is>
          <t>Appareil urinaire</t>
        </is>
      </c>
      <c r="H174" s="21" t="n">
        <v>6</v>
      </c>
      <c r="I174" s="21" t="n">
        <v>2</v>
      </c>
      <c r="J174" s="21" t="n">
        <v>0</v>
      </c>
      <c r="K174" s="21" t="n">
        <v>8</v>
      </c>
      <c r="L174" s="21" t="n">
        <v>112</v>
      </c>
      <c r="M174" s="21" t="n">
        <v>7</v>
      </c>
    </row>
    <row r="175">
      <c r="A175" s="21" t="inlineStr">
        <is>
          <t>Soins obstétricaux</t>
        </is>
      </c>
      <c r="B175" s="21" t="inlineStr">
        <is>
          <t>L1</t>
        </is>
      </c>
      <c r="C175" s="21" t="inlineStr">
        <is>
          <t>1</t>
        </is>
      </c>
      <c r="D175" s="21" t="inlineStr">
        <is>
          <t>2</t>
        </is>
      </c>
      <c r="E175" s="21" t="inlineStr">
        <is>
          <t>Anatomie et physiologie générale</t>
        </is>
      </c>
      <c r="F175" s="21" t="inlineStr">
        <is>
          <t>Appareil genital masculin et feminin</t>
        </is>
      </c>
      <c r="H175" s="21" t="n">
        <v>6</v>
      </c>
      <c r="I175" s="21" t="n">
        <v>2</v>
      </c>
      <c r="J175" s="21" t="n">
        <v>0</v>
      </c>
      <c r="K175" s="21" t="n">
        <v>8</v>
      </c>
      <c r="L175" s="21" t="n">
        <v>112</v>
      </c>
      <c r="M175" s="21" t="n">
        <v>7</v>
      </c>
    </row>
    <row r="176">
      <c r="A176" s="21" t="inlineStr">
        <is>
          <t>Soins obstétricaux</t>
        </is>
      </c>
      <c r="B176" s="21" t="inlineStr">
        <is>
          <t>L1</t>
        </is>
      </c>
      <c r="C176" s="21" t="inlineStr">
        <is>
          <t>1</t>
        </is>
      </c>
      <c r="D176" s="21" t="inlineStr">
        <is>
          <t>2</t>
        </is>
      </c>
      <c r="E176" s="21" t="inlineStr">
        <is>
          <t>Anatomie et physiologie générale</t>
        </is>
      </c>
      <c r="F176" s="21" t="inlineStr">
        <is>
          <t>Anatomie des organes de sens</t>
        </is>
      </c>
      <c r="H176" s="21" t="n">
        <v>8</v>
      </c>
      <c r="I176" s="21" t="n">
        <v>2</v>
      </c>
      <c r="J176" s="21" t="n">
        <v>0</v>
      </c>
      <c r="K176" s="21" t="n">
        <v>10</v>
      </c>
      <c r="L176" s="21" t="n">
        <v>112</v>
      </c>
      <c r="M176" s="21" t="n">
        <v>7</v>
      </c>
    </row>
    <row r="177">
      <c r="A177" s="21" t="inlineStr">
        <is>
          <t>Soins obstétricaux</t>
        </is>
      </c>
      <c r="B177" s="21" t="inlineStr">
        <is>
          <t>L1</t>
        </is>
      </c>
      <c r="C177" s="21" t="inlineStr">
        <is>
          <t>1</t>
        </is>
      </c>
      <c r="D177" s="21" t="inlineStr">
        <is>
          <t>2</t>
        </is>
      </c>
      <c r="E177" s="21" t="inlineStr">
        <is>
          <t>Anatomie et physiologie générale</t>
        </is>
      </c>
      <c r="F177" s="21" t="inlineStr">
        <is>
          <t>Système endocrinien</t>
        </is>
      </c>
      <c r="H177" s="21" t="n">
        <v>8</v>
      </c>
      <c r="I177" s="21" t="n">
        <v>2</v>
      </c>
      <c r="J177" s="21" t="n">
        <v>0</v>
      </c>
      <c r="K177" s="21" t="n">
        <v>10</v>
      </c>
      <c r="L177" s="21" t="n">
        <v>112</v>
      </c>
      <c r="M177" s="21" t="n">
        <v>7</v>
      </c>
    </row>
    <row r="178">
      <c r="A178" s="21" t="inlineStr">
        <is>
          <t>Soins obstétricaux</t>
        </is>
      </c>
      <c r="B178" s="21" t="inlineStr">
        <is>
          <t>L1</t>
        </is>
      </c>
      <c r="C178" s="21" t="inlineStr">
        <is>
          <t>1</t>
        </is>
      </c>
      <c r="D178" s="21" t="inlineStr">
        <is>
          <t>2</t>
        </is>
      </c>
      <c r="E178" s="21" t="inlineStr">
        <is>
          <t>Anatomie et physiologie générale</t>
        </is>
      </c>
      <c r="F178" s="21" t="inlineStr">
        <is>
          <t>Appareil locomoteur</t>
        </is>
      </c>
      <c r="H178" s="21" t="n">
        <v>10</v>
      </c>
      <c r="I178" s="21" t="n">
        <v>2</v>
      </c>
      <c r="J178" s="21" t="n">
        <v>0</v>
      </c>
      <c r="K178" s="21" t="n">
        <v>12</v>
      </c>
      <c r="L178" s="21" t="n">
        <v>112</v>
      </c>
      <c r="M178" s="21" t="n">
        <v>7</v>
      </c>
    </row>
    <row r="179">
      <c r="A179" s="21" t="inlineStr">
        <is>
          <t>Soins obstétricaux</t>
        </is>
      </c>
      <c r="B179" s="21" t="inlineStr">
        <is>
          <t>L1</t>
        </is>
      </c>
      <c r="C179" s="21" t="inlineStr">
        <is>
          <t>1</t>
        </is>
      </c>
      <c r="D179" s="21" t="inlineStr">
        <is>
          <t>2</t>
        </is>
      </c>
      <c r="E179" s="21" t="inlineStr">
        <is>
          <t>Anatomie et physiologie générale</t>
        </is>
      </c>
      <c r="F179" s="21" t="inlineStr">
        <is>
          <t>Système nerveux</t>
        </is>
      </c>
      <c r="H179" s="21" t="n">
        <v>6</v>
      </c>
      <c r="I179" s="21" t="n">
        <v>2</v>
      </c>
      <c r="J179" s="21" t="n">
        <v>0</v>
      </c>
      <c r="K179" s="21" t="n">
        <v>8</v>
      </c>
      <c r="L179" s="21" t="n">
        <v>112</v>
      </c>
      <c r="M179" s="21" t="n">
        <v>7</v>
      </c>
    </row>
    <row r="180">
      <c r="A180" s="21" t="inlineStr">
        <is>
          <t>Soins obstétricaux</t>
        </is>
      </c>
      <c r="B180" s="21" t="inlineStr">
        <is>
          <t>L1</t>
        </is>
      </c>
      <c r="C180" s="21" t="inlineStr">
        <is>
          <t>1</t>
        </is>
      </c>
      <c r="D180" s="21" t="inlineStr">
        <is>
          <t>3</t>
        </is>
      </c>
      <c r="E180" s="21" t="inlineStr">
        <is>
          <t>Principes fondamentaux des soins obstétricaux</t>
        </is>
      </c>
      <c r="F180" s="21" t="inlineStr">
        <is>
          <t>Système de dispense de soins aux Comores</t>
        </is>
      </c>
      <c r="H180" s="21" t="n">
        <v>4</v>
      </c>
      <c r="I180" s="21" t="n">
        <v>2</v>
      </c>
      <c r="J180" s="21" t="n">
        <v>0</v>
      </c>
      <c r="K180" s="21" t="n">
        <v>6</v>
      </c>
      <c r="L180" s="21" t="n">
        <v>92</v>
      </c>
      <c r="M180" s="21" t="n">
        <v>6</v>
      </c>
    </row>
    <row r="181">
      <c r="A181" s="21" t="inlineStr">
        <is>
          <t>Soins obstétricaux</t>
        </is>
      </c>
      <c r="B181" s="21" t="inlineStr">
        <is>
          <t>L1</t>
        </is>
      </c>
      <c r="C181" s="21" t="inlineStr">
        <is>
          <t>1</t>
        </is>
      </c>
      <c r="D181" s="21" t="inlineStr">
        <is>
          <t>3</t>
        </is>
      </c>
      <c r="E181" s="21" t="inlineStr">
        <is>
          <t>Principes fondamentaux des soins obstétricaux</t>
        </is>
      </c>
      <c r="F181" s="21" t="inlineStr">
        <is>
          <t>L’infirmier dans l’environnement sanitaire</t>
        </is>
      </c>
      <c r="H181" s="21" t="n">
        <v>6</v>
      </c>
      <c r="I181" s="21" t="n">
        <v>2</v>
      </c>
      <c r="J181" s="21" t="n">
        <v>0</v>
      </c>
      <c r="K181" s="21" t="n">
        <v>8</v>
      </c>
      <c r="L181" s="21" t="n">
        <v>92</v>
      </c>
      <c r="M181" s="21" t="n">
        <v>6</v>
      </c>
    </row>
    <row r="182">
      <c r="A182" s="21" t="inlineStr">
        <is>
          <t>Soins obstétricaux</t>
        </is>
      </c>
      <c r="B182" s="21" t="inlineStr">
        <is>
          <t>L1</t>
        </is>
      </c>
      <c r="C182" s="21" t="inlineStr">
        <is>
          <t>1</t>
        </is>
      </c>
      <c r="D182" s="21" t="inlineStr">
        <is>
          <t>3</t>
        </is>
      </c>
      <c r="E182" s="21" t="inlineStr">
        <is>
          <t>Principes fondamentaux des soins obstétricaux</t>
        </is>
      </c>
      <c r="F182" s="21" t="inlineStr">
        <is>
          <t>Perceptions en matière de santé</t>
        </is>
      </c>
      <c r="H182" s="21" t="n">
        <v>4</v>
      </c>
      <c r="I182" s="21" t="n">
        <v>2</v>
      </c>
      <c r="J182" s="21" t="n">
        <v>0</v>
      </c>
      <c r="K182" s="21" t="n">
        <v>6</v>
      </c>
      <c r="L182" s="21" t="n">
        <v>92</v>
      </c>
      <c r="M182" s="21" t="n">
        <v>6</v>
      </c>
    </row>
    <row r="183">
      <c r="A183" s="21" t="inlineStr">
        <is>
          <t>Soins obstétricaux</t>
        </is>
      </c>
      <c r="B183" s="21" t="inlineStr">
        <is>
          <t>L1</t>
        </is>
      </c>
      <c r="C183" s="21" t="inlineStr">
        <is>
          <t>1</t>
        </is>
      </c>
      <c r="D183" s="21" t="inlineStr">
        <is>
          <t>3</t>
        </is>
      </c>
      <c r="E183" s="21" t="inlineStr">
        <is>
          <t>Principes fondamentaux des soins obstétricaux</t>
        </is>
      </c>
      <c r="F183" s="21" t="inlineStr">
        <is>
          <t>Théories, modèles de soins</t>
        </is>
      </c>
      <c r="H183" s="21" t="n">
        <v>4</v>
      </c>
      <c r="I183" s="21" t="n">
        <v>2</v>
      </c>
      <c r="J183" s="21" t="n">
        <v>0</v>
      </c>
      <c r="K183" s="21" t="n">
        <v>6</v>
      </c>
      <c r="L183" s="21" t="n">
        <v>92</v>
      </c>
      <c r="M183" s="21" t="n">
        <v>6</v>
      </c>
    </row>
    <row r="184">
      <c r="A184" s="21" t="inlineStr">
        <is>
          <t>Soins obstétricaux</t>
        </is>
      </c>
      <c r="B184" s="21" t="inlineStr">
        <is>
          <t>L1</t>
        </is>
      </c>
      <c r="C184" s="21" t="inlineStr">
        <is>
          <t>1</t>
        </is>
      </c>
      <c r="D184" s="21" t="inlineStr">
        <is>
          <t>3</t>
        </is>
      </c>
      <c r="E184" s="21" t="inlineStr">
        <is>
          <t>Principes fondamentaux des soins obstétricaux</t>
        </is>
      </c>
      <c r="F184" s="21" t="inlineStr">
        <is>
          <t>Disposition d’un environnement sûr</t>
        </is>
      </c>
      <c r="H184" s="21" t="n">
        <v>8</v>
      </c>
      <c r="I184" s="21" t="n">
        <v>4</v>
      </c>
      <c r="J184" s="21" t="n">
        <v>0</v>
      </c>
      <c r="K184" s="21" t="n">
        <v>12</v>
      </c>
      <c r="L184" s="21" t="n">
        <v>92</v>
      </c>
      <c r="M184" s="21" t="n">
        <v>6</v>
      </c>
    </row>
    <row r="185">
      <c r="A185" s="21" t="inlineStr">
        <is>
          <t>Soins obstétricaux</t>
        </is>
      </c>
      <c r="B185" s="21" t="inlineStr">
        <is>
          <t>L1</t>
        </is>
      </c>
      <c r="C185" s="21" t="inlineStr">
        <is>
          <t>1</t>
        </is>
      </c>
      <c r="D185" s="21" t="inlineStr">
        <is>
          <t>3</t>
        </is>
      </c>
      <c r="E185" s="21" t="inlineStr">
        <is>
          <t>Principes fondamentaux des soins obstétricaux</t>
        </is>
      </c>
      <c r="F185" s="21" t="inlineStr">
        <is>
          <t>Besoins fondamentaux du patient</t>
        </is>
      </c>
      <c r="H185" s="21" t="n">
        <v>4</v>
      </c>
      <c r="I185" s="21" t="n">
        <v>6</v>
      </c>
      <c r="J185" s="21" t="n">
        <v>0</v>
      </c>
      <c r="K185" s="21" t="n">
        <v>10</v>
      </c>
      <c r="L185" s="21" t="n">
        <v>92</v>
      </c>
      <c r="M185" s="21" t="n">
        <v>6</v>
      </c>
    </row>
    <row r="186">
      <c r="A186" s="21" t="inlineStr">
        <is>
          <t>Soins obstétricaux</t>
        </is>
      </c>
      <c r="B186" s="21" t="inlineStr">
        <is>
          <t>L1</t>
        </is>
      </c>
      <c r="C186" s="21" t="inlineStr">
        <is>
          <t>1</t>
        </is>
      </c>
      <c r="D186" s="21" t="inlineStr">
        <is>
          <t>3</t>
        </is>
      </c>
      <c r="E186" s="21" t="inlineStr">
        <is>
          <t>Principes fondamentaux des soins obstétricaux</t>
        </is>
      </c>
      <c r="F186" s="21" t="inlineStr">
        <is>
          <t>Démarche de soins et Projet de soins</t>
        </is>
      </c>
      <c r="H186" s="21" t="n">
        <v>6</v>
      </c>
      <c r="I186" s="21" t="n">
        <v>6</v>
      </c>
      <c r="J186" s="21" t="n">
        <v>0</v>
      </c>
      <c r="K186" s="21" t="n">
        <v>12</v>
      </c>
      <c r="L186" s="21" t="n">
        <v>92</v>
      </c>
      <c r="M186" s="21" t="n">
        <v>6</v>
      </c>
    </row>
    <row r="187">
      <c r="A187" s="21" t="inlineStr">
        <is>
          <t>Soins obstétricaux</t>
        </is>
      </c>
      <c r="B187" s="21" t="inlineStr">
        <is>
          <t>L1</t>
        </is>
      </c>
      <c r="C187" s="21" t="inlineStr">
        <is>
          <t>1</t>
        </is>
      </c>
      <c r="D187" s="21" t="inlineStr">
        <is>
          <t>3</t>
        </is>
      </c>
      <c r="E187" s="21" t="inlineStr">
        <is>
          <t>Principes fondamentaux des soins obstétricaux</t>
        </is>
      </c>
      <c r="F187" s="21" t="inlineStr">
        <is>
          <t>Procédure d’admission</t>
        </is>
      </c>
      <c r="H187" s="21" t="n">
        <v>4</v>
      </c>
      <c r="I187" s="21" t="n">
        <v>2</v>
      </c>
      <c r="J187" s="21" t="n">
        <v>0</v>
      </c>
      <c r="K187" s="21" t="n">
        <v>6</v>
      </c>
      <c r="L187" s="21" t="n">
        <v>92</v>
      </c>
      <c r="M187" s="21" t="n">
        <v>6</v>
      </c>
    </row>
    <row r="188">
      <c r="A188" s="21" t="inlineStr">
        <is>
          <t>Soins obstétricaux</t>
        </is>
      </c>
      <c r="B188" s="21" t="inlineStr">
        <is>
          <t>L1</t>
        </is>
      </c>
      <c r="C188" s="21" t="inlineStr">
        <is>
          <t>1</t>
        </is>
      </c>
      <c r="D188" s="21" t="inlineStr">
        <is>
          <t>3</t>
        </is>
      </c>
      <c r="E188" s="21" t="inlineStr">
        <is>
          <t>Principes fondamentaux des soins obstétricaux</t>
        </is>
      </c>
      <c r="F188" s="21" t="inlineStr">
        <is>
          <t>Soins de base prodigués au patient</t>
        </is>
      </c>
      <c r="H188" s="21" t="n">
        <v>14</v>
      </c>
      <c r="I188" s="21" t="n">
        <v>4</v>
      </c>
      <c r="J188" s="21" t="n">
        <v>8</v>
      </c>
      <c r="K188" s="21" t="n">
        <v>26</v>
      </c>
      <c r="L188" s="21" t="n">
        <v>92</v>
      </c>
      <c r="M188" s="21" t="n">
        <v>6</v>
      </c>
    </row>
    <row r="189">
      <c r="A189" s="21" t="inlineStr">
        <is>
          <t>Soins obstétricaux</t>
        </is>
      </c>
      <c r="B189" s="21" t="inlineStr">
        <is>
          <t>L1</t>
        </is>
      </c>
      <c r="C189" s="21" t="inlineStr">
        <is>
          <t>1</t>
        </is>
      </c>
      <c r="D189" s="21" t="inlineStr">
        <is>
          <t>4</t>
        </is>
      </c>
      <c r="E189" s="21" t="inlineStr">
        <is>
          <t>Microbiologie et parasitologie</t>
        </is>
      </c>
      <c r="F189" s="21" t="inlineStr">
        <is>
          <t>Microbiologie</t>
        </is>
      </c>
      <c r="H189" s="21" t="n">
        <v>8</v>
      </c>
      <c r="I189" s="21" t="n">
        <v>2</v>
      </c>
      <c r="J189" s="21" t="n">
        <v>0</v>
      </c>
      <c r="K189" s="21" t="n">
        <v>10</v>
      </c>
      <c r="L189" s="21" t="n">
        <v>48</v>
      </c>
      <c r="M189" s="21" t="n">
        <v>3</v>
      </c>
    </row>
    <row r="190">
      <c r="A190" s="21" t="inlineStr">
        <is>
          <t>Soins obstétricaux</t>
        </is>
      </c>
      <c r="B190" s="21" t="inlineStr">
        <is>
          <t>L1</t>
        </is>
      </c>
      <c r="C190" s="21" t="inlineStr">
        <is>
          <t>1</t>
        </is>
      </c>
      <c r="D190" s="21" t="inlineStr">
        <is>
          <t>4</t>
        </is>
      </c>
      <c r="E190" s="21" t="inlineStr">
        <is>
          <t>Microbiologie et parasitologie</t>
        </is>
      </c>
      <c r="F190" s="21" t="inlineStr">
        <is>
          <t>Parasitologie</t>
        </is>
      </c>
      <c r="H190" s="21" t="n">
        <v>8</v>
      </c>
      <c r="I190" s="21" t="n">
        <v>2</v>
      </c>
      <c r="J190" s="21" t="n">
        <v>0</v>
      </c>
      <c r="K190" s="21" t="n">
        <v>10</v>
      </c>
      <c r="L190" s="21" t="n">
        <v>48</v>
      </c>
      <c r="M190" s="21" t="n">
        <v>3</v>
      </c>
    </row>
    <row r="191">
      <c r="A191" s="21" t="inlineStr">
        <is>
          <t>Soins obstétricaux</t>
        </is>
      </c>
      <c r="B191" s="21" t="inlineStr">
        <is>
          <t>L1</t>
        </is>
      </c>
      <c r="C191" s="21" t="inlineStr">
        <is>
          <t>1</t>
        </is>
      </c>
      <c r="D191" s="21" t="inlineStr">
        <is>
          <t>4</t>
        </is>
      </c>
      <c r="E191" s="21" t="inlineStr">
        <is>
          <t>Microbiologie et parasitologie</t>
        </is>
      </c>
      <c r="F191" s="21" t="inlineStr">
        <is>
          <t>Examens de laboratoire</t>
        </is>
      </c>
      <c r="H191" s="21" t="n">
        <v>10</v>
      </c>
      <c r="I191" s="21" t="n">
        <v>4</v>
      </c>
      <c r="J191" s="21" t="n">
        <v>6</v>
      </c>
      <c r="K191" s="21" t="n">
        <v>20</v>
      </c>
      <c r="L191" s="21" t="n">
        <v>48</v>
      </c>
      <c r="M191" s="21" t="n">
        <v>3</v>
      </c>
    </row>
    <row r="192">
      <c r="A192" s="21" t="inlineStr">
        <is>
          <t>Soins obstétricaux</t>
        </is>
      </c>
      <c r="B192" s="21" t="inlineStr">
        <is>
          <t>L1</t>
        </is>
      </c>
      <c r="C192" s="21" t="inlineStr">
        <is>
          <t>1</t>
        </is>
      </c>
      <c r="D192" s="21" t="inlineStr">
        <is>
          <t>6</t>
        </is>
      </c>
      <c r="E192" s="21" t="inlineStr">
        <is>
          <t>Pharmacologie Générale et Biochimie</t>
        </is>
      </c>
      <c r="F192" s="21" t="inlineStr">
        <is>
          <t>Introduction à la pharmacologie</t>
        </is>
      </c>
      <c r="H192" s="21" t="n">
        <v>4</v>
      </c>
      <c r="I192" s="21" t="n">
        <v>0</v>
      </c>
      <c r="J192" s="21" t="n">
        <v>0</v>
      </c>
      <c r="K192" s="21" t="n">
        <v>4</v>
      </c>
      <c r="L192" s="21" t="n">
        <v>40</v>
      </c>
      <c r="M192" s="21" t="n">
        <v>3</v>
      </c>
    </row>
    <row r="193">
      <c r="A193" s="21" t="inlineStr">
        <is>
          <t>Soins obstétricaux</t>
        </is>
      </c>
      <c r="B193" s="21" t="inlineStr">
        <is>
          <t>L1</t>
        </is>
      </c>
      <c r="C193" s="21" t="inlineStr">
        <is>
          <t>1</t>
        </is>
      </c>
      <c r="D193" s="21" t="inlineStr">
        <is>
          <t>6</t>
        </is>
      </c>
      <c r="E193" s="21" t="inlineStr">
        <is>
          <t>Pharmacologie Générale et Biochimie</t>
        </is>
      </c>
      <c r="F193" s="21" t="inlineStr">
        <is>
          <t>Actions pharmacologiques des médicaments</t>
        </is>
      </c>
      <c r="H193" s="21" t="n">
        <v>4</v>
      </c>
      <c r="I193" s="21" t="n">
        <v>0</v>
      </c>
      <c r="J193" s="21" t="n">
        <v>0</v>
      </c>
      <c r="K193" s="21" t="n">
        <v>4</v>
      </c>
      <c r="L193" s="21" t="n">
        <v>40</v>
      </c>
      <c r="M193" s="21" t="n">
        <v>3</v>
      </c>
    </row>
    <row r="194">
      <c r="A194" s="21" t="inlineStr">
        <is>
          <t>Soins obstétricaux</t>
        </is>
      </c>
      <c r="B194" s="21" t="inlineStr">
        <is>
          <t>L1</t>
        </is>
      </c>
      <c r="C194" s="21" t="inlineStr">
        <is>
          <t>1</t>
        </is>
      </c>
      <c r="D194" s="21" t="inlineStr">
        <is>
          <t>6</t>
        </is>
      </c>
      <c r="E194" s="21" t="inlineStr">
        <is>
          <t>Pharmacologie Générale et Biochimie</t>
        </is>
      </c>
      <c r="F194" s="21" t="inlineStr">
        <is>
          <t>Les grandes classes thérapeutiques</t>
        </is>
      </c>
      <c r="H194" s="21" t="n">
        <v>4</v>
      </c>
      <c r="I194" s="21" t="n">
        <v>2</v>
      </c>
      <c r="J194" s="21" t="n">
        <v>0</v>
      </c>
      <c r="K194" s="21" t="n">
        <v>6</v>
      </c>
      <c r="L194" s="21" t="n">
        <v>40</v>
      </c>
      <c r="M194" s="21" t="n">
        <v>3</v>
      </c>
    </row>
    <row r="195">
      <c r="A195" s="21" t="inlineStr">
        <is>
          <t>Soins obstétricaux</t>
        </is>
      </c>
      <c r="B195" s="21" t="inlineStr">
        <is>
          <t>L1</t>
        </is>
      </c>
      <c r="C195" s="21" t="inlineStr">
        <is>
          <t>1</t>
        </is>
      </c>
      <c r="D195" s="21" t="inlineStr">
        <is>
          <t>6</t>
        </is>
      </c>
      <c r="E195" s="21" t="inlineStr">
        <is>
          <t>Pharmacologie Générale et Biochimie</t>
        </is>
      </c>
      <c r="F195" s="21" t="inlineStr">
        <is>
          <t>Logistique et gestion des médicaments</t>
        </is>
      </c>
      <c r="H195" s="21" t="n">
        <v>4</v>
      </c>
      <c r="I195" s="21" t="n">
        <v>2</v>
      </c>
      <c r="J195" s="21" t="n">
        <v>0</v>
      </c>
      <c r="K195" s="21" t="n">
        <v>6</v>
      </c>
      <c r="L195" s="21" t="n">
        <v>40</v>
      </c>
      <c r="M195" s="21" t="n">
        <v>3</v>
      </c>
    </row>
    <row r="196">
      <c r="A196" s="21" t="inlineStr">
        <is>
          <t>Soins obstétricaux</t>
        </is>
      </c>
      <c r="B196" s="21" t="inlineStr">
        <is>
          <t>L1</t>
        </is>
      </c>
      <c r="C196" s="21" t="inlineStr">
        <is>
          <t>1</t>
        </is>
      </c>
      <c r="D196" s="21" t="inlineStr">
        <is>
          <t>6</t>
        </is>
      </c>
      <c r="E196" s="21" t="inlineStr">
        <is>
          <t>Pharmacologie Générale et Biochimie</t>
        </is>
      </c>
      <c r="F196" s="21" t="inlineStr">
        <is>
          <t>Biochimie</t>
        </is>
      </c>
      <c r="H196" s="21" t="n">
        <v>16</v>
      </c>
      <c r="I196" s="21" t="n">
        <v>4</v>
      </c>
      <c r="J196" s="21" t="n">
        <v>0</v>
      </c>
      <c r="K196" s="21" t="n">
        <v>20</v>
      </c>
      <c r="L196" s="21" t="n">
        <v>40</v>
      </c>
      <c r="M196" s="21" t="n">
        <v>3</v>
      </c>
    </row>
    <row r="197">
      <c r="A197" s="21" t="inlineStr">
        <is>
          <t>Soins obstétricaux</t>
        </is>
      </c>
      <c r="B197" s="21" t="inlineStr">
        <is>
          <t>L1</t>
        </is>
      </c>
      <c r="C197" s="21" t="inlineStr">
        <is>
          <t>1</t>
        </is>
      </c>
      <c r="D197" s="21" t="inlineStr">
        <is>
          <t>7</t>
        </is>
      </c>
      <c r="E197" s="21" t="inlineStr">
        <is>
          <t>Sémiologie médico-chirurgicale</t>
        </is>
      </c>
      <c r="F197" s="21" t="inlineStr">
        <is>
          <t>Observation du malade</t>
        </is>
      </c>
      <c r="H197" s="21" t="n">
        <v>6</v>
      </c>
      <c r="I197" s="21" t="n">
        <v>2</v>
      </c>
      <c r="J197" s="21" t="n">
        <v>0</v>
      </c>
      <c r="K197" s="21" t="n">
        <v>8</v>
      </c>
      <c r="L197" s="21" t="n">
        <v>40</v>
      </c>
      <c r="M197" s="21" t="n">
        <v>3</v>
      </c>
    </row>
    <row r="198">
      <c r="A198" s="21" t="inlineStr">
        <is>
          <t>Soins obstétricaux</t>
        </is>
      </c>
      <c r="B198" s="21" t="inlineStr">
        <is>
          <t>L1</t>
        </is>
      </c>
      <c r="C198" s="21" t="inlineStr">
        <is>
          <t>1</t>
        </is>
      </c>
      <c r="D198" s="21" t="inlineStr">
        <is>
          <t>7</t>
        </is>
      </c>
      <c r="E198" s="21" t="inlineStr">
        <is>
          <t>Sémiologie médico-chirurgicale</t>
        </is>
      </c>
      <c r="F198" s="21" t="inlineStr">
        <is>
          <t>Sémiologi chirurgicale</t>
        </is>
      </c>
      <c r="H198" s="21" t="n">
        <v>10</v>
      </c>
      <c r="I198" s="21" t="n">
        <v>4</v>
      </c>
      <c r="J198" s="21" t="n">
        <v>0</v>
      </c>
      <c r="K198" s="21" t="n">
        <v>14</v>
      </c>
      <c r="L198" s="21" t="n">
        <v>40</v>
      </c>
      <c r="M198" s="21" t="n">
        <v>3</v>
      </c>
    </row>
    <row r="199">
      <c r="A199" s="21" t="inlineStr">
        <is>
          <t>Soins obstétricaux</t>
        </is>
      </c>
      <c r="B199" s="21" t="inlineStr">
        <is>
          <t>L1</t>
        </is>
      </c>
      <c r="C199" s="21" t="inlineStr">
        <is>
          <t>1</t>
        </is>
      </c>
      <c r="D199" s="21" t="inlineStr">
        <is>
          <t>7</t>
        </is>
      </c>
      <c r="E199" s="21" t="inlineStr">
        <is>
          <t>Sémiologie médico-chirurgicale</t>
        </is>
      </c>
      <c r="F199" s="21" t="inlineStr">
        <is>
          <t>Sémiologie médicale</t>
        </is>
      </c>
      <c r="H199" s="21" t="n">
        <v>14</v>
      </c>
      <c r="I199" s="21" t="n">
        <v>4</v>
      </c>
      <c r="J199" s="21" t="n">
        <v>0</v>
      </c>
      <c r="K199" s="21" t="n">
        <v>18</v>
      </c>
      <c r="L199" s="21" t="n">
        <v>40</v>
      </c>
      <c r="M199" s="21" t="n">
        <v>3</v>
      </c>
    </row>
    <row r="200">
      <c r="A200" s="21" t="inlineStr">
        <is>
          <t>Soins obstétricaux</t>
        </is>
      </c>
      <c r="B200" s="21" t="inlineStr">
        <is>
          <t>L1</t>
        </is>
      </c>
      <c r="C200" s="21" t="inlineStr">
        <is>
          <t>1</t>
        </is>
      </c>
      <c r="D200" s="21" t="inlineStr">
        <is>
          <t>8</t>
        </is>
      </c>
      <c r="E200" s="21" t="inlineStr">
        <is>
          <t>Santé publique-Santé Communautaire/1</t>
        </is>
      </c>
      <c r="F200" s="21" t="inlineStr">
        <is>
          <t>Généralités sur la SP/SC</t>
        </is>
      </c>
      <c r="H200" s="21" t="n">
        <v>4</v>
      </c>
      <c r="I200" s="21" t="n">
        <v>1</v>
      </c>
      <c r="J200" s="21" t="n">
        <v>0</v>
      </c>
      <c r="K200" s="21" t="n">
        <v>5</v>
      </c>
      <c r="L200" s="21" t="n">
        <v>45</v>
      </c>
      <c r="M200" s="21" t="n">
        <v>3</v>
      </c>
    </row>
    <row r="201">
      <c r="A201" s="21" t="inlineStr">
        <is>
          <t>Soins obstétricaux</t>
        </is>
      </c>
      <c r="B201" s="21" t="inlineStr">
        <is>
          <t>L1</t>
        </is>
      </c>
      <c r="C201" s="21" t="inlineStr">
        <is>
          <t>1</t>
        </is>
      </c>
      <c r="D201" s="21" t="inlineStr">
        <is>
          <t>8</t>
        </is>
      </c>
      <c r="E201" s="21" t="inlineStr">
        <is>
          <t>Santé publique-Santé Communautaire/1</t>
        </is>
      </c>
      <c r="F201" s="21" t="inlineStr">
        <is>
          <t>Approche SP/SC</t>
        </is>
      </c>
      <c r="H201" s="21" t="n">
        <v>8</v>
      </c>
      <c r="I201" s="21" t="n">
        <v>2</v>
      </c>
      <c r="J201" s="21" t="n">
        <v>0</v>
      </c>
      <c r="K201" s="21" t="n">
        <v>10</v>
      </c>
      <c r="L201" s="21" t="n">
        <v>45</v>
      </c>
      <c r="M201" s="21" t="n">
        <v>3</v>
      </c>
    </row>
    <row r="202">
      <c r="A202" s="21" t="inlineStr">
        <is>
          <t>Soins obstétricaux</t>
        </is>
      </c>
      <c r="B202" s="21" t="inlineStr">
        <is>
          <t>L1</t>
        </is>
      </c>
      <c r="C202" s="21" t="inlineStr">
        <is>
          <t>1</t>
        </is>
      </c>
      <c r="D202" s="21" t="inlineStr">
        <is>
          <t>8</t>
        </is>
      </c>
      <c r="E202" s="21" t="inlineStr">
        <is>
          <t>Santé publique-Santé Communautaire/1</t>
        </is>
      </c>
      <c r="F202" s="21" t="inlineStr">
        <is>
          <t>Santé et environnement</t>
        </is>
      </c>
      <c r="H202" s="21" t="n">
        <v>8</v>
      </c>
      <c r="I202" s="21" t="n">
        <v>2</v>
      </c>
      <c r="J202" s="21" t="n">
        <v>0</v>
      </c>
      <c r="K202" s="21" t="n">
        <v>10</v>
      </c>
      <c r="L202" s="21" t="n">
        <v>45</v>
      </c>
      <c r="M202" s="21" t="n">
        <v>3</v>
      </c>
    </row>
    <row r="203">
      <c r="A203" s="21" t="inlineStr">
        <is>
          <t>Soins obstétricaux</t>
        </is>
      </c>
      <c r="B203" s="21" t="inlineStr">
        <is>
          <t>L1</t>
        </is>
      </c>
      <c r="C203" s="21" t="inlineStr">
        <is>
          <t>1</t>
        </is>
      </c>
      <c r="D203" s="21" t="inlineStr">
        <is>
          <t>8</t>
        </is>
      </c>
      <c r="E203" s="21" t="inlineStr">
        <is>
          <t>Santé publique-Santé Communautaire/1</t>
        </is>
      </c>
      <c r="F203" s="21" t="inlineStr">
        <is>
          <t>Démographie</t>
        </is>
      </c>
      <c r="H203" s="21" t="n">
        <v>8</v>
      </c>
      <c r="I203" s="21" t="n">
        <v>2</v>
      </c>
      <c r="J203" s="21" t="n">
        <v>0</v>
      </c>
      <c r="K203" s="21" t="n">
        <v>10</v>
      </c>
      <c r="L203" s="21" t="n">
        <v>45</v>
      </c>
      <c r="M203" s="21" t="n">
        <v>3</v>
      </c>
    </row>
    <row r="204">
      <c r="A204" s="21" t="inlineStr">
        <is>
          <t>Soins obstétricaux</t>
        </is>
      </c>
      <c r="B204" s="21" t="inlineStr">
        <is>
          <t>L1</t>
        </is>
      </c>
      <c r="C204" s="21" t="inlineStr">
        <is>
          <t>1</t>
        </is>
      </c>
      <c r="D204" s="21" t="inlineStr">
        <is>
          <t>8</t>
        </is>
      </c>
      <c r="E204" s="21" t="inlineStr">
        <is>
          <t>Santé publique-Santé Communautaire/1</t>
        </is>
      </c>
      <c r="F204" s="21" t="inlineStr">
        <is>
          <t>Epidémiologie</t>
        </is>
      </c>
      <c r="H204" s="21" t="n">
        <v>8</v>
      </c>
      <c r="I204" s="21" t="n">
        <v>2</v>
      </c>
      <c r="J204" s="21" t="n">
        <v>0</v>
      </c>
      <c r="K204" s="21" t="n">
        <v>10</v>
      </c>
      <c r="L204" s="21" t="n">
        <v>45</v>
      </c>
      <c r="M204" s="21" t="n">
        <v>3</v>
      </c>
    </row>
    <row r="205">
      <c r="A205" s="21" t="inlineStr">
        <is>
          <t>Soins obstétricaux</t>
        </is>
      </c>
      <c r="B205" s="21" t="inlineStr">
        <is>
          <t>L1</t>
        </is>
      </c>
      <c r="C205" s="21" t="inlineStr">
        <is>
          <t>1</t>
        </is>
      </c>
      <c r="D205" s="21" t="inlineStr">
        <is>
          <t>9</t>
        </is>
      </c>
      <c r="E205" s="21" t="inlineStr">
        <is>
          <t>Outils de recherche</t>
        </is>
      </c>
      <c r="F205" s="21" t="inlineStr">
        <is>
          <t>Anglais médical</t>
        </is>
      </c>
      <c r="H205" s="21" t="n">
        <v>8</v>
      </c>
      <c r="I205" s="21" t="n">
        <v>2</v>
      </c>
      <c r="J205" s="21" t="n">
        <v>0</v>
      </c>
      <c r="K205" s="21" t="n">
        <v>10</v>
      </c>
      <c r="L205" s="21" t="n">
        <v>38</v>
      </c>
      <c r="M205" s="21" t="n">
        <v>2</v>
      </c>
    </row>
    <row r="206">
      <c r="A206" s="21" t="inlineStr">
        <is>
          <t>Soins obstétricaux</t>
        </is>
      </c>
      <c r="B206" s="21" t="inlineStr">
        <is>
          <t>L1</t>
        </is>
      </c>
      <c r="C206" s="21" t="inlineStr">
        <is>
          <t>1</t>
        </is>
      </c>
      <c r="D206" s="21" t="inlineStr">
        <is>
          <t>9</t>
        </is>
      </c>
      <c r="E206" s="21" t="inlineStr">
        <is>
          <t>Outils de recherche</t>
        </is>
      </c>
      <c r="F206" s="21" t="inlineStr">
        <is>
          <t>Expression française</t>
        </is>
      </c>
      <c r="H206" s="21" t="n">
        <v>8</v>
      </c>
      <c r="I206" s="21" t="n">
        <v>2</v>
      </c>
      <c r="J206" s="21" t="n">
        <v>0</v>
      </c>
      <c r="K206" s="21" t="n">
        <v>10</v>
      </c>
      <c r="L206" s="21" t="n">
        <v>38</v>
      </c>
      <c r="M206" s="21" t="n">
        <v>2</v>
      </c>
    </row>
    <row r="207">
      <c r="A207" s="21" t="inlineStr">
        <is>
          <t>Soins obstétricaux</t>
        </is>
      </c>
      <c r="B207" s="21" t="inlineStr">
        <is>
          <t>L1</t>
        </is>
      </c>
      <c r="C207" s="21" t="inlineStr">
        <is>
          <t>1</t>
        </is>
      </c>
      <c r="D207" s="21" t="inlineStr">
        <is>
          <t>9</t>
        </is>
      </c>
      <c r="E207" s="21" t="inlineStr">
        <is>
          <t>Outils de recherche</t>
        </is>
      </c>
      <c r="F207" s="21" t="inlineStr">
        <is>
          <t>Méthodes statistiques</t>
        </is>
      </c>
      <c r="H207" s="21" t="n">
        <v>10</v>
      </c>
      <c r="I207" s="21" t="n">
        <v>8</v>
      </c>
      <c r="J207" s="21" t="n">
        <v>0</v>
      </c>
      <c r="K207" s="21" t="n">
        <v>18</v>
      </c>
      <c r="L207" s="21" t="n">
        <v>38</v>
      </c>
      <c r="M207" s="21" t="n">
        <v>2</v>
      </c>
    </row>
    <row r="208">
      <c r="A208" s="21" t="inlineStr">
        <is>
          <t>Soins obstétricaux</t>
        </is>
      </c>
      <c r="B208" s="21" t="inlineStr">
        <is>
          <t>L1</t>
        </is>
      </c>
      <c r="C208" s="21" t="inlineStr">
        <is>
          <t>2</t>
        </is>
      </c>
      <c r="D208" s="21" t="inlineStr">
        <is>
          <t>10</t>
        </is>
      </c>
      <c r="E208" s="21" t="inlineStr">
        <is>
          <t>Sciences humaines et sociales</t>
        </is>
      </c>
      <c r="F208" s="21" t="inlineStr">
        <is>
          <t>Sociologie</t>
        </is>
      </c>
      <c r="H208" s="21" t="n">
        <v>30</v>
      </c>
      <c r="I208" s="21" t="n">
        <v>4</v>
      </c>
      <c r="J208" s="21" t="n">
        <v>0</v>
      </c>
      <c r="K208" s="21" t="n">
        <v>34</v>
      </c>
      <c r="L208" s="21" t="n">
        <v>80</v>
      </c>
      <c r="M208" s="21" t="n">
        <v>5</v>
      </c>
      <c r="N208" s="21" t="inlineStr">
        <is>
          <t>Coef</t>
        </is>
      </c>
    </row>
    <row r="209">
      <c r="A209" s="21" t="inlineStr">
        <is>
          <t>Soins obstétricaux</t>
        </is>
      </c>
      <c r="B209" s="21" t="inlineStr">
        <is>
          <t>L1</t>
        </is>
      </c>
      <c r="C209" s="21" t="inlineStr">
        <is>
          <t>2</t>
        </is>
      </c>
      <c r="D209" s="21" t="inlineStr">
        <is>
          <t>10</t>
        </is>
      </c>
      <c r="E209" s="21" t="inlineStr">
        <is>
          <t>Sciences humaines et sociales</t>
        </is>
      </c>
      <c r="F209" s="21" t="inlineStr">
        <is>
          <t>Psychologie</t>
        </is>
      </c>
      <c r="H209" s="21" t="n">
        <v>30</v>
      </c>
      <c r="I209" s="21" t="n">
        <v>4</v>
      </c>
      <c r="J209" s="21" t="n">
        <v>0</v>
      </c>
      <c r="K209" s="21" t="n">
        <v>34</v>
      </c>
      <c r="L209" s="21" t="n">
        <v>80</v>
      </c>
      <c r="M209" s="21" t="n">
        <v>5</v>
      </c>
      <c r="N209" s="21" t="inlineStr">
        <is>
          <t>Coef</t>
        </is>
      </c>
    </row>
    <row r="210">
      <c r="A210" s="21" t="inlineStr">
        <is>
          <t>Soins obstétricaux</t>
        </is>
      </c>
      <c r="B210" s="21" t="inlineStr">
        <is>
          <t>L1</t>
        </is>
      </c>
      <c r="C210" s="21" t="inlineStr">
        <is>
          <t>2</t>
        </is>
      </c>
      <c r="D210" s="21" t="inlineStr">
        <is>
          <t>10</t>
        </is>
      </c>
      <c r="E210" s="21" t="inlineStr">
        <is>
          <t>Sciences humaines et sociales</t>
        </is>
      </c>
      <c r="F210" s="21" t="inlineStr">
        <is>
          <t>Anthropologie et ethnologie</t>
        </is>
      </c>
      <c r="H210" s="21" t="n">
        <v>10</v>
      </c>
      <c r="I210" s="21" t="n">
        <v>2</v>
      </c>
      <c r="J210" s="21" t="n">
        <v>0</v>
      </c>
      <c r="K210" s="21" t="n">
        <v>12</v>
      </c>
      <c r="L210" s="21" t="n">
        <v>80</v>
      </c>
      <c r="M210" s="21" t="n">
        <v>5</v>
      </c>
      <c r="N210" s="21" t="inlineStr">
        <is>
          <t>Coef</t>
        </is>
      </c>
    </row>
    <row r="211">
      <c r="A211" s="21" t="inlineStr">
        <is>
          <t>Soins obstétricaux</t>
        </is>
      </c>
      <c r="B211" s="21" t="inlineStr">
        <is>
          <t>L1</t>
        </is>
      </c>
      <c r="C211" s="21" t="inlineStr">
        <is>
          <t>2</t>
        </is>
      </c>
      <c r="D211" s="21" t="inlineStr">
        <is>
          <t>12</t>
        </is>
      </c>
      <c r="E211" s="21" t="inlineStr">
        <is>
          <t>Aspects professionnels éthiques et juridiques de la profession d’infirmière /1</t>
        </is>
      </c>
      <c r="F211" s="21" t="inlineStr">
        <is>
          <t>Les métiers d’infirmier et de sage-femme</t>
        </is>
      </c>
      <c r="H211" s="21" t="n">
        <v>6</v>
      </c>
      <c r="I211" s="21" t="n">
        <v>2</v>
      </c>
      <c r="J211" s="21" t="n">
        <v>0</v>
      </c>
      <c r="K211" s="21" t="n">
        <v>8</v>
      </c>
      <c r="L211" s="21" t="n">
        <v>46</v>
      </c>
      <c r="M211" s="21" t="n">
        <v>3</v>
      </c>
      <c r="N211" s="21" t="inlineStr">
        <is>
          <t>Coef</t>
        </is>
      </c>
    </row>
    <row r="212">
      <c r="A212" s="21" t="inlineStr">
        <is>
          <t>Soins obstétricaux</t>
        </is>
      </c>
      <c r="B212" s="21" t="inlineStr">
        <is>
          <t>L1</t>
        </is>
      </c>
      <c r="C212" s="21" t="inlineStr">
        <is>
          <t>2</t>
        </is>
      </c>
      <c r="D212" s="21" t="inlineStr">
        <is>
          <t>12</t>
        </is>
      </c>
      <c r="E212" s="21" t="inlineStr">
        <is>
          <t>Aspects professionnels éthiques et juridiques de la profession d’infirmière /1</t>
        </is>
      </c>
      <c r="F212" s="21" t="inlineStr">
        <is>
          <t>Législation et réglementation de la profession et protection du public</t>
        </is>
      </c>
      <c r="H212" s="21" t="n">
        <v>8</v>
      </c>
      <c r="I212" s="21" t="n">
        <v>2</v>
      </c>
      <c r="J212" s="21" t="n">
        <v>0</v>
      </c>
      <c r="K212" s="21" t="n">
        <v>10</v>
      </c>
      <c r="L212" s="21" t="n">
        <v>46</v>
      </c>
      <c r="M212" s="21" t="n">
        <v>3</v>
      </c>
      <c r="N212" s="21" t="inlineStr">
        <is>
          <t>Coef</t>
        </is>
      </c>
    </row>
    <row r="213">
      <c r="A213" s="21" t="inlineStr">
        <is>
          <t>Soins obstétricaux</t>
        </is>
      </c>
      <c r="B213" s="21" t="inlineStr">
        <is>
          <t>L1</t>
        </is>
      </c>
      <c r="C213" s="21" t="inlineStr">
        <is>
          <t>2</t>
        </is>
      </c>
      <c r="D213" s="21" t="inlineStr">
        <is>
          <t>12</t>
        </is>
      </c>
      <c r="E213" s="21" t="inlineStr">
        <is>
          <t>Aspects professionnels éthiques et juridiques de la profession d’infirmière /1</t>
        </is>
      </c>
      <c r="F213" s="21" t="inlineStr">
        <is>
          <t>Déontologie, théories et principes éthiques</t>
        </is>
      </c>
      <c r="H213" s="21" t="n">
        <v>16</v>
      </c>
      <c r="I213" s="21" t="n">
        <v>4</v>
      </c>
      <c r="J213" s="21" t="n">
        <v>0</v>
      </c>
      <c r="K213" s="21" t="n">
        <v>20</v>
      </c>
      <c r="L213" s="21" t="n">
        <v>46</v>
      </c>
      <c r="M213" s="21" t="n">
        <v>3</v>
      </c>
      <c r="N213" s="21" t="inlineStr">
        <is>
          <t>Coef</t>
        </is>
      </c>
    </row>
    <row r="214">
      <c r="A214" s="21" t="inlineStr">
        <is>
          <t>Soins obstétricaux</t>
        </is>
      </c>
      <c r="B214" s="21" t="inlineStr">
        <is>
          <t>L1</t>
        </is>
      </c>
      <c r="C214" s="21" t="inlineStr">
        <is>
          <t>2</t>
        </is>
      </c>
      <c r="D214" s="21" t="inlineStr">
        <is>
          <t>12</t>
        </is>
      </c>
      <c r="E214" s="21" t="inlineStr">
        <is>
          <t>Aspects professionnels éthiques et juridiques de la profession d’infirmière /1</t>
        </is>
      </c>
      <c r="F214" s="21" t="inlineStr">
        <is>
          <t>Organisations et associations professionnelles</t>
        </is>
      </c>
      <c r="H214" s="21" t="n">
        <v>6</v>
      </c>
      <c r="I214" s="21" t="n">
        <v>2</v>
      </c>
      <c r="J214" s="21" t="n">
        <v>0</v>
      </c>
      <c r="K214" s="21" t="n">
        <v>8</v>
      </c>
      <c r="L214" s="21" t="n">
        <v>46</v>
      </c>
      <c r="M214" s="21" t="n">
        <v>3</v>
      </c>
      <c r="N214" s="21" t="inlineStr">
        <is>
          <t>Coef</t>
        </is>
      </c>
    </row>
    <row r="215">
      <c r="A215" s="21" t="inlineStr">
        <is>
          <t>Soins obstétricaux</t>
        </is>
      </c>
      <c r="B215" s="21" t="inlineStr">
        <is>
          <t>L1</t>
        </is>
      </c>
      <c r="C215" s="21" t="inlineStr">
        <is>
          <t>2</t>
        </is>
      </c>
      <c r="D215" s="21" t="inlineStr">
        <is>
          <t>13</t>
        </is>
      </c>
      <c r="E215" s="21" t="inlineStr">
        <is>
          <t>Nutrition et diététique/1</t>
        </is>
      </c>
      <c r="F215" s="21" t="inlineStr">
        <is>
          <t>Alimentation et nutrition : les aliments organiques et leurs fonctions</t>
        </is>
      </c>
      <c r="H215" s="21" t="n">
        <v>24</v>
      </c>
      <c r="I215" s="21" t="n">
        <v>6</v>
      </c>
      <c r="J215" s="21" t="n">
        <v>0</v>
      </c>
      <c r="K215" s="21" t="n">
        <v>30</v>
      </c>
      <c r="L215" s="21" t="n">
        <v>30</v>
      </c>
      <c r="M215" s="21" t="n">
        <v>2</v>
      </c>
      <c r="N215" s="21" t="inlineStr">
        <is>
          <t>Coef</t>
        </is>
      </c>
    </row>
    <row r="216">
      <c r="A216" s="21" t="inlineStr">
        <is>
          <t>Soins obstétricaux</t>
        </is>
      </c>
      <c r="B216" s="21" t="inlineStr">
        <is>
          <t>L1</t>
        </is>
      </c>
      <c r="C216" s="21" t="inlineStr">
        <is>
          <t>2</t>
        </is>
      </c>
      <c r="D216" s="21" t="inlineStr">
        <is>
          <t>13</t>
        </is>
      </c>
      <c r="E216" s="21" t="inlineStr">
        <is>
          <t>Nutrition et diététique/1</t>
        </is>
      </c>
      <c r="F216" s="21" t="inlineStr">
        <is>
          <t>Métabolisme</t>
        </is>
      </c>
      <c r="L216" s="21" t="n">
        <v>30</v>
      </c>
      <c r="M216" s="21" t="n">
        <v>2</v>
      </c>
      <c r="N216" s="21" t="inlineStr">
        <is>
          <t>Coef</t>
        </is>
      </c>
    </row>
    <row r="217">
      <c r="A217" s="21" t="inlineStr">
        <is>
          <t>Soins obstétricaux</t>
        </is>
      </c>
      <c r="B217" s="21" t="inlineStr">
        <is>
          <t>L1</t>
        </is>
      </c>
      <c r="C217" s="21" t="inlineStr">
        <is>
          <t>2</t>
        </is>
      </c>
      <c r="D217" s="21" t="inlineStr">
        <is>
          <t>13</t>
        </is>
      </c>
      <c r="E217" s="21" t="inlineStr">
        <is>
          <t>Nutrition et diététique/1</t>
        </is>
      </c>
      <c r="F217" s="21" t="inlineStr">
        <is>
          <t>Besoins nutritionnels des différentes tranches d’âge</t>
        </is>
      </c>
      <c r="L217" s="21" t="n">
        <v>30</v>
      </c>
      <c r="M217" s="21" t="n">
        <v>2</v>
      </c>
      <c r="N217" s="21" t="inlineStr">
        <is>
          <t>Coef</t>
        </is>
      </c>
    </row>
    <row r="218">
      <c r="A218" s="21" t="inlineStr">
        <is>
          <t>Soins obstétricaux</t>
        </is>
      </c>
      <c r="B218" s="21" t="inlineStr">
        <is>
          <t>L1</t>
        </is>
      </c>
      <c r="C218" s="21" t="inlineStr">
        <is>
          <t>2</t>
        </is>
      </c>
      <c r="D218" s="21" t="inlineStr">
        <is>
          <t>13</t>
        </is>
      </c>
      <c r="E218" s="21" t="inlineStr">
        <is>
          <t>Nutrition et diététique/1</t>
        </is>
      </c>
      <c r="F218" s="21" t="inlineStr">
        <is>
          <t>Sécurité et disponibilité alimentaire</t>
        </is>
      </c>
      <c r="L218" s="21" t="n">
        <v>30</v>
      </c>
      <c r="M218" s="21" t="n">
        <v>2</v>
      </c>
      <c r="N218" s="21" t="inlineStr">
        <is>
          <t>Coef</t>
        </is>
      </c>
    </row>
    <row r="219">
      <c r="A219" s="21" t="inlineStr">
        <is>
          <t>Soins obstétricaux</t>
        </is>
      </c>
      <c r="B219" s="21" t="inlineStr">
        <is>
          <t>L1</t>
        </is>
      </c>
      <c r="C219" s="21" t="inlineStr">
        <is>
          <t>2</t>
        </is>
      </c>
      <c r="D219" s="21" t="inlineStr">
        <is>
          <t>13</t>
        </is>
      </c>
      <c r="E219" s="21" t="inlineStr">
        <is>
          <t>Nutrition et diététique/1</t>
        </is>
      </c>
      <c r="F219" s="21" t="inlineStr">
        <is>
          <t>Aspects comportementaux et culturels de la nutrition</t>
        </is>
      </c>
      <c r="L219" s="21" t="n">
        <v>30</v>
      </c>
      <c r="M219" s="21" t="n">
        <v>2</v>
      </c>
      <c r="N219" s="21" t="inlineStr">
        <is>
          <t>Coef</t>
        </is>
      </c>
    </row>
    <row r="220">
      <c r="A220" s="21" t="inlineStr">
        <is>
          <t>Soins obstétricaux</t>
        </is>
      </c>
      <c r="B220" s="21" t="inlineStr">
        <is>
          <t>L1</t>
        </is>
      </c>
      <c r="C220" s="21" t="inlineStr">
        <is>
          <t>2</t>
        </is>
      </c>
      <c r="D220" s="21" t="inlineStr">
        <is>
          <t>14</t>
        </is>
      </c>
      <c r="E220" s="21" t="inlineStr">
        <is>
          <t>Prise en charge des affections primaires</t>
        </is>
      </c>
      <c r="F220" s="21" t="inlineStr">
        <is>
          <t>Maladies infectieuses</t>
        </is>
      </c>
      <c r="H220" s="21" t="n">
        <v>14</v>
      </c>
      <c r="I220" s="21" t="n">
        <v>6</v>
      </c>
      <c r="J220" s="21" t="n">
        <v>0</v>
      </c>
      <c r="K220" s="21" t="n">
        <v>20</v>
      </c>
      <c r="L220" s="21" t="n">
        <v>150</v>
      </c>
      <c r="M220" s="21" t="n">
        <v>10</v>
      </c>
      <c r="N220" s="21" t="inlineStr">
        <is>
          <t>Coef</t>
        </is>
      </c>
    </row>
    <row r="221">
      <c r="A221" s="21" t="inlineStr">
        <is>
          <t>Soins obstétricaux</t>
        </is>
      </c>
      <c r="B221" s="21" t="inlineStr">
        <is>
          <t>L1</t>
        </is>
      </c>
      <c r="C221" s="21" t="inlineStr">
        <is>
          <t>2</t>
        </is>
      </c>
      <c r="D221" s="21" t="inlineStr">
        <is>
          <t>14</t>
        </is>
      </c>
      <c r="E221" s="21" t="inlineStr">
        <is>
          <t>Prise en charge des affections primaires</t>
        </is>
      </c>
      <c r="F221" s="21" t="inlineStr">
        <is>
          <t>Soins infirmiers en maladies infectieuses</t>
        </is>
      </c>
      <c r="H221" s="21" t="n">
        <v>10</v>
      </c>
      <c r="I221" s="21" t="n">
        <v>2</v>
      </c>
      <c r="J221" s="21" t="n">
        <v>6</v>
      </c>
      <c r="K221" s="21" t="n">
        <v>18</v>
      </c>
      <c r="L221" s="21" t="n">
        <v>150</v>
      </c>
      <c r="M221" s="21" t="n">
        <v>10</v>
      </c>
      <c r="N221" s="21" t="inlineStr">
        <is>
          <t>Coef</t>
        </is>
      </c>
    </row>
    <row r="222">
      <c r="A222" s="21" t="inlineStr">
        <is>
          <t>Soins obstétricaux</t>
        </is>
      </c>
      <c r="B222" s="21" t="inlineStr">
        <is>
          <t>L1</t>
        </is>
      </c>
      <c r="C222" s="21" t="inlineStr">
        <is>
          <t>2</t>
        </is>
      </c>
      <c r="D222" s="21" t="inlineStr">
        <is>
          <t>14</t>
        </is>
      </c>
      <c r="E222" s="21" t="inlineStr">
        <is>
          <t>Prise en charge des affections primaires</t>
        </is>
      </c>
      <c r="F222" s="21" t="inlineStr">
        <is>
          <t>Affections respiratoires</t>
        </is>
      </c>
      <c r="H222" s="21" t="n">
        <v>10</v>
      </c>
      <c r="I222" s="21" t="n">
        <v>4</v>
      </c>
      <c r="J222" s="21" t="n">
        <v>8</v>
      </c>
      <c r="K222" s="21" t="n">
        <v>22</v>
      </c>
      <c r="L222" s="21" t="n">
        <v>150</v>
      </c>
      <c r="M222" s="21" t="n">
        <v>10</v>
      </c>
      <c r="N222" s="21" t="inlineStr">
        <is>
          <t>Coef</t>
        </is>
      </c>
    </row>
    <row r="223">
      <c r="A223" s="21" t="inlineStr">
        <is>
          <t>Soins obstétricaux</t>
        </is>
      </c>
      <c r="B223" s="21" t="inlineStr">
        <is>
          <t>L1</t>
        </is>
      </c>
      <c r="C223" s="21" t="inlineStr">
        <is>
          <t>2</t>
        </is>
      </c>
      <c r="D223" s="21" t="inlineStr">
        <is>
          <t>14</t>
        </is>
      </c>
      <c r="E223" s="21" t="inlineStr">
        <is>
          <t>Prise en charge des affections primaires</t>
        </is>
      </c>
      <c r="F223" s="21" t="inlineStr">
        <is>
          <t>Soins infirmiers en affections respiratoires</t>
        </is>
      </c>
      <c r="H223" s="21" t="n">
        <v>10</v>
      </c>
      <c r="I223" s="21" t="n">
        <v>4</v>
      </c>
      <c r="J223" s="21" t="n">
        <v>6</v>
      </c>
      <c r="K223" s="21" t="n">
        <v>20</v>
      </c>
      <c r="L223" s="21" t="n">
        <v>150</v>
      </c>
      <c r="M223" s="21" t="n">
        <v>10</v>
      </c>
      <c r="N223" s="21" t="inlineStr">
        <is>
          <t>Coef</t>
        </is>
      </c>
    </row>
    <row r="224">
      <c r="A224" s="21" t="inlineStr">
        <is>
          <t>Soins obstétricaux</t>
        </is>
      </c>
      <c r="B224" s="21" t="inlineStr">
        <is>
          <t>L1</t>
        </is>
      </c>
      <c r="C224" s="21" t="inlineStr">
        <is>
          <t>2</t>
        </is>
      </c>
      <c r="D224" s="21" t="inlineStr">
        <is>
          <t>14</t>
        </is>
      </c>
      <c r="E224" s="21" t="inlineStr">
        <is>
          <t>Prise en charge des affections primaires</t>
        </is>
      </c>
      <c r="F224" s="21" t="inlineStr">
        <is>
          <t>Pathologies digestives</t>
        </is>
      </c>
      <c r="H224" s="21" t="n">
        <v>22</v>
      </c>
      <c r="I224" s="21" t="n">
        <v>6</v>
      </c>
      <c r="J224" s="21" t="n">
        <v>0</v>
      </c>
      <c r="K224" s="21" t="n">
        <v>28</v>
      </c>
      <c r="L224" s="21" t="n">
        <v>150</v>
      </c>
      <c r="M224" s="21" t="n">
        <v>10</v>
      </c>
      <c r="N224" s="21" t="inlineStr">
        <is>
          <t>Coef</t>
        </is>
      </c>
    </row>
    <row r="225">
      <c r="A225" s="21" t="inlineStr">
        <is>
          <t>Soins obstétricaux</t>
        </is>
      </c>
      <c r="B225" s="21" t="inlineStr">
        <is>
          <t>L1</t>
        </is>
      </c>
      <c r="C225" s="21" t="inlineStr">
        <is>
          <t>2</t>
        </is>
      </c>
      <c r="D225" s="21" t="inlineStr">
        <is>
          <t>14</t>
        </is>
      </c>
      <c r="E225" s="21" t="inlineStr">
        <is>
          <t>Prise en charge des affections primaires</t>
        </is>
      </c>
      <c r="F225" s="21" t="inlineStr">
        <is>
          <t>Soins infirmiers en affections digestives</t>
        </is>
      </c>
      <c r="H225" s="21" t="n">
        <v>10</v>
      </c>
      <c r="I225" s="21" t="n">
        <v>4</v>
      </c>
      <c r="J225" s="21" t="n">
        <v>6</v>
      </c>
      <c r="K225" s="21" t="n">
        <v>20</v>
      </c>
      <c r="L225" s="21" t="n">
        <v>150</v>
      </c>
      <c r="M225" s="21" t="n">
        <v>10</v>
      </c>
      <c r="N225" s="21" t="inlineStr">
        <is>
          <t>Coef</t>
        </is>
      </c>
    </row>
    <row r="226">
      <c r="A226" s="21" t="inlineStr">
        <is>
          <t>Soins obstétricaux</t>
        </is>
      </c>
      <c r="B226" s="21" t="inlineStr">
        <is>
          <t>L1</t>
        </is>
      </c>
      <c r="C226" s="21" t="inlineStr">
        <is>
          <t>2</t>
        </is>
      </c>
      <c r="D226" s="21" t="inlineStr">
        <is>
          <t>14</t>
        </is>
      </c>
      <c r="E226" s="21" t="inlineStr">
        <is>
          <t>Prise en charge des affections primaires</t>
        </is>
      </c>
      <c r="F226" s="21" t="inlineStr">
        <is>
          <t>Pharmacologie et thérapeutique</t>
        </is>
      </c>
      <c r="H226" s="21" t="n">
        <v>16</v>
      </c>
      <c r="I226" s="21" t="n">
        <v>6</v>
      </c>
      <c r="J226" s="21" t="n">
        <v>0</v>
      </c>
      <c r="K226" s="21" t="n">
        <v>22</v>
      </c>
      <c r="L226" s="21" t="n">
        <v>150</v>
      </c>
      <c r="M226" s="21" t="n">
        <v>10</v>
      </c>
      <c r="N226" s="21" t="inlineStr">
        <is>
          <t>Coef</t>
        </is>
      </c>
    </row>
    <row r="227">
      <c r="A227" s="21" t="inlineStr">
        <is>
          <t>Soins obstétricaux</t>
        </is>
      </c>
      <c r="B227" s="21" t="inlineStr">
        <is>
          <t>L2</t>
        </is>
      </c>
      <c r="C227" s="21" t="inlineStr">
        <is>
          <t>3</t>
        </is>
      </c>
      <c r="D227" s="21" t="inlineStr">
        <is>
          <t>17</t>
        </is>
      </c>
      <c r="E227" s="21" t="inlineStr">
        <is>
          <t>Obstétrique normale</t>
        </is>
      </c>
      <c r="F227" s="21" t="inlineStr">
        <is>
          <t>Grossesse et soins prénatals</t>
        </is>
      </c>
      <c r="H227" s="21" t="n">
        <v>10</v>
      </c>
      <c r="I227" s="21" t="n">
        <v>4</v>
      </c>
      <c r="J227" s="21" t="n">
        <v>0</v>
      </c>
      <c r="K227" s="21" t="n">
        <v>14</v>
      </c>
      <c r="L227" s="21" t="n">
        <v>60</v>
      </c>
      <c r="M227" s="21" t="n">
        <v>4</v>
      </c>
      <c r="N227" s="21" t="inlineStr">
        <is>
          <t>Coef</t>
        </is>
      </c>
    </row>
    <row r="228">
      <c r="A228" s="21" t="inlineStr">
        <is>
          <t>Soins obstétricaux</t>
        </is>
      </c>
      <c r="B228" s="21" t="inlineStr">
        <is>
          <t>L2</t>
        </is>
      </c>
      <c r="C228" s="21" t="inlineStr">
        <is>
          <t>3</t>
        </is>
      </c>
      <c r="D228" s="21" t="inlineStr">
        <is>
          <t>17</t>
        </is>
      </c>
      <c r="E228" s="21" t="inlineStr">
        <is>
          <t>Obstétrique normale</t>
        </is>
      </c>
      <c r="F228" s="21" t="inlineStr">
        <is>
          <t>Travail et accouchement</t>
        </is>
      </c>
      <c r="H228" s="21" t="n">
        <v>14</v>
      </c>
      <c r="I228" s="21" t="n">
        <v>2</v>
      </c>
      <c r="J228" s="21" t="n">
        <v>4</v>
      </c>
      <c r="K228" s="21" t="n">
        <v>20</v>
      </c>
      <c r="L228" s="21" t="n">
        <v>60</v>
      </c>
      <c r="M228" s="21" t="n">
        <v>4</v>
      </c>
      <c r="N228" s="21" t="inlineStr">
        <is>
          <t>Coef</t>
        </is>
      </c>
    </row>
    <row r="229">
      <c r="A229" s="21" t="inlineStr">
        <is>
          <t>Soins obstétricaux</t>
        </is>
      </c>
      <c r="B229" s="21" t="inlineStr">
        <is>
          <t>L2</t>
        </is>
      </c>
      <c r="C229" s="21" t="inlineStr">
        <is>
          <t>3</t>
        </is>
      </c>
      <c r="D229" s="21" t="inlineStr">
        <is>
          <t>17</t>
        </is>
      </c>
      <c r="E229" s="21" t="inlineStr">
        <is>
          <t>Obstétrique normale</t>
        </is>
      </c>
      <c r="F229" s="21" t="inlineStr">
        <is>
          <t>Nouveau-né</t>
        </is>
      </c>
      <c r="H229" s="21" t="n">
        <v>8</v>
      </c>
      <c r="I229" s="21" t="n">
        <v>2</v>
      </c>
      <c r="J229" s="21" t="n">
        <v>4</v>
      </c>
      <c r="K229" s="21" t="n">
        <v>14</v>
      </c>
      <c r="L229" s="21" t="n">
        <v>60</v>
      </c>
      <c r="M229" s="21" t="n">
        <v>4</v>
      </c>
      <c r="N229" s="21" t="inlineStr">
        <is>
          <t>Coef</t>
        </is>
      </c>
    </row>
    <row r="230">
      <c r="A230" s="21" t="inlineStr">
        <is>
          <t>Soins obstétricaux</t>
        </is>
      </c>
      <c r="B230" s="21" t="inlineStr">
        <is>
          <t>L2</t>
        </is>
      </c>
      <c r="C230" s="21" t="inlineStr">
        <is>
          <t>3</t>
        </is>
      </c>
      <c r="D230" s="21" t="inlineStr">
        <is>
          <t>17</t>
        </is>
      </c>
      <c r="E230" s="21" t="inlineStr">
        <is>
          <t>Obstétrique normale</t>
        </is>
      </c>
      <c r="F230" s="21" t="inlineStr">
        <is>
          <t>Soins postnataux</t>
        </is>
      </c>
      <c r="H230" s="21" t="n">
        <v>8</v>
      </c>
      <c r="I230" s="21" t="n">
        <v>4</v>
      </c>
      <c r="J230" s="21" t="n">
        <v>0</v>
      </c>
      <c r="K230" s="21" t="n">
        <v>12</v>
      </c>
      <c r="L230" s="21" t="n">
        <v>60</v>
      </c>
      <c r="M230" s="21" t="n">
        <v>4</v>
      </c>
      <c r="N230" s="21" t="inlineStr">
        <is>
          <t>Coef</t>
        </is>
      </c>
    </row>
    <row r="231">
      <c r="A231" s="21" t="inlineStr">
        <is>
          <t>Soins obstétricaux</t>
        </is>
      </c>
      <c r="B231" s="21" t="inlineStr">
        <is>
          <t>L2</t>
        </is>
      </c>
      <c r="C231" s="21" t="inlineStr">
        <is>
          <t>3</t>
        </is>
      </c>
      <c r="D231" s="21" t="inlineStr">
        <is>
          <t>19</t>
        </is>
      </c>
      <c r="E231" s="21" t="inlineStr">
        <is>
          <t>Education à la santé et communication</t>
        </is>
      </c>
      <c r="F231" s="21" t="inlineStr">
        <is>
          <t>Education à la santé</t>
        </is>
      </c>
      <c r="H231" s="21" t="n">
        <v>4</v>
      </c>
      <c r="I231" s="21" t="n">
        <v>2</v>
      </c>
      <c r="J231" s="21" t="n">
        <v>0</v>
      </c>
      <c r="K231" s="21" t="n">
        <v>6</v>
      </c>
      <c r="L231" s="21" t="n">
        <v>24</v>
      </c>
      <c r="M231" s="21" t="n">
        <v>1</v>
      </c>
      <c r="N231" s="21" t="inlineStr">
        <is>
          <t>Coef</t>
        </is>
      </c>
    </row>
    <row r="232">
      <c r="A232" s="21" t="inlineStr">
        <is>
          <t>Soins obstétricaux</t>
        </is>
      </c>
      <c r="B232" s="21" t="inlineStr">
        <is>
          <t>L2</t>
        </is>
      </c>
      <c r="C232" s="21" t="inlineStr">
        <is>
          <t>3</t>
        </is>
      </c>
      <c r="D232" s="21" t="inlineStr">
        <is>
          <t>19</t>
        </is>
      </c>
      <c r="E232" s="21" t="inlineStr">
        <is>
          <t>Education à la santé et communication</t>
        </is>
      </c>
      <c r="F232" s="21" t="inlineStr">
        <is>
          <t>Education thérapeutique du patient</t>
        </is>
      </c>
      <c r="H232" s="21" t="n">
        <v>4</v>
      </c>
      <c r="I232" s="21" t="n">
        <v>4</v>
      </c>
      <c r="J232" s="21" t="n">
        <v>0</v>
      </c>
      <c r="K232" s="21" t="n">
        <v>8</v>
      </c>
      <c r="L232" s="21" t="n">
        <v>24</v>
      </c>
      <c r="M232" s="21" t="n">
        <v>1</v>
      </c>
      <c r="N232" s="21" t="inlineStr">
        <is>
          <t>Coef</t>
        </is>
      </c>
    </row>
    <row r="233">
      <c r="A233" s="21" t="inlineStr">
        <is>
          <t>Soins obstétricaux</t>
        </is>
      </c>
      <c r="B233" s="21" t="inlineStr">
        <is>
          <t>L2</t>
        </is>
      </c>
      <c r="C233" s="21" t="inlineStr">
        <is>
          <t>3</t>
        </is>
      </c>
      <c r="D233" s="21" t="inlineStr">
        <is>
          <t>19</t>
        </is>
      </c>
      <c r="E233" s="21" t="inlineStr">
        <is>
          <t>Education à la santé et communication</t>
        </is>
      </c>
      <c r="F233" s="21" t="inlineStr">
        <is>
          <t>Communication</t>
        </is>
      </c>
      <c r="H233" s="21" t="n">
        <v>8</v>
      </c>
      <c r="I233" s="21" t="n">
        <v>2</v>
      </c>
      <c r="J233" s="21" t="n">
        <v>0</v>
      </c>
      <c r="K233" s="21" t="n">
        <v>10</v>
      </c>
      <c r="L233" s="21" t="n">
        <v>24</v>
      </c>
      <c r="M233" s="21" t="n">
        <v>1</v>
      </c>
      <c r="N233" s="21" t="inlineStr">
        <is>
          <t>Coef</t>
        </is>
      </c>
    </row>
    <row r="234">
      <c r="A234" s="21" t="inlineStr">
        <is>
          <t>Soins obstétricaux</t>
        </is>
      </c>
      <c r="B234" s="21" t="inlineStr">
        <is>
          <t>L2</t>
        </is>
      </c>
      <c r="C234" s="21" t="inlineStr">
        <is>
          <t>3</t>
        </is>
      </c>
      <c r="D234" s="21" t="inlineStr">
        <is>
          <t>20</t>
        </is>
      </c>
      <c r="E234" s="21" t="inlineStr">
        <is>
          <t>Soins infirmiers en pédiatrie</t>
        </is>
      </c>
      <c r="F234" s="21" t="inlineStr">
        <is>
          <t>Psychologie de l’enfant</t>
        </is>
      </c>
      <c r="H234" s="21" t="n">
        <v>6</v>
      </c>
      <c r="I234" s="21" t="n">
        <v>2</v>
      </c>
      <c r="J234" s="21" t="n">
        <v>0</v>
      </c>
      <c r="K234" s="21" t="n">
        <v>8</v>
      </c>
      <c r="L234" s="21" t="n">
        <v>86</v>
      </c>
      <c r="M234" s="21" t="n">
        <v>5</v>
      </c>
      <c r="N234" s="21" t="inlineStr">
        <is>
          <t>Coef</t>
        </is>
      </c>
    </row>
    <row r="235">
      <c r="A235" s="21" t="inlineStr">
        <is>
          <t>Soins obstétricaux</t>
        </is>
      </c>
      <c r="B235" s="21" t="inlineStr">
        <is>
          <t>L2</t>
        </is>
      </c>
      <c r="C235" s="21" t="inlineStr">
        <is>
          <t>3</t>
        </is>
      </c>
      <c r="D235" s="21" t="inlineStr">
        <is>
          <t>20</t>
        </is>
      </c>
      <c r="E235" s="21" t="inlineStr">
        <is>
          <t>Soins infirmiers en pédiatrie</t>
        </is>
      </c>
      <c r="F235" s="21" t="inlineStr">
        <is>
          <t>Pédiatrie et néonatologie</t>
        </is>
      </c>
      <c r="H235" s="21" t="n">
        <v>16</v>
      </c>
      <c r="I235" s="21" t="n">
        <v>4</v>
      </c>
      <c r="J235" s="21" t="n">
        <v>0</v>
      </c>
      <c r="K235" s="21" t="n">
        <v>20</v>
      </c>
      <c r="L235" s="21" t="n">
        <v>86</v>
      </c>
      <c r="M235" s="21" t="n">
        <v>5</v>
      </c>
      <c r="N235" s="21" t="inlineStr">
        <is>
          <t>Coef</t>
        </is>
      </c>
    </row>
    <row r="236">
      <c r="A236" s="21" t="inlineStr">
        <is>
          <t>Soins obstétricaux</t>
        </is>
      </c>
      <c r="B236" s="21" t="inlineStr">
        <is>
          <t>L2</t>
        </is>
      </c>
      <c r="C236" s="21" t="inlineStr">
        <is>
          <t>3</t>
        </is>
      </c>
      <c r="D236" s="21" t="inlineStr">
        <is>
          <t>20</t>
        </is>
      </c>
      <c r="E236" s="21" t="inlineStr">
        <is>
          <t>Soins infirmiers en pédiatrie</t>
        </is>
      </c>
      <c r="F236" s="21" t="inlineStr">
        <is>
          <t>Pathologies spécifiques</t>
        </is>
      </c>
      <c r="H236" s="21" t="n">
        <v>16</v>
      </c>
      <c r="I236" s="21" t="n">
        <v>4</v>
      </c>
      <c r="J236" s="21" t="n">
        <v>0</v>
      </c>
      <c r="K236" s="21" t="n">
        <v>20</v>
      </c>
      <c r="L236" s="21" t="n">
        <v>86</v>
      </c>
      <c r="M236" s="21" t="n">
        <v>5</v>
      </c>
      <c r="N236" s="21" t="inlineStr">
        <is>
          <t>Coef</t>
        </is>
      </c>
    </row>
    <row r="237">
      <c r="A237" s="21" t="inlineStr">
        <is>
          <t>Soins obstétricaux</t>
        </is>
      </c>
      <c r="B237" s="21" t="inlineStr">
        <is>
          <t>L2</t>
        </is>
      </c>
      <c r="C237" s="21" t="inlineStr">
        <is>
          <t>3</t>
        </is>
      </c>
      <c r="D237" s="21" t="inlineStr">
        <is>
          <t>20</t>
        </is>
      </c>
      <c r="E237" s="21" t="inlineStr">
        <is>
          <t>Soins infirmiers en pédiatrie</t>
        </is>
      </c>
      <c r="F237" s="21" t="inlineStr">
        <is>
          <t>Soins infirmiers en pédiatrie</t>
        </is>
      </c>
      <c r="H237" s="21" t="n">
        <v>10</v>
      </c>
      <c r="I237" s="21" t="n">
        <v>2</v>
      </c>
      <c r="J237" s="21" t="n">
        <v>6</v>
      </c>
      <c r="K237" s="21" t="n">
        <v>18</v>
      </c>
      <c r="L237" s="21" t="n">
        <v>86</v>
      </c>
      <c r="M237" s="21" t="n">
        <v>5</v>
      </c>
      <c r="N237" s="21" t="inlineStr">
        <is>
          <t>Coef</t>
        </is>
      </c>
    </row>
    <row r="238">
      <c r="A238" s="21" t="inlineStr">
        <is>
          <t>Soins obstétricaux</t>
        </is>
      </c>
      <c r="B238" s="21" t="inlineStr">
        <is>
          <t>L2</t>
        </is>
      </c>
      <c r="C238" s="21" t="inlineStr">
        <is>
          <t>3</t>
        </is>
      </c>
      <c r="D238" s="21" t="inlineStr">
        <is>
          <t>20</t>
        </is>
      </c>
      <c r="E238" s="21" t="inlineStr">
        <is>
          <t>Soins infirmiers en pédiatrie</t>
        </is>
      </c>
      <c r="F238" s="21" t="inlineStr">
        <is>
          <t>Pathologie chirurgicale pédiatrique</t>
        </is>
      </c>
      <c r="H238" s="21" t="n">
        <v>18</v>
      </c>
      <c r="I238" s="21" t="n">
        <v>2</v>
      </c>
      <c r="J238" s="21" t="n">
        <v>0</v>
      </c>
      <c r="K238" s="21" t="n">
        <v>20</v>
      </c>
      <c r="L238" s="21" t="n">
        <v>86</v>
      </c>
      <c r="M238" s="21" t="n">
        <v>5</v>
      </c>
      <c r="N238" s="21" t="inlineStr">
        <is>
          <t>Coef</t>
        </is>
      </c>
    </row>
    <row r="239">
      <c r="A239" s="21" t="inlineStr">
        <is>
          <t>Soins obstétricaux</t>
        </is>
      </c>
      <c r="B239" s="21" t="inlineStr">
        <is>
          <t>L2</t>
        </is>
      </c>
      <c r="C239" s="21" t="inlineStr">
        <is>
          <t>3</t>
        </is>
      </c>
      <c r="D239" s="21" t="inlineStr">
        <is>
          <t>22</t>
        </is>
      </c>
      <c r="E239" s="21" t="inlineStr">
        <is>
          <t>Nutrition et diététique/2</t>
        </is>
      </c>
      <c r="F239" s="21" t="inlineStr">
        <is>
          <t>Prise en charge diététique des carences et de la surnutrition</t>
        </is>
      </c>
      <c r="H239" s="21" t="n">
        <v>6</v>
      </c>
      <c r="I239" s="21" t="n">
        <v>4</v>
      </c>
      <c r="J239" s="21" t="n">
        <v>0</v>
      </c>
      <c r="K239" s="21" t="n">
        <v>10</v>
      </c>
      <c r="L239" s="21" t="n">
        <v>30</v>
      </c>
      <c r="M239" s="21" t="n">
        <v>2</v>
      </c>
      <c r="N239" s="21" t="inlineStr">
        <is>
          <t>Coef</t>
        </is>
      </c>
    </row>
    <row r="240">
      <c r="A240" s="21" t="inlineStr">
        <is>
          <t>Soins obstétricaux</t>
        </is>
      </c>
      <c r="B240" s="21" t="inlineStr">
        <is>
          <t>L2</t>
        </is>
      </c>
      <c r="C240" s="21" t="inlineStr">
        <is>
          <t>3</t>
        </is>
      </c>
      <c r="D240" s="21" t="inlineStr">
        <is>
          <t>22</t>
        </is>
      </c>
      <c r="E240" s="21" t="inlineStr">
        <is>
          <t>Nutrition et diététique/2</t>
        </is>
      </c>
      <c r="F240" s="21" t="inlineStr">
        <is>
          <t>Aspects cliniques et pratiques de la nutrition et de la diététique</t>
        </is>
      </c>
      <c r="H240" s="21" t="n">
        <v>16</v>
      </c>
      <c r="I240" s="21" t="n">
        <v>4</v>
      </c>
      <c r="J240" s="21" t="n">
        <v>0</v>
      </c>
      <c r="K240" s="21" t="n">
        <v>20</v>
      </c>
      <c r="L240" s="21" t="n">
        <v>30</v>
      </c>
      <c r="M240" s="21" t="n">
        <v>2</v>
      </c>
      <c r="N240" s="21" t="inlineStr">
        <is>
          <t>Coef</t>
        </is>
      </c>
    </row>
    <row r="241">
      <c r="A241" s="21" t="inlineStr">
        <is>
          <t>Soins obstétricaux</t>
        </is>
      </c>
      <c r="B241" s="21" t="inlineStr">
        <is>
          <t>L2</t>
        </is>
      </c>
      <c r="C241" s="21" t="inlineStr">
        <is>
          <t>3</t>
        </is>
      </c>
      <c r="D241" s="21" t="inlineStr">
        <is>
          <t>23</t>
        </is>
      </c>
      <c r="E241" s="21" t="inlineStr">
        <is>
          <t>Soins promotionnels, préventifs et adaptatifs/1</t>
        </is>
      </c>
      <c r="F241" s="21" t="inlineStr">
        <is>
          <t>Puériculture</t>
        </is>
      </c>
      <c r="H241" s="21" t="n">
        <v>8</v>
      </c>
      <c r="I241" s="21" t="n">
        <v>2</v>
      </c>
      <c r="J241" s="21" t="n">
        <v>4</v>
      </c>
      <c r="K241" s="21" t="n">
        <v>14</v>
      </c>
      <c r="L241" s="21" t="n">
        <v>64</v>
      </c>
      <c r="M241" s="21" t="n">
        <v>4</v>
      </c>
      <c r="N241" s="21" t="inlineStr">
        <is>
          <t>Coef</t>
        </is>
      </c>
    </row>
    <row r="242">
      <c r="A242" s="21" t="inlineStr">
        <is>
          <t>Soins obstétricaux</t>
        </is>
      </c>
      <c r="B242" s="21" t="inlineStr">
        <is>
          <t>L2</t>
        </is>
      </c>
      <c r="C242" s="21" t="inlineStr">
        <is>
          <t>3</t>
        </is>
      </c>
      <c r="D242" s="21" t="inlineStr">
        <is>
          <t>23</t>
        </is>
      </c>
      <c r="E242" s="21" t="inlineStr">
        <is>
          <t>Soins promotionnels, préventifs et adaptatifs/1</t>
        </is>
      </c>
      <c r="F242" s="21" t="inlineStr">
        <is>
          <t>Santé de la reproduction</t>
        </is>
      </c>
      <c r="H242" s="21" t="n">
        <v>20</v>
      </c>
      <c r="I242" s="21" t="n">
        <v>2</v>
      </c>
      <c r="J242" s="21" t="n">
        <v>0</v>
      </c>
      <c r="K242" s="21" t="n">
        <v>22</v>
      </c>
      <c r="L242" s="21" t="n">
        <v>64</v>
      </c>
      <c r="M242" s="21" t="n">
        <v>4</v>
      </c>
      <c r="N242" s="21" t="inlineStr">
        <is>
          <t>Coef</t>
        </is>
      </c>
    </row>
    <row r="243">
      <c r="A243" s="21" t="inlineStr">
        <is>
          <t>Soins obstétricaux</t>
        </is>
      </c>
      <c r="B243" s="21" t="inlineStr">
        <is>
          <t>L2</t>
        </is>
      </c>
      <c r="C243" s="21" t="inlineStr">
        <is>
          <t>3</t>
        </is>
      </c>
      <c r="D243" s="21" t="inlineStr">
        <is>
          <t>23</t>
        </is>
      </c>
      <c r="E243" s="21" t="inlineStr">
        <is>
          <t>Soins promotionnels, préventifs et adaptatifs/1</t>
        </is>
      </c>
      <c r="F243" s="21" t="inlineStr">
        <is>
          <t>Vaccination</t>
        </is>
      </c>
      <c r="H243" s="21" t="n">
        <v>6</v>
      </c>
      <c r="I243" s="21" t="n">
        <v>2</v>
      </c>
      <c r="K243" s="21" t="n">
        <v>8</v>
      </c>
      <c r="L243" s="21" t="n">
        <v>64</v>
      </c>
      <c r="M243" s="21" t="n">
        <v>4</v>
      </c>
      <c r="N243" s="21" t="inlineStr">
        <is>
          <t>Coef</t>
        </is>
      </c>
    </row>
    <row r="244">
      <c r="A244" s="21" t="inlineStr">
        <is>
          <t>Soins obstétricaux</t>
        </is>
      </c>
      <c r="B244" s="21" t="inlineStr">
        <is>
          <t>L2</t>
        </is>
      </c>
      <c r="C244" s="21" t="inlineStr">
        <is>
          <t>3</t>
        </is>
      </c>
      <c r="D244" s="21" t="inlineStr">
        <is>
          <t>23</t>
        </is>
      </c>
      <c r="E244" s="21" t="inlineStr">
        <is>
          <t>Soins promotionnels, préventifs et adaptatifs/1</t>
        </is>
      </c>
      <c r="F244" s="21" t="inlineStr">
        <is>
          <t>PCIMA (Prise en charge intégrée de la malnutrition aigüe)</t>
        </is>
      </c>
      <c r="H244" s="21" t="n">
        <v>6</v>
      </c>
      <c r="I244" s="21" t="n">
        <v>4</v>
      </c>
      <c r="J244" s="21" t="n">
        <v>0</v>
      </c>
      <c r="K244" s="21" t="n">
        <v>10</v>
      </c>
      <c r="L244" s="21" t="n">
        <v>64</v>
      </c>
      <c r="M244" s="21" t="n">
        <v>4</v>
      </c>
      <c r="N244" s="21" t="inlineStr">
        <is>
          <t>Coef</t>
        </is>
      </c>
    </row>
    <row r="245">
      <c r="A245" s="21" t="inlineStr">
        <is>
          <t>Soins obstétricaux</t>
        </is>
      </c>
      <c r="B245" s="21" t="inlineStr">
        <is>
          <t>L2</t>
        </is>
      </c>
      <c r="C245" s="21" t="inlineStr">
        <is>
          <t>3</t>
        </is>
      </c>
      <c r="D245" s="21" t="inlineStr">
        <is>
          <t>23</t>
        </is>
      </c>
      <c r="E245" s="21" t="inlineStr">
        <is>
          <t>Soins promotionnels, préventifs et adaptatifs/1</t>
        </is>
      </c>
      <c r="F245" s="21" t="inlineStr">
        <is>
          <t>PCIME (Prise en charge intégrée des maladies de l’enfant)</t>
        </is>
      </c>
      <c r="H245" s="21" t="n">
        <v>6</v>
      </c>
      <c r="I245" s="21" t="n">
        <v>4</v>
      </c>
      <c r="J245" s="21" t="n">
        <v>0</v>
      </c>
      <c r="K245" s="21" t="n">
        <v>10</v>
      </c>
      <c r="L245" s="21" t="n">
        <v>64</v>
      </c>
      <c r="M245" s="21" t="n">
        <v>4</v>
      </c>
      <c r="N245" s="21" t="inlineStr">
        <is>
          <t>Coef</t>
        </is>
      </c>
    </row>
    <row r="246">
      <c r="A246" s="21" t="inlineStr">
        <is>
          <t>Soins obstétricaux</t>
        </is>
      </c>
      <c r="B246" s="21" t="inlineStr">
        <is>
          <t>L2</t>
        </is>
      </c>
      <c r="C246" s="21" t="inlineStr">
        <is>
          <t>3</t>
        </is>
      </c>
      <c r="D246" s="21" t="inlineStr">
        <is>
          <t>24</t>
        </is>
      </c>
      <c r="E246" s="21" t="inlineStr">
        <is>
          <t>Soins obstétricaux et néonataux</t>
        </is>
      </c>
      <c r="F246" s="21" t="inlineStr">
        <is>
          <t>Consultations Prénatales</t>
        </is>
      </c>
      <c r="H246" s="21" t="n">
        <v>14</v>
      </c>
      <c r="I246" s="21" t="n">
        <v>6</v>
      </c>
      <c r="J246" s="21" t="n">
        <v>0</v>
      </c>
      <c r="K246" s="21" t="n">
        <v>20</v>
      </c>
      <c r="L246" s="21" t="n">
        <v>68</v>
      </c>
      <c r="M246" s="21" t="n">
        <v>4</v>
      </c>
      <c r="N246" s="21" t="inlineStr">
        <is>
          <t>Coef</t>
        </is>
      </c>
    </row>
    <row r="247">
      <c r="A247" s="21" t="inlineStr">
        <is>
          <t>Soins obstétricaux</t>
        </is>
      </c>
      <c r="B247" s="21" t="inlineStr">
        <is>
          <t>L2</t>
        </is>
      </c>
      <c r="C247" s="21" t="inlineStr">
        <is>
          <t>3</t>
        </is>
      </c>
      <c r="D247" s="21" t="inlineStr">
        <is>
          <t>24</t>
        </is>
      </c>
      <c r="E247" s="21" t="inlineStr">
        <is>
          <t>Soins obstétricaux et néonataux</t>
        </is>
      </c>
      <c r="F247" s="21" t="inlineStr">
        <is>
          <t>Soins maternels et néonataux respectueux</t>
        </is>
      </c>
      <c r="H247" s="21" t="n">
        <v>14</v>
      </c>
      <c r="I247" s="21" t="n">
        <v>4</v>
      </c>
      <c r="J247" s="21" t="n">
        <v>0</v>
      </c>
      <c r="K247" s="21" t="n">
        <v>18</v>
      </c>
      <c r="L247" s="21" t="n">
        <v>68</v>
      </c>
      <c r="M247" s="21" t="n">
        <v>4</v>
      </c>
      <c r="N247" s="21" t="inlineStr">
        <is>
          <t>Coef</t>
        </is>
      </c>
    </row>
    <row r="248">
      <c r="A248" s="21" t="inlineStr">
        <is>
          <t>Soins obstétricaux</t>
        </is>
      </c>
      <c r="B248" s="21" t="inlineStr">
        <is>
          <t>L2</t>
        </is>
      </c>
      <c r="C248" s="21" t="inlineStr">
        <is>
          <t>3</t>
        </is>
      </c>
      <c r="D248" s="21" t="inlineStr">
        <is>
          <t>24</t>
        </is>
      </c>
      <c r="E248" s="21" t="inlineStr">
        <is>
          <t>Soins obstétricaux et néonataux</t>
        </is>
      </c>
      <c r="F248" s="21" t="inlineStr">
        <is>
          <t>Protocoles de prise en charge de la grossesse normale</t>
        </is>
      </c>
      <c r="H248" s="21" t="n">
        <v>8</v>
      </c>
      <c r="I248" s="21" t="n">
        <v>2</v>
      </c>
      <c r="J248" s="21" t="n">
        <v>0</v>
      </c>
      <c r="K248" s="21" t="n">
        <v>10</v>
      </c>
      <c r="L248" s="21" t="n">
        <v>68</v>
      </c>
      <c r="M248" s="21" t="n">
        <v>4</v>
      </c>
      <c r="N248" s="21" t="inlineStr">
        <is>
          <t>Coef</t>
        </is>
      </c>
    </row>
    <row r="249">
      <c r="A249" s="21" t="inlineStr">
        <is>
          <t>Soins obstétricaux</t>
        </is>
      </c>
      <c r="B249" s="21" t="inlineStr">
        <is>
          <t>L2</t>
        </is>
      </c>
      <c r="C249" s="21" t="inlineStr">
        <is>
          <t>3</t>
        </is>
      </c>
      <c r="D249" s="21" t="inlineStr">
        <is>
          <t>24</t>
        </is>
      </c>
      <c r="E249" s="21" t="inlineStr">
        <is>
          <t>Soins obstétricaux et néonataux</t>
        </is>
      </c>
      <c r="F249" s="21" t="inlineStr">
        <is>
          <t>Préparation à l’accouchement normal</t>
        </is>
      </c>
      <c r="H249" s="21" t="n">
        <v>8</v>
      </c>
      <c r="I249" s="21" t="n">
        <v>2</v>
      </c>
      <c r="J249" s="21" t="n">
        <v>0</v>
      </c>
      <c r="K249" s="21" t="n">
        <v>10</v>
      </c>
      <c r="L249" s="21" t="n">
        <v>68</v>
      </c>
      <c r="M249" s="21" t="n">
        <v>4</v>
      </c>
      <c r="N249" s="21" t="inlineStr">
        <is>
          <t>Coef</t>
        </is>
      </c>
    </row>
    <row r="250">
      <c r="A250" s="21" t="inlineStr">
        <is>
          <t>Soins obstétricaux</t>
        </is>
      </c>
      <c r="B250" s="21" t="inlineStr">
        <is>
          <t>L2</t>
        </is>
      </c>
      <c r="C250" s="21" t="inlineStr">
        <is>
          <t>3</t>
        </is>
      </c>
      <c r="D250" s="21" t="inlineStr">
        <is>
          <t>24</t>
        </is>
      </c>
      <c r="E250" s="21" t="inlineStr">
        <is>
          <t>Soins obstétricaux et néonataux</t>
        </is>
      </c>
      <c r="F250" s="21" t="inlineStr">
        <is>
          <t>Protocoles de prise en charge en postpartum immédiat et précoce</t>
        </is>
      </c>
      <c r="H250" s="21" t="n">
        <v>8</v>
      </c>
      <c r="I250" s="21" t="n">
        <v>2</v>
      </c>
      <c r="J250" s="21" t="n">
        <v>0</v>
      </c>
      <c r="K250" s="21" t="n">
        <v>10</v>
      </c>
      <c r="L250" s="21" t="n">
        <v>68</v>
      </c>
      <c r="M250" s="21" t="n">
        <v>4</v>
      </c>
      <c r="N250" s="21" t="inlineStr">
        <is>
          <t>Coef</t>
        </is>
      </c>
    </row>
    <row r="251">
      <c r="A251" s="21" t="inlineStr">
        <is>
          <t>Soins obstétricaux</t>
        </is>
      </c>
      <c r="B251" s="21" t="inlineStr">
        <is>
          <t>L2</t>
        </is>
      </c>
      <c r="C251" s="21" t="inlineStr">
        <is>
          <t>3</t>
        </is>
      </c>
      <c r="D251" s="21" t="inlineStr">
        <is>
          <t>26</t>
        </is>
      </c>
      <c r="E251" s="21" t="inlineStr">
        <is>
          <t>Examen de santé</t>
        </is>
      </c>
      <c r="F251" s="21" t="inlineStr">
        <is>
          <t>Antécédents médicaux complets</t>
        </is>
      </c>
      <c r="H251" s="21" t="n">
        <v>4</v>
      </c>
      <c r="I251" s="21" t="n">
        <v>2</v>
      </c>
      <c r="J251" s="21" t="n">
        <v>0</v>
      </c>
      <c r="K251" s="21" t="n">
        <v>6</v>
      </c>
      <c r="L251" s="21" t="n">
        <v>38</v>
      </c>
      <c r="M251" s="21" t="n">
        <v>2</v>
      </c>
      <c r="N251" s="21" t="inlineStr">
        <is>
          <t>Coef</t>
        </is>
      </c>
    </row>
    <row r="252">
      <c r="A252" s="21" t="inlineStr">
        <is>
          <t>Soins obstétricaux</t>
        </is>
      </c>
      <c r="B252" s="21" t="inlineStr">
        <is>
          <t>L2</t>
        </is>
      </c>
      <c r="C252" s="21" t="inlineStr">
        <is>
          <t>3</t>
        </is>
      </c>
      <c r="D252" s="21" t="inlineStr">
        <is>
          <t>26</t>
        </is>
      </c>
      <c r="E252" s="21" t="inlineStr">
        <is>
          <t>Examen de santé</t>
        </is>
      </c>
      <c r="F252" s="21" t="inlineStr">
        <is>
          <t>Examen physique</t>
        </is>
      </c>
      <c r="H252" s="21" t="n">
        <v>8</v>
      </c>
      <c r="I252" s="21" t="n">
        <v>2</v>
      </c>
      <c r="J252" s="21" t="n">
        <v>6</v>
      </c>
      <c r="K252" s="21" t="n">
        <v>16</v>
      </c>
      <c r="L252" s="21" t="n">
        <v>38</v>
      </c>
      <c r="M252" s="21" t="n">
        <v>2</v>
      </c>
      <c r="N252" s="21" t="inlineStr">
        <is>
          <t>Coef</t>
        </is>
      </c>
    </row>
    <row r="253">
      <c r="A253" s="21" t="inlineStr">
        <is>
          <t>Soins obstétricaux</t>
        </is>
      </c>
      <c r="B253" s="21" t="inlineStr">
        <is>
          <t>L2</t>
        </is>
      </c>
      <c r="C253" s="21" t="inlineStr">
        <is>
          <t>3</t>
        </is>
      </c>
      <c r="D253" s="21" t="inlineStr">
        <is>
          <t>26</t>
        </is>
      </c>
      <c r="E253" s="21" t="inlineStr">
        <is>
          <t>Examen de santé</t>
        </is>
      </c>
      <c r="F253" s="21" t="inlineStr">
        <is>
          <t>Evaluation de groupes spéciaux</t>
        </is>
      </c>
      <c r="H253" s="21" t="n">
        <v>4</v>
      </c>
      <c r="I253" s="21" t="n">
        <v>2</v>
      </c>
      <c r="J253" s="21" t="n">
        <v>0</v>
      </c>
      <c r="K253" s="21" t="n">
        <v>6</v>
      </c>
      <c r="L253" s="21" t="n">
        <v>38</v>
      </c>
      <c r="M253" s="21" t="n">
        <v>2</v>
      </c>
      <c r="N253" s="21" t="inlineStr">
        <is>
          <t>Coef</t>
        </is>
      </c>
    </row>
    <row r="254">
      <c r="A254" s="21" t="inlineStr">
        <is>
          <t>Soins obstétricaux</t>
        </is>
      </c>
      <c r="B254" s="21" t="inlineStr">
        <is>
          <t>L2</t>
        </is>
      </c>
      <c r="C254" s="21" t="inlineStr">
        <is>
          <t>3</t>
        </is>
      </c>
      <c r="D254" s="21" t="inlineStr">
        <is>
          <t>26</t>
        </is>
      </c>
      <c r="E254" s="21" t="inlineStr">
        <is>
          <t>Examen de santé</t>
        </is>
      </c>
      <c r="F254" s="21" t="inlineStr">
        <is>
          <t>Investigations cliniques</t>
        </is>
      </c>
      <c r="H254" s="21" t="n">
        <v>4</v>
      </c>
      <c r="I254" s="21" t="n">
        <v>2</v>
      </c>
      <c r="J254" s="21" t="n">
        <v>4</v>
      </c>
      <c r="K254" s="21" t="n">
        <v>10</v>
      </c>
      <c r="L254" s="21" t="n">
        <v>38</v>
      </c>
      <c r="M254" s="21" t="n">
        <v>2</v>
      </c>
      <c r="N254" s="21" t="inlineStr">
        <is>
          <t>Coef</t>
        </is>
      </c>
    </row>
    <row r="255">
      <c r="A255" s="21" t="inlineStr">
        <is>
          <t>Soins obstétricaux</t>
        </is>
      </c>
      <c r="B255" s="21" t="inlineStr">
        <is>
          <t>L2</t>
        </is>
      </c>
      <c r="C255" s="21" t="inlineStr">
        <is>
          <t>4</t>
        </is>
      </c>
      <c r="D255" s="21" t="inlineStr">
        <is>
          <t>27</t>
        </is>
      </c>
      <c r="E255" s="21" t="inlineStr">
        <is>
          <t>Situations cliniques se référant aux pathologies en gynécologie et pendant la grossesse</t>
        </is>
      </c>
      <c r="F255" s="21" t="inlineStr">
        <is>
          <t>Pathologies de la grossesse et du travail</t>
        </is>
      </c>
      <c r="H255" s="21" t="n">
        <v>26</v>
      </c>
      <c r="I255" s="21" t="n">
        <v>4</v>
      </c>
      <c r="J255" s="21" t="n">
        <v>0</v>
      </c>
      <c r="K255" s="21" t="n">
        <v>30</v>
      </c>
      <c r="L255" s="21" t="n">
        <v>120</v>
      </c>
      <c r="M255" s="21" t="n">
        <v>8</v>
      </c>
      <c r="N255" s="21" t="inlineStr">
        <is>
          <t>Coef</t>
        </is>
      </c>
    </row>
    <row r="256">
      <c r="A256" s="21" t="inlineStr">
        <is>
          <t>Soins obstétricaux</t>
        </is>
      </c>
      <c r="B256" s="21" t="inlineStr">
        <is>
          <t>L2</t>
        </is>
      </c>
      <c r="C256" s="21" t="inlineStr">
        <is>
          <t>4</t>
        </is>
      </c>
      <c r="D256" s="21" t="inlineStr">
        <is>
          <t>27</t>
        </is>
      </c>
      <c r="E256" s="21" t="inlineStr">
        <is>
          <t>Situations cliniques se référant aux pathologies en gynécologie et pendant la grossesse</t>
        </is>
      </c>
      <c r="F256" s="21" t="inlineStr">
        <is>
          <t>Complications obstétricales et médicales pendant le travail et l’accouchement</t>
        </is>
      </c>
      <c r="H256" s="21" t="n">
        <v>26</v>
      </c>
      <c r="I256" s="21" t="n">
        <v>4</v>
      </c>
      <c r="J256" s="21" t="n">
        <v>0</v>
      </c>
      <c r="K256" s="21" t="n">
        <v>30</v>
      </c>
      <c r="L256" s="21" t="n">
        <v>120</v>
      </c>
      <c r="M256" s="21" t="n">
        <v>8</v>
      </c>
      <c r="N256" s="21" t="inlineStr">
        <is>
          <t>Coef</t>
        </is>
      </c>
    </row>
    <row r="257">
      <c r="A257" s="21" t="inlineStr">
        <is>
          <t>Soins obstétricaux</t>
        </is>
      </c>
      <c r="B257" s="21" t="inlineStr">
        <is>
          <t>L2</t>
        </is>
      </c>
      <c r="C257" s="21" t="inlineStr">
        <is>
          <t>4</t>
        </is>
      </c>
      <c r="D257" s="21" t="inlineStr">
        <is>
          <t>27</t>
        </is>
      </c>
      <c r="E257" s="21" t="inlineStr">
        <is>
          <t>Situations cliniques se référant aux pathologies en gynécologie et pendant la grossesse</t>
        </is>
      </c>
      <c r="F257" s="21" t="inlineStr">
        <is>
          <t>Complications postnatales</t>
        </is>
      </c>
      <c r="H257" s="21" t="n">
        <v>26</v>
      </c>
      <c r="I257" s="21" t="n">
        <v>4</v>
      </c>
      <c r="J257" s="21" t="n">
        <v>0</v>
      </c>
      <c r="K257" s="21" t="n">
        <v>30</v>
      </c>
      <c r="L257" s="21" t="n">
        <v>120</v>
      </c>
      <c r="M257" s="21" t="n">
        <v>8</v>
      </c>
      <c r="N257" s="21" t="inlineStr">
        <is>
          <t>Coef</t>
        </is>
      </c>
    </row>
    <row r="258">
      <c r="A258" s="21" t="inlineStr">
        <is>
          <t>Soins obstétricaux</t>
        </is>
      </c>
      <c r="B258" s="21" t="inlineStr">
        <is>
          <t>L2</t>
        </is>
      </c>
      <c r="C258" s="21" t="inlineStr">
        <is>
          <t>4</t>
        </is>
      </c>
      <c r="D258" s="21" t="inlineStr">
        <is>
          <t>27</t>
        </is>
      </c>
      <c r="E258" s="21" t="inlineStr">
        <is>
          <t>Situations cliniques se référant aux pathologies en gynécologie et pendant la grossesse</t>
        </is>
      </c>
      <c r="F258" s="21" t="inlineStr">
        <is>
          <t>Pathologies gynécologiques</t>
        </is>
      </c>
      <c r="H258" s="21" t="n">
        <v>26</v>
      </c>
      <c r="I258" s="21" t="n">
        <v>4</v>
      </c>
      <c r="J258" s="21" t="n">
        <v>0</v>
      </c>
      <c r="K258" s="21" t="n">
        <v>30</v>
      </c>
      <c r="L258" s="21" t="n">
        <v>120</v>
      </c>
      <c r="M258" s="21" t="n">
        <v>8</v>
      </c>
      <c r="N258" s="21" t="inlineStr">
        <is>
          <t>Coef</t>
        </is>
      </c>
    </row>
    <row r="259">
      <c r="A259" s="21" t="inlineStr">
        <is>
          <t>Soins obstétricaux</t>
        </is>
      </c>
      <c r="B259" s="21" t="inlineStr">
        <is>
          <t>L2</t>
        </is>
      </c>
      <c r="C259" s="21" t="inlineStr">
        <is>
          <t>4</t>
        </is>
      </c>
      <c r="D259" s="21" t="inlineStr">
        <is>
          <t>28</t>
        </is>
      </c>
      <c r="E259" s="21" t="inlineStr">
        <is>
          <t>Soins de sage femme en milieu communautaire</t>
        </is>
      </c>
      <c r="F259" s="21" t="inlineStr">
        <is>
          <t>Base théorique des soins infirmiers en milieu communautaire</t>
        </is>
      </c>
      <c r="H259" s="21" t="n">
        <v>6</v>
      </c>
      <c r="I259" s="21" t="n">
        <v>2</v>
      </c>
      <c r="J259" s="21" t="n">
        <v>0</v>
      </c>
      <c r="K259" s="21" t="n">
        <v>8</v>
      </c>
      <c r="L259" s="21" t="n">
        <v>60</v>
      </c>
      <c r="M259" s="21" t="n">
        <v>4</v>
      </c>
      <c r="N259" s="21" t="inlineStr">
        <is>
          <t>Coef</t>
        </is>
      </c>
    </row>
    <row r="260">
      <c r="A260" s="21" t="inlineStr">
        <is>
          <t>Soins obstétricaux</t>
        </is>
      </c>
      <c r="B260" s="21" t="inlineStr">
        <is>
          <t>L2</t>
        </is>
      </c>
      <c r="C260" s="21" t="inlineStr">
        <is>
          <t>4</t>
        </is>
      </c>
      <c r="D260" s="21" t="inlineStr">
        <is>
          <t>28</t>
        </is>
      </c>
      <c r="E260" s="21" t="inlineStr">
        <is>
          <t>Soins de sage femme en milieu communautaire</t>
        </is>
      </c>
      <c r="F260" s="21" t="inlineStr">
        <is>
          <t>Art et science des soins infirmiers en milieu communautaire</t>
        </is>
      </c>
      <c r="H260" s="21" t="n">
        <v>6</v>
      </c>
      <c r="I260" s="21" t="n">
        <v>2</v>
      </c>
      <c r="J260" s="21" t="n">
        <v>0</v>
      </c>
      <c r="K260" s="21" t="n">
        <v>8</v>
      </c>
      <c r="L260" s="21" t="n">
        <v>60</v>
      </c>
      <c r="M260" s="21" t="n">
        <v>4</v>
      </c>
      <c r="N260" s="21" t="inlineStr">
        <is>
          <t>Coef</t>
        </is>
      </c>
    </row>
    <row r="261">
      <c r="A261" s="21" t="inlineStr">
        <is>
          <t>Soins obstétricaux</t>
        </is>
      </c>
      <c r="B261" s="21" t="inlineStr">
        <is>
          <t>L2</t>
        </is>
      </c>
      <c r="C261" s="21" t="inlineStr">
        <is>
          <t>4</t>
        </is>
      </c>
      <c r="D261" s="21" t="inlineStr">
        <is>
          <t>28</t>
        </is>
      </c>
      <c r="E261" s="21" t="inlineStr">
        <is>
          <t>Soins de sage femme en milieu communautaire</t>
        </is>
      </c>
      <c r="F261" s="21" t="inlineStr">
        <is>
          <t>Maladies transmissibles : prévention et intervention</t>
        </is>
      </c>
      <c r="H261" s="21" t="n">
        <v>6</v>
      </c>
      <c r="I261" s="21" t="n">
        <v>2</v>
      </c>
      <c r="J261" s="21" t="n">
        <v>0</v>
      </c>
      <c r="K261" s="21" t="n">
        <v>8</v>
      </c>
      <c r="L261" s="21" t="n">
        <v>60</v>
      </c>
      <c r="M261" s="21" t="n">
        <v>4</v>
      </c>
      <c r="N261" s="21" t="inlineStr">
        <is>
          <t>Coef</t>
        </is>
      </c>
    </row>
    <row r="262">
      <c r="A262" s="21" t="inlineStr">
        <is>
          <t>Soins obstétricaux</t>
        </is>
      </c>
      <c r="B262" s="21" t="inlineStr">
        <is>
          <t>L2</t>
        </is>
      </c>
      <c r="C262" s="21" t="inlineStr">
        <is>
          <t>4</t>
        </is>
      </c>
      <c r="D262" s="21" t="inlineStr">
        <is>
          <t>28</t>
        </is>
      </c>
      <c r="E262" s="21" t="inlineStr">
        <is>
          <t>Soins de sage femme en milieu communautaire</t>
        </is>
      </c>
      <c r="F262" s="21" t="inlineStr">
        <is>
          <t>Santé familiale</t>
        </is>
      </c>
      <c r="H262" s="21" t="n">
        <v>6</v>
      </c>
      <c r="I262" s="21" t="n">
        <v>2</v>
      </c>
      <c r="J262" s="21" t="n">
        <v>0</v>
      </c>
      <c r="K262" s="21" t="n">
        <v>8</v>
      </c>
      <c r="L262" s="21" t="n">
        <v>60</v>
      </c>
      <c r="M262" s="21" t="n">
        <v>4</v>
      </c>
      <c r="N262" s="21" t="inlineStr">
        <is>
          <t>Coef</t>
        </is>
      </c>
    </row>
    <row r="263">
      <c r="A263" s="21" t="inlineStr">
        <is>
          <t>Soins obstétricaux</t>
        </is>
      </c>
      <c r="B263" s="21" t="inlineStr">
        <is>
          <t>L2</t>
        </is>
      </c>
      <c r="C263" s="21" t="inlineStr">
        <is>
          <t>4</t>
        </is>
      </c>
      <c r="D263" s="21" t="inlineStr">
        <is>
          <t>28</t>
        </is>
      </c>
      <c r="E263" s="21" t="inlineStr">
        <is>
          <t>Soins de sage femme en milieu communautaire</t>
        </is>
      </c>
      <c r="F263" s="21" t="inlineStr">
        <is>
          <t>Santé scolaire</t>
        </is>
      </c>
      <c r="H263" s="21" t="n">
        <v>6</v>
      </c>
      <c r="I263" s="21" t="n">
        <v>2</v>
      </c>
      <c r="J263" s="21" t="n">
        <v>0</v>
      </c>
      <c r="K263" s="21" t="n">
        <v>8</v>
      </c>
      <c r="L263" s="21" t="n">
        <v>60</v>
      </c>
      <c r="M263" s="21" t="n">
        <v>4</v>
      </c>
      <c r="N263" s="21" t="inlineStr">
        <is>
          <t>Coef</t>
        </is>
      </c>
    </row>
    <row r="264">
      <c r="A264" s="21" t="inlineStr">
        <is>
          <t>Soins obstétricaux</t>
        </is>
      </c>
      <c r="B264" s="21" t="inlineStr">
        <is>
          <t>L2</t>
        </is>
      </c>
      <c r="C264" s="21" t="inlineStr">
        <is>
          <t>4</t>
        </is>
      </c>
      <c r="D264" s="21" t="inlineStr">
        <is>
          <t>28</t>
        </is>
      </c>
      <c r="E264" s="21" t="inlineStr">
        <is>
          <t>Soins de sage femme en milieu communautaire</t>
        </is>
      </c>
      <c r="F264" s="21" t="inlineStr">
        <is>
          <t>Soins à domicile, en milieu communautaire et soins palliatifs</t>
        </is>
      </c>
      <c r="H264" s="21" t="n">
        <v>4</v>
      </c>
      <c r="I264" s="21" t="n">
        <v>2</v>
      </c>
      <c r="J264" s="21" t="n">
        <v>0</v>
      </c>
      <c r="K264" s="21" t="n">
        <v>6</v>
      </c>
      <c r="L264" s="21" t="n">
        <v>60</v>
      </c>
      <c r="M264" s="21" t="n">
        <v>4</v>
      </c>
      <c r="N264" s="21" t="inlineStr">
        <is>
          <t>Coef</t>
        </is>
      </c>
    </row>
    <row r="265">
      <c r="A265" s="21" t="inlineStr">
        <is>
          <t>Soins obstétricaux</t>
        </is>
      </c>
      <c r="B265" s="21" t="inlineStr">
        <is>
          <t>L2</t>
        </is>
      </c>
      <c r="C265" s="21" t="inlineStr">
        <is>
          <t>4</t>
        </is>
      </c>
      <c r="D265" s="21" t="inlineStr">
        <is>
          <t>28</t>
        </is>
      </c>
      <c r="E265" s="21" t="inlineStr">
        <is>
          <t>Soins de sage femme en milieu communautaire</t>
        </is>
      </c>
      <c r="F265" s="21" t="inlineStr">
        <is>
          <t>Soins infirmiers et obstétricale en médecine de travail</t>
        </is>
      </c>
      <c r="H265" s="21" t="n">
        <v>4</v>
      </c>
      <c r="I265" s="21" t="n">
        <v>2</v>
      </c>
      <c r="J265" s="21" t="n">
        <v>0</v>
      </c>
      <c r="K265" s="21" t="n">
        <v>6</v>
      </c>
      <c r="L265" s="21" t="n">
        <v>60</v>
      </c>
      <c r="M265" s="21" t="n">
        <v>4</v>
      </c>
      <c r="N265" s="21" t="inlineStr">
        <is>
          <t>Coef</t>
        </is>
      </c>
    </row>
    <row r="266">
      <c r="A266" s="21" t="inlineStr">
        <is>
          <t>Soins obstétricaux</t>
        </is>
      </c>
      <c r="B266" s="21" t="inlineStr">
        <is>
          <t>L2</t>
        </is>
      </c>
      <c r="C266" s="21" t="inlineStr">
        <is>
          <t>4</t>
        </is>
      </c>
      <c r="D266" s="21" t="inlineStr">
        <is>
          <t>28</t>
        </is>
      </c>
      <c r="E266" s="21" t="inlineStr">
        <is>
          <t>Soins de sage femme en milieu communautaire</t>
        </is>
      </c>
      <c r="F266" s="21" t="inlineStr">
        <is>
          <t>Soins infirmiers et obstétricale en médecine de catastrophe</t>
        </is>
      </c>
      <c r="H266" s="21" t="n">
        <v>6</v>
      </c>
      <c r="I266" s="21" t="n">
        <v>2</v>
      </c>
      <c r="J266" s="21" t="n">
        <v>0</v>
      </c>
      <c r="K266" s="21" t="n">
        <v>8</v>
      </c>
      <c r="L266" s="21" t="n">
        <v>60</v>
      </c>
      <c r="M266" s="21" t="n">
        <v>4</v>
      </c>
      <c r="N266" s="21" t="inlineStr">
        <is>
          <t>Coef</t>
        </is>
      </c>
    </row>
    <row r="267">
      <c r="A267" s="21" t="inlineStr">
        <is>
          <t>Soins obstétricaux</t>
        </is>
      </c>
      <c r="B267" s="21" t="inlineStr">
        <is>
          <t>L2</t>
        </is>
      </c>
      <c r="C267" s="21" t="inlineStr">
        <is>
          <t>4</t>
        </is>
      </c>
      <c r="D267" s="21" t="inlineStr">
        <is>
          <t>30</t>
        </is>
      </c>
      <c r="E267" s="21" t="inlineStr">
        <is>
          <t>Soins obstétricaux et néonataux d’urgence/1</t>
        </is>
      </c>
      <c r="F267" s="21" t="inlineStr">
        <is>
          <t>Consultation prénatale recentrée</t>
        </is>
      </c>
      <c r="H267" s="21" t="n">
        <v>18</v>
      </c>
      <c r="I267" s="21" t="n">
        <v>2</v>
      </c>
      <c r="J267" s="21" t="n">
        <v>0</v>
      </c>
      <c r="K267" s="21" t="n">
        <v>20</v>
      </c>
      <c r="L267" s="21" t="n">
        <v>70</v>
      </c>
      <c r="M267" s="21" t="n">
        <v>5</v>
      </c>
      <c r="N267" s="21" t="inlineStr">
        <is>
          <t>Coef</t>
        </is>
      </c>
    </row>
    <row r="268">
      <c r="A268" s="21" t="inlineStr">
        <is>
          <t>Soins obstétricaux</t>
        </is>
      </c>
      <c r="B268" s="21" t="inlineStr">
        <is>
          <t>L2</t>
        </is>
      </c>
      <c r="C268" s="21" t="inlineStr">
        <is>
          <t>4</t>
        </is>
      </c>
      <c r="D268" s="21" t="inlineStr">
        <is>
          <t>30</t>
        </is>
      </c>
      <c r="E268" s="21" t="inlineStr">
        <is>
          <t>Soins obstétricaux et néonataux d’urgence/1</t>
        </is>
      </c>
      <c r="F268" s="21" t="inlineStr">
        <is>
          <t>Accouchement à risque</t>
        </is>
      </c>
      <c r="H268" s="21" t="n">
        <v>18</v>
      </c>
      <c r="I268" s="21" t="n">
        <v>2</v>
      </c>
      <c r="J268" s="21" t="n">
        <v>0</v>
      </c>
      <c r="K268" s="21" t="n">
        <v>20</v>
      </c>
      <c r="L268" s="21" t="n">
        <v>70</v>
      </c>
      <c r="M268" s="21" t="n">
        <v>5</v>
      </c>
      <c r="N268" s="21" t="inlineStr">
        <is>
          <t>Coef</t>
        </is>
      </c>
    </row>
    <row r="269">
      <c r="A269" s="21" t="inlineStr">
        <is>
          <t>Soins obstétricaux</t>
        </is>
      </c>
      <c r="B269" s="21" t="inlineStr">
        <is>
          <t>L2</t>
        </is>
      </c>
      <c r="C269" s="21" t="inlineStr">
        <is>
          <t>4</t>
        </is>
      </c>
      <c r="D269" s="21" t="inlineStr">
        <is>
          <t>30</t>
        </is>
      </c>
      <c r="E269" s="21" t="inlineStr">
        <is>
          <t>Soins obstétricaux et néonataux d’urgence/1</t>
        </is>
      </c>
      <c r="F269" s="21" t="inlineStr">
        <is>
          <t>Soins obstétricaux d’urgence de base (SONUB)</t>
        </is>
      </c>
      <c r="H269" s="21" t="n">
        <v>18</v>
      </c>
      <c r="I269" s="21" t="n">
        <v>2</v>
      </c>
      <c r="J269" s="21" t="n">
        <v>0</v>
      </c>
      <c r="K269" s="21" t="n">
        <v>20</v>
      </c>
      <c r="L269" s="21" t="n">
        <v>70</v>
      </c>
      <c r="M269" s="21" t="n">
        <v>5</v>
      </c>
      <c r="N269" s="21" t="inlineStr">
        <is>
          <t>Coef</t>
        </is>
      </c>
    </row>
    <row r="270">
      <c r="A270" s="21" t="inlineStr">
        <is>
          <t>Soins obstétricaux</t>
        </is>
      </c>
      <c r="B270" s="21" t="inlineStr">
        <is>
          <t>L2</t>
        </is>
      </c>
      <c r="C270" s="21" t="inlineStr">
        <is>
          <t>4</t>
        </is>
      </c>
      <c r="D270" s="21" t="inlineStr">
        <is>
          <t>30</t>
        </is>
      </c>
      <c r="E270" s="21" t="inlineStr">
        <is>
          <t>Soins obstétricaux et néonataux d’urgence/1</t>
        </is>
      </c>
      <c r="F270" s="21" t="inlineStr">
        <is>
          <t>Stratégie nationale de santé périnatale et néonatale et audits des décès maternels (SPNN)</t>
        </is>
      </c>
      <c r="H270" s="21" t="n">
        <v>8</v>
      </c>
      <c r="I270" s="21" t="n">
        <v>2</v>
      </c>
      <c r="J270" s="21" t="n">
        <v>0</v>
      </c>
      <c r="K270" s="21" t="n">
        <v>10</v>
      </c>
      <c r="L270" s="21" t="n">
        <v>70</v>
      </c>
      <c r="M270" s="21" t="n">
        <v>5</v>
      </c>
      <c r="N270" s="21" t="inlineStr">
        <is>
          <t>Coef</t>
        </is>
      </c>
    </row>
    <row r="271">
      <c r="A271" s="21" t="inlineStr">
        <is>
          <t>Soins obstétricaux</t>
        </is>
      </c>
      <c r="B271" s="21" t="inlineStr">
        <is>
          <t>L2</t>
        </is>
      </c>
      <c r="C271" s="21" t="inlineStr">
        <is>
          <t>4</t>
        </is>
      </c>
      <c r="D271" s="21" t="inlineStr">
        <is>
          <t>31</t>
        </is>
      </c>
      <c r="E271" s="21" t="inlineStr">
        <is>
          <t>Introduction à la recherche</t>
        </is>
      </c>
      <c r="F271" s="21" t="inlineStr">
        <is>
          <t>Fondements de la recherche en soins infirmiers et pratique basée sur des données factuelles</t>
        </is>
      </c>
      <c r="H271" s="21" t="n">
        <v>8</v>
      </c>
      <c r="I271" s="21" t="n">
        <v>2</v>
      </c>
      <c r="J271" s="21" t="n">
        <v>0</v>
      </c>
      <c r="K271" s="21" t="n">
        <v>10</v>
      </c>
      <c r="L271" s="21" t="n">
        <v>30</v>
      </c>
      <c r="M271" s="21" t="n">
        <v>2</v>
      </c>
      <c r="N271" s="21" t="inlineStr">
        <is>
          <t>Coef</t>
        </is>
      </c>
    </row>
    <row r="272">
      <c r="A272" s="21" t="inlineStr">
        <is>
          <t>Soins obstétricaux</t>
        </is>
      </c>
      <c r="B272" s="21" t="inlineStr">
        <is>
          <t>L2</t>
        </is>
      </c>
      <c r="C272" s="21" t="inlineStr">
        <is>
          <t>4</t>
        </is>
      </c>
      <c r="D272" s="21" t="inlineStr">
        <is>
          <t>31</t>
        </is>
      </c>
      <c r="E272" s="21" t="inlineStr">
        <is>
          <t>Introduction à la recherche</t>
        </is>
      </c>
      <c r="F272" s="21" t="inlineStr">
        <is>
          <t>Conceptualisation des problèmes, questions et hypothèses de recherche</t>
        </is>
      </c>
      <c r="H272" s="21" t="n">
        <v>10</v>
      </c>
      <c r="I272" s="21" t="n">
        <v>2</v>
      </c>
      <c r="J272" s="21" t="n">
        <v>4</v>
      </c>
      <c r="K272" s="21" t="n">
        <v>16</v>
      </c>
      <c r="L272" s="21" t="n">
        <v>30</v>
      </c>
      <c r="M272" s="21" t="n">
        <v>2</v>
      </c>
      <c r="N272" s="21" t="inlineStr">
        <is>
          <t>Coef</t>
        </is>
      </c>
    </row>
    <row r="273">
      <c r="A273" s="21" t="inlineStr">
        <is>
          <t>Soins obstétricaux</t>
        </is>
      </c>
      <c r="B273" s="21" t="inlineStr">
        <is>
          <t>L2</t>
        </is>
      </c>
      <c r="C273" s="21" t="inlineStr">
        <is>
          <t>4</t>
        </is>
      </c>
      <c r="D273" s="21" t="inlineStr">
        <is>
          <t>31</t>
        </is>
      </c>
      <c r="E273" s="21" t="inlineStr">
        <is>
          <t>Introduction à la recherche</t>
        </is>
      </c>
      <c r="F273" s="21" t="inlineStr">
        <is>
          <t>Ethique de la recherche</t>
        </is>
      </c>
      <c r="H273" s="21" t="n">
        <v>4</v>
      </c>
      <c r="I273" s="21" t="n">
        <v>0</v>
      </c>
      <c r="J273" s="21" t="n">
        <v>0</v>
      </c>
      <c r="K273" s="21" t="n">
        <v>4</v>
      </c>
      <c r="L273" s="21" t="n">
        <v>30</v>
      </c>
      <c r="M273" s="21" t="n">
        <v>2</v>
      </c>
      <c r="N273" s="21" t="inlineStr">
        <is>
          <t>Coef</t>
        </is>
      </c>
    </row>
    <row r="274">
      <c r="A274" s="21" t="inlineStr">
        <is>
          <t>Soins obstétricaux</t>
        </is>
      </c>
      <c r="B274" s="21" t="inlineStr">
        <is>
          <t>L2</t>
        </is>
      </c>
      <c r="C274" s="21" t="inlineStr">
        <is>
          <t>4</t>
        </is>
      </c>
      <c r="D274" s="21" t="inlineStr">
        <is>
          <t>33</t>
        </is>
      </c>
      <c r="E274" s="21" t="inlineStr">
        <is>
          <t>Soins promotionnels préventifs et adaptatifs/2</t>
        </is>
      </c>
      <c r="F274" s="21" t="inlineStr">
        <is>
          <t>Troisième âge, andropause, ménopause</t>
        </is>
      </c>
      <c r="H274" s="21" t="n">
        <v>8</v>
      </c>
      <c r="I274" s="21" t="n">
        <v>2</v>
      </c>
      <c r="J274" s="21" t="n">
        <v>0</v>
      </c>
      <c r="K274" s="21" t="n">
        <v>10</v>
      </c>
      <c r="L274" s="21" t="n">
        <v>56</v>
      </c>
      <c r="M274" s="21" t="n">
        <v>4</v>
      </c>
      <c r="N274" s="21" t="inlineStr">
        <is>
          <t>Coef</t>
        </is>
      </c>
    </row>
    <row r="275">
      <c r="A275" s="21" t="inlineStr">
        <is>
          <t>Soins obstétricaux</t>
        </is>
      </c>
      <c r="B275" s="21" t="inlineStr">
        <is>
          <t>L2</t>
        </is>
      </c>
      <c r="C275" s="21" t="inlineStr">
        <is>
          <t>4</t>
        </is>
      </c>
      <c r="D275" s="21" t="inlineStr">
        <is>
          <t>33</t>
        </is>
      </c>
      <c r="E275" s="21" t="inlineStr">
        <is>
          <t>Soins promotionnels préventifs et adaptatifs/2</t>
        </is>
      </c>
      <c r="F275" s="21" t="inlineStr">
        <is>
          <t>Addictologie (drogue, alcoolisme, tabagisme)</t>
        </is>
      </c>
      <c r="H275" s="21" t="n">
        <v>18</v>
      </c>
      <c r="I275" s="21" t="n">
        <v>4</v>
      </c>
      <c r="J275" s="21" t="n">
        <v>0</v>
      </c>
      <c r="K275" s="21" t="n">
        <v>22</v>
      </c>
      <c r="L275" s="21" t="n">
        <v>56</v>
      </c>
      <c r="M275" s="21" t="n">
        <v>4</v>
      </c>
      <c r="N275" s="21" t="inlineStr">
        <is>
          <t>Coef</t>
        </is>
      </c>
    </row>
    <row r="276">
      <c r="A276" s="21" t="inlineStr">
        <is>
          <t>Soins obstétricaux</t>
        </is>
      </c>
      <c r="B276" s="21" t="inlineStr">
        <is>
          <t>L2</t>
        </is>
      </c>
      <c r="C276" s="21" t="inlineStr">
        <is>
          <t>4</t>
        </is>
      </c>
      <c r="D276" s="21" t="inlineStr">
        <is>
          <t>33</t>
        </is>
      </c>
      <c r="E276" s="21" t="inlineStr">
        <is>
          <t>Soins promotionnels préventifs et adaptatifs/2</t>
        </is>
      </c>
      <c r="F276" s="21" t="inlineStr">
        <is>
          <t>Allaitement maternel</t>
        </is>
      </c>
      <c r="H276" s="21" t="n">
        <v>8</v>
      </c>
      <c r="I276" s="21" t="n">
        <v>2</v>
      </c>
      <c r="J276" s="21" t="n">
        <v>0</v>
      </c>
      <c r="K276" s="21" t="n">
        <v>10</v>
      </c>
      <c r="L276" s="21" t="n">
        <v>56</v>
      </c>
      <c r="M276" s="21" t="n">
        <v>4</v>
      </c>
      <c r="N276" s="21" t="inlineStr">
        <is>
          <t>Coef</t>
        </is>
      </c>
    </row>
    <row r="277">
      <c r="A277" s="21" t="inlineStr">
        <is>
          <t>Soins obstétricaux</t>
        </is>
      </c>
      <c r="B277" s="21" t="inlineStr">
        <is>
          <t>L2</t>
        </is>
      </c>
      <c r="C277" s="21" t="inlineStr">
        <is>
          <t>4</t>
        </is>
      </c>
      <c r="D277" s="21" t="inlineStr">
        <is>
          <t>33</t>
        </is>
      </c>
      <c r="E277" s="21" t="inlineStr">
        <is>
          <t>Soins promotionnels préventifs et adaptatifs/2</t>
        </is>
      </c>
      <c r="F277" s="21" t="inlineStr">
        <is>
          <t>Rééducation périnéale post natale</t>
        </is>
      </c>
      <c r="H277" s="21" t="n">
        <v>6</v>
      </c>
      <c r="I277" s="21" t="n">
        <v>2</v>
      </c>
      <c r="J277" s="21" t="n">
        <v>6</v>
      </c>
      <c r="K277" s="21" t="n">
        <v>14</v>
      </c>
      <c r="L277" s="21" t="n">
        <v>56</v>
      </c>
      <c r="M277" s="21" t="n">
        <v>4</v>
      </c>
      <c r="N277" s="21" t="inlineStr">
        <is>
          <t>Coef</t>
        </is>
      </c>
    </row>
    <row r="278">
      <c r="A278" s="21" t="inlineStr">
        <is>
          <t>Soins obstétricaux</t>
        </is>
      </c>
      <c r="B278" s="21" t="inlineStr">
        <is>
          <t>L3</t>
        </is>
      </c>
      <c r="C278" s="21" t="inlineStr">
        <is>
          <t>5</t>
        </is>
      </c>
      <c r="D278" s="21" t="inlineStr">
        <is>
          <t>34</t>
        </is>
      </c>
      <c r="E278" s="21" t="inlineStr">
        <is>
          <t>Leadership et Gestion des services de santé</t>
        </is>
      </c>
      <c r="F278" s="21" t="inlineStr">
        <is>
          <t>Etablissements de soins de santé</t>
        </is>
      </c>
      <c r="H278" s="21" t="n">
        <v>2</v>
      </c>
      <c r="I278" s="21" t="n">
        <v>1</v>
      </c>
      <c r="J278" s="21" t="n">
        <v>0</v>
      </c>
      <c r="K278" s="21" t="n">
        <v>3</v>
      </c>
      <c r="L278" s="21" t="n">
        <v>30</v>
      </c>
      <c r="M278" s="21" t="n">
        <v>2</v>
      </c>
      <c r="N278" s="21" t="inlineStr">
        <is>
          <t>Coef</t>
        </is>
      </c>
    </row>
    <row r="279">
      <c r="A279" s="21" t="inlineStr">
        <is>
          <t>Soins obstétricaux</t>
        </is>
      </c>
      <c r="B279" s="21" t="inlineStr">
        <is>
          <t>L3</t>
        </is>
      </c>
      <c r="C279" s="21" t="inlineStr">
        <is>
          <t>5</t>
        </is>
      </c>
      <c r="D279" s="21" t="inlineStr">
        <is>
          <t>34</t>
        </is>
      </c>
      <c r="E279" s="21" t="inlineStr">
        <is>
          <t>Leadership et Gestion des services de santé</t>
        </is>
      </c>
      <c r="F279" s="21" t="inlineStr">
        <is>
          <t>Planification stratégique</t>
        </is>
      </c>
      <c r="H279" s="21" t="n">
        <v>2</v>
      </c>
      <c r="I279" s="21" t="n">
        <v>2</v>
      </c>
      <c r="J279" s="21" t="n">
        <v>0</v>
      </c>
      <c r="K279" s="21" t="n">
        <v>4</v>
      </c>
      <c r="L279" s="21" t="n">
        <v>30</v>
      </c>
      <c r="M279" s="21" t="n">
        <v>2</v>
      </c>
      <c r="N279" s="21" t="inlineStr">
        <is>
          <t>Coef</t>
        </is>
      </c>
    </row>
    <row r="280">
      <c r="A280" s="21" t="inlineStr">
        <is>
          <t>Soins obstétricaux</t>
        </is>
      </c>
      <c r="B280" s="21" t="inlineStr">
        <is>
          <t>L3</t>
        </is>
      </c>
      <c r="C280" s="21" t="inlineStr">
        <is>
          <t>5</t>
        </is>
      </c>
      <c r="D280" s="21" t="inlineStr">
        <is>
          <t>34</t>
        </is>
      </c>
      <c r="E280" s="21" t="inlineStr">
        <is>
          <t>Leadership et Gestion des services de santé</t>
        </is>
      </c>
      <c r="F280" s="21" t="inlineStr">
        <is>
          <t>Gestion des ressources humaines</t>
        </is>
      </c>
      <c r="H280" s="21" t="n">
        <v>4</v>
      </c>
      <c r="I280" s="21" t="n">
        <v>2</v>
      </c>
      <c r="J280" s="21" t="n">
        <v>0</v>
      </c>
      <c r="K280" s="21" t="n">
        <v>6</v>
      </c>
      <c r="L280" s="21" t="n">
        <v>30</v>
      </c>
      <c r="M280" s="21" t="n">
        <v>2</v>
      </c>
      <c r="N280" s="21" t="inlineStr">
        <is>
          <t>Coef</t>
        </is>
      </c>
    </row>
    <row r="281">
      <c r="A281" s="21" t="inlineStr">
        <is>
          <t>Soins obstétricaux</t>
        </is>
      </c>
      <c r="B281" s="21" t="inlineStr">
        <is>
          <t>L3</t>
        </is>
      </c>
      <c r="C281" s="21" t="inlineStr">
        <is>
          <t>5</t>
        </is>
      </c>
      <c r="D281" s="21" t="inlineStr">
        <is>
          <t>34</t>
        </is>
      </c>
      <c r="E281" s="21" t="inlineStr">
        <is>
          <t>Leadership et Gestion des services de santé</t>
        </is>
      </c>
      <c r="F281" s="21" t="inlineStr">
        <is>
          <t>Gestion de la performance</t>
        </is>
      </c>
      <c r="H281" s="21" t="n">
        <v>4</v>
      </c>
      <c r="I281" s="21" t="n">
        <v>2</v>
      </c>
      <c r="J281" s="21" t="n">
        <v>0</v>
      </c>
      <c r="K281" s="21" t="n">
        <v>6</v>
      </c>
      <c r="L281" s="21" t="n">
        <v>30</v>
      </c>
      <c r="M281" s="21" t="n">
        <v>2</v>
      </c>
      <c r="N281" s="21" t="inlineStr">
        <is>
          <t>Coef</t>
        </is>
      </c>
    </row>
    <row r="282">
      <c r="A282" s="21" t="inlineStr">
        <is>
          <t>Soins obstétricaux</t>
        </is>
      </c>
      <c r="B282" s="21" t="inlineStr">
        <is>
          <t>L3</t>
        </is>
      </c>
      <c r="C282" s="21" t="inlineStr">
        <is>
          <t>5</t>
        </is>
      </c>
      <c r="D282" s="21" t="inlineStr">
        <is>
          <t>34</t>
        </is>
      </c>
      <c r="E282" s="21" t="inlineStr">
        <is>
          <t>Leadership et Gestion des services de santé</t>
        </is>
      </c>
      <c r="F282" s="21" t="inlineStr">
        <is>
          <t>Gestion des finances</t>
        </is>
      </c>
      <c r="H282" s="21" t="n">
        <v>4</v>
      </c>
      <c r="I282" s="21" t="n">
        <v>2</v>
      </c>
      <c r="J282" s="21" t="n">
        <v>0</v>
      </c>
      <c r="K282" s="21" t="n">
        <v>6</v>
      </c>
      <c r="L282" s="21" t="n">
        <v>30</v>
      </c>
      <c r="M282" s="21" t="n">
        <v>2</v>
      </c>
      <c r="N282" s="21" t="inlineStr">
        <is>
          <t>Coef</t>
        </is>
      </c>
    </row>
    <row r="283">
      <c r="A283" s="21" t="inlineStr">
        <is>
          <t>Soins obstétricaux</t>
        </is>
      </c>
      <c r="B283" s="21" t="inlineStr">
        <is>
          <t>L3</t>
        </is>
      </c>
      <c r="C283" s="21" t="inlineStr">
        <is>
          <t>5</t>
        </is>
      </c>
      <c r="D283" s="21" t="inlineStr">
        <is>
          <t>34</t>
        </is>
      </c>
      <c r="E283" s="21" t="inlineStr">
        <is>
          <t>Leadership et Gestion des services de santé</t>
        </is>
      </c>
      <c r="F283" s="21" t="inlineStr">
        <is>
          <t>Direction et gestion des soins infirmiers</t>
        </is>
      </c>
      <c r="H283" s="21" t="n">
        <v>4</v>
      </c>
      <c r="I283" s="21" t="n">
        <v>1</v>
      </c>
      <c r="J283" s="21" t="n">
        <v>0</v>
      </c>
      <c r="K283" s="21" t="n">
        <v>5</v>
      </c>
      <c r="L283" s="21" t="n">
        <v>30</v>
      </c>
      <c r="M283" s="21" t="n">
        <v>2</v>
      </c>
      <c r="N283" s="21" t="inlineStr">
        <is>
          <t>Coef</t>
        </is>
      </c>
    </row>
    <row r="284">
      <c r="A284" s="21" t="inlineStr">
        <is>
          <t>Soins obstétricaux</t>
        </is>
      </c>
      <c r="B284" s="21" t="inlineStr">
        <is>
          <t>L3</t>
        </is>
      </c>
      <c r="C284" s="21" t="inlineStr">
        <is>
          <t>5</t>
        </is>
      </c>
      <c r="D284" s="21" t="inlineStr">
        <is>
          <t>36</t>
        </is>
      </c>
      <c r="E284" s="21" t="inlineStr">
        <is>
          <t>Prise en charge psychologique et sociale des victimes de violences et traumatismes</t>
        </is>
      </c>
      <c r="F284" s="21" t="inlineStr">
        <is>
          <t>Psychologie et psycho-traumatologie</t>
        </is>
      </c>
      <c r="H284" s="21" t="n">
        <v>6</v>
      </c>
      <c r="I284" s="21" t="n">
        <v>2</v>
      </c>
      <c r="J284" s="21" t="n">
        <v>0</v>
      </c>
      <c r="K284" s="21" t="n">
        <v>8</v>
      </c>
      <c r="L284" s="21" t="n">
        <v>22</v>
      </c>
      <c r="M284" s="21" t="n">
        <v>1</v>
      </c>
      <c r="N284" s="21" t="inlineStr">
        <is>
          <t>Coef</t>
        </is>
      </c>
    </row>
    <row r="285">
      <c r="A285" s="21" t="inlineStr">
        <is>
          <t>Soins obstétricaux</t>
        </is>
      </c>
      <c r="B285" s="21" t="inlineStr">
        <is>
          <t>L3</t>
        </is>
      </c>
      <c r="C285" s="21" t="inlineStr">
        <is>
          <t>5</t>
        </is>
      </c>
      <c r="D285" s="21" t="inlineStr">
        <is>
          <t>36</t>
        </is>
      </c>
      <c r="E285" s="21" t="inlineStr">
        <is>
          <t>Prise en charge psychologique et sociale des victimes de violences et traumatismes</t>
        </is>
      </c>
      <c r="F285" s="21" t="inlineStr">
        <is>
          <t>Violences basées sur le genre</t>
        </is>
      </c>
      <c r="H285" s="21" t="n">
        <v>6</v>
      </c>
      <c r="I285" s="21" t="n">
        <v>2</v>
      </c>
      <c r="J285" s="21" t="n">
        <v>0</v>
      </c>
      <c r="K285" s="21" t="n">
        <v>8</v>
      </c>
      <c r="L285" s="21" t="n">
        <v>22</v>
      </c>
      <c r="M285" s="21" t="n">
        <v>1</v>
      </c>
      <c r="N285" s="21" t="inlineStr">
        <is>
          <t>Coef</t>
        </is>
      </c>
    </row>
    <row r="286">
      <c r="A286" s="21" t="inlineStr">
        <is>
          <t>Soins obstétricaux</t>
        </is>
      </c>
      <c r="B286" s="21" t="inlineStr">
        <is>
          <t>L3</t>
        </is>
      </c>
      <c r="C286" s="21" t="inlineStr">
        <is>
          <t>5</t>
        </is>
      </c>
      <c r="D286" s="21" t="inlineStr">
        <is>
          <t>36</t>
        </is>
      </c>
      <c r="E286" s="21" t="inlineStr">
        <is>
          <t>Prise en charge psychologique et sociale des victimes de violences et traumatismes</t>
        </is>
      </c>
      <c r="F286" s="21" t="inlineStr">
        <is>
          <t>Participation communautaire</t>
        </is>
      </c>
      <c r="H286" s="21" t="n">
        <v>4</v>
      </c>
      <c r="I286" s="21" t="n">
        <v>2</v>
      </c>
      <c r="J286" s="21" t="n">
        <v>0</v>
      </c>
      <c r="K286" s="21" t="n">
        <v>6</v>
      </c>
      <c r="L286" s="21" t="n">
        <v>22</v>
      </c>
      <c r="M286" s="21" t="n">
        <v>1</v>
      </c>
      <c r="N286" s="21" t="inlineStr">
        <is>
          <t>Coef</t>
        </is>
      </c>
    </row>
    <row r="287">
      <c r="A287" s="21" t="inlineStr">
        <is>
          <t>Soins obstétricaux</t>
        </is>
      </c>
      <c r="B287" s="21" t="inlineStr">
        <is>
          <t>L3</t>
        </is>
      </c>
      <c r="C287" s="21" t="inlineStr">
        <is>
          <t>5</t>
        </is>
      </c>
      <c r="D287" s="21" t="inlineStr">
        <is>
          <t>37</t>
        </is>
      </c>
      <c r="E287" s="21" t="inlineStr">
        <is>
          <t>Imagerie médicale</t>
        </is>
      </c>
      <c r="F287" s="21" t="inlineStr">
        <is>
          <t>Introduction à l'imagerie médicale</t>
        </is>
      </c>
      <c r="H287" s="21" t="n">
        <v>2</v>
      </c>
      <c r="I287" s="21" t="n">
        <v>0</v>
      </c>
      <c r="J287" s="21" t="n">
        <v>0</v>
      </c>
      <c r="K287" s="21" t="n">
        <v>2</v>
      </c>
      <c r="L287" s="21" t="n">
        <v>30</v>
      </c>
      <c r="M287" s="21" t="n">
        <v>2</v>
      </c>
      <c r="N287" s="21" t="inlineStr">
        <is>
          <t>Coef</t>
        </is>
      </c>
    </row>
    <row r="288">
      <c r="A288" s="21" t="inlineStr">
        <is>
          <t>Soins obstétricaux</t>
        </is>
      </c>
      <c r="B288" s="21" t="inlineStr">
        <is>
          <t>L3</t>
        </is>
      </c>
      <c r="C288" s="21" t="inlineStr">
        <is>
          <t>5</t>
        </is>
      </c>
      <c r="D288" s="21" t="inlineStr">
        <is>
          <t>37</t>
        </is>
      </c>
      <c r="E288" s="21" t="inlineStr">
        <is>
          <t>Imagerie médicale</t>
        </is>
      </c>
      <c r="F288" s="21" t="inlineStr">
        <is>
          <t>Types d'imagerie</t>
        </is>
      </c>
      <c r="H288" s="21" t="n">
        <v>6</v>
      </c>
      <c r="I288" s="21" t="n">
        <v>2</v>
      </c>
      <c r="J288" s="21" t="n">
        <v>0</v>
      </c>
      <c r="K288" s="21" t="n">
        <v>8</v>
      </c>
      <c r="L288" s="21" t="n">
        <v>30</v>
      </c>
      <c r="M288" s="21" t="n">
        <v>2</v>
      </c>
      <c r="N288" s="21" t="inlineStr">
        <is>
          <t>Coef</t>
        </is>
      </c>
    </row>
    <row r="289">
      <c r="A289" s="21" t="inlineStr">
        <is>
          <t>Soins obstétricaux</t>
        </is>
      </c>
      <c r="B289" s="21" t="inlineStr">
        <is>
          <t>L3</t>
        </is>
      </c>
      <c r="C289" s="21" t="inlineStr">
        <is>
          <t>5</t>
        </is>
      </c>
      <c r="D289" s="21" t="inlineStr">
        <is>
          <t>37</t>
        </is>
      </c>
      <c r="E289" s="21" t="inlineStr">
        <is>
          <t>Imagerie médicale</t>
        </is>
      </c>
      <c r="F289" s="21" t="inlineStr">
        <is>
          <t>Techniques d'imagerie</t>
        </is>
      </c>
      <c r="H289" s="21" t="n">
        <v>6</v>
      </c>
      <c r="I289" s="21" t="n">
        <v>2</v>
      </c>
      <c r="J289" s="21" t="n">
        <v>0</v>
      </c>
      <c r="K289" s="21" t="n">
        <v>8</v>
      </c>
      <c r="L289" s="21" t="n">
        <v>30</v>
      </c>
      <c r="M289" s="21" t="n">
        <v>2</v>
      </c>
      <c r="N289" s="21" t="inlineStr">
        <is>
          <t>Coef</t>
        </is>
      </c>
    </row>
    <row r="290">
      <c r="A290" s="21" t="inlineStr">
        <is>
          <t>Soins obstétricaux</t>
        </is>
      </c>
      <c r="B290" s="21" t="inlineStr">
        <is>
          <t>L3</t>
        </is>
      </c>
      <c r="C290" s="21" t="inlineStr">
        <is>
          <t>5</t>
        </is>
      </c>
      <c r="D290" s="21" t="inlineStr">
        <is>
          <t>37</t>
        </is>
      </c>
      <c r="E290" s="21" t="inlineStr">
        <is>
          <t>Imagerie médicale</t>
        </is>
      </c>
      <c r="F290" s="21" t="inlineStr">
        <is>
          <t>Sécurité et radioprotection</t>
        </is>
      </c>
      <c r="H290" s="21" t="n">
        <v>2</v>
      </c>
      <c r="I290" s="21" t="n">
        <v>1</v>
      </c>
      <c r="J290" s="21" t="n">
        <v>0</v>
      </c>
      <c r="K290" s="21" t="n">
        <v>3</v>
      </c>
      <c r="L290" s="21" t="n">
        <v>30</v>
      </c>
      <c r="M290" s="21" t="n">
        <v>2</v>
      </c>
      <c r="N290" s="21" t="inlineStr">
        <is>
          <t>Coef</t>
        </is>
      </c>
    </row>
    <row r="291">
      <c r="A291" s="21" t="inlineStr">
        <is>
          <t>Soins obstétricaux</t>
        </is>
      </c>
      <c r="B291" s="21" t="inlineStr">
        <is>
          <t>L3</t>
        </is>
      </c>
      <c r="C291" s="21" t="inlineStr">
        <is>
          <t>5</t>
        </is>
      </c>
      <c r="D291" s="21" t="inlineStr">
        <is>
          <t>37</t>
        </is>
      </c>
      <c r="E291" s="21" t="inlineStr">
        <is>
          <t>Imagerie médicale</t>
        </is>
      </c>
      <c r="F291" s="21" t="inlineStr">
        <is>
          <t>Interprétation des résultats</t>
        </is>
      </c>
      <c r="H291" s="21" t="n">
        <v>4</v>
      </c>
      <c r="I291" s="21" t="n">
        <v>2</v>
      </c>
      <c r="J291" s="21" t="n">
        <v>0</v>
      </c>
      <c r="K291" s="21" t="n">
        <v>6</v>
      </c>
      <c r="L291" s="21" t="n">
        <v>30</v>
      </c>
      <c r="M291" s="21" t="n">
        <v>2</v>
      </c>
      <c r="N291" s="21" t="inlineStr">
        <is>
          <t>Coef</t>
        </is>
      </c>
    </row>
    <row r="292">
      <c r="A292" s="21" t="inlineStr">
        <is>
          <t>Soins obstétricaux</t>
        </is>
      </c>
      <c r="B292" s="21" t="inlineStr">
        <is>
          <t>L3</t>
        </is>
      </c>
      <c r="C292" s="21" t="inlineStr">
        <is>
          <t>5</t>
        </is>
      </c>
      <c r="D292" s="21" t="inlineStr">
        <is>
          <t>37</t>
        </is>
      </c>
      <c r="E292" s="21" t="inlineStr">
        <is>
          <t>Imagerie médicale</t>
        </is>
      </c>
      <c r="F292" s="21" t="inlineStr">
        <is>
          <t>Aspects éthiques et légaux</t>
        </is>
      </c>
      <c r="H292" s="21" t="n">
        <v>2</v>
      </c>
      <c r="I292" s="21" t="n">
        <v>1</v>
      </c>
      <c r="J292" s="21" t="n">
        <v>0</v>
      </c>
      <c r="K292" s="21" t="n">
        <v>3</v>
      </c>
      <c r="L292" s="21" t="n">
        <v>30</v>
      </c>
      <c r="M292" s="21" t="n">
        <v>2</v>
      </c>
      <c r="N292" s="21" t="inlineStr">
        <is>
          <t>Coef</t>
        </is>
      </c>
    </row>
    <row r="293">
      <c r="A293" s="21" t="inlineStr">
        <is>
          <t>Soins obstétricaux</t>
        </is>
      </c>
      <c r="B293" s="21" t="inlineStr">
        <is>
          <t>L3</t>
        </is>
      </c>
      <c r="C293" s="21" t="inlineStr">
        <is>
          <t>5</t>
        </is>
      </c>
      <c r="D293" s="21" t="inlineStr">
        <is>
          <t>38</t>
        </is>
      </c>
      <c r="E293" s="21" t="inlineStr">
        <is>
          <t>Initiation à la recherche</t>
        </is>
      </c>
      <c r="F293" s="21" t="inlineStr">
        <is>
          <t>Processus de recherche</t>
        </is>
      </c>
      <c r="H293" s="21" t="n">
        <v>10</v>
      </c>
      <c r="I293" s="21" t="n">
        <v>2</v>
      </c>
      <c r="J293" s="21" t="n">
        <v>0</v>
      </c>
      <c r="K293" s="21" t="n">
        <v>12</v>
      </c>
      <c r="L293" s="21" t="n">
        <v>26</v>
      </c>
      <c r="M293" s="21" t="n">
        <v>1</v>
      </c>
      <c r="N293" s="21" t="inlineStr">
        <is>
          <t>Coef</t>
        </is>
      </c>
    </row>
    <row r="294">
      <c r="A294" s="21" t="inlineStr">
        <is>
          <t>Soins obstétricaux</t>
        </is>
      </c>
      <c r="B294" s="21" t="inlineStr">
        <is>
          <t>L3</t>
        </is>
      </c>
      <c r="C294" s="21" t="inlineStr">
        <is>
          <t>5</t>
        </is>
      </c>
      <c r="D294" s="21" t="inlineStr">
        <is>
          <t>38</t>
        </is>
      </c>
      <c r="E294" s="21" t="inlineStr">
        <is>
          <t>Initiation à la recherche</t>
        </is>
      </c>
      <c r="F294" s="21" t="inlineStr">
        <is>
          <t>Méthodes statistiques</t>
        </is>
      </c>
      <c r="H294" s="21" t="n">
        <v>4</v>
      </c>
      <c r="I294" s="21" t="n">
        <v>4</v>
      </c>
      <c r="J294" s="21" t="n">
        <v>0</v>
      </c>
      <c r="K294" s="21" t="n">
        <v>8</v>
      </c>
      <c r="L294" s="21" t="n">
        <v>26</v>
      </c>
      <c r="M294" s="21" t="n">
        <v>1</v>
      </c>
      <c r="N294" s="21" t="inlineStr">
        <is>
          <t>Coef</t>
        </is>
      </c>
    </row>
    <row r="295">
      <c r="A295" s="21" t="inlineStr">
        <is>
          <t>Soins obstétricaux</t>
        </is>
      </c>
      <c r="B295" s="21" t="inlineStr">
        <is>
          <t>L3</t>
        </is>
      </c>
      <c r="C295" s="21" t="inlineStr">
        <is>
          <t>5</t>
        </is>
      </c>
      <c r="D295" s="21" t="inlineStr">
        <is>
          <t>38</t>
        </is>
      </c>
      <c r="E295" s="21" t="inlineStr">
        <is>
          <t>Initiation à la recherche</t>
        </is>
      </c>
      <c r="F295" s="21" t="inlineStr">
        <is>
          <t>Rédaction du travail de fin d’étude</t>
        </is>
      </c>
      <c r="H295" s="21" t="n">
        <v>4</v>
      </c>
      <c r="I295" s="21" t="n">
        <v>2</v>
      </c>
      <c r="J295" s="21" t="n">
        <v>0</v>
      </c>
      <c r="K295" s="21" t="n">
        <v>6</v>
      </c>
      <c r="L295" s="21" t="n">
        <v>26</v>
      </c>
      <c r="M295" s="21" t="n">
        <v>1</v>
      </c>
      <c r="N295" s="21" t="inlineStr">
        <is>
          <t>Coef</t>
        </is>
      </c>
    </row>
    <row r="296">
      <c r="A296" s="21" t="inlineStr">
        <is>
          <t>Soins obstétricaux</t>
        </is>
      </c>
      <c r="B296" s="21" t="inlineStr">
        <is>
          <t>L3</t>
        </is>
      </c>
      <c r="C296" s="21" t="inlineStr">
        <is>
          <t>5</t>
        </is>
      </c>
      <c r="D296" s="21" t="inlineStr">
        <is>
          <t>39</t>
        </is>
      </c>
      <c r="E296" s="21" t="inlineStr">
        <is>
          <t>Soins obstétricaux et néonataux d’urgence/2</t>
        </is>
      </c>
      <c r="F296" s="21" t="inlineStr">
        <is>
          <t>Réanimation néonatale en salle de naissance</t>
        </is>
      </c>
      <c r="H296" s="21" t="n">
        <v>26</v>
      </c>
      <c r="I296" s="21" t="n">
        <v>4</v>
      </c>
      <c r="J296" s="21" t="n">
        <v>0</v>
      </c>
      <c r="K296" s="21" t="n">
        <v>30</v>
      </c>
      <c r="L296" s="21" t="n">
        <v>60</v>
      </c>
      <c r="M296" s="21" t="n">
        <v>4</v>
      </c>
      <c r="N296" s="21" t="inlineStr">
        <is>
          <t>Coef</t>
        </is>
      </c>
    </row>
    <row r="297">
      <c r="A297" s="21" t="inlineStr">
        <is>
          <t>Soins obstétricaux</t>
        </is>
      </c>
      <c r="B297" s="21" t="inlineStr">
        <is>
          <t>L3</t>
        </is>
      </c>
      <c r="C297" s="21" t="inlineStr">
        <is>
          <t>5</t>
        </is>
      </c>
      <c r="D297" s="21" t="inlineStr">
        <is>
          <t>39</t>
        </is>
      </c>
      <c r="E297" s="21" t="inlineStr">
        <is>
          <t>Soins obstétricaux et néonataux d’urgence/2</t>
        </is>
      </c>
      <c r="F297" s="21" t="inlineStr">
        <is>
          <t>SONUC : Soins obstétricaux et néonataux d’urgence complets</t>
        </is>
      </c>
      <c r="H297" s="21" t="n">
        <v>26</v>
      </c>
      <c r="I297" s="21" t="n">
        <v>4</v>
      </c>
      <c r="J297" s="21" t="n">
        <v>0</v>
      </c>
      <c r="K297" s="21" t="n">
        <v>30</v>
      </c>
      <c r="L297" s="21" t="n">
        <v>60</v>
      </c>
      <c r="M297" s="21" t="n">
        <v>4</v>
      </c>
      <c r="N297" s="21" t="inlineStr">
        <is>
          <t>Coef</t>
        </is>
      </c>
    </row>
    <row r="298">
      <c r="A298" s="21" t="inlineStr">
        <is>
          <t>Soins obstétricaux</t>
        </is>
      </c>
      <c r="B298" s="21" t="inlineStr">
        <is>
          <t>L3</t>
        </is>
      </c>
      <c r="C298" s="21" t="inlineStr">
        <is>
          <t>5</t>
        </is>
      </c>
      <c r="D298" s="21" t="inlineStr">
        <is>
          <t>40</t>
        </is>
      </c>
      <c r="E298" s="21" t="inlineStr">
        <is>
          <t>Pathologie spécifique et grossesse</t>
        </is>
      </c>
      <c r="F298" s="21" t="inlineStr">
        <is>
          <t>Approche syndromique</t>
        </is>
      </c>
      <c r="H298" s="21" t="n">
        <v>4</v>
      </c>
      <c r="I298" s="21" t="n">
        <v>2</v>
      </c>
      <c r="J298" s="21" t="n">
        <v>0</v>
      </c>
      <c r="K298" s="21" t="n">
        <v>6</v>
      </c>
      <c r="L298" s="21" t="n">
        <v>108</v>
      </c>
      <c r="M298" s="21" t="n">
        <v>8</v>
      </c>
      <c r="N298" s="21" t="inlineStr">
        <is>
          <t>Coef</t>
        </is>
      </c>
    </row>
    <row r="299">
      <c r="A299" s="21" t="inlineStr">
        <is>
          <t>Soins obstétricaux</t>
        </is>
      </c>
      <c r="B299" s="21" t="inlineStr">
        <is>
          <t>L3</t>
        </is>
      </c>
      <c r="C299" s="21" t="inlineStr">
        <is>
          <t>5</t>
        </is>
      </c>
      <c r="D299" s="21" t="inlineStr">
        <is>
          <t>40</t>
        </is>
      </c>
      <c r="E299" s="21" t="inlineStr">
        <is>
          <t>Pathologie spécifique et grossesse</t>
        </is>
      </c>
      <c r="F299" s="21" t="inlineStr">
        <is>
          <t>Pathologies spécifiques et grossesse</t>
        </is>
      </c>
      <c r="H299" s="21" t="n">
        <v>34</v>
      </c>
      <c r="I299" s="21" t="n">
        <v>8</v>
      </c>
      <c r="J299" s="21" t="n">
        <v>0</v>
      </c>
      <c r="K299" s="21" t="n">
        <v>42</v>
      </c>
      <c r="L299" s="21" t="n">
        <v>108</v>
      </c>
      <c r="M299" s="21" t="n">
        <v>8</v>
      </c>
      <c r="N299" s="21" t="inlineStr">
        <is>
          <t>Coef</t>
        </is>
      </c>
    </row>
    <row r="300">
      <c r="A300" s="21" t="inlineStr">
        <is>
          <t>Soins obstétricaux</t>
        </is>
      </c>
      <c r="B300" s="21" t="inlineStr">
        <is>
          <t>L3</t>
        </is>
      </c>
      <c r="C300" s="21" t="inlineStr">
        <is>
          <t>5</t>
        </is>
      </c>
      <c r="D300" s="21" t="inlineStr">
        <is>
          <t>40</t>
        </is>
      </c>
      <c r="E300" s="21" t="inlineStr">
        <is>
          <t>Pathologie spécifique et grossesse</t>
        </is>
      </c>
      <c r="F300" s="21" t="inlineStr">
        <is>
          <t>Pathologies gynécologiques</t>
        </is>
      </c>
      <c r="H300" s="21" t="n">
        <v>26</v>
      </c>
      <c r="I300" s="21" t="n">
        <v>4</v>
      </c>
      <c r="J300" s="21" t="n">
        <v>0</v>
      </c>
      <c r="K300" s="21" t="n">
        <v>30</v>
      </c>
      <c r="L300" s="21" t="n">
        <v>108</v>
      </c>
      <c r="M300" s="21" t="n">
        <v>8</v>
      </c>
      <c r="N300" s="21" t="inlineStr">
        <is>
          <t>Coef</t>
        </is>
      </c>
    </row>
    <row r="301">
      <c r="A301" s="21" t="inlineStr">
        <is>
          <t>Soins obstétricaux</t>
        </is>
      </c>
      <c r="B301" s="21" t="inlineStr">
        <is>
          <t>L3</t>
        </is>
      </c>
      <c r="C301" s="21" t="inlineStr">
        <is>
          <t>5</t>
        </is>
      </c>
      <c r="D301" s="21" t="inlineStr">
        <is>
          <t>40</t>
        </is>
      </c>
      <c r="E301" s="21" t="inlineStr">
        <is>
          <t>Pathologie spécifique et grossesse</t>
        </is>
      </c>
      <c r="F301" s="21" t="inlineStr">
        <is>
          <t>Pathologies obstétricales</t>
        </is>
      </c>
      <c r="H301" s="21" t="n">
        <v>26</v>
      </c>
      <c r="I301" s="21" t="n">
        <v>4</v>
      </c>
      <c r="J301" s="21" t="n">
        <v>0</v>
      </c>
      <c r="K301" s="21" t="n">
        <v>30</v>
      </c>
      <c r="L301" s="21" t="n">
        <v>108</v>
      </c>
      <c r="M301" s="21" t="n">
        <v>8</v>
      </c>
      <c r="N301" s="21" t="inlineStr">
        <is>
          <t>Coef</t>
        </is>
      </c>
    </row>
    <row r="302">
      <c r="A302" s="21" t="inlineStr">
        <is>
          <t>Soins obstétricaux</t>
        </is>
      </c>
      <c r="B302" s="21" t="inlineStr">
        <is>
          <t>L3</t>
        </is>
      </c>
      <c r="C302" s="21" t="inlineStr">
        <is>
          <t>5</t>
        </is>
      </c>
      <c r="D302" s="21" t="inlineStr">
        <is>
          <t>41</t>
        </is>
      </c>
      <c r="E302" s="21" t="inlineStr">
        <is>
          <t>Santé sexuelle et reproductive et droits connexes</t>
        </is>
      </c>
      <c r="F302" s="21" t="inlineStr">
        <is>
          <t>Concepts de base des droits sexuels et reproductifs</t>
        </is>
      </c>
      <c r="H302" s="21" t="n">
        <v>4</v>
      </c>
      <c r="I302" s="21" t="n">
        <v>2</v>
      </c>
      <c r="J302" s="21" t="n">
        <v>0</v>
      </c>
      <c r="K302" s="21" t="n">
        <v>6</v>
      </c>
      <c r="L302" s="21" t="n">
        <v>56</v>
      </c>
      <c r="M302" s="21" t="n">
        <v>3</v>
      </c>
      <c r="N302" s="21" t="inlineStr">
        <is>
          <t>Coef</t>
        </is>
      </c>
    </row>
    <row r="303">
      <c r="A303" s="21" t="inlineStr">
        <is>
          <t>Soins obstétricaux</t>
        </is>
      </c>
      <c r="B303" s="21" t="inlineStr">
        <is>
          <t>L3</t>
        </is>
      </c>
      <c r="C303" s="21" t="inlineStr">
        <is>
          <t>5</t>
        </is>
      </c>
      <c r="D303" s="21" t="inlineStr">
        <is>
          <t>41</t>
        </is>
      </c>
      <c r="E303" s="21" t="inlineStr">
        <is>
          <t>Santé sexuelle et reproductive et droits connexes</t>
        </is>
      </c>
      <c r="F303" s="21" t="inlineStr">
        <is>
          <t>Cadre légal et politique</t>
        </is>
      </c>
      <c r="H303" s="21" t="n">
        <v>4</v>
      </c>
      <c r="I303" s="21" t="n">
        <v>0</v>
      </c>
      <c r="J303" s="21" t="n">
        <v>0</v>
      </c>
      <c r="K303" s="21" t="n">
        <v>4</v>
      </c>
      <c r="L303" s="21" t="n">
        <v>56</v>
      </c>
      <c r="M303" s="21" t="n">
        <v>3</v>
      </c>
      <c r="N303" s="21" t="inlineStr">
        <is>
          <t>Coef</t>
        </is>
      </c>
    </row>
    <row r="304">
      <c r="A304" s="21" t="inlineStr">
        <is>
          <t>Soins obstétricaux</t>
        </is>
      </c>
      <c r="B304" s="21" t="inlineStr">
        <is>
          <t>L3</t>
        </is>
      </c>
      <c r="C304" s="21" t="inlineStr">
        <is>
          <t>5</t>
        </is>
      </c>
      <c r="D304" s="21" t="inlineStr">
        <is>
          <t>41</t>
        </is>
      </c>
      <c r="E304" s="21" t="inlineStr">
        <is>
          <t>Santé sexuelle et reproductive et droits connexes</t>
        </is>
      </c>
      <c r="F304" s="21" t="inlineStr">
        <is>
          <t>Accès aux soins de santé sexuelle et reproductive</t>
        </is>
      </c>
      <c r="H304" s="21" t="n">
        <v>4</v>
      </c>
      <c r="I304" s="21" t="n">
        <v>2</v>
      </c>
      <c r="J304" s="21" t="n">
        <v>0</v>
      </c>
      <c r="K304" s="21" t="n">
        <v>6</v>
      </c>
      <c r="L304" s="21" t="n">
        <v>56</v>
      </c>
      <c r="M304" s="21" t="n">
        <v>3</v>
      </c>
      <c r="N304" s="21" t="inlineStr">
        <is>
          <t>Coef</t>
        </is>
      </c>
    </row>
    <row r="305">
      <c r="A305" s="21" t="inlineStr">
        <is>
          <t>Soins obstétricaux</t>
        </is>
      </c>
      <c r="B305" s="21" t="inlineStr">
        <is>
          <t>L3</t>
        </is>
      </c>
      <c r="C305" s="21" t="inlineStr">
        <is>
          <t>5</t>
        </is>
      </c>
      <c r="D305" s="21" t="inlineStr">
        <is>
          <t>41</t>
        </is>
      </c>
      <c r="E305" s="21" t="inlineStr">
        <is>
          <t>Santé sexuelle et reproductive et droits connexes</t>
        </is>
      </c>
      <c r="F305" s="21" t="inlineStr">
        <is>
          <t>Pratiques infirmières et droits sexuels et reproductifs</t>
        </is>
      </c>
      <c r="H305" s="21" t="n">
        <v>4</v>
      </c>
      <c r="I305" s="21" t="n">
        <v>1</v>
      </c>
      <c r="J305" s="21" t="n">
        <v>0</v>
      </c>
      <c r="K305" s="21" t="n">
        <v>5</v>
      </c>
      <c r="L305" s="21" t="n">
        <v>56</v>
      </c>
      <c r="M305" s="21" t="n">
        <v>3</v>
      </c>
      <c r="N305" s="21" t="inlineStr">
        <is>
          <t>Coef</t>
        </is>
      </c>
    </row>
    <row r="306">
      <c r="A306" s="21" t="inlineStr">
        <is>
          <t>Soins obstétricaux</t>
        </is>
      </c>
      <c r="B306" s="21" t="inlineStr">
        <is>
          <t>L3</t>
        </is>
      </c>
      <c r="C306" s="21" t="inlineStr">
        <is>
          <t>5</t>
        </is>
      </c>
      <c r="D306" s="21" t="inlineStr">
        <is>
          <t>41</t>
        </is>
      </c>
      <c r="E306" s="21" t="inlineStr">
        <is>
          <t>Santé sexuelle et reproductive et droits connexes</t>
        </is>
      </c>
      <c r="F306" s="21" t="inlineStr">
        <is>
          <t>Sensibilisation et plaidoyer</t>
        </is>
      </c>
      <c r="H306" s="21" t="n">
        <v>4</v>
      </c>
      <c r="I306" s="21" t="n">
        <v>1</v>
      </c>
      <c r="J306" s="21" t="n">
        <v>0</v>
      </c>
      <c r="K306" s="21" t="n">
        <v>5</v>
      </c>
      <c r="L306" s="21" t="n">
        <v>56</v>
      </c>
      <c r="M306" s="21" t="n">
        <v>3</v>
      </c>
      <c r="N306" s="21" t="inlineStr">
        <is>
          <t>Coef</t>
        </is>
      </c>
    </row>
    <row r="307">
      <c r="A307" s="21" t="inlineStr">
        <is>
          <t>Soins obstétricaux</t>
        </is>
      </c>
      <c r="B307" s="21" t="inlineStr">
        <is>
          <t>L3</t>
        </is>
      </c>
      <c r="C307" s="21" t="inlineStr">
        <is>
          <t>5</t>
        </is>
      </c>
      <c r="D307" s="21" t="inlineStr">
        <is>
          <t>41</t>
        </is>
      </c>
      <c r="E307" s="21" t="inlineStr">
        <is>
          <t>Santé sexuelle et reproductive et droits connexes</t>
        </is>
      </c>
      <c r="F307" s="21" t="inlineStr">
        <is>
          <t>Santé sexuelle et reproductive des adolescents</t>
        </is>
      </c>
      <c r="H307" s="21" t="n">
        <v>8</v>
      </c>
      <c r="I307" s="21" t="n">
        <v>2</v>
      </c>
      <c r="J307" s="21" t="n">
        <v>0</v>
      </c>
      <c r="K307" s="21" t="n">
        <v>10</v>
      </c>
      <c r="L307" s="21" t="n">
        <v>56</v>
      </c>
      <c r="M307" s="21" t="n">
        <v>3</v>
      </c>
      <c r="N307" s="21" t="inlineStr">
        <is>
          <t>Coef</t>
        </is>
      </c>
    </row>
    <row r="308">
      <c r="A308" s="21" t="inlineStr">
        <is>
          <t>Soins obstétricaux</t>
        </is>
      </c>
      <c r="B308" s="21" t="inlineStr">
        <is>
          <t>L3</t>
        </is>
      </c>
      <c r="C308" s="21" t="inlineStr">
        <is>
          <t>5</t>
        </is>
      </c>
      <c r="D308" s="21" t="inlineStr">
        <is>
          <t>41</t>
        </is>
      </c>
      <c r="E308" s="21" t="inlineStr">
        <is>
          <t>Santé sexuelle et reproductive et droits connexes</t>
        </is>
      </c>
      <c r="F308" s="21" t="inlineStr">
        <is>
          <t>Planification familiale et moyens contraceptifs</t>
        </is>
      </c>
      <c r="H308" s="21" t="n">
        <v>10</v>
      </c>
      <c r="I308" s="21" t="n">
        <v>4</v>
      </c>
      <c r="J308" s="21" t="n">
        <v>6</v>
      </c>
      <c r="K308" s="21" t="n">
        <v>20</v>
      </c>
      <c r="L308" s="21" t="n">
        <v>56</v>
      </c>
      <c r="M308" s="21" t="n">
        <v>3</v>
      </c>
      <c r="N308" s="21" t="inlineStr">
        <is>
          <t>Coef</t>
        </is>
      </c>
    </row>
    <row r="309">
      <c r="A309" s="21" t="inlineStr">
        <is>
          <t>Soins obstétricaux</t>
        </is>
      </c>
      <c r="B309" s="21" t="inlineStr">
        <is>
          <t>L3</t>
        </is>
      </c>
      <c r="C309" s="21" t="inlineStr">
        <is>
          <t>6</t>
        </is>
      </c>
      <c r="D309" s="21" t="inlineStr">
        <is>
          <t>44</t>
        </is>
      </c>
      <c r="E309" s="21" t="inlineStr">
        <is>
          <t>Soins de sage-femme</t>
        </is>
      </c>
      <c r="F309" s="21" t="inlineStr">
        <is>
          <t>Complications obstétricales et médicales pendant le travail et l’accouchement</t>
        </is>
      </c>
      <c r="H309" s="21" t="n">
        <v>16</v>
      </c>
      <c r="I309" s="21" t="n">
        <v>4</v>
      </c>
      <c r="J309" s="21" t="n">
        <v>0</v>
      </c>
      <c r="K309" s="21" t="n">
        <v>20</v>
      </c>
      <c r="L309" s="21" t="n">
        <v>150</v>
      </c>
      <c r="M309" s="21" t="n">
        <v>10</v>
      </c>
      <c r="N309" s="21" t="inlineStr">
        <is>
          <t>Coef</t>
        </is>
      </c>
    </row>
    <row r="310">
      <c r="A310" s="21" t="inlineStr">
        <is>
          <t>Soins obstétricaux</t>
        </is>
      </c>
      <c r="B310" s="21" t="inlineStr">
        <is>
          <t>L3</t>
        </is>
      </c>
      <c r="C310" s="21" t="inlineStr">
        <is>
          <t>6</t>
        </is>
      </c>
      <c r="D310" s="21" t="inlineStr">
        <is>
          <t>44</t>
        </is>
      </c>
      <c r="E310" s="21" t="inlineStr">
        <is>
          <t>Soins de sage-femme</t>
        </is>
      </c>
      <c r="F310" s="21" t="inlineStr">
        <is>
          <t>Complications postnatales</t>
        </is>
      </c>
      <c r="H310" s="21" t="n">
        <v>16</v>
      </c>
      <c r="I310" s="21" t="n">
        <v>4</v>
      </c>
      <c r="J310" s="21" t="n">
        <v>0</v>
      </c>
      <c r="K310" s="21" t="n">
        <v>20</v>
      </c>
      <c r="L310" s="21" t="n">
        <v>150</v>
      </c>
      <c r="M310" s="21" t="n">
        <v>10</v>
      </c>
      <c r="N310" s="21" t="inlineStr">
        <is>
          <t>Coef</t>
        </is>
      </c>
    </row>
    <row r="311">
      <c r="A311" s="21" t="inlineStr">
        <is>
          <t>Soins obstétricaux</t>
        </is>
      </c>
      <c r="B311" s="21" t="inlineStr">
        <is>
          <t>L3</t>
        </is>
      </c>
      <c r="C311" s="21" t="inlineStr">
        <is>
          <t>6</t>
        </is>
      </c>
      <c r="D311" s="21" t="inlineStr">
        <is>
          <t>44</t>
        </is>
      </c>
      <c r="E311" s="21" t="inlineStr">
        <is>
          <t>Soins de sage-femme</t>
        </is>
      </c>
      <c r="F311" s="21" t="inlineStr">
        <is>
          <t>Soins en santé mentale et grossesse</t>
        </is>
      </c>
      <c r="H311" s="21" t="n">
        <v>10</v>
      </c>
      <c r="I311" s="21" t="n">
        <v>6</v>
      </c>
      <c r="J311" s="21" t="n">
        <v>0</v>
      </c>
      <c r="K311" s="21" t="n">
        <v>16</v>
      </c>
      <c r="L311" s="21" t="n">
        <v>150</v>
      </c>
      <c r="M311" s="21" t="n">
        <v>10</v>
      </c>
      <c r="N311" s="21" t="inlineStr">
        <is>
          <t>Coef</t>
        </is>
      </c>
    </row>
    <row r="312">
      <c r="A312" s="21" t="inlineStr">
        <is>
          <t>Soins obstétricaux</t>
        </is>
      </c>
      <c r="B312" s="21" t="inlineStr">
        <is>
          <t>L3</t>
        </is>
      </c>
      <c r="C312" s="21" t="inlineStr">
        <is>
          <t>6</t>
        </is>
      </c>
      <c r="D312" s="21" t="inlineStr">
        <is>
          <t>44</t>
        </is>
      </c>
      <c r="E312" s="21" t="inlineStr">
        <is>
          <t>Soins de sage-femme</t>
        </is>
      </c>
      <c r="F312" s="21" t="inlineStr">
        <is>
          <t>Urgences médicales</t>
        </is>
      </c>
      <c r="H312" s="21" t="n">
        <v>16</v>
      </c>
      <c r="I312" s="21" t="n">
        <v>4</v>
      </c>
      <c r="J312" s="21" t="n">
        <v>0</v>
      </c>
      <c r="K312" s="21" t="n">
        <v>20</v>
      </c>
      <c r="L312" s="21" t="n">
        <v>150</v>
      </c>
      <c r="M312" s="21" t="n">
        <v>10</v>
      </c>
      <c r="N312" s="21" t="inlineStr">
        <is>
          <t>Coef</t>
        </is>
      </c>
    </row>
    <row r="313">
      <c r="A313" s="21" t="inlineStr">
        <is>
          <t>Soins obstétricaux</t>
        </is>
      </c>
      <c r="B313" s="21" t="inlineStr">
        <is>
          <t>L3</t>
        </is>
      </c>
      <c r="C313" s="21" t="inlineStr">
        <is>
          <t>6</t>
        </is>
      </c>
      <c r="D313" s="21" t="inlineStr">
        <is>
          <t>44</t>
        </is>
      </c>
      <c r="E313" s="21" t="inlineStr">
        <is>
          <t>Soins de sage-femme</t>
        </is>
      </c>
      <c r="F313" s="21" t="inlineStr">
        <is>
          <t>Soins infirmiers en urgence et réanimation</t>
        </is>
      </c>
      <c r="H313" s="21" t="n">
        <v>16</v>
      </c>
      <c r="I313" s="21" t="n">
        <v>2</v>
      </c>
      <c r="J313" s="21" t="n">
        <v>4</v>
      </c>
      <c r="K313" s="21" t="n">
        <v>22</v>
      </c>
      <c r="L313" s="21" t="n">
        <v>150</v>
      </c>
      <c r="M313" s="21" t="n">
        <v>10</v>
      </c>
      <c r="N313" s="21" t="inlineStr">
        <is>
          <t>Coef</t>
        </is>
      </c>
    </row>
    <row r="314">
      <c r="A314" s="21" t="inlineStr">
        <is>
          <t>Soins obstétricaux</t>
        </is>
      </c>
      <c r="B314" s="21" t="inlineStr">
        <is>
          <t>L3</t>
        </is>
      </c>
      <c r="C314" s="21" t="inlineStr">
        <is>
          <t>6</t>
        </is>
      </c>
      <c r="D314" s="21" t="inlineStr">
        <is>
          <t>44</t>
        </is>
      </c>
      <c r="E314" s="21" t="inlineStr">
        <is>
          <t>Soins de sage-femme</t>
        </is>
      </c>
      <c r="F314" s="21" t="inlineStr">
        <is>
          <t>Soins de sage femme et Tâches déléguées</t>
        </is>
      </c>
      <c r="H314" s="21" t="n">
        <v>16</v>
      </c>
      <c r="I314" s="21" t="n">
        <v>4</v>
      </c>
      <c r="J314" s="21" t="n">
        <v>0</v>
      </c>
      <c r="K314" s="21" t="n">
        <v>20</v>
      </c>
      <c r="L314" s="21" t="n">
        <v>150</v>
      </c>
      <c r="M314" s="21" t="n">
        <v>10</v>
      </c>
      <c r="N314" s="21" t="inlineStr">
        <is>
          <t>Coef</t>
        </is>
      </c>
    </row>
    <row r="315">
      <c r="A315" s="21" t="inlineStr">
        <is>
          <t>Soins obstétricaux</t>
        </is>
      </c>
      <c r="B315" s="21" t="inlineStr">
        <is>
          <t>L3</t>
        </is>
      </c>
      <c r="C315" s="21" t="inlineStr">
        <is>
          <t>6</t>
        </is>
      </c>
      <c r="D315" s="21" t="inlineStr">
        <is>
          <t>44</t>
        </is>
      </c>
      <c r="E315" s="21" t="inlineStr">
        <is>
          <t>Soins de sage-femme</t>
        </is>
      </c>
      <c r="F315" s="21" t="inlineStr">
        <is>
          <t>Pharmacologie et thérapeutiques</t>
        </is>
      </c>
      <c r="H315" s="21" t="n">
        <v>28</v>
      </c>
      <c r="I315" s="21" t="n">
        <v>4</v>
      </c>
      <c r="J315" s="21" t="n">
        <v>0</v>
      </c>
      <c r="K315" s="21" t="n">
        <v>32</v>
      </c>
      <c r="L315" s="21" t="n">
        <v>150</v>
      </c>
      <c r="M315" s="21" t="n">
        <v>10</v>
      </c>
      <c r="N315" s="21" t="inlineStr">
        <is>
          <t>Coef</t>
        </is>
      </c>
    </row>
    <row r="316">
      <c r="A316" s="21" t="inlineStr">
        <is>
          <t>Soins obstétricaux</t>
        </is>
      </c>
      <c r="B316" s="21" t="inlineStr">
        <is>
          <t>L3</t>
        </is>
      </c>
      <c r="C316" s="21" t="inlineStr">
        <is>
          <t>6</t>
        </is>
      </c>
      <c r="D316" s="21" t="inlineStr">
        <is>
          <t>47</t>
        </is>
      </c>
      <c r="E316" s="21" t="inlineStr">
        <is>
          <t>Soins du nouveau-né</t>
        </is>
      </c>
      <c r="F316" s="21" t="inlineStr">
        <is>
          <t>Néonatologie et soins infirmier néonatale</t>
        </is>
      </c>
      <c r="H316" s="21" t="n">
        <v>26</v>
      </c>
      <c r="I316" s="21" t="n">
        <v>4</v>
      </c>
      <c r="J316" s="21" t="n">
        <v>0</v>
      </c>
      <c r="K316" s="21" t="n">
        <v>30</v>
      </c>
      <c r="L316" s="21" t="n">
        <v>60</v>
      </c>
      <c r="M316" s="21" t="n">
        <v>4</v>
      </c>
      <c r="N316" s="21" t="inlineStr">
        <is>
          <t>Coef</t>
        </is>
      </c>
    </row>
    <row r="317">
      <c r="A317" s="21" t="inlineStr">
        <is>
          <t>Soins obstétricaux</t>
        </is>
      </c>
      <c r="B317" s="21" t="inlineStr">
        <is>
          <t>L3</t>
        </is>
      </c>
      <c r="C317" s="21" t="inlineStr">
        <is>
          <t>6</t>
        </is>
      </c>
      <c r="D317" s="21" t="inlineStr">
        <is>
          <t>47</t>
        </is>
      </c>
      <c r="E317" s="21" t="inlineStr">
        <is>
          <t>Soins du nouveau-né</t>
        </is>
      </c>
      <c r="F317" s="21" t="inlineStr">
        <is>
          <t>Pathologies chirurgicales néonatales et soins infirmiers opératoire</t>
        </is>
      </c>
      <c r="H317" s="21" t="n">
        <v>26</v>
      </c>
      <c r="I317" s="21" t="n">
        <v>4</v>
      </c>
      <c r="J317" s="21" t="n">
        <v>0</v>
      </c>
      <c r="K317" s="21" t="n">
        <v>30</v>
      </c>
      <c r="L317" s="21" t="n">
        <v>60</v>
      </c>
      <c r="M317" s="21" t="n">
        <v>4</v>
      </c>
      <c r="N317" s="21" t="inlineStr">
        <is>
          <t>Coef</t>
        </is>
      </c>
    </row>
    <row r="318">
      <c r="A318" s="21" t="inlineStr">
        <is>
          <t>Aides-soignants</t>
        </is>
      </c>
      <c r="B318" s="21" t="inlineStr">
        <is>
          <t>AS</t>
        </is>
      </c>
      <c r="D318" s="21" t="inlineStr">
        <is>
          <t>1</t>
        </is>
      </c>
      <c r="E318" s="21" t="inlineStr">
        <is>
          <t>Accompagnement et soins de la personne dans les activités de sa vie quotidienne et de sa vie sociale</t>
        </is>
      </c>
      <c r="F318" s="21" t="inlineStr">
        <is>
          <t>Raisonnement et démarche clinique</t>
        </is>
      </c>
    </row>
    <row r="319">
      <c r="A319" s="21" t="inlineStr">
        <is>
          <t>Aides-soignants</t>
        </is>
      </c>
      <c r="B319" s="21" t="inlineStr">
        <is>
          <t>AS</t>
        </is>
      </c>
      <c r="D319" s="21" t="inlineStr">
        <is>
          <t>1</t>
        </is>
      </c>
      <c r="E319" s="21" t="inlineStr">
        <is>
          <t>Accompagnement et soins de la personne dans les activités de sa vie quotidienne et de sa vie sociale</t>
        </is>
      </c>
      <c r="F319" s="21" t="inlineStr">
        <is>
          <t>L'évaluation de la situation et des besoins d'une personne</t>
        </is>
      </c>
      <c r="H319" s="21" t="n">
        <v>20</v>
      </c>
      <c r="I319" s="21" t="n">
        <v>15</v>
      </c>
      <c r="J319" s="21" t="n">
        <v>12</v>
      </c>
      <c r="K319" s="21" t="n">
        <v>47</v>
      </c>
    </row>
    <row r="320">
      <c r="A320" s="21" t="inlineStr">
        <is>
          <t>Aides-soignants</t>
        </is>
      </c>
      <c r="B320" s="21" t="inlineStr">
        <is>
          <t>AS</t>
        </is>
      </c>
      <c r="D320" s="21" t="inlineStr">
        <is>
          <t>1</t>
        </is>
      </c>
      <c r="E320" s="21" t="inlineStr">
        <is>
          <t>Accompagnement et soins de la personne dans les activités de sa vie quotidienne et de sa vie sociale</t>
        </is>
      </c>
      <c r="F320" s="21" t="inlineStr">
        <is>
          <t>La santé</t>
        </is>
      </c>
    </row>
    <row r="321">
      <c r="A321" s="21" t="inlineStr">
        <is>
          <t>Aides-soignants</t>
        </is>
      </c>
      <c r="B321" s="21" t="inlineStr">
        <is>
          <t>AS</t>
        </is>
      </c>
      <c r="D321" s="21" t="inlineStr">
        <is>
          <t>1</t>
        </is>
      </c>
      <c r="E321" s="21" t="inlineStr">
        <is>
          <t>Accompagnement et soins de la personne dans les activités de sa vie quotidienne et de sa vie sociale</t>
        </is>
      </c>
      <c r="F321" s="21" t="inlineStr">
        <is>
          <t>Les principales situations de vie : Maternité, Handicap, Vieillissement,  Fin de vie</t>
        </is>
      </c>
      <c r="H321" s="21" t="n">
        <v>25</v>
      </c>
      <c r="I321" s="21" t="n">
        <v>20</v>
      </c>
      <c r="J321" s="21" t="n">
        <v>15</v>
      </c>
      <c r="K321" s="21" t="n">
        <v>60</v>
      </c>
    </row>
    <row r="322">
      <c r="A322" s="21" t="inlineStr">
        <is>
          <t>Aides-soignants</t>
        </is>
      </c>
      <c r="B322" s="21" t="inlineStr">
        <is>
          <t>AS</t>
        </is>
      </c>
      <c r="D322" s="21" t="inlineStr">
        <is>
          <t>1</t>
        </is>
      </c>
      <c r="E322" s="21" t="inlineStr">
        <is>
          <t>Accompagnement et soins de la personne dans les activités de sa vie quotidienne et de sa vie sociale</t>
        </is>
      </c>
      <c r="F322" s="21" t="inlineStr">
        <is>
          <t>Rôle de l'aide-soignant</t>
        </is>
      </c>
    </row>
    <row r="323">
      <c r="A323" s="21" t="inlineStr">
        <is>
          <t>Aides-soignants</t>
        </is>
      </c>
      <c r="B323" s="21" t="inlineStr">
        <is>
          <t>AS</t>
        </is>
      </c>
      <c r="D323" s="21" t="inlineStr">
        <is>
          <t>1</t>
        </is>
      </c>
      <c r="E323" s="21" t="inlineStr">
        <is>
          <t>Accompagnement et soins de la personne dans les activités de sa vie quotidienne et de sa vie sociale</t>
        </is>
      </c>
      <c r="F323" s="21" t="inlineStr">
        <is>
          <t>La réalisation des soins de la vie quotidienne</t>
        </is>
      </c>
    </row>
    <row r="324">
      <c r="A324" s="21" t="inlineStr">
        <is>
          <t>Aides-soignants</t>
        </is>
      </c>
      <c r="B324" s="21" t="inlineStr">
        <is>
          <t>AS</t>
        </is>
      </c>
      <c r="D324" s="21" t="inlineStr">
        <is>
          <t>1</t>
        </is>
      </c>
      <c r="E324" s="21" t="inlineStr">
        <is>
          <t>Accompagnement et soins de la personne dans les activités de sa vie quotidienne et de sa vie sociale</t>
        </is>
      </c>
      <c r="F324" s="21" t="inlineStr">
        <is>
          <t>Les activités d'accompagnement à la vie sociale</t>
        </is>
      </c>
      <c r="H324" s="21" t="n">
        <v>25</v>
      </c>
      <c r="I324" s="21" t="n">
        <v>20</v>
      </c>
      <c r="J324" s="21" t="n">
        <v>15</v>
      </c>
      <c r="K324" s="21" t="n">
        <v>60</v>
      </c>
    </row>
    <row r="325">
      <c r="A325" s="21" t="inlineStr">
        <is>
          <t>Aides-soignants</t>
        </is>
      </c>
      <c r="B325" s="21" t="inlineStr">
        <is>
          <t>AS</t>
        </is>
      </c>
      <c r="D325" s="21" t="inlineStr">
        <is>
          <t>1</t>
        </is>
      </c>
      <c r="E325" s="21" t="inlineStr">
        <is>
          <t>Accompagnement et soins de la personne dans les activités de sa vie quotidienne et de sa vie sociale</t>
        </is>
      </c>
      <c r="F325" s="21" t="inlineStr">
        <is>
          <t>L'accompagnementdes aidants</t>
        </is>
      </c>
    </row>
    <row r="326">
      <c r="A326" s="21" t="inlineStr">
        <is>
          <t>Aides-soignants</t>
        </is>
      </c>
      <c r="B326" s="21" t="inlineStr">
        <is>
          <t>AS</t>
        </is>
      </c>
      <c r="D326" s="21" t="inlineStr">
        <is>
          <t>2</t>
        </is>
      </c>
      <c r="E326" s="21" t="inlineStr">
        <is>
          <t>Repérage et prévention des situations à risque</t>
        </is>
      </c>
      <c r="F326" s="21" t="inlineStr">
        <is>
          <t>Les situations à risque et de maltraitance</t>
        </is>
      </c>
    </row>
    <row r="327">
      <c r="A327" s="21" t="inlineStr">
        <is>
          <t>Aides-soignants</t>
        </is>
      </c>
      <c r="B327" s="21" t="inlineStr">
        <is>
          <t>AS</t>
        </is>
      </c>
      <c r="D327" s="21" t="inlineStr">
        <is>
          <t>2</t>
        </is>
      </c>
      <c r="E327" s="21" t="inlineStr">
        <is>
          <t>Repérage et prévention des situations à risque</t>
        </is>
      </c>
      <c r="F327" s="21" t="inlineStr">
        <is>
          <t>les différents types de fragilités</t>
        </is>
      </c>
      <c r="H327" s="21" t="n">
        <v>5</v>
      </c>
      <c r="I327" s="21" t="n">
        <v>3</v>
      </c>
      <c r="J327" s="21" t="n">
        <v>2</v>
      </c>
      <c r="K327" s="21" t="n">
        <v>10</v>
      </c>
    </row>
    <row r="328">
      <c r="A328" s="21" t="inlineStr">
        <is>
          <t>Aides-soignants</t>
        </is>
      </c>
      <c r="B328" s="21" t="inlineStr">
        <is>
          <t>AS</t>
        </is>
      </c>
      <c r="D328" s="21" t="inlineStr">
        <is>
          <t>2</t>
        </is>
      </c>
      <c r="E328" s="21" t="inlineStr">
        <is>
          <t>Repérage et prévention des situations à risque</t>
        </is>
      </c>
      <c r="F328" s="21" t="inlineStr">
        <is>
          <t>l'analyse des signes de fragilités</t>
        </is>
      </c>
    </row>
    <row r="329">
      <c r="A329" s="21" t="inlineStr">
        <is>
          <t>Aides-soignants</t>
        </is>
      </c>
      <c r="B329" s="21" t="inlineStr">
        <is>
          <t>AS</t>
        </is>
      </c>
      <c r="D329" s="21" t="inlineStr">
        <is>
          <t>2</t>
        </is>
      </c>
      <c r="E329" s="21" t="inlineStr">
        <is>
          <t>Repérage et prévention des situations à risque</t>
        </is>
      </c>
      <c r="F329" s="21" t="inlineStr">
        <is>
          <t>Les mesures de prévention</t>
        </is>
      </c>
    </row>
    <row r="330">
      <c r="A330" s="21" t="inlineStr">
        <is>
          <t>Aides-soignants</t>
        </is>
      </c>
      <c r="B330" s="21" t="inlineStr">
        <is>
          <t>AS</t>
        </is>
      </c>
      <c r="D330" s="21" t="inlineStr">
        <is>
          <t>2</t>
        </is>
      </c>
      <c r="E330" s="21" t="inlineStr">
        <is>
          <t>Repérage et prévention des situations à risque</t>
        </is>
      </c>
      <c r="F330" s="21" t="inlineStr">
        <is>
          <t>La transmission des informations et l'alerte</t>
        </is>
      </c>
    </row>
    <row r="331">
      <c r="A331" s="21" t="inlineStr">
        <is>
          <t>Aides-soignants</t>
        </is>
      </c>
      <c r="B331" s="21" t="inlineStr">
        <is>
          <t>AS</t>
        </is>
      </c>
      <c r="D331" s="21" t="inlineStr">
        <is>
          <t>2</t>
        </is>
      </c>
      <c r="E331" s="21" t="inlineStr">
        <is>
          <t>Repérage et prévention des situations à risque</t>
        </is>
      </c>
      <c r="F331" s="21" t="inlineStr">
        <is>
          <t>Les situations à risque liées à l'environnement</t>
        </is>
      </c>
      <c r="H331" s="21" t="n">
        <v>5</v>
      </c>
      <c r="I331" s="21" t="n">
        <v>3</v>
      </c>
      <c r="J331" s="21" t="n">
        <v>3</v>
      </c>
      <c r="K331" s="21" t="n">
        <v>11</v>
      </c>
    </row>
    <row r="332">
      <c r="A332" s="21" t="inlineStr">
        <is>
          <t>Aides-soignants</t>
        </is>
      </c>
      <c r="B332" s="21" t="inlineStr">
        <is>
          <t>AS</t>
        </is>
      </c>
      <c r="D332" s="21" t="inlineStr">
        <is>
          <t>2</t>
        </is>
      </c>
      <c r="E332" s="21" t="inlineStr">
        <is>
          <t>Repérage et prévention des situations à risque</t>
        </is>
      </c>
      <c r="F332" s="21" t="inlineStr">
        <is>
          <t>Les actions de prévention</t>
        </is>
      </c>
    </row>
    <row r="333">
      <c r="A333" s="21" t="inlineStr">
        <is>
          <t>Aides-soignants</t>
        </is>
      </c>
      <c r="B333" s="21" t="inlineStr">
        <is>
          <t>AS</t>
        </is>
      </c>
      <c r="D333" s="21" t="inlineStr">
        <is>
          <t>3</t>
        </is>
      </c>
      <c r="E333" s="21" t="inlineStr">
        <is>
          <t>Evaluation de l’état clinique et mise en œuvre de soins adaptés en collaboration</t>
        </is>
      </c>
      <c r="F333" s="21" t="inlineStr">
        <is>
          <t>Notions sur les pathologies prévalentes :</t>
        </is>
      </c>
    </row>
    <row r="334">
      <c r="A334" s="21" t="inlineStr">
        <is>
          <t>Aides-soignants</t>
        </is>
      </c>
      <c r="B334" s="21" t="inlineStr">
        <is>
          <t>AS</t>
        </is>
      </c>
      <c r="D334" s="21" t="inlineStr">
        <is>
          <t>3</t>
        </is>
      </c>
      <c r="E334" s="21" t="inlineStr">
        <is>
          <t>Evaluation de l’état clinique et mise en œuvre de soins adaptés en collaboration</t>
        </is>
      </c>
      <c r="F334" s="21" t="inlineStr">
        <is>
          <t>Concept de maladie</t>
        </is>
      </c>
    </row>
    <row r="335">
      <c r="A335" s="21" t="inlineStr">
        <is>
          <t>Aides-soignants</t>
        </is>
      </c>
      <c r="B335" s="21" t="inlineStr">
        <is>
          <t>AS</t>
        </is>
      </c>
      <c r="D335" s="21" t="inlineStr">
        <is>
          <t>3</t>
        </is>
      </c>
      <c r="E335" s="21" t="inlineStr">
        <is>
          <t>Evaluation de l’état clinique et mise en œuvre de soins adaptés en collaboration</t>
        </is>
      </c>
      <c r="F335" s="21" t="inlineStr">
        <is>
          <t>Concept de soin</t>
        </is>
      </c>
    </row>
    <row r="336">
      <c r="A336" s="21" t="inlineStr">
        <is>
          <t>Aides-soignants</t>
        </is>
      </c>
      <c r="B336" s="21" t="inlineStr">
        <is>
          <t>AS</t>
        </is>
      </c>
      <c r="D336" s="21" t="inlineStr">
        <is>
          <t>3</t>
        </is>
      </c>
      <c r="E336" s="21" t="inlineStr">
        <is>
          <t>Evaluation de l’état clinique et mise en œuvre de soins adaptés en collaboration</t>
        </is>
      </c>
      <c r="F336" s="21" t="inlineStr">
        <is>
          <t>Vocabulaire professionnel</t>
        </is>
      </c>
      <c r="H336" s="21" t="n">
        <v>10</v>
      </c>
      <c r="I336" s="21" t="n">
        <v>5</v>
      </c>
      <c r="J336" s="21" t="n">
        <v>5</v>
      </c>
      <c r="K336" s="21" t="n">
        <v>20</v>
      </c>
    </row>
    <row r="337">
      <c r="A337" s="21" t="inlineStr">
        <is>
          <t>Aides-soignants</t>
        </is>
      </c>
      <c r="B337" s="21" t="inlineStr">
        <is>
          <t>AS</t>
        </is>
      </c>
      <c r="D337" s="21" t="inlineStr">
        <is>
          <t>3</t>
        </is>
      </c>
      <c r="E337" s="21" t="inlineStr">
        <is>
          <t>Evaluation de l’état clinique et mise en œuvre de soins adaptés en collaboration</t>
        </is>
      </c>
      <c r="F337" s="21" t="inlineStr">
        <is>
          <t>Anatomie, physiologie des appareils et systèmes</t>
        </is>
      </c>
    </row>
    <row r="338">
      <c r="A338" s="21" t="inlineStr">
        <is>
          <t>Aides-soignants</t>
        </is>
      </c>
      <c r="B338" s="21" t="inlineStr">
        <is>
          <t>AS</t>
        </is>
      </c>
      <c r="D338" s="21" t="inlineStr">
        <is>
          <t>3</t>
        </is>
      </c>
      <c r="E338" s="21" t="inlineStr">
        <is>
          <t>Evaluation de l’état clinique et mise en œuvre de soins adaptés en collaboration</t>
        </is>
      </c>
      <c r="F338" s="21" t="inlineStr">
        <is>
          <t>Physiopathologie et sémiologie des pathologies prévalentes</t>
        </is>
      </c>
    </row>
    <row r="339">
      <c r="A339" s="21" t="inlineStr">
        <is>
          <t>Aides-soignants</t>
        </is>
      </c>
      <c r="B339" s="21" t="inlineStr">
        <is>
          <t>AS</t>
        </is>
      </c>
      <c r="D339" s="21" t="inlineStr">
        <is>
          <t>3</t>
        </is>
      </c>
      <c r="E339" s="21" t="inlineStr">
        <is>
          <t>Evaluation de l’état clinique et mise en œuvre de soins adaptés en collaboration</t>
        </is>
      </c>
      <c r="F339" s="21" t="inlineStr">
        <is>
          <t>La douleur physique et psychique</t>
        </is>
      </c>
    </row>
    <row r="340">
      <c r="A340" s="21" t="inlineStr">
        <is>
          <t>Aides-soignants</t>
        </is>
      </c>
      <c r="B340" s="21" t="inlineStr">
        <is>
          <t>AS</t>
        </is>
      </c>
      <c r="D340" s="21" t="inlineStr">
        <is>
          <t>3</t>
        </is>
      </c>
      <c r="E340" s="21" t="inlineStr">
        <is>
          <t>Evaluation de l’état clinique et mise en œuvre de soins adaptés en collaboration</t>
        </is>
      </c>
      <c r="F340" s="21" t="inlineStr">
        <is>
          <t>Pathologies du vieillissement</t>
        </is>
      </c>
      <c r="H340" s="21" t="n">
        <v>15</v>
      </c>
      <c r="I340" s="21" t="n">
        <v>5</v>
      </c>
      <c r="J340" s="21" t="n">
        <v>5</v>
      </c>
      <c r="K340" s="21" t="n">
        <v>20</v>
      </c>
    </row>
    <row r="341">
      <c r="A341" s="21" t="inlineStr">
        <is>
          <t>Aides-soignants</t>
        </is>
      </c>
      <c r="B341" s="21" t="inlineStr">
        <is>
          <t>AS</t>
        </is>
      </c>
      <c r="D341" s="21" t="inlineStr">
        <is>
          <t>3</t>
        </is>
      </c>
      <c r="E341" s="21" t="inlineStr">
        <is>
          <t>Evaluation de l’état clinique et mise en œuvre de soins adaptés en collaboration</t>
        </is>
      </c>
      <c r="F341" s="21" t="inlineStr">
        <is>
          <t>Pathologies prévalentes en santé mentale et psychiatrie</t>
        </is>
      </c>
    </row>
    <row r="342">
      <c r="A342" s="21" t="inlineStr">
        <is>
          <t>Aides-soignants</t>
        </is>
      </c>
      <c r="B342" s="21" t="inlineStr">
        <is>
          <t>AS</t>
        </is>
      </c>
      <c r="D342" s="21" t="inlineStr">
        <is>
          <t>3</t>
        </is>
      </c>
      <c r="E342" s="21" t="inlineStr">
        <is>
          <t>Evaluation de l’état clinique et mise en œuvre de soins adaptés en collaboration</t>
        </is>
      </c>
      <c r="F342" s="21" t="inlineStr">
        <is>
          <t>Troubles du spectre autistique et troubles du neuro-développement</t>
        </is>
      </c>
    </row>
    <row r="343">
      <c r="A343" s="21" t="inlineStr">
        <is>
          <t>Aides-soignants</t>
        </is>
      </c>
      <c r="B343" s="21" t="inlineStr">
        <is>
          <t>AS</t>
        </is>
      </c>
      <c r="D343" s="21" t="inlineStr">
        <is>
          <t>3</t>
        </is>
      </c>
      <c r="E343" s="21" t="inlineStr">
        <is>
          <t>Evaluation de l’état clinique et mise en œuvre de soins adaptés en collaboration</t>
        </is>
      </c>
      <c r="F343" s="21" t="inlineStr">
        <is>
          <t>Evaluation de l'état clinique d'une personne, des changements de cet état clinique</t>
        </is>
      </c>
      <c r="H343" s="21" t="n">
        <v>20</v>
      </c>
      <c r="I343" s="21" t="n">
        <v>10</v>
      </c>
      <c r="J343" s="21" t="n">
        <v>7</v>
      </c>
      <c r="K343" s="21" t="n">
        <v>37</v>
      </c>
    </row>
    <row r="344">
      <c r="A344" s="21" t="inlineStr">
        <is>
          <t>Aides-soignants</t>
        </is>
      </c>
      <c r="B344" s="21" t="inlineStr">
        <is>
          <t>AS</t>
        </is>
      </c>
      <c r="D344" s="21" t="inlineStr">
        <is>
          <t>3</t>
        </is>
      </c>
      <c r="E344" s="21" t="inlineStr">
        <is>
          <t>Evaluation de l’état clinique et mise en œuvre de soins adaptés en collaboration</t>
        </is>
      </c>
      <c r="F344" s="21" t="inlineStr">
        <is>
          <t>Méthodologie du raisonnement clinique partagé</t>
        </is>
      </c>
    </row>
    <row r="345">
      <c r="A345" s="21" t="inlineStr">
        <is>
          <t>Aides-soignants</t>
        </is>
      </c>
      <c r="B345" s="21" t="inlineStr">
        <is>
          <t>AS</t>
        </is>
      </c>
      <c r="D345" s="21" t="inlineStr">
        <is>
          <t>3</t>
        </is>
      </c>
      <c r="E345" s="21" t="inlineStr">
        <is>
          <t>Evaluation de l’état clinique et mise en œuvre de soins adaptés en collaboration</t>
        </is>
      </c>
      <c r="F345" s="21" t="inlineStr">
        <is>
          <t>Identification d'une donnée anormale ou d'un risque, alerte et mise en œuvre d'actions de prévention</t>
        </is>
      </c>
    </row>
    <row r="346">
      <c r="A346" s="21" t="inlineStr">
        <is>
          <t>Aides-soignants</t>
        </is>
      </c>
      <c r="B346" s="21" t="inlineStr">
        <is>
          <t>AS</t>
        </is>
      </c>
      <c r="D346" s="21" t="inlineStr">
        <is>
          <t>3</t>
        </is>
      </c>
      <c r="E346" s="21" t="inlineStr">
        <is>
          <t>Evaluation de l’état clinique et mise en œuvre de soins adaptés en collaboration</t>
        </is>
      </c>
      <c r="F346" s="21" t="inlineStr">
        <is>
          <t>Mesure quantitative et qualitative des paramètres permettant d'apprécier l'état de santé de l'adulte et de l'enfant</t>
        </is>
      </c>
    </row>
    <row r="347">
      <c r="A347" s="21" t="inlineStr">
        <is>
          <t>Aides-soignants</t>
        </is>
      </c>
      <c r="B347" s="21" t="inlineStr">
        <is>
          <t>AS</t>
        </is>
      </c>
      <c r="D347" s="21" t="inlineStr">
        <is>
          <t>4</t>
        </is>
      </c>
      <c r="E347" s="21" t="inlineStr">
        <is>
          <t>Mise en œuvre des soins adaptés, évaluation et réajustement</t>
        </is>
      </c>
      <c r="F347" s="21" t="inlineStr">
        <is>
          <t>FGSU niveau 2</t>
        </is>
      </c>
      <c r="H347" s="21" t="n">
        <v>40</v>
      </c>
      <c r="I347" s="21" t="n">
        <v>30</v>
      </c>
      <c r="J347" s="21" t="n">
        <v>20</v>
      </c>
      <c r="K347" s="21" t="n">
        <v>90</v>
      </c>
    </row>
    <row r="348">
      <c r="A348" s="21" t="inlineStr">
        <is>
          <t>Aides-soignants</t>
        </is>
      </c>
      <c r="B348" s="21" t="inlineStr">
        <is>
          <t>AS</t>
        </is>
      </c>
      <c r="D348" s="21" t="inlineStr">
        <is>
          <t>4</t>
        </is>
      </c>
      <c r="E348" s="21" t="inlineStr">
        <is>
          <t>Mise en œuvre des soins adaptés, évaluation et réajustement</t>
        </is>
      </c>
      <c r="F348" s="21" t="inlineStr">
        <is>
          <t>Notions de pharmacologie</t>
        </is>
      </c>
    </row>
    <row r="349">
      <c r="A349" s="21" t="inlineStr">
        <is>
          <t>Aides-soignants</t>
        </is>
      </c>
      <c r="B349" s="21" t="inlineStr">
        <is>
          <t>AS</t>
        </is>
      </c>
      <c r="D349" s="21" t="inlineStr">
        <is>
          <t>4</t>
        </is>
      </c>
      <c r="E349" s="21" t="inlineStr">
        <is>
          <t>Mise en œuvre des soins adaptés, évaluation et réajustement</t>
        </is>
      </c>
      <c r="F349" s="21" t="inlineStr">
        <is>
          <t>Les soins en situation aigüe (approche théorique et pratique)</t>
        </is>
      </c>
    </row>
    <row r="350">
      <c r="A350" s="21" t="inlineStr">
        <is>
          <t>Aides-soignants</t>
        </is>
      </c>
      <c r="B350" s="21" t="inlineStr">
        <is>
          <t>AS</t>
        </is>
      </c>
      <c r="D350" s="21" t="inlineStr">
        <is>
          <t>4</t>
        </is>
      </c>
      <c r="E350" s="21" t="inlineStr">
        <is>
          <t>Mise en œuvre des soins adaptés, évaluation et réajustement</t>
        </is>
      </c>
      <c r="F350" s="21" t="inlineStr">
        <is>
          <t>Aide aux soins réalisés par l'infirmier</t>
        </is>
      </c>
    </row>
    <row r="351">
      <c r="A351" s="21" t="inlineStr">
        <is>
          <t>Aides-soignants</t>
        </is>
      </c>
      <c r="B351" s="21" t="inlineStr">
        <is>
          <t>AS</t>
        </is>
      </c>
      <c r="D351" s="21" t="inlineStr">
        <is>
          <t>4</t>
        </is>
      </c>
      <c r="E351" s="21" t="inlineStr">
        <is>
          <t>Mise en œuvre des soins adaptés, évaluation et réajustement</t>
        </is>
      </c>
      <c r="F351" s="21" t="inlineStr">
        <is>
          <t>Evaluation de la qualité des soins et réajustement des soins.</t>
        </is>
      </c>
      <c r="H351" s="21" t="n">
        <v>40</v>
      </c>
      <c r="I351" s="21" t="n">
        <v>30</v>
      </c>
      <c r="J351" s="21" t="n">
        <v>22</v>
      </c>
      <c r="K351" s="21" t="n">
        <v>92</v>
      </c>
    </row>
    <row r="352">
      <c r="A352" s="21" t="inlineStr">
        <is>
          <t>Aides-soignants</t>
        </is>
      </c>
      <c r="B352" s="21" t="inlineStr">
        <is>
          <t>AS</t>
        </is>
      </c>
      <c r="D352" s="21" t="inlineStr">
        <is>
          <t>5</t>
        </is>
      </c>
      <c r="E352" s="21" t="inlineStr">
        <is>
          <t>Accompagnement de la mobilité de la personne aidée</t>
        </is>
      </c>
      <c r="F352" s="21" t="inlineStr">
        <is>
          <t>L'installation et le déplacement des personnes</t>
        </is>
      </c>
      <c r="H352" s="21" t="n">
        <v>10</v>
      </c>
      <c r="I352" s="21" t="n">
        <v>5</v>
      </c>
      <c r="J352" s="21" t="n">
        <v>5</v>
      </c>
      <c r="K352" s="21" t="n">
        <v>20</v>
      </c>
    </row>
    <row r="353">
      <c r="A353" s="21" t="inlineStr">
        <is>
          <t>Aides-soignants</t>
        </is>
      </c>
      <c r="B353" s="21" t="inlineStr">
        <is>
          <t>AS</t>
        </is>
      </c>
      <c r="D353" s="21" t="inlineStr">
        <is>
          <t>5</t>
        </is>
      </c>
      <c r="E353" s="21" t="inlineStr">
        <is>
          <t>Accompagnement de la mobilité de la personne aidée</t>
        </is>
      </c>
      <c r="F353" s="21" t="inlineStr">
        <is>
          <t>Les techniques de mobilisation et la prévention des risques pour la personne et pour le professionnel</t>
        </is>
      </c>
      <c r="H353" s="21" t="n">
        <v>5</v>
      </c>
      <c r="I353" s="21" t="n">
        <v>5</v>
      </c>
      <c r="J353" s="21" t="n">
        <v>5</v>
      </c>
      <c r="K353" s="21" t="n">
        <v>15</v>
      </c>
    </row>
    <row r="354">
      <c r="A354" s="21" t="inlineStr">
        <is>
          <t>Aides-soignants</t>
        </is>
      </c>
      <c r="B354" s="21" t="inlineStr">
        <is>
          <t>AS</t>
        </is>
      </c>
      <c r="D354" s="21" t="inlineStr">
        <is>
          <t>6</t>
        </is>
      </c>
      <c r="E354" s="21" t="inlineStr">
        <is>
          <t>Relation et communication avec les personnes et leur entourage</t>
        </is>
      </c>
      <c r="F354" s="21" t="inlineStr">
        <is>
          <t>Information et droits des patients</t>
        </is>
      </c>
      <c r="H354" s="21" t="n">
        <v>15</v>
      </c>
      <c r="I354" s="21" t="n">
        <v>15</v>
      </c>
      <c r="J354" s="21" t="n">
        <v>10</v>
      </c>
      <c r="K354" s="21" t="n">
        <v>40</v>
      </c>
    </row>
    <row r="355">
      <c r="A355" s="21" t="inlineStr">
        <is>
          <t>Aides-soignants</t>
        </is>
      </c>
      <c r="B355" s="21" t="inlineStr">
        <is>
          <t>AS</t>
        </is>
      </c>
      <c r="D355" s="21" t="inlineStr">
        <is>
          <t>6</t>
        </is>
      </c>
      <c r="E355" s="21" t="inlineStr">
        <is>
          <t>Relation et communication avec les personnes et leur entourage</t>
        </is>
      </c>
      <c r="F355" s="21" t="inlineStr">
        <is>
          <t>Les techniques de communication</t>
        </is>
      </c>
    </row>
    <row r="356">
      <c r="A356" s="21" t="inlineStr">
        <is>
          <t>Aides-soignants</t>
        </is>
      </c>
      <c r="B356" s="21" t="inlineStr">
        <is>
          <t>AS</t>
        </is>
      </c>
      <c r="D356" s="21" t="inlineStr">
        <is>
          <t>6</t>
        </is>
      </c>
      <c r="E356" s="21" t="inlineStr">
        <is>
          <t>Relation et communication avec les personnes et leur entourage</t>
        </is>
      </c>
      <c r="F356" s="21" t="inlineStr">
        <is>
          <t>Relation et communication à la personne soignée, à l'entourage et aux aidants</t>
        </is>
      </c>
    </row>
    <row r="357">
      <c r="A357" s="21" t="inlineStr">
        <is>
          <t>Aides-soignants</t>
        </is>
      </c>
      <c r="B357" s="21" t="inlineStr">
        <is>
          <t>AS</t>
        </is>
      </c>
      <c r="D357" s="21" t="inlineStr">
        <is>
          <t>6</t>
        </is>
      </c>
      <c r="E357" s="21" t="inlineStr">
        <is>
          <t>Relation et communication avec les personnes et leur entourage</t>
        </is>
      </c>
      <c r="F357" s="21" t="inlineStr">
        <is>
          <t>Démarche d'information, d'éducation et de prévention</t>
        </is>
      </c>
      <c r="H357" s="21" t="n">
        <v>15</v>
      </c>
      <c r="I357" s="21" t="n">
        <v>5</v>
      </c>
      <c r="J357" s="21" t="n">
        <v>10</v>
      </c>
      <c r="K357" s="21" t="n">
        <v>30</v>
      </c>
    </row>
    <row r="358">
      <c r="A358" s="21" t="inlineStr">
        <is>
          <t>Aides-soignants</t>
        </is>
      </c>
      <c r="B358" s="21" t="inlineStr">
        <is>
          <t>AS</t>
        </is>
      </c>
      <c r="D358" s="21" t="inlineStr">
        <is>
          <t>7</t>
        </is>
      </c>
      <c r="E358" s="21" t="inlineStr">
        <is>
          <t>Accompagnement des personnes en formation et communication avec les pairs</t>
        </is>
      </c>
      <c r="F358" s="21" t="inlineStr">
        <is>
          <t>Formation des pairs et accueil de nouveaux professionnels</t>
        </is>
      </c>
      <c r="H358" s="21" t="n">
        <v>10</v>
      </c>
      <c r="I358" s="21" t="n">
        <v>5</v>
      </c>
      <c r="J358" s="21" t="n">
        <v>5</v>
      </c>
      <c r="K358" s="21" t="n">
        <v>20</v>
      </c>
    </row>
    <row r="359">
      <c r="A359" s="21" t="inlineStr">
        <is>
          <t>Aides-soignants</t>
        </is>
      </c>
      <c r="B359" s="21" t="inlineStr">
        <is>
          <t>AS</t>
        </is>
      </c>
      <c r="D359" s="21" t="inlineStr">
        <is>
          <t>7</t>
        </is>
      </c>
      <c r="E359" s="21" t="inlineStr">
        <is>
          <t>Accompagnement des personnes en formation et communication avec les pairs</t>
        </is>
      </c>
      <c r="F359" s="21" t="inlineStr">
        <is>
          <t>Transmission d'informations</t>
        </is>
      </c>
    </row>
    <row r="360">
      <c r="A360" s="21" t="inlineStr">
        <is>
          <t>Aides-soignants</t>
        </is>
      </c>
      <c r="B360" s="21" t="inlineStr">
        <is>
          <t>AS</t>
        </is>
      </c>
      <c r="D360" s="21" t="inlineStr">
        <is>
          <t>7</t>
        </is>
      </c>
      <c r="E360" s="21" t="inlineStr">
        <is>
          <t>Accompagnement des personnes en formation et communication avec les pairs</t>
        </is>
      </c>
      <c r="F360" s="21" t="inlineStr">
        <is>
          <t>Projet et objectifs de formation</t>
        </is>
      </c>
    </row>
    <row r="361">
      <c r="A361" s="21" t="inlineStr">
        <is>
          <t>Aides-soignants</t>
        </is>
      </c>
      <c r="B361" s="21" t="inlineStr">
        <is>
          <t>AS</t>
        </is>
      </c>
      <c r="D361" s="21" t="inlineStr">
        <is>
          <t>7</t>
        </is>
      </c>
      <c r="E361" s="21" t="inlineStr">
        <is>
          <t>Accompagnement des personnes en formation et communication avec les pairs</t>
        </is>
      </c>
      <c r="F361" s="21" t="inlineStr">
        <is>
          <t>Tutorat et accompagnement des personnes en formation</t>
        </is>
      </c>
    </row>
    <row r="362">
      <c r="A362" s="21" t="inlineStr">
        <is>
          <t>Aides-soignants</t>
        </is>
      </c>
      <c r="B362" s="21" t="inlineStr">
        <is>
          <t>AS</t>
        </is>
      </c>
      <c r="D362" s="21" t="inlineStr">
        <is>
          <t>7</t>
        </is>
      </c>
      <c r="E362" s="21" t="inlineStr">
        <is>
          <t>Accompagnement des personnes en formation et communication avec les pairs</t>
        </is>
      </c>
      <c r="F362" s="21" t="inlineStr">
        <is>
          <t>Transmission de savoir-faire et réajustement de la transmission</t>
        </is>
      </c>
    </row>
    <row r="363">
      <c r="A363" s="21" t="inlineStr">
        <is>
          <t>Aides-soignants</t>
        </is>
      </c>
      <c r="B363" s="21" t="inlineStr">
        <is>
          <t>AS</t>
        </is>
      </c>
      <c r="D363" s="21" t="inlineStr">
        <is>
          <t>7</t>
        </is>
      </c>
      <c r="E363" s="21" t="inlineStr">
        <is>
          <t>Accompagnement des personnes en formation et communication avec les pairs</t>
        </is>
      </c>
      <c r="F363" s="21" t="inlineStr">
        <is>
          <t>Evaluation des acquis</t>
        </is>
      </c>
      <c r="H363" s="21" t="n">
        <v>15</v>
      </c>
      <c r="I363" s="21" t="n">
        <v>5</v>
      </c>
      <c r="J363" s="21" t="n">
        <v>10</v>
      </c>
      <c r="K363" s="21" t="n">
        <v>30</v>
      </c>
    </row>
    <row r="364">
      <c r="A364" s="21" t="inlineStr">
        <is>
          <t>Aides-soignants</t>
        </is>
      </c>
      <c r="B364" s="21" t="inlineStr">
        <is>
          <t>AS</t>
        </is>
      </c>
      <c r="D364" s="21" t="inlineStr">
        <is>
          <t>8</t>
        </is>
      </c>
      <c r="E364" s="21" t="inlineStr">
        <is>
          <t>Entretien des locaux et des matériels et prévention des risques associés</t>
        </is>
      </c>
      <c r="F364" s="21" t="inlineStr">
        <is>
          <t>Infection, désinfection et prévention des risques</t>
        </is>
      </c>
      <c r="H364" s="21" t="n">
        <v>10</v>
      </c>
      <c r="I364" s="21" t="n">
        <v>5</v>
      </c>
      <c r="J364" s="21" t="n">
        <v>5</v>
      </c>
      <c r="K364" s="21" t="n">
        <v>20</v>
      </c>
    </row>
    <row r="365">
      <c r="A365" s="21" t="inlineStr">
        <is>
          <t>Aides-soignants</t>
        </is>
      </c>
      <c r="B365" s="21" t="inlineStr">
        <is>
          <t>AS</t>
        </is>
      </c>
      <c r="D365" s="21" t="inlineStr">
        <is>
          <t>8</t>
        </is>
      </c>
      <c r="E365" s="21" t="inlineStr">
        <is>
          <t>Entretien des locaux et des matériels et prévention des risques associés</t>
        </is>
      </c>
      <c r="F365" s="21" t="inlineStr">
        <is>
          <t>Règles, bonnes pratiques et recommandations :</t>
        </is>
      </c>
    </row>
    <row r="366">
      <c r="A366" s="21" t="inlineStr">
        <is>
          <t>Aides-soignants</t>
        </is>
      </c>
      <c r="B366" s="21" t="inlineStr">
        <is>
          <t>AS</t>
        </is>
      </c>
      <c r="D366" s="21" t="inlineStr">
        <is>
          <t>8</t>
        </is>
      </c>
      <c r="E366" s="21" t="inlineStr">
        <is>
          <t>Entretien des locaux et des matériels et prévention des risques associés</t>
        </is>
      </c>
      <c r="F366" s="21" t="inlineStr">
        <is>
          <t>Réalisation des opérations d'entretien des locaux et des matériels</t>
        </is>
      </c>
      <c r="H366" s="21" t="n">
        <v>5</v>
      </c>
      <c r="I366" s="21" t="n">
        <v>5</v>
      </c>
      <c r="J366" s="21" t="n">
        <v>5</v>
      </c>
      <c r="K366" s="21" t="n">
        <v>15</v>
      </c>
    </row>
    <row r="367">
      <c r="A367" s="21" t="inlineStr">
        <is>
          <t>Aides-soignants</t>
        </is>
      </c>
      <c r="B367" s="21" t="inlineStr">
        <is>
          <t>AS</t>
        </is>
      </c>
      <c r="D367" s="21" t="inlineStr">
        <is>
          <t>9</t>
        </is>
      </c>
      <c r="E367" s="21" t="inlineStr">
        <is>
          <t>Traitement des informations</t>
        </is>
      </c>
      <c r="F367" s="21" t="inlineStr">
        <is>
          <t>Techniques de communication écrite</t>
        </is>
      </c>
      <c r="H367" s="21" t="n">
        <v>10</v>
      </c>
      <c r="I367" s="21" t="n">
        <v>5</v>
      </c>
      <c r="J367" s="21" t="n">
        <v>5</v>
      </c>
      <c r="K367" s="21" t="n">
        <v>20</v>
      </c>
    </row>
    <row r="368">
      <c r="A368" s="21" t="inlineStr">
        <is>
          <t>Aides-soignants</t>
        </is>
      </c>
      <c r="B368" s="21" t="inlineStr">
        <is>
          <t>AS</t>
        </is>
      </c>
      <c r="D368" s="21" t="inlineStr">
        <is>
          <t>9</t>
        </is>
      </c>
      <c r="E368" s="21" t="inlineStr">
        <is>
          <t>Traitement des informations</t>
        </is>
      </c>
      <c r="F368" s="21" t="inlineStr">
        <is>
          <t>Traitement des informations</t>
        </is>
      </c>
      <c r="H368" s="21" t="n">
        <v>5</v>
      </c>
      <c r="I368" s="21" t="n">
        <v>5</v>
      </c>
      <c r="J368" s="21" t="n">
        <v>5</v>
      </c>
      <c r="K368" s="21" t="n">
        <v>15</v>
      </c>
    </row>
    <row r="369">
      <c r="A369" s="21" t="inlineStr">
        <is>
          <t>Aides-soignants</t>
        </is>
      </c>
      <c r="B369" s="21" t="inlineStr">
        <is>
          <t>AS</t>
        </is>
      </c>
      <c r="D369" s="21" t="inlineStr">
        <is>
          <t>10</t>
        </is>
      </c>
      <c r="E369" s="21" t="inlineStr">
        <is>
          <t>Travail en équipe pluri professionnelle, qualité et gestion des risques</t>
        </is>
      </c>
      <c r="F369" s="21" t="inlineStr">
        <is>
          <t>Travail en équipe pluri professionnelle</t>
        </is>
      </c>
      <c r="H369" s="21" t="n">
        <v>15</v>
      </c>
      <c r="I369" s="21" t="n">
        <v>15</v>
      </c>
      <c r="J369" s="21" t="n">
        <v>10</v>
      </c>
      <c r="K369" s="21" t="n">
        <v>40</v>
      </c>
    </row>
    <row r="370">
      <c r="A370" s="21" t="inlineStr">
        <is>
          <t>Aides-soignants</t>
        </is>
      </c>
      <c r="B370" s="21" t="inlineStr">
        <is>
          <t>AS</t>
        </is>
      </c>
      <c r="D370" s="21" t="inlineStr">
        <is>
          <t>10</t>
        </is>
      </c>
      <c r="E370" s="21" t="inlineStr">
        <is>
          <t>Travail en équipe pluri professionnelle, qualité et gestion des risques</t>
        </is>
      </c>
      <c r="F370" s="21" t="inlineStr">
        <is>
          <t>Démarche qualité et gestion des risques</t>
        </is>
      </c>
      <c r="H370" s="21" t="n">
        <v>15</v>
      </c>
      <c r="I370" s="21" t="n">
        <v>5</v>
      </c>
      <c r="J370" s="21" t="n">
        <v>10</v>
      </c>
      <c r="K370" s="21" t="n">
        <v>30</v>
      </c>
    </row>
    <row r="371">
      <c r="A371" s="21" t="inlineStr">
        <is>
          <t>Aides-soignants</t>
        </is>
      </c>
      <c r="B371" s="21" t="inlineStr">
        <is>
          <t>AS</t>
        </is>
      </c>
      <c r="D371" s="21" t="inlineStr">
        <is>
          <t>11</t>
        </is>
      </c>
      <c r="E371" s="21" t="inlineStr">
        <is>
          <t>Adaptation au valeurs locales</t>
        </is>
      </c>
      <c r="F371" s="21" t="inlineStr">
        <is>
          <t>Introduction des pratiques culturelles</t>
        </is>
      </c>
      <c r="H371" s="21" t="n">
        <v>15</v>
      </c>
      <c r="I371" s="21" t="n">
        <v>10</v>
      </c>
      <c r="J371" s="21" t="n">
        <v>5</v>
      </c>
      <c r="K371" s="21" t="n">
        <v>30</v>
      </c>
    </row>
    <row r="372">
      <c r="A372" s="21" t="inlineStr">
        <is>
          <t>Aides-soignants</t>
        </is>
      </c>
      <c r="B372" s="21" t="inlineStr">
        <is>
          <t>AS</t>
        </is>
      </c>
      <c r="D372" s="21" t="inlineStr">
        <is>
          <t>11</t>
        </is>
      </c>
      <c r="E372" s="21" t="inlineStr">
        <is>
          <t>Adaptation au valeurs locales</t>
        </is>
      </c>
      <c r="F372" s="21" t="inlineStr">
        <is>
          <t>Valeurs loclaes ert croyances religieuses</t>
        </is>
      </c>
    </row>
    <row r="373">
      <c r="A373" s="21" t="inlineStr">
        <is>
          <t>Aides-soignants</t>
        </is>
      </c>
      <c r="B373" s="21" t="inlineStr">
        <is>
          <t>AS</t>
        </is>
      </c>
      <c r="D373" s="21" t="inlineStr">
        <is>
          <t>11</t>
        </is>
      </c>
      <c r="E373" s="21" t="inlineStr">
        <is>
          <t>Adaptation au valeurs locales</t>
        </is>
      </c>
      <c r="F373" s="21" t="inlineStr">
        <is>
          <t>Adaptation des soins</t>
        </is>
      </c>
    </row>
    <row r="374">
      <c r="A374" s="21" t="inlineStr">
        <is>
          <t>Aides-soignants</t>
        </is>
      </c>
      <c r="B374" s="21" t="inlineStr">
        <is>
          <t>AS</t>
        </is>
      </c>
      <c r="D374" s="21" t="inlineStr">
        <is>
          <t>11</t>
        </is>
      </c>
      <c r="E374" s="21" t="inlineStr">
        <is>
          <t>Adaptation au valeurs locales</t>
        </is>
      </c>
      <c r="F374" s="21" t="inlineStr">
        <is>
          <t>Communication interculturelle</t>
        </is>
      </c>
    </row>
    <row r="375">
      <c r="A375" s="21" t="inlineStr">
        <is>
          <t>Aides-soignants</t>
        </is>
      </c>
      <c r="B375" s="21" t="inlineStr">
        <is>
          <t>AS</t>
        </is>
      </c>
      <c r="D375" s="21" t="inlineStr">
        <is>
          <t>11</t>
        </is>
      </c>
      <c r="E375" s="21" t="inlineStr">
        <is>
          <t>Adaptation au valeurs locales</t>
        </is>
      </c>
      <c r="F375" s="21" t="inlineStr">
        <is>
          <t>Ethique en soins</t>
        </is>
      </c>
      <c r="H375" s="21" t="n">
        <v>10</v>
      </c>
      <c r="I375" s="21" t="n">
        <v>5</v>
      </c>
      <c r="J375" s="21" t="n">
        <v>5</v>
      </c>
      <c r="K375" s="21" t="n">
        <v>20</v>
      </c>
    </row>
    <row r="376">
      <c r="A376" s="21" t="inlineStr">
        <is>
          <t>Maintenance biomédicale</t>
        </is>
      </c>
      <c r="B376" s="21" t="inlineStr">
        <is>
          <t>L1</t>
        </is>
      </c>
      <c r="C376" s="21" t="inlineStr">
        <is>
          <t>1</t>
        </is>
      </c>
      <c r="D376" s="21" t="inlineStr">
        <is>
          <t>UE1</t>
        </is>
      </c>
      <c r="E376" s="21" t="inlineStr">
        <is>
          <t>Biologie et anatomie humaine</t>
        </is>
      </c>
      <c r="F376" s="21" t="inlineStr">
        <is>
          <t>- Notions d’anatomie générale et systèmes (nerveux, cardio-respiratoire, digestif).</t>
        </is>
      </c>
      <c r="H376" s="21" t="n">
        <v>12</v>
      </c>
      <c r="I376" s="21" t="n">
        <v>8</v>
      </c>
      <c r="J376" s="21" t="n">
        <v>10</v>
      </c>
      <c r="K376" s="21" t="n">
        <v>30</v>
      </c>
      <c r="L376" s="21" t="n">
        <v>60</v>
      </c>
      <c r="M376" s="21" t="n">
        <v>6</v>
      </c>
    </row>
    <row r="377">
      <c r="A377" s="21" t="inlineStr">
        <is>
          <t>Maintenance biomédicale</t>
        </is>
      </c>
      <c r="B377" s="21" t="inlineStr">
        <is>
          <t>L1</t>
        </is>
      </c>
      <c r="C377" s="21" t="inlineStr">
        <is>
          <t>1</t>
        </is>
      </c>
      <c r="D377" s="21" t="inlineStr">
        <is>
          <t>UE1</t>
        </is>
      </c>
      <c r="E377" s="21" t="inlineStr">
        <is>
          <t>Biologie et anatomie humaine</t>
        </is>
      </c>
      <c r="F377" s="21" t="inlineStr">
        <is>
          <t>- Bases de biologie cellulaire et tissus.</t>
        </is>
      </c>
      <c r="H377" s="21" t="n">
        <v>8</v>
      </c>
      <c r="I377" s="21" t="n">
        <v>4</v>
      </c>
      <c r="K377" s="21" t="n">
        <v>12</v>
      </c>
      <c r="L377" s="21" t="n">
        <v>60</v>
      </c>
      <c r="M377" s="21" t="n">
        <v>6</v>
      </c>
    </row>
    <row r="378">
      <c r="A378" s="21" t="inlineStr">
        <is>
          <t>Maintenance biomédicale</t>
        </is>
      </c>
      <c r="B378" s="21" t="inlineStr">
        <is>
          <t>L1</t>
        </is>
      </c>
      <c r="C378" s="21" t="inlineStr">
        <is>
          <t>1</t>
        </is>
      </c>
      <c r="D378" s="21" t="inlineStr">
        <is>
          <t>UE1</t>
        </is>
      </c>
      <c r="E378" s="21" t="inlineStr">
        <is>
          <t>Biologie et anatomie humaine</t>
        </is>
      </c>
      <c r="F378" s="21" t="inlineStr">
        <is>
          <t>- Introduction à l’anatomie fonctionnelle appliquée aux équipements biomédicaux.</t>
        </is>
      </c>
      <c r="H378" s="21" t="n">
        <v>6</v>
      </c>
      <c r="I378" s="21" t="n">
        <v>8</v>
      </c>
      <c r="J378" s="21" t="n">
        <v>4</v>
      </c>
      <c r="K378" s="21" t="n">
        <v>18</v>
      </c>
      <c r="L378" s="21" t="n">
        <v>60</v>
      </c>
      <c r="M378" s="21" t="n">
        <v>6</v>
      </c>
    </row>
    <row r="379">
      <c r="A379" s="21" t="inlineStr">
        <is>
          <t>Maintenance biomédicale</t>
        </is>
      </c>
      <c r="B379" s="21" t="inlineStr">
        <is>
          <t>L1</t>
        </is>
      </c>
      <c r="C379" s="21" t="inlineStr">
        <is>
          <t>1</t>
        </is>
      </c>
      <c r="D379" s="21" t="inlineStr">
        <is>
          <t>UE2</t>
        </is>
      </c>
      <c r="E379" s="21" t="inlineStr">
        <is>
          <t>Physique appliquée</t>
        </is>
      </c>
      <c r="F379" s="21" t="inlineStr">
        <is>
          <t>- Bases de mécanique, optique, acoustique et électromagnétisme.</t>
        </is>
      </c>
      <c r="H379" s="21" t="n">
        <v>10</v>
      </c>
      <c r="I379" s="21" t="n">
        <v>5</v>
      </c>
      <c r="J379" s="21" t="n">
        <v>10</v>
      </c>
      <c r="K379" s="21" t="n">
        <v>25</v>
      </c>
      <c r="L379" s="21" t="n">
        <v>55</v>
      </c>
      <c r="M379" s="21" t="n">
        <v>6</v>
      </c>
    </row>
    <row r="380">
      <c r="A380" s="21" t="inlineStr">
        <is>
          <t>Maintenance biomédicale</t>
        </is>
      </c>
      <c r="B380" s="21" t="inlineStr">
        <is>
          <t>L1</t>
        </is>
      </c>
      <c r="C380" s="21" t="inlineStr">
        <is>
          <t>1</t>
        </is>
      </c>
      <c r="D380" s="21" t="inlineStr">
        <is>
          <t>UE2</t>
        </is>
      </c>
      <c r="E380" s="21" t="inlineStr">
        <is>
          <t>Physique appliquée</t>
        </is>
      </c>
      <c r="F380" s="21" t="inlineStr">
        <is>
          <t>- Principes physiques appliqués aux équipements biomédicaux : ultrasons, rayons X, pression/débit.</t>
        </is>
      </c>
      <c r="H380" s="21" t="n">
        <v>10</v>
      </c>
      <c r="I380" s="21" t="n">
        <v>8</v>
      </c>
      <c r="J380" s="21" t="n">
        <v>12</v>
      </c>
      <c r="K380" s="21" t="n">
        <v>30</v>
      </c>
      <c r="L380" s="21" t="n">
        <v>55</v>
      </c>
      <c r="M380" s="21" t="n">
        <v>6</v>
      </c>
    </row>
    <row r="381">
      <c r="A381" s="21" t="inlineStr">
        <is>
          <t>Maintenance biomédicale</t>
        </is>
      </c>
      <c r="B381" s="21" t="inlineStr">
        <is>
          <t>L1</t>
        </is>
      </c>
      <c r="C381" s="21" t="inlineStr">
        <is>
          <t>1</t>
        </is>
      </c>
      <c r="D381" s="21" t="inlineStr">
        <is>
          <t>UE3</t>
        </is>
      </c>
      <c r="E381" s="21" t="inlineStr">
        <is>
          <t>Mathématiques et statistiques</t>
        </is>
      </c>
      <c r="F381" s="21" t="inlineStr">
        <is>
          <t>- Mathématiques appliquées aux sciences biomédicales.</t>
        </is>
      </c>
      <c r="H381" s="21" t="n">
        <v>8</v>
      </c>
      <c r="I381" s="21" t="n">
        <v>6</v>
      </c>
      <c r="J381" s="21" t="n">
        <v>6</v>
      </c>
      <c r="K381" s="21" t="n">
        <v>20</v>
      </c>
      <c r="L381" s="21" t="n">
        <v>50</v>
      </c>
      <c r="M381" s="21" t="n">
        <v>6</v>
      </c>
    </row>
    <row r="382">
      <c r="A382" s="21" t="inlineStr">
        <is>
          <t>Maintenance biomédicale</t>
        </is>
      </c>
      <c r="B382" s="21" t="inlineStr">
        <is>
          <t>L1</t>
        </is>
      </c>
      <c r="C382" s="21" t="inlineStr">
        <is>
          <t>1</t>
        </is>
      </c>
      <c r="D382" s="21" t="inlineStr">
        <is>
          <t>UE3</t>
        </is>
      </c>
      <c r="E382" s="21" t="inlineStr">
        <is>
          <t>Mathématiques et statistiques</t>
        </is>
      </c>
      <c r="F382" s="21" t="inlineStr">
        <is>
          <t>- Statistiques de base (moyenne, écart-type, variance).</t>
        </is>
      </c>
      <c r="H382" s="21" t="n">
        <v>6</v>
      </c>
      <c r="I382" s="21" t="n">
        <v>4</v>
      </c>
      <c r="J382" s="21" t="n">
        <v>6</v>
      </c>
      <c r="K382" s="21" t="n">
        <v>16</v>
      </c>
      <c r="L382" s="21" t="n">
        <v>50</v>
      </c>
      <c r="M382" s="21" t="n">
        <v>6</v>
      </c>
    </row>
    <row r="383">
      <c r="A383" s="21" t="inlineStr">
        <is>
          <t>Maintenance biomédicale</t>
        </is>
      </c>
      <c r="B383" s="21" t="inlineStr">
        <is>
          <t>L1</t>
        </is>
      </c>
      <c r="C383" s="21" t="inlineStr">
        <is>
          <t>1</t>
        </is>
      </c>
      <c r="D383" s="21" t="inlineStr">
        <is>
          <t>UE3</t>
        </is>
      </c>
      <c r="E383" s="21" t="inlineStr">
        <is>
          <t>Mathématiques et statistiques</t>
        </is>
      </c>
      <c r="F383" s="21" t="inlineStr">
        <is>
          <t>- Applications en maintenance (suivi pannes, MTBF, fiabilité).</t>
        </is>
      </c>
      <c r="H383" s="21" t="n">
        <v>4</v>
      </c>
      <c r="I383" s="21" t="n">
        <v>4</v>
      </c>
      <c r="J383" s="21" t="n">
        <v>6</v>
      </c>
      <c r="K383" s="21" t="n">
        <v>14</v>
      </c>
      <c r="L383" s="21" t="n">
        <v>50</v>
      </c>
      <c r="M383" s="21" t="n">
        <v>6</v>
      </c>
    </row>
    <row r="384">
      <c r="A384" s="21" t="inlineStr">
        <is>
          <t>Maintenance biomédicale</t>
        </is>
      </c>
      <c r="B384" s="21" t="inlineStr">
        <is>
          <t>L1</t>
        </is>
      </c>
      <c r="C384" s="21" t="inlineStr">
        <is>
          <t>1</t>
        </is>
      </c>
      <c r="D384" s="21" t="inlineStr">
        <is>
          <t>UE4</t>
        </is>
      </c>
      <c r="E384" s="21" t="inlineStr">
        <is>
          <t>Introduction à la maintenance biomédicale</t>
        </is>
      </c>
      <c r="F384" s="21" t="inlineStr">
        <is>
          <t>- Rôle et place du technicien biomédical.</t>
        </is>
      </c>
      <c r="H384" s="21" t="n">
        <v>4</v>
      </c>
      <c r="I384" s="21" t="n">
        <v>2</v>
      </c>
      <c r="J384" s="21" t="n">
        <v>2</v>
      </c>
      <c r="K384" s="21" t="n">
        <v>8</v>
      </c>
      <c r="L384" s="21" t="n">
        <v>40</v>
      </c>
      <c r="M384" s="21" t="n">
        <v>6</v>
      </c>
    </row>
    <row r="385">
      <c r="A385" s="21" t="inlineStr">
        <is>
          <t>Maintenance biomédicale</t>
        </is>
      </c>
      <c r="B385" s="21" t="inlineStr">
        <is>
          <t>L1</t>
        </is>
      </c>
      <c r="C385" s="21" t="inlineStr">
        <is>
          <t>1</t>
        </is>
      </c>
      <c r="D385" s="21" t="inlineStr">
        <is>
          <t>UE4</t>
        </is>
      </c>
      <c r="E385" s="21" t="inlineStr">
        <is>
          <t>Introduction à la maintenance biomédicale</t>
        </is>
      </c>
      <c r="F385" s="21" t="inlineStr">
        <is>
          <t>- Typologie des équipements hospitaliers.</t>
        </is>
      </c>
      <c r="H385" s="21" t="n">
        <v>4</v>
      </c>
      <c r="I385" s="21" t="n">
        <v>2</v>
      </c>
      <c r="J385" s="21" t="n">
        <v>4</v>
      </c>
      <c r="K385" s="21" t="n">
        <v>10</v>
      </c>
      <c r="L385" s="21" t="n">
        <v>40</v>
      </c>
      <c r="M385" s="21" t="n">
        <v>6</v>
      </c>
    </row>
    <row r="386">
      <c r="A386" s="21" t="inlineStr">
        <is>
          <t>Maintenance biomédicale</t>
        </is>
      </c>
      <c r="B386" s="21" t="inlineStr">
        <is>
          <t>L1</t>
        </is>
      </c>
      <c r="C386" s="21" t="inlineStr">
        <is>
          <t>1</t>
        </is>
      </c>
      <c r="D386" s="21" t="inlineStr">
        <is>
          <t>UE4</t>
        </is>
      </c>
      <c r="E386" s="21" t="inlineStr">
        <is>
          <t>Introduction à la maintenance biomédicale</t>
        </is>
      </c>
      <c r="F386" s="21" t="inlineStr">
        <is>
          <t>- Cycle de vie des dispositifs médicaux (acquisition, utilisation, maintenance, réforme).</t>
        </is>
      </c>
      <c r="H386" s="21" t="n">
        <v>6</v>
      </c>
      <c r="I386" s="21" t="n">
        <v>2</v>
      </c>
      <c r="J386" s="21" t="n">
        <v>4</v>
      </c>
      <c r="K386" s="21" t="n">
        <v>12</v>
      </c>
      <c r="L386" s="21" t="n">
        <v>40</v>
      </c>
      <c r="M386" s="21" t="n">
        <v>6</v>
      </c>
    </row>
    <row r="387">
      <c r="A387" s="21" t="inlineStr">
        <is>
          <t>Maintenance biomédicale</t>
        </is>
      </c>
      <c r="B387" s="21" t="inlineStr">
        <is>
          <t>L1</t>
        </is>
      </c>
      <c r="C387" s="21" t="inlineStr">
        <is>
          <t>1</t>
        </is>
      </c>
      <c r="D387" s="21" t="inlineStr">
        <is>
          <t>UE4</t>
        </is>
      </c>
      <c r="E387" s="21" t="inlineStr">
        <is>
          <t>Introduction à la maintenance biomédicale</t>
        </is>
      </c>
      <c r="F387" s="21" t="inlineStr">
        <is>
          <t>- Introduction aux pannes et types de maintenance.</t>
        </is>
      </c>
      <c r="H387" s="21" t="n">
        <v>4</v>
      </c>
      <c r="I387" s="21" t="n">
        <v>2</v>
      </c>
      <c r="J387" s="21" t="n">
        <v>4</v>
      </c>
      <c r="K387" s="21" t="n">
        <v>10</v>
      </c>
      <c r="L387" s="21" t="n">
        <v>40</v>
      </c>
      <c r="M387" s="21" t="n">
        <v>6</v>
      </c>
    </row>
    <row r="388">
      <c r="A388" s="21" t="inlineStr">
        <is>
          <t>Maintenance biomédicale</t>
        </is>
      </c>
      <c r="B388" s="21" t="inlineStr">
        <is>
          <t>L1</t>
        </is>
      </c>
      <c r="C388" s="21" t="inlineStr">
        <is>
          <t>1</t>
        </is>
      </c>
      <c r="D388" s="21" t="inlineStr">
        <is>
          <t>UE5</t>
        </is>
      </c>
      <c r="E388" s="21" t="inlineStr">
        <is>
          <t>Communication et TIC</t>
        </is>
      </c>
      <c r="F388" s="21" t="inlineStr">
        <is>
          <t>- Bases de communication professionnelle.</t>
        </is>
      </c>
      <c r="H388" s="21" t="n">
        <v>6</v>
      </c>
      <c r="I388" s="21" t="n">
        <v>4</v>
      </c>
      <c r="J388" s="21" t="n">
        <v>0</v>
      </c>
      <c r="K388" s="21" t="n">
        <v>10</v>
      </c>
      <c r="L388" s="21" t="n">
        <v>35</v>
      </c>
      <c r="M388" s="21" t="n">
        <v>3</v>
      </c>
    </row>
    <row r="389">
      <c r="A389" s="21" t="inlineStr">
        <is>
          <t>Maintenance biomédicale</t>
        </is>
      </c>
      <c r="B389" s="21" t="inlineStr">
        <is>
          <t>L1</t>
        </is>
      </c>
      <c r="C389" s="21" t="inlineStr">
        <is>
          <t>1</t>
        </is>
      </c>
      <c r="D389" s="21" t="inlineStr">
        <is>
          <t>UE5</t>
        </is>
      </c>
      <c r="E389" s="21" t="inlineStr">
        <is>
          <t>Communication et TIC</t>
        </is>
      </c>
      <c r="F389" s="21" t="inlineStr">
        <is>
          <t>- Rédaction simple de rapports techniques.</t>
        </is>
      </c>
      <c r="H389" s="21" t="n">
        <v>6</v>
      </c>
      <c r="I389" s="21" t="n">
        <v>4</v>
      </c>
      <c r="K389" s="21" t="n">
        <v>10</v>
      </c>
      <c r="L389" s="21" t="n">
        <v>35</v>
      </c>
      <c r="M389" s="21" t="n">
        <v>3</v>
      </c>
    </row>
    <row r="390">
      <c r="A390" s="21" t="inlineStr">
        <is>
          <t>Maintenance biomédicale</t>
        </is>
      </c>
      <c r="B390" s="21" t="inlineStr">
        <is>
          <t>L1</t>
        </is>
      </c>
      <c r="C390" s="21" t="inlineStr">
        <is>
          <t>1</t>
        </is>
      </c>
      <c r="D390" s="21" t="inlineStr">
        <is>
          <t>UE5</t>
        </is>
      </c>
      <c r="E390" s="21" t="inlineStr">
        <is>
          <t>Communication et TIC</t>
        </is>
      </c>
      <c r="F390" s="21" t="inlineStr">
        <is>
          <t>- TIC appliquées : initiation Word/Excel pour inventaire d’équipements.</t>
        </is>
      </c>
      <c r="H390" s="21" t="n">
        <v>6</v>
      </c>
      <c r="I390" s="21" t="n">
        <v>4</v>
      </c>
      <c r="K390" s="21" t="n">
        <v>10</v>
      </c>
      <c r="L390" s="21" t="n">
        <v>35</v>
      </c>
      <c r="M390" s="21" t="n">
        <v>3</v>
      </c>
    </row>
    <row r="391">
      <c r="A391" s="21" t="inlineStr">
        <is>
          <t>Maintenance biomédicale</t>
        </is>
      </c>
      <c r="B391" s="21" t="inlineStr">
        <is>
          <t>L1</t>
        </is>
      </c>
      <c r="C391" s="21" t="inlineStr">
        <is>
          <t>1</t>
        </is>
      </c>
      <c r="D391" s="21" t="inlineStr">
        <is>
          <t>UE5</t>
        </is>
      </c>
      <c r="E391" s="21" t="inlineStr">
        <is>
          <t>Communication et TIC</t>
        </is>
      </c>
      <c r="F391" s="21" t="inlineStr">
        <is>
          <t>- Début de sensibilisation au travail en équipe interdisciplinaire.</t>
        </is>
      </c>
      <c r="H391" s="21" t="n">
        <v>3</v>
      </c>
      <c r="I391" s="21" t="n">
        <v>2</v>
      </c>
      <c r="K391" s="21" t="n">
        <v>5</v>
      </c>
      <c r="L391" s="21" t="n">
        <v>35</v>
      </c>
      <c r="M391" s="21" t="n">
        <v>3</v>
      </c>
    </row>
    <row r="392">
      <c r="A392" s="21" t="inlineStr">
        <is>
          <t>Maintenance biomédicale</t>
        </is>
      </c>
      <c r="B392" s="21" t="inlineStr">
        <is>
          <t>L1</t>
        </is>
      </c>
      <c r="C392" s="21" t="inlineStr">
        <is>
          <t>1</t>
        </is>
      </c>
      <c r="D392" s="21" t="inlineStr">
        <is>
          <t>UE6</t>
        </is>
      </c>
      <c r="E392" s="21" t="inlineStr">
        <is>
          <t>Anglais technique</t>
        </is>
      </c>
      <c r="F392" s="21" t="inlineStr">
        <is>
          <t>- Vocabulaire médical et technique de base.</t>
        </is>
      </c>
      <c r="H392" s="21" t="n">
        <v>4</v>
      </c>
      <c r="I392" s="21" t="n">
        <v>6</v>
      </c>
      <c r="J392" s="21" t="n">
        <v>0</v>
      </c>
      <c r="K392" s="21" t="n">
        <v>10</v>
      </c>
      <c r="L392" s="21" t="n">
        <v>30</v>
      </c>
      <c r="M392" s="21" t="n">
        <v>3</v>
      </c>
    </row>
    <row r="393">
      <c r="A393" s="21" t="inlineStr">
        <is>
          <t>Maintenance biomédicale</t>
        </is>
      </c>
      <c r="B393" s="21" t="inlineStr">
        <is>
          <t>L1</t>
        </is>
      </c>
      <c r="C393" s="21" t="inlineStr">
        <is>
          <t>1</t>
        </is>
      </c>
      <c r="D393" s="21" t="inlineStr">
        <is>
          <t>UE6</t>
        </is>
      </c>
      <c r="E393" s="21" t="inlineStr">
        <is>
          <t>Anglais technique</t>
        </is>
      </c>
      <c r="F393" s="21" t="inlineStr">
        <is>
          <t>- Lecture de fiches techniques d’équipements.</t>
        </is>
      </c>
      <c r="H393" s="21" t="n">
        <v>4</v>
      </c>
      <c r="I393" s="21" t="n">
        <v>4</v>
      </c>
      <c r="K393" s="21" t="n">
        <v>8</v>
      </c>
      <c r="L393" s="21" t="n">
        <v>30</v>
      </c>
      <c r="M393" s="21" t="n">
        <v>3</v>
      </c>
    </row>
    <row r="394">
      <c r="A394" s="21" t="inlineStr">
        <is>
          <t>Maintenance biomédicale</t>
        </is>
      </c>
      <c r="B394" s="21" t="inlineStr">
        <is>
          <t>L1</t>
        </is>
      </c>
      <c r="C394" s="21" t="inlineStr">
        <is>
          <t>1</t>
        </is>
      </c>
      <c r="D394" s="21" t="inlineStr">
        <is>
          <t>UE6</t>
        </is>
      </c>
      <c r="E394" s="21" t="inlineStr">
        <is>
          <t>Anglais technique</t>
        </is>
      </c>
      <c r="F394" s="21" t="inlineStr">
        <is>
          <t>- Exercices de traduction de notices.</t>
        </is>
      </c>
      <c r="H394" s="21" t="n">
        <v>6</v>
      </c>
      <c r="I394" s="21" t="n">
        <v>6</v>
      </c>
      <c r="K394" s="21" t="n">
        <v>12</v>
      </c>
      <c r="L394" s="21" t="n">
        <v>30</v>
      </c>
      <c r="M394" s="21" t="n">
        <v>3</v>
      </c>
    </row>
    <row r="395">
      <c r="A395" s="21" t="inlineStr">
        <is>
          <t>Maintenance biomédicale</t>
        </is>
      </c>
      <c r="B395" s="21" t="inlineStr">
        <is>
          <t>L1</t>
        </is>
      </c>
      <c r="C395" s="21" t="inlineStr">
        <is>
          <t>2</t>
        </is>
      </c>
      <c r="D395" s="21" t="inlineStr">
        <is>
          <t>UE7</t>
        </is>
      </c>
      <c r="E395" s="21" t="inlineStr">
        <is>
          <t>Électrotechnique de base</t>
        </is>
      </c>
      <c r="F395" s="21" t="inlineStr">
        <is>
          <t>- Lois fondamentales de l’électricité (Ohm, Kirchhoff).</t>
        </is>
      </c>
      <c r="H395" s="21" t="n">
        <v>8</v>
      </c>
      <c r="I395" s="21" t="n">
        <v>6</v>
      </c>
      <c r="J395" s="21" t="n">
        <v>3</v>
      </c>
      <c r="K395" s="21" t="n">
        <v>17</v>
      </c>
      <c r="L395" s="21" t="n">
        <v>50</v>
      </c>
      <c r="M395" s="21" t="n">
        <v>6</v>
      </c>
    </row>
    <row r="396">
      <c r="A396" s="21" t="inlineStr">
        <is>
          <t>Maintenance biomédicale</t>
        </is>
      </c>
      <c r="B396" s="21" t="inlineStr">
        <is>
          <t>L1</t>
        </is>
      </c>
      <c r="C396" s="21" t="inlineStr">
        <is>
          <t>2</t>
        </is>
      </c>
      <c r="D396" s="21" t="inlineStr">
        <is>
          <t>UE7</t>
        </is>
      </c>
      <c r="E396" s="21" t="inlineStr">
        <is>
          <t>Électrotechnique de base</t>
        </is>
      </c>
      <c r="F396" s="21" t="inlineStr">
        <is>
          <t>- Circuits AC/DC, transformateurs, relais.</t>
        </is>
      </c>
      <c r="H396" s="21" t="n">
        <v>8</v>
      </c>
      <c r="I396" s="21" t="n">
        <v>5</v>
      </c>
      <c r="J396" s="21" t="n">
        <v>5</v>
      </c>
      <c r="K396" s="21" t="n">
        <v>18</v>
      </c>
      <c r="L396" s="21" t="n">
        <v>50</v>
      </c>
      <c r="M396" s="21" t="n">
        <v>6</v>
      </c>
    </row>
    <row r="397">
      <c r="A397" s="21" t="inlineStr">
        <is>
          <t>Maintenance biomédicale</t>
        </is>
      </c>
      <c r="B397" s="21" t="inlineStr">
        <is>
          <t>L1</t>
        </is>
      </c>
      <c r="C397" s="21" t="inlineStr">
        <is>
          <t>2</t>
        </is>
      </c>
      <c r="D397" s="21" t="inlineStr">
        <is>
          <t>UE7</t>
        </is>
      </c>
      <c r="E397" s="21" t="inlineStr">
        <is>
          <t>Électrotechnique de base</t>
        </is>
      </c>
      <c r="F397" s="21" t="inlineStr">
        <is>
          <t>- Applications sur équipements biomédicaux.</t>
        </is>
      </c>
      <c r="H397" s="21" t="n">
        <v>4</v>
      </c>
      <c r="I397" s="21" t="n">
        <v>2</v>
      </c>
      <c r="J397" s="21" t="n">
        <v>3</v>
      </c>
      <c r="K397" s="21" t="n">
        <v>9</v>
      </c>
      <c r="L397" s="21" t="n">
        <v>50</v>
      </c>
      <c r="M397" s="21" t="n">
        <v>6</v>
      </c>
    </row>
    <row r="398">
      <c r="A398" s="21" t="inlineStr">
        <is>
          <t>Maintenance biomédicale</t>
        </is>
      </c>
      <c r="B398" s="21" t="inlineStr">
        <is>
          <t>L1</t>
        </is>
      </c>
      <c r="C398" s="21" t="inlineStr">
        <is>
          <t>2</t>
        </is>
      </c>
      <c r="D398" s="21" t="inlineStr">
        <is>
          <t>UE7</t>
        </is>
      </c>
      <c r="E398" s="21" t="inlineStr">
        <is>
          <t>Électrotechnique de base</t>
        </is>
      </c>
      <c r="F398" s="21" t="inlineStr">
        <is>
          <t>- Travaux pratiques : mesures avec multimètre, diagnostic simple.</t>
        </is>
      </c>
      <c r="I398" s="21" t="n">
        <v>2</v>
      </c>
      <c r="J398" s="21" t="n">
        <v>4</v>
      </c>
      <c r="K398" s="21" t="n">
        <v>6</v>
      </c>
      <c r="L398" s="21" t="n">
        <v>50</v>
      </c>
      <c r="M398" s="21" t="n">
        <v>6</v>
      </c>
    </row>
    <row r="399">
      <c r="A399" s="21" t="inlineStr">
        <is>
          <t>Maintenance biomédicale</t>
        </is>
      </c>
      <c r="B399" s="21" t="inlineStr">
        <is>
          <t>L1</t>
        </is>
      </c>
      <c r="C399" s="21" t="inlineStr">
        <is>
          <t>2</t>
        </is>
      </c>
      <c r="D399" s="21" t="inlineStr">
        <is>
          <t>UE8</t>
        </is>
      </c>
      <c r="E399" s="21" t="inlineStr">
        <is>
          <t>Matériaux et composants électroniques</t>
        </is>
      </c>
      <c r="F399" s="21" t="inlineStr">
        <is>
          <t>- Composants de base : résistances, condensateurs, diodes, transistors.</t>
        </is>
      </c>
      <c r="H399" s="21" t="n">
        <v>8</v>
      </c>
      <c r="I399" s="21" t="n">
        <v>5</v>
      </c>
      <c r="J399" s="21" t="n">
        <v>7</v>
      </c>
      <c r="K399" s="21" t="n">
        <v>20</v>
      </c>
      <c r="L399" s="21" t="n">
        <v>50</v>
      </c>
      <c r="M399" s="21" t="n">
        <v>6</v>
      </c>
    </row>
    <row r="400">
      <c r="A400" s="21" t="inlineStr">
        <is>
          <t>Maintenance biomédicale</t>
        </is>
      </c>
      <c r="B400" s="21" t="inlineStr">
        <is>
          <t>L1</t>
        </is>
      </c>
      <c r="C400" s="21" t="inlineStr">
        <is>
          <t>2</t>
        </is>
      </c>
      <c r="D400" s="21" t="inlineStr">
        <is>
          <t>UE8</t>
        </is>
      </c>
      <c r="E400" s="21" t="inlineStr">
        <is>
          <t>Matériaux et composants électroniques</t>
        </is>
      </c>
      <c r="F400" s="21" t="inlineStr">
        <is>
          <t>- Lecture de schémas électroniques simples.</t>
        </is>
      </c>
      <c r="H400" s="21" t="n">
        <v>5</v>
      </c>
      <c r="I400" s="21" t="n">
        <v>5</v>
      </c>
      <c r="J400" s="21" t="n">
        <v>6</v>
      </c>
      <c r="K400" s="21" t="n">
        <v>16</v>
      </c>
      <c r="L400" s="21" t="n">
        <v>50</v>
      </c>
      <c r="M400" s="21" t="n">
        <v>6</v>
      </c>
    </row>
    <row r="401">
      <c r="A401" s="21" t="inlineStr">
        <is>
          <t>Maintenance biomédicale</t>
        </is>
      </c>
      <c r="B401" s="21" t="inlineStr">
        <is>
          <t>L1</t>
        </is>
      </c>
      <c r="C401" s="21" t="inlineStr">
        <is>
          <t>2</t>
        </is>
      </c>
      <c r="D401" s="21" t="inlineStr">
        <is>
          <t>UE8</t>
        </is>
      </c>
      <c r="E401" s="21" t="inlineStr">
        <is>
          <t>Matériaux et composants électroniques</t>
        </is>
      </c>
      <c r="F401" s="21" t="inlineStr">
        <is>
          <t>- Applications sur cartes d’équipements médicaux.</t>
        </is>
      </c>
      <c r="H401" s="21" t="n">
        <v>5</v>
      </c>
      <c r="I401" s="21" t="n">
        <v>4</v>
      </c>
      <c r="J401" s="21" t="n">
        <v>5</v>
      </c>
      <c r="K401" s="21" t="n">
        <v>14</v>
      </c>
      <c r="L401" s="21" t="n">
        <v>50</v>
      </c>
      <c r="M401" s="21" t="n">
        <v>6</v>
      </c>
    </row>
    <row r="402">
      <c r="A402" s="21" t="inlineStr">
        <is>
          <t>Maintenance biomédicale</t>
        </is>
      </c>
      <c r="B402" s="21" t="inlineStr">
        <is>
          <t>L1</t>
        </is>
      </c>
      <c r="C402" s="21" t="inlineStr">
        <is>
          <t>2</t>
        </is>
      </c>
      <c r="D402" s="21" t="inlineStr">
        <is>
          <t>UE9</t>
        </is>
      </c>
      <c r="E402" s="21" t="inlineStr">
        <is>
          <t>Initiation aux systèmes hospitaliers</t>
        </is>
      </c>
      <c r="F402" s="21" t="inlineStr">
        <is>
          <t>- Organisation des services hospitaliers : réanimation, bloc, imagerie, laboratoire.</t>
        </is>
      </c>
      <c r="H402" s="21" t="n">
        <v>4</v>
      </c>
      <c r="I402" s="21" t="n">
        <v>4</v>
      </c>
      <c r="J402" s="21" t="n">
        <v>2</v>
      </c>
      <c r="K402" s="21" t="n">
        <v>10</v>
      </c>
      <c r="L402" s="21" t="n">
        <v>30</v>
      </c>
      <c r="M402" s="21" t="n">
        <v>6</v>
      </c>
    </row>
    <row r="403">
      <c r="A403" s="21" t="inlineStr">
        <is>
          <t>Maintenance biomédicale</t>
        </is>
      </c>
      <c r="B403" s="21" t="inlineStr">
        <is>
          <t>L1</t>
        </is>
      </c>
      <c r="C403" s="21" t="inlineStr">
        <is>
          <t>2</t>
        </is>
      </c>
      <c r="D403" s="21" t="inlineStr">
        <is>
          <t>UE9</t>
        </is>
      </c>
      <c r="E403" s="21" t="inlineStr">
        <is>
          <t>Initiation aux systèmes hospitaliers</t>
        </is>
      </c>
      <c r="F403" s="21" t="inlineStr">
        <is>
          <t>- Équipements clés par service (respirateur, autoclave, analyseur).</t>
        </is>
      </c>
      <c r="H403" s="21" t="n">
        <v>4</v>
      </c>
      <c r="I403" s="21" t="n">
        <v>4</v>
      </c>
      <c r="J403" s="21" t="n">
        <v>4</v>
      </c>
      <c r="K403" s="21" t="n">
        <v>12</v>
      </c>
      <c r="L403" s="21" t="n">
        <v>30</v>
      </c>
      <c r="M403" s="21" t="n">
        <v>6</v>
      </c>
    </row>
    <row r="404">
      <c r="A404" s="21" t="inlineStr">
        <is>
          <t>Maintenance biomédicale</t>
        </is>
      </c>
      <c r="B404" s="21" t="inlineStr">
        <is>
          <t>L1</t>
        </is>
      </c>
      <c r="C404" s="21" t="inlineStr">
        <is>
          <t>2</t>
        </is>
      </c>
      <c r="D404" s="21" t="inlineStr">
        <is>
          <t>UE9</t>
        </is>
      </c>
      <c r="E404" s="21" t="inlineStr">
        <is>
          <t>Initiation aux systèmes hospitaliers</t>
        </is>
      </c>
      <c r="F404" s="21" t="inlineStr">
        <is>
          <t>- Introduction à l’infrastructure hospitalière (électricité, eau, gaz médicaux).</t>
        </is>
      </c>
      <c r="H404" s="21" t="n">
        <v>2</v>
      </c>
      <c r="I404" s="21" t="n">
        <v>2</v>
      </c>
      <c r="J404" s="21" t="n">
        <v>4</v>
      </c>
      <c r="K404" s="21" t="n">
        <v>8</v>
      </c>
      <c r="L404" s="21" t="n">
        <v>30</v>
      </c>
      <c r="M404" s="21" t="n">
        <v>6</v>
      </c>
    </row>
    <row r="405">
      <c r="A405" s="21" t="inlineStr">
        <is>
          <t>Maintenance biomédicale</t>
        </is>
      </c>
      <c r="B405" s="21" t="inlineStr">
        <is>
          <t>L1</t>
        </is>
      </c>
      <c r="C405" s="21" t="inlineStr">
        <is>
          <t>2</t>
        </is>
      </c>
      <c r="D405" s="21" t="inlineStr">
        <is>
          <t>UE10</t>
        </is>
      </c>
      <c r="E405" s="21" t="inlineStr">
        <is>
          <t>Sécurité et hygiène hospitalière</t>
        </is>
      </c>
      <c r="F405" s="21" t="inlineStr">
        <is>
          <t>- Principes de sécurité électrique appliqués aux dispositifs médicaux.</t>
        </is>
      </c>
      <c r="H405" s="21" t="n">
        <v>6</v>
      </c>
      <c r="I405" s="21" t="n">
        <v>4</v>
      </c>
      <c r="J405" s="21" t="n">
        <v>4</v>
      </c>
      <c r="K405" s="21" t="n">
        <v>14</v>
      </c>
      <c r="L405" s="21" t="n">
        <v>40</v>
      </c>
      <c r="M405" s="21" t="n">
        <v>6</v>
      </c>
    </row>
    <row r="406">
      <c r="A406" s="21" t="inlineStr">
        <is>
          <t>Maintenance biomédicale</t>
        </is>
      </c>
      <c r="B406" s="21" t="inlineStr">
        <is>
          <t>L1</t>
        </is>
      </c>
      <c r="C406" s="21" t="inlineStr">
        <is>
          <t>2</t>
        </is>
      </c>
      <c r="D406" s="21" t="inlineStr">
        <is>
          <t>UE10</t>
        </is>
      </c>
      <c r="E406" s="21" t="inlineStr">
        <is>
          <t>Sécurité et hygiène hospitalière</t>
        </is>
      </c>
      <c r="F406" s="21" t="inlineStr">
        <is>
          <t>- Introduction à la radioprotection.</t>
        </is>
      </c>
      <c r="H406" s="21" t="n">
        <v>4</v>
      </c>
      <c r="I406" s="21" t="n">
        <v>2</v>
      </c>
      <c r="J406" s="21" t="n">
        <v>2</v>
      </c>
      <c r="K406" s="21" t="n">
        <v>8</v>
      </c>
      <c r="L406" s="21" t="n">
        <v>40</v>
      </c>
      <c r="M406" s="21" t="n">
        <v>6</v>
      </c>
    </row>
    <row r="407">
      <c r="A407" s="21" t="inlineStr">
        <is>
          <t>Maintenance biomédicale</t>
        </is>
      </c>
      <c r="B407" s="21" t="inlineStr">
        <is>
          <t>L1</t>
        </is>
      </c>
      <c r="C407" s="21" t="inlineStr">
        <is>
          <t>2</t>
        </is>
      </c>
      <c r="D407" s="21" t="inlineStr">
        <is>
          <t>UE10</t>
        </is>
      </c>
      <c r="E407" s="21" t="inlineStr">
        <is>
          <t>Sécurité et hygiène hospitalière</t>
        </is>
      </c>
      <c r="F407" s="21" t="inlineStr">
        <is>
          <t>- Hygiène hospitalière (désinfection, DASRI, biosécurité).</t>
        </is>
      </c>
      <c r="H407" s="21" t="n">
        <v>4</v>
      </c>
      <c r="I407" s="21" t="n">
        <v>2</v>
      </c>
      <c r="J407" s="21" t="n">
        <v>4</v>
      </c>
      <c r="K407" s="21" t="n">
        <v>10</v>
      </c>
      <c r="L407" s="21" t="n">
        <v>40</v>
      </c>
      <c r="M407" s="21" t="n">
        <v>6</v>
      </c>
    </row>
    <row r="408">
      <c r="A408" s="21" t="inlineStr">
        <is>
          <t>Maintenance biomédicale</t>
        </is>
      </c>
      <c r="B408" s="21" t="inlineStr">
        <is>
          <t>L1</t>
        </is>
      </c>
      <c r="C408" s="21" t="inlineStr">
        <is>
          <t>2</t>
        </is>
      </c>
      <c r="D408" s="21" t="inlineStr">
        <is>
          <t>UE10</t>
        </is>
      </c>
      <c r="E408" s="21" t="inlineStr">
        <is>
          <t>Sécurité et hygiène hospitalière</t>
        </is>
      </c>
      <c r="F408" s="21" t="inlineStr">
        <is>
          <t>- Exercices pratiques : checklist de sécurité.</t>
        </is>
      </c>
      <c r="H408" s="21" t="n">
        <v>2</v>
      </c>
      <c r="I408" s="21" t="n">
        <v>2</v>
      </c>
      <c r="J408" s="21" t="n">
        <v>4</v>
      </c>
      <c r="K408" s="21" t="n">
        <v>8</v>
      </c>
      <c r="L408" s="21" t="n">
        <v>40</v>
      </c>
      <c r="M408" s="21" t="n">
        <v>6</v>
      </c>
    </row>
    <row r="409">
      <c r="A409" s="21" t="inlineStr">
        <is>
          <t>Maintenance biomédicale</t>
        </is>
      </c>
      <c r="B409" s="21" t="inlineStr">
        <is>
          <t>L1</t>
        </is>
      </c>
      <c r="C409" s="21" t="inlineStr">
        <is>
          <t>2</t>
        </is>
      </c>
      <c r="D409" s="21" t="inlineStr">
        <is>
          <t>UE11</t>
        </is>
      </c>
      <c r="E409" s="21" t="inlineStr">
        <is>
          <t>Projet tutoré I</t>
        </is>
      </c>
      <c r="F409" s="21" t="inlineStr">
        <is>
          <t>- Mini-projet d’inventaire d’équipements.</t>
        </is>
      </c>
      <c r="H409" s="21" t="n">
        <v>4</v>
      </c>
      <c r="I409" s="21" t="n">
        <v>10</v>
      </c>
      <c r="J409" s="21" t="n">
        <v>12</v>
      </c>
      <c r="K409" s="21" t="n">
        <v>26</v>
      </c>
      <c r="L409" s="21" t="n">
        <v>54</v>
      </c>
      <c r="M409" s="21" t="n">
        <v>3</v>
      </c>
    </row>
    <row r="410">
      <c r="A410" s="21" t="inlineStr">
        <is>
          <t>Maintenance biomédicale</t>
        </is>
      </c>
      <c r="B410" s="21" t="inlineStr">
        <is>
          <t>L1</t>
        </is>
      </c>
      <c r="C410" s="21" t="inlineStr">
        <is>
          <t>2</t>
        </is>
      </c>
      <c r="D410" s="21" t="inlineStr">
        <is>
          <t>UE11</t>
        </is>
      </c>
      <c r="E410" s="21" t="inlineStr">
        <is>
          <t>Projet tutoré I</t>
        </is>
      </c>
      <c r="F410" s="21" t="inlineStr">
        <is>
          <t>- Présentation orale : fiche descriptive d’un appareil biomédical.</t>
        </is>
      </c>
      <c r="H410" s="21" t="n">
        <v>4</v>
      </c>
      <c r="I410" s="21" t="n">
        <v>6</v>
      </c>
      <c r="J410" s="21" t="n">
        <v>6</v>
      </c>
      <c r="K410" s="21" t="n">
        <v>16</v>
      </c>
      <c r="L410" s="21" t="n">
        <v>54</v>
      </c>
      <c r="M410" s="21" t="n">
        <v>3</v>
      </c>
    </row>
    <row r="411">
      <c r="A411" s="21" t="inlineStr">
        <is>
          <t>Maintenance biomédicale</t>
        </is>
      </c>
      <c r="B411" s="21" t="inlineStr">
        <is>
          <t>L1</t>
        </is>
      </c>
      <c r="C411" s="21" t="inlineStr">
        <is>
          <t>2</t>
        </is>
      </c>
      <c r="D411" s="21" t="inlineStr">
        <is>
          <t>UE11</t>
        </is>
      </c>
      <c r="E411" s="21" t="inlineStr">
        <is>
          <t>Projet tutoré I</t>
        </is>
      </c>
      <c r="F411" s="21" t="inlineStr">
        <is>
          <t>- Travail en binôme pour renforcer communication et adaptation.</t>
        </is>
      </c>
      <c r="H411" s="21" t="n">
        <v>4</v>
      </c>
      <c r="I411" s="21" t="n">
        <v>4</v>
      </c>
      <c r="J411" s="21" t="n">
        <v>4</v>
      </c>
      <c r="K411" s="21" t="n">
        <v>12</v>
      </c>
      <c r="L411" s="21" t="n">
        <v>54</v>
      </c>
      <c r="M411" s="21" t="n">
        <v>3</v>
      </c>
    </row>
    <row r="412">
      <c r="A412" s="21" t="inlineStr">
        <is>
          <t>Maintenance biomédicale</t>
        </is>
      </c>
      <c r="B412" s="21" t="inlineStr">
        <is>
          <t>L1</t>
        </is>
      </c>
      <c r="C412" s="21" t="inlineStr">
        <is>
          <t>2</t>
        </is>
      </c>
      <c r="D412" s="21" t="inlineStr">
        <is>
          <t>UE12</t>
        </is>
      </c>
      <c r="E412" s="21" t="inlineStr">
        <is>
          <t>Stage d’observation (2 semaines)</t>
        </is>
      </c>
      <c r="F412" s="21" t="inlineStr">
        <is>
          <t>(Stage externe ).</t>
        </is>
      </c>
      <c r="K412" s="21" t="n">
        <v>90</v>
      </c>
      <c r="L412" s="21" t="n">
        <v>90</v>
      </c>
      <c r="M412" s="21" t="n">
        <v>3</v>
      </c>
    </row>
    <row r="413">
      <c r="A413" s="21" t="inlineStr">
        <is>
          <t>Maintenance biomédicale</t>
        </is>
      </c>
      <c r="B413" s="21" t="inlineStr">
        <is>
          <t>L2</t>
        </is>
      </c>
      <c r="C413" s="21" t="inlineStr">
        <is>
          <t>3</t>
        </is>
      </c>
      <c r="D413" s="21" t="inlineStr">
        <is>
          <t>UE13</t>
        </is>
      </c>
      <c r="E413" s="21" t="inlineStr">
        <is>
          <t>Circuits électriques et électroniques appliqués</t>
        </is>
      </c>
      <c r="F413" s="21" t="inlineStr">
        <is>
          <t>- Circuits AC/DC complexes, transformateurs, redresseurs, filtres.</t>
        </is>
      </c>
      <c r="H413" s="21" t="n">
        <v>8</v>
      </c>
      <c r="I413" s="21" t="n">
        <v>6</v>
      </c>
      <c r="J413" s="21" t="n">
        <v>8</v>
      </c>
      <c r="K413" s="21" t="n">
        <v>22</v>
      </c>
      <c r="L413" s="21" t="n">
        <v>60</v>
      </c>
      <c r="M413" s="21" t="n">
        <v>6</v>
      </c>
    </row>
    <row r="414">
      <c r="A414" s="21" t="inlineStr">
        <is>
          <t>Maintenance biomédicale</t>
        </is>
      </c>
      <c r="B414" s="21" t="inlineStr">
        <is>
          <t>L2</t>
        </is>
      </c>
      <c r="C414" s="21" t="inlineStr">
        <is>
          <t>3</t>
        </is>
      </c>
      <c r="D414" s="21" t="inlineStr">
        <is>
          <t>UE13</t>
        </is>
      </c>
      <c r="E414" s="21" t="inlineStr">
        <is>
          <t>Circuits électriques et électroniques appliqués</t>
        </is>
      </c>
      <c r="F414" s="21" t="inlineStr">
        <is>
          <t>Notion de programmation</t>
        </is>
      </c>
      <c r="H414" s="21" t="n">
        <v>2</v>
      </c>
      <c r="I414" s="21" t="n">
        <v>4</v>
      </c>
      <c r="J414" s="21" t="n">
        <v>4</v>
      </c>
      <c r="K414" s="21" t="n">
        <v>10</v>
      </c>
      <c r="L414" s="21" t="n">
        <v>60</v>
      </c>
      <c r="M414" s="21" t="n">
        <v>6</v>
      </c>
    </row>
    <row r="415">
      <c r="A415" s="21" t="inlineStr">
        <is>
          <t>Maintenance biomédicale</t>
        </is>
      </c>
      <c r="B415" s="21" t="inlineStr">
        <is>
          <t>L2</t>
        </is>
      </c>
      <c r="C415" s="21" t="inlineStr">
        <is>
          <t>3</t>
        </is>
      </c>
      <c r="D415" s="21" t="inlineStr">
        <is>
          <t>UE13</t>
        </is>
      </c>
      <c r="E415" s="21" t="inlineStr">
        <is>
          <t>Circuits électriques et électroniques appliqués</t>
        </is>
      </c>
      <c r="F415" s="21" t="inlineStr">
        <is>
          <t>- Composants électroniques appliqués : transistors, circuits intégrés, microcontrôleurs.</t>
        </is>
      </c>
      <c r="H415" s="21" t="n">
        <v>2</v>
      </c>
      <c r="I415" s="21" t="n">
        <v>4</v>
      </c>
      <c r="J415" s="21" t="n">
        <v>4</v>
      </c>
      <c r="K415" s="21" t="n">
        <v>10</v>
      </c>
      <c r="L415" s="21" t="n">
        <v>60</v>
      </c>
      <c r="M415" s="21" t="n">
        <v>6</v>
      </c>
    </row>
    <row r="416">
      <c r="A416" s="21" t="inlineStr">
        <is>
          <t>Maintenance biomédicale</t>
        </is>
      </c>
      <c r="B416" s="21" t="inlineStr">
        <is>
          <t>L2</t>
        </is>
      </c>
      <c r="C416" s="21" t="inlineStr">
        <is>
          <t>3</t>
        </is>
      </c>
      <c r="D416" s="21" t="inlineStr">
        <is>
          <t>UE13</t>
        </is>
      </c>
      <c r="E416" s="21" t="inlineStr">
        <is>
          <t>Circuits électriques et électroniques appliqués</t>
        </is>
      </c>
      <c r="F416" s="21" t="inlineStr">
        <is>
          <t>- Analyse de cartes électroniques biomédicales (pompes, moniteurs).</t>
        </is>
      </c>
      <c r="H416" s="21" t="n">
        <v>2</v>
      </c>
      <c r="I416" s="21" t="n">
        <v>4</v>
      </c>
      <c r="J416" s="21" t="n">
        <v>6</v>
      </c>
      <c r="K416" s="21" t="n">
        <v>12</v>
      </c>
      <c r="L416" s="21" t="n">
        <v>60</v>
      </c>
      <c r="M416" s="21" t="n">
        <v>6</v>
      </c>
    </row>
    <row r="417">
      <c r="A417" s="21" t="inlineStr">
        <is>
          <t>Maintenance biomédicale</t>
        </is>
      </c>
      <c r="B417" s="21" t="inlineStr">
        <is>
          <t>L2</t>
        </is>
      </c>
      <c r="C417" s="21" t="inlineStr">
        <is>
          <t>3</t>
        </is>
      </c>
      <c r="D417" s="21" t="inlineStr">
        <is>
          <t>UE13</t>
        </is>
      </c>
      <c r="E417" s="21" t="inlineStr">
        <is>
          <t>Circuits électriques et électroniques appliqués</t>
        </is>
      </c>
      <c r="F417" s="21" t="inlineStr">
        <is>
          <t>- Diagnostic de pannes avec multimètre et oscilloscope.</t>
        </is>
      </c>
      <c r="H417" s="21" t="n">
        <v>2</v>
      </c>
      <c r="J417" s="21" t="n">
        <v>4</v>
      </c>
      <c r="K417" s="21" t="n">
        <v>6</v>
      </c>
      <c r="L417" s="21" t="n">
        <v>60</v>
      </c>
      <c r="M417" s="21" t="n">
        <v>6</v>
      </c>
    </row>
    <row r="418">
      <c r="A418" s="21" t="inlineStr">
        <is>
          <t>Maintenance biomédicale</t>
        </is>
      </c>
      <c r="B418" s="21" t="inlineStr">
        <is>
          <t>L2</t>
        </is>
      </c>
      <c r="C418" s="21" t="inlineStr">
        <is>
          <t>3</t>
        </is>
      </c>
      <c r="D418" s="21" t="inlineStr">
        <is>
          <t>UE14</t>
        </is>
      </c>
      <c r="E418" s="21" t="inlineStr">
        <is>
          <t>Maintenance préventive/corrective</t>
        </is>
      </c>
      <c r="F418" s="21" t="inlineStr">
        <is>
          <t>- Élaboration d’un plan annuel de maintenance.</t>
        </is>
      </c>
      <c r="H418" s="21" t="n">
        <v>6</v>
      </c>
      <c r="I418" s="21" t="n">
        <v>4</v>
      </c>
      <c r="K418" s="21" t="n">
        <v>10</v>
      </c>
      <c r="L418" s="21" t="n">
        <v>50</v>
      </c>
      <c r="M418" s="21" t="n">
        <v>4</v>
      </c>
    </row>
    <row r="419">
      <c r="A419" s="21" t="inlineStr">
        <is>
          <t>Maintenance biomédicale</t>
        </is>
      </c>
      <c r="B419" s="21" t="inlineStr">
        <is>
          <t>L2</t>
        </is>
      </c>
      <c r="C419" s="21" t="inlineStr">
        <is>
          <t>3</t>
        </is>
      </c>
      <c r="D419" s="21" t="inlineStr">
        <is>
          <t>UE14</t>
        </is>
      </c>
      <c r="E419" s="21" t="inlineStr">
        <is>
          <t>Maintenance préventive/corrective</t>
        </is>
      </c>
      <c r="F419" s="21" t="inlineStr">
        <is>
          <t>- Maintenance préventive intermédiaire : planning, périodicités, checklists.</t>
        </is>
      </c>
      <c r="H419" s="21" t="n">
        <v>6</v>
      </c>
      <c r="I419" s="21" t="n">
        <v>6</v>
      </c>
      <c r="K419" s="21" t="n">
        <v>12</v>
      </c>
      <c r="L419" s="21" t="n">
        <v>50</v>
      </c>
      <c r="M419" s="21" t="n">
        <v>4</v>
      </c>
    </row>
    <row r="420">
      <c r="A420" s="21" t="inlineStr">
        <is>
          <t>Maintenance biomédicale</t>
        </is>
      </c>
      <c r="B420" s="21" t="inlineStr">
        <is>
          <t>L2</t>
        </is>
      </c>
      <c r="C420" s="21" t="inlineStr">
        <is>
          <t>3</t>
        </is>
      </c>
      <c r="D420" s="21" t="inlineStr">
        <is>
          <t>UE14</t>
        </is>
      </c>
      <c r="E420" s="21" t="inlineStr">
        <is>
          <t>Maintenance préventive/corrective</t>
        </is>
      </c>
      <c r="F420" s="21" t="inlineStr">
        <is>
          <t>- Maintenance corrective : dépannage de moniteurs, respirateurs, incubateurs.</t>
        </is>
      </c>
      <c r="H420" s="21" t="n">
        <v>4</v>
      </c>
      <c r="I420" s="21" t="n">
        <v>4</v>
      </c>
      <c r="J420" s="21" t="n">
        <v>8</v>
      </c>
      <c r="K420" s="21" t="n">
        <v>16</v>
      </c>
      <c r="L420" s="21" t="n">
        <v>50</v>
      </c>
      <c r="M420" s="21" t="n">
        <v>4</v>
      </c>
    </row>
    <row r="421">
      <c r="A421" s="21" t="inlineStr">
        <is>
          <t>Maintenance biomédicale</t>
        </is>
      </c>
      <c r="B421" s="21" t="inlineStr">
        <is>
          <t>L2</t>
        </is>
      </c>
      <c r="C421" s="21" t="inlineStr">
        <is>
          <t>3</t>
        </is>
      </c>
      <c r="D421" s="21" t="inlineStr">
        <is>
          <t>UE14</t>
        </is>
      </c>
      <c r="E421" s="21" t="inlineStr">
        <is>
          <t>Maintenance préventive/corrective</t>
        </is>
      </c>
      <c r="F421" s="21" t="inlineStr">
        <is>
          <t>- Documentation et traçabilité : rapports d’intervention.</t>
        </is>
      </c>
      <c r="H421" s="21" t="n">
        <v>2</v>
      </c>
      <c r="I421" s="21" t="n">
        <v>2</v>
      </c>
      <c r="K421" s="21" t="n">
        <v>4</v>
      </c>
      <c r="L421" s="21" t="n">
        <v>50</v>
      </c>
      <c r="M421" s="21" t="n">
        <v>4</v>
      </c>
    </row>
    <row r="422">
      <c r="A422" s="21" t="inlineStr">
        <is>
          <t>Maintenance biomédicale</t>
        </is>
      </c>
      <c r="B422" s="21" t="inlineStr">
        <is>
          <t>L2</t>
        </is>
      </c>
      <c r="C422" s="21" t="inlineStr">
        <is>
          <t>3</t>
        </is>
      </c>
      <c r="D422" s="21" t="inlineStr">
        <is>
          <t>UE14</t>
        </is>
      </c>
      <c r="E422" s="21" t="inlineStr">
        <is>
          <t>Maintenance préventive/corrective</t>
        </is>
      </c>
      <c r="F422" s="21" t="inlineStr">
        <is>
          <t>- Exercices pratiques : simulation de pannes et réparations guidées.</t>
        </is>
      </c>
      <c r="H422" s="21" t="n">
        <v>2</v>
      </c>
      <c r="I422" s="21" t="n">
        <v>2</v>
      </c>
      <c r="J422" s="21" t="n">
        <v>4</v>
      </c>
      <c r="K422" s="21" t="n">
        <v>8</v>
      </c>
      <c r="L422" s="21" t="n">
        <v>50</v>
      </c>
      <c r="M422" s="21" t="n">
        <v>4</v>
      </c>
    </row>
    <row r="423">
      <c r="A423" s="21" t="inlineStr">
        <is>
          <t>Maintenance biomédicale</t>
        </is>
      </c>
      <c r="B423" s="21" t="inlineStr">
        <is>
          <t>L2</t>
        </is>
      </c>
      <c r="C423" s="21" t="inlineStr">
        <is>
          <t>3</t>
        </is>
      </c>
      <c r="D423" s="21" t="inlineStr">
        <is>
          <t>UE15</t>
        </is>
      </c>
      <c r="E423" s="21" t="inlineStr">
        <is>
          <t>Biomédical I (monitorage, respiratoire)</t>
        </is>
      </c>
      <c r="F423" s="21" t="inlineStr">
        <is>
          <t>- Principe et fonctionnement : moniteurs multiparamétriques, défibrillateurs, respirateurs, incubateurs.</t>
        </is>
      </c>
      <c r="H423" s="21" t="n">
        <v>10</v>
      </c>
      <c r="I423" s="21" t="n">
        <v>8</v>
      </c>
      <c r="K423" s="21" t="n">
        <v>18</v>
      </c>
      <c r="L423" s="21" t="n">
        <v>60</v>
      </c>
      <c r="M423" s="21" t="n">
        <v>6</v>
      </c>
    </row>
    <row r="424">
      <c r="A424" s="21" t="inlineStr">
        <is>
          <t>Maintenance biomédicale</t>
        </is>
      </c>
      <c r="B424" s="21" t="inlineStr">
        <is>
          <t>L2</t>
        </is>
      </c>
      <c r="C424" s="21" t="inlineStr">
        <is>
          <t>3</t>
        </is>
      </c>
      <c r="D424" s="21" t="inlineStr">
        <is>
          <t>UE15</t>
        </is>
      </c>
      <c r="E424" s="21" t="inlineStr">
        <is>
          <t>Biomédical I (monitorage, respiratoire)</t>
        </is>
      </c>
      <c r="F424" s="21" t="inlineStr">
        <is>
          <t>- Diagnostic de pannes fréquentes (capteurs, batteries, modules).</t>
        </is>
      </c>
      <c r="H424" s="21" t="n">
        <v>4</v>
      </c>
      <c r="I424" s="21" t="n">
        <v>6</v>
      </c>
      <c r="J424" s="21" t="n">
        <v>4</v>
      </c>
      <c r="K424" s="21" t="n">
        <v>14</v>
      </c>
      <c r="L424" s="21" t="n">
        <v>60</v>
      </c>
      <c r="M424" s="21" t="n">
        <v>6</v>
      </c>
    </row>
    <row r="425">
      <c r="A425" s="21" t="inlineStr">
        <is>
          <t>Maintenance biomédicale</t>
        </is>
      </c>
      <c r="B425" s="21" t="inlineStr">
        <is>
          <t>L2</t>
        </is>
      </c>
      <c r="C425" s="21" t="inlineStr">
        <is>
          <t>3</t>
        </is>
      </c>
      <c r="D425" s="21" t="inlineStr">
        <is>
          <t>UE15</t>
        </is>
      </c>
      <c r="E425" s="21" t="inlineStr">
        <is>
          <t>Biomédical I (monitorage, respiratoire)</t>
        </is>
      </c>
      <c r="F425" s="21" t="inlineStr">
        <is>
          <t>- Entretien et calibration de ces équipements.</t>
        </is>
      </c>
      <c r="H425" s="21" t="n">
        <v>4</v>
      </c>
      <c r="I425" s="21" t="n">
        <v>4</v>
      </c>
      <c r="J425" s="21" t="n">
        <v>6</v>
      </c>
      <c r="K425" s="21" t="n">
        <v>14</v>
      </c>
      <c r="L425" s="21" t="n">
        <v>60</v>
      </c>
      <c r="M425" s="21" t="n">
        <v>6</v>
      </c>
    </row>
    <row r="426">
      <c r="A426" s="21" t="inlineStr">
        <is>
          <t>Maintenance biomédicale</t>
        </is>
      </c>
      <c r="B426" s="21" t="inlineStr">
        <is>
          <t>L2</t>
        </is>
      </c>
      <c r="C426" s="21" t="inlineStr">
        <is>
          <t>3</t>
        </is>
      </c>
      <c r="D426" s="21" t="inlineStr">
        <is>
          <t>UE15</t>
        </is>
      </c>
      <c r="E426" s="21" t="inlineStr">
        <is>
          <t>Biomédical I (monitorage, respiratoire)</t>
        </is>
      </c>
      <c r="F426" s="21" t="inlineStr">
        <is>
          <t>- TP pratiques sur modules de monitoring et respirateurs.</t>
        </is>
      </c>
      <c r="J426" s="21" t="n">
        <v>14</v>
      </c>
      <c r="K426" s="21" t="n">
        <v>14</v>
      </c>
      <c r="L426" s="21" t="n">
        <v>60</v>
      </c>
      <c r="M426" s="21" t="n">
        <v>6</v>
      </c>
    </row>
    <row r="427">
      <c r="A427" s="21" t="inlineStr">
        <is>
          <t>Maintenance biomédicale</t>
        </is>
      </c>
      <c r="B427" s="21" t="inlineStr">
        <is>
          <t>L2</t>
        </is>
      </c>
      <c r="C427" s="21" t="inlineStr">
        <is>
          <t>3</t>
        </is>
      </c>
      <c r="D427" s="21" t="inlineStr">
        <is>
          <t>UE16</t>
        </is>
      </c>
      <c r="E427" s="21" t="inlineStr">
        <is>
          <t>Maintenance technique (groupe, climatisation, ascenseur)</t>
        </is>
      </c>
      <c r="F427" s="21" t="inlineStr">
        <is>
          <t>- Groupes électrogènes hospitaliers : fonctionnement, maintenance préventive.</t>
        </is>
      </c>
      <c r="H427" s="21" t="n">
        <v>4</v>
      </c>
      <c r="I427" s="21" t="n">
        <v>4</v>
      </c>
      <c r="J427" s="21" t="n">
        <v>2</v>
      </c>
      <c r="K427" s="21" t="n">
        <v>10</v>
      </c>
      <c r="L427" s="21" t="n">
        <v>50</v>
      </c>
      <c r="M427" s="21" t="n">
        <v>4</v>
      </c>
    </row>
    <row r="428">
      <c r="A428" s="21" t="inlineStr">
        <is>
          <t>Maintenance biomédicale</t>
        </is>
      </c>
      <c r="B428" s="21" t="inlineStr">
        <is>
          <t>L2</t>
        </is>
      </c>
      <c r="C428" s="21" t="inlineStr">
        <is>
          <t>3</t>
        </is>
      </c>
      <c r="D428" s="21" t="inlineStr">
        <is>
          <t>UE16</t>
        </is>
      </c>
      <c r="E428" s="21" t="inlineStr">
        <is>
          <t>Maintenance technique (groupe, climatisation, ascenseur)</t>
        </is>
      </c>
      <c r="F428" s="21" t="inlineStr">
        <is>
          <t>- Onduleurs et batteries hospitalières.</t>
        </is>
      </c>
      <c r="H428" s="21" t="n">
        <v>4</v>
      </c>
      <c r="I428" s="21" t="n">
        <v>4</v>
      </c>
      <c r="J428" s="21" t="n">
        <v>2</v>
      </c>
      <c r="K428" s="21" t="n">
        <v>10</v>
      </c>
      <c r="L428" s="21" t="n">
        <v>50</v>
      </c>
      <c r="M428" s="21" t="n">
        <v>4</v>
      </c>
    </row>
    <row r="429">
      <c r="A429" s="21" t="inlineStr">
        <is>
          <t>Maintenance biomédicale</t>
        </is>
      </c>
      <c r="B429" s="21" t="inlineStr">
        <is>
          <t>L2</t>
        </is>
      </c>
      <c r="C429" s="21" t="inlineStr">
        <is>
          <t>3</t>
        </is>
      </c>
      <c r="D429" s="21" t="inlineStr">
        <is>
          <t>UE16</t>
        </is>
      </c>
      <c r="E429" s="21" t="inlineStr">
        <is>
          <t>Maintenance technique (groupe, climatisation, ascenseur)</t>
        </is>
      </c>
      <c r="F429" s="21" t="inlineStr">
        <is>
          <t>- Climatisation hospitalière (split, VRV/VRF, chambres froides vaccins et sang).</t>
        </is>
      </c>
      <c r="H429" s="21" t="n">
        <v>4</v>
      </c>
      <c r="I429" s="21" t="n">
        <v>4</v>
      </c>
      <c r="J429" s="21" t="n">
        <v>2</v>
      </c>
      <c r="K429" s="21" t="n">
        <v>10</v>
      </c>
      <c r="L429" s="21" t="n">
        <v>50</v>
      </c>
      <c r="M429" s="21" t="n">
        <v>4</v>
      </c>
    </row>
    <row r="430">
      <c r="A430" s="21" t="inlineStr">
        <is>
          <t>Maintenance biomédicale</t>
        </is>
      </c>
      <c r="B430" s="21" t="inlineStr">
        <is>
          <t>L2</t>
        </is>
      </c>
      <c r="C430" s="21" t="inlineStr">
        <is>
          <t>3</t>
        </is>
      </c>
      <c r="D430" s="21" t="inlineStr">
        <is>
          <t>UE16</t>
        </is>
      </c>
      <c r="E430" s="21" t="inlineStr">
        <is>
          <t>Maintenance technique (groupe, climatisation, ascenseur)</t>
        </is>
      </c>
      <c r="F430" s="21" t="inlineStr">
        <is>
          <t>- Ventilation des blocs opératoires : flux laminaire, filtres HEPA.</t>
        </is>
      </c>
      <c r="H430" s="21" t="n">
        <v>4</v>
      </c>
      <c r="I430" s="21" t="n">
        <v>2</v>
      </c>
      <c r="J430" s="21" t="n">
        <v>4</v>
      </c>
      <c r="K430" s="21" t="n">
        <v>10</v>
      </c>
      <c r="L430" s="21" t="n">
        <v>50</v>
      </c>
      <c r="M430" s="21" t="n">
        <v>4</v>
      </c>
    </row>
    <row r="431">
      <c r="A431" s="21" t="inlineStr">
        <is>
          <t>Maintenance biomédicale</t>
        </is>
      </c>
      <c r="B431" s="21" t="inlineStr">
        <is>
          <t>L2</t>
        </is>
      </c>
      <c r="C431" s="21" t="inlineStr">
        <is>
          <t>3</t>
        </is>
      </c>
      <c r="D431" s="21" t="inlineStr">
        <is>
          <t>UE16</t>
        </is>
      </c>
      <c r="E431" s="21" t="inlineStr">
        <is>
          <t>Maintenance technique (groupe, climatisation, ascenseur)</t>
        </is>
      </c>
      <c r="F431" s="21" t="inlineStr">
        <is>
          <t>- Ascenseurs hospitaliers : sécurité, contrôle des mécanismes et protocoles d’évacuation.</t>
        </is>
      </c>
      <c r="H431" s="21" t="n">
        <v>2</v>
      </c>
      <c r="I431" s="21" t="n">
        <v>2</v>
      </c>
      <c r="J431" s="21" t="n">
        <v>6</v>
      </c>
      <c r="K431" s="21" t="n">
        <v>10</v>
      </c>
      <c r="L431" s="21" t="n">
        <v>50</v>
      </c>
      <c r="M431" s="21" t="n">
        <v>4</v>
      </c>
    </row>
    <row r="432">
      <c r="A432" s="21" t="inlineStr">
        <is>
          <t>Maintenance biomédicale</t>
        </is>
      </c>
      <c r="B432" s="21" t="inlineStr">
        <is>
          <t>L2</t>
        </is>
      </c>
      <c r="C432" s="21" t="inlineStr">
        <is>
          <t>3</t>
        </is>
      </c>
      <c r="D432" s="21" t="inlineStr">
        <is>
          <t>UE17</t>
        </is>
      </c>
      <c r="E432" s="21" t="inlineStr">
        <is>
          <t>Informatique réseau hospitalier</t>
        </is>
      </c>
      <c r="F432" s="21" t="inlineStr">
        <is>
          <t>- Réseaux informatiques : LAN, câblage, configuration basique switch/routeur.</t>
        </is>
      </c>
      <c r="H432" s="21" t="n">
        <v>4</v>
      </c>
      <c r="I432" s="21" t="n">
        <v>4</v>
      </c>
      <c r="J432" s="21" t="n">
        <v>4</v>
      </c>
      <c r="K432" s="21" t="n">
        <v>12</v>
      </c>
      <c r="L432" s="21" t="n">
        <v>50</v>
      </c>
      <c r="M432" s="21" t="n">
        <v>4</v>
      </c>
    </row>
    <row r="433">
      <c r="A433" s="21" t="inlineStr">
        <is>
          <t>Maintenance biomédicale</t>
        </is>
      </c>
      <c r="B433" s="21" t="inlineStr">
        <is>
          <t>L2</t>
        </is>
      </c>
      <c r="C433" s="21" t="inlineStr">
        <is>
          <t>3</t>
        </is>
      </c>
      <c r="D433" s="21" t="inlineStr">
        <is>
          <t>UE17</t>
        </is>
      </c>
      <c r="E433" s="21" t="inlineStr">
        <is>
          <t>Informatique réseau hospitalier</t>
        </is>
      </c>
      <c r="F433" s="21" t="inlineStr">
        <is>
          <t>- Applications hospitalières : PACS, dossiers médicaux électroniques.</t>
        </is>
      </c>
      <c r="H433" s="21" t="n">
        <v>6</v>
      </c>
      <c r="I433" s="21" t="n">
        <v>4</v>
      </c>
      <c r="J433" s="21" t="n">
        <v>2</v>
      </c>
      <c r="K433" s="21" t="n">
        <v>12</v>
      </c>
      <c r="L433" s="21" t="n">
        <v>50</v>
      </c>
      <c r="M433" s="21" t="n">
        <v>4</v>
      </c>
    </row>
    <row r="434">
      <c r="A434" s="21" t="inlineStr">
        <is>
          <t>Maintenance biomédicale</t>
        </is>
      </c>
      <c r="B434" s="21" t="inlineStr">
        <is>
          <t>L2</t>
        </is>
      </c>
      <c r="C434" s="21" t="inlineStr">
        <is>
          <t>3</t>
        </is>
      </c>
      <c r="D434" s="21" t="inlineStr">
        <is>
          <t>UE17</t>
        </is>
      </c>
      <c r="E434" s="21" t="inlineStr">
        <is>
          <t>Informatique réseau hospitalier</t>
        </is>
      </c>
      <c r="F434" s="21" t="inlineStr">
        <is>
          <t>- Cybersécurité appliquée au biomédical.</t>
        </is>
      </c>
      <c r="H434" s="21" t="n">
        <v>4</v>
      </c>
      <c r="I434" s="21" t="n">
        <v>6</v>
      </c>
      <c r="J434" s="21" t="n">
        <v>4</v>
      </c>
      <c r="K434" s="21" t="n">
        <v>14</v>
      </c>
      <c r="L434" s="21" t="n">
        <v>50</v>
      </c>
      <c r="M434" s="21" t="n">
        <v>4</v>
      </c>
    </row>
    <row r="435">
      <c r="A435" s="21" t="inlineStr">
        <is>
          <t>Maintenance biomédicale</t>
        </is>
      </c>
      <c r="B435" s="21" t="inlineStr">
        <is>
          <t>L2</t>
        </is>
      </c>
      <c r="C435" s="21" t="inlineStr">
        <is>
          <t>3</t>
        </is>
      </c>
      <c r="D435" s="21" t="inlineStr">
        <is>
          <t>UE17</t>
        </is>
      </c>
      <c r="E435" s="21" t="inlineStr">
        <is>
          <t>Informatique réseau hospitalier</t>
        </is>
      </c>
      <c r="F435" s="21" t="inlineStr">
        <is>
          <t>- Introduction aux GMAO et logiciels de diagnostic connectés.</t>
        </is>
      </c>
      <c r="H435" s="21" t="n">
        <v>4</v>
      </c>
      <c r="I435" s="21" t="n">
        <v>2</v>
      </c>
      <c r="J435" s="21" t="n">
        <v>6</v>
      </c>
      <c r="K435" s="21" t="n">
        <v>12</v>
      </c>
      <c r="L435" s="21" t="n">
        <v>50</v>
      </c>
      <c r="M435" s="21" t="n">
        <v>4</v>
      </c>
    </row>
    <row r="436">
      <c r="A436" s="21" t="inlineStr">
        <is>
          <t>Maintenance biomédicale</t>
        </is>
      </c>
      <c r="B436" s="21" t="inlineStr">
        <is>
          <t>L2</t>
        </is>
      </c>
      <c r="C436" s="21" t="inlineStr">
        <is>
          <t>3</t>
        </is>
      </c>
      <c r="D436" s="21" t="inlineStr">
        <is>
          <t>UE17</t>
        </is>
      </c>
      <c r="E436" s="21" t="inlineStr">
        <is>
          <t>Informatique réseau hospitalier</t>
        </is>
      </c>
      <c r="F436" s="21" t="inlineStr">
        <is>
          <t>- Vocabulaire médical et technique de base.</t>
        </is>
      </c>
      <c r="H436" s="21" t="n">
        <v>4</v>
      </c>
      <c r="I436" s="21" t="n">
        <v>4</v>
      </c>
      <c r="J436" s="21" t="n">
        <v>2</v>
      </c>
      <c r="K436" s="21" t="n">
        <v>10</v>
      </c>
      <c r="L436" s="21" t="n">
        <v>30</v>
      </c>
      <c r="M436" s="21" t="n">
        <v>3</v>
      </c>
    </row>
    <row r="437">
      <c r="A437" s="21" t="inlineStr">
        <is>
          <t>Maintenance biomédicale</t>
        </is>
      </c>
      <c r="B437" s="21" t="inlineStr">
        <is>
          <t>L2</t>
        </is>
      </c>
      <c r="C437" s="21" t="inlineStr">
        <is>
          <t>3</t>
        </is>
      </c>
      <c r="D437" s="21" t="inlineStr">
        <is>
          <t>UE17</t>
        </is>
      </c>
      <c r="E437" s="21" t="inlineStr">
        <is>
          <t>Informatique réseau hospitalier</t>
        </is>
      </c>
      <c r="F437" s="21" t="inlineStr">
        <is>
          <t>- Lecture de fiches techniques d’équipements.</t>
        </is>
      </c>
      <c r="H437" s="21" t="n">
        <v>4</v>
      </c>
      <c r="I437" s="21" t="n">
        <v>4</v>
      </c>
      <c r="J437" s="21" t="n">
        <v>2</v>
      </c>
      <c r="K437" s="21" t="n">
        <v>10</v>
      </c>
      <c r="L437" s="21" t="n">
        <v>30</v>
      </c>
      <c r="M437" s="21" t="n">
        <v>3</v>
      </c>
    </row>
    <row r="438">
      <c r="A438" s="21" t="inlineStr">
        <is>
          <t>Maintenance biomédicale</t>
        </is>
      </c>
      <c r="B438" s="21" t="inlineStr">
        <is>
          <t>L2</t>
        </is>
      </c>
      <c r="C438" s="21" t="inlineStr">
        <is>
          <t>3</t>
        </is>
      </c>
      <c r="D438" s="21" t="inlineStr">
        <is>
          <t>UE17</t>
        </is>
      </c>
      <c r="E438" s="21" t="inlineStr">
        <is>
          <t>Informatique réseau hospitalier</t>
        </is>
      </c>
      <c r="F438" s="21" t="inlineStr">
        <is>
          <t>- Exercices de traduction de notices.</t>
        </is>
      </c>
      <c r="H438" s="21" t="n">
        <v>2</v>
      </c>
      <c r="I438" s="21" t="n">
        <v>8</v>
      </c>
      <c r="K438" s="21" t="n">
        <v>10</v>
      </c>
      <c r="L438" s="21" t="n">
        <v>30</v>
      </c>
      <c r="M438" s="21" t="n">
        <v>3</v>
      </c>
    </row>
    <row r="439">
      <c r="A439" s="21" t="inlineStr">
        <is>
          <t>Maintenance biomédicale</t>
        </is>
      </c>
      <c r="B439" s="21" t="inlineStr">
        <is>
          <t>L2</t>
        </is>
      </c>
      <c r="C439" s="21" t="inlineStr">
        <is>
          <t>3</t>
        </is>
      </c>
      <c r="D439" s="21" t="inlineStr">
        <is>
          <t>UE18</t>
        </is>
      </c>
      <c r="E439" s="21" t="inlineStr">
        <is>
          <t>Droit hospitalier et éthique</t>
        </is>
      </c>
      <c r="F439" s="21" t="inlineStr">
        <is>
          <t>- Bases du droit hospitalier international et comorien.</t>
        </is>
      </c>
      <c r="H439" s="21" t="n">
        <v>4</v>
      </c>
      <c r="I439" s="21" t="n">
        <v>4</v>
      </c>
      <c r="K439" s="21" t="n">
        <v>8</v>
      </c>
      <c r="L439" s="21" t="n">
        <v>30</v>
      </c>
      <c r="M439" s="21" t="n">
        <v>3</v>
      </c>
    </row>
    <row r="440">
      <c r="A440" s="21" t="inlineStr">
        <is>
          <t>Maintenance biomédicale</t>
        </is>
      </c>
      <c r="B440" s="21" t="inlineStr">
        <is>
          <t>L2</t>
        </is>
      </c>
      <c r="C440" s="21" t="inlineStr">
        <is>
          <t>3</t>
        </is>
      </c>
      <c r="D440" s="21" t="inlineStr">
        <is>
          <t>UE18</t>
        </is>
      </c>
      <c r="E440" s="21" t="inlineStr">
        <is>
          <t>Droit hospitalier et éthique</t>
        </is>
      </c>
      <c r="F440" s="21" t="inlineStr">
        <is>
          <t>- Réglementation des dispositifs médicaux.</t>
        </is>
      </c>
      <c r="H440" s="21" t="n">
        <v>4</v>
      </c>
      <c r="I440" s="21" t="n">
        <v>4</v>
      </c>
      <c r="K440" s="21" t="n">
        <v>8</v>
      </c>
      <c r="L440" s="21" t="n">
        <v>30</v>
      </c>
      <c r="M440" s="21" t="n">
        <v>3</v>
      </c>
    </row>
    <row r="441">
      <c r="A441" s="21" t="inlineStr">
        <is>
          <t>Maintenance biomédicale</t>
        </is>
      </c>
      <c r="B441" s="21" t="inlineStr">
        <is>
          <t>L2</t>
        </is>
      </c>
      <c r="C441" s="21" t="inlineStr">
        <is>
          <t>3</t>
        </is>
      </c>
      <c r="D441" s="21" t="inlineStr">
        <is>
          <t>UE18</t>
        </is>
      </c>
      <c r="E441" s="21" t="inlineStr">
        <is>
          <t>Droit hospitalier et éthique</t>
        </is>
      </c>
      <c r="F441" s="21" t="inlineStr">
        <is>
          <t>- Responsabilités légales et professionnelles du technicien.</t>
        </is>
      </c>
      <c r="H441" s="21" t="n">
        <v>4</v>
      </c>
      <c r="I441" s="21" t="n">
        <v>4</v>
      </c>
      <c r="K441" s="21" t="n">
        <v>8</v>
      </c>
      <c r="L441" s="21" t="n">
        <v>30</v>
      </c>
      <c r="M441" s="21" t="n">
        <v>3</v>
      </c>
    </row>
    <row r="442">
      <c r="A442" s="21" t="inlineStr">
        <is>
          <t>Maintenance biomédicale</t>
        </is>
      </c>
      <c r="B442" s="21" t="inlineStr">
        <is>
          <t>L2</t>
        </is>
      </c>
      <c r="C442" s="21" t="inlineStr">
        <is>
          <t>3</t>
        </is>
      </c>
      <c r="D442" s="21" t="inlineStr">
        <is>
          <t>UE18</t>
        </is>
      </c>
      <c r="E442" s="21" t="inlineStr">
        <is>
          <t>Droit hospitalier et éthique</t>
        </is>
      </c>
      <c r="F442" s="21" t="inlineStr">
        <is>
          <t>- Éthique biomédicale : sécurité patient, confidentialité, décisions techniques en contexte contraint.</t>
        </is>
      </c>
      <c r="H442" s="21" t="n">
        <v>4</v>
      </c>
      <c r="I442" s="21" t="n">
        <v>2</v>
      </c>
      <c r="K442" s="21" t="n">
        <v>6</v>
      </c>
      <c r="L442" s="21" t="n">
        <v>30</v>
      </c>
      <c r="M442" s="21" t="n">
        <v>3</v>
      </c>
    </row>
    <row r="443">
      <c r="A443" s="21" t="inlineStr">
        <is>
          <t>Maintenance biomédicale</t>
        </is>
      </c>
      <c r="B443" s="21" t="inlineStr">
        <is>
          <t>L2</t>
        </is>
      </c>
      <c r="C443" s="21" t="inlineStr">
        <is>
          <t>4</t>
        </is>
      </c>
      <c r="D443" s="21" t="inlineStr">
        <is>
          <t>UE19</t>
        </is>
      </c>
      <c r="E443" s="21" t="inlineStr">
        <is>
          <t>Biomédical II (imagerie, stérilisation, laboratoire)</t>
        </is>
      </c>
      <c r="F443" s="21" t="inlineStr">
        <is>
          <t>- Imagerie médicale : radiologie conventionnelle, échographie, doppler.</t>
        </is>
      </c>
      <c r="H443" s="21" t="n">
        <v>8</v>
      </c>
      <c r="I443" s="21" t="n">
        <v>6</v>
      </c>
      <c r="J443" s="21" t="n">
        <v>4</v>
      </c>
      <c r="K443" s="21" t="n">
        <v>18</v>
      </c>
      <c r="L443" s="21" t="n">
        <v>60</v>
      </c>
      <c r="M443" s="21" t="n">
        <v>6</v>
      </c>
    </row>
    <row r="444">
      <c r="A444" s="21" t="inlineStr">
        <is>
          <t>Maintenance biomédicale</t>
        </is>
      </c>
      <c r="B444" s="21" t="inlineStr">
        <is>
          <t>L2</t>
        </is>
      </c>
      <c r="C444" s="21" t="inlineStr">
        <is>
          <t>4</t>
        </is>
      </c>
      <c r="D444" s="21" t="inlineStr">
        <is>
          <t>UE19</t>
        </is>
      </c>
      <c r="E444" s="21" t="inlineStr">
        <is>
          <t>Biomédical II (imagerie, stérilisation, laboratoire)</t>
        </is>
      </c>
      <c r="F444" s="21" t="inlineStr">
        <is>
          <t>- Colonnes d’endoscopie et coelioscopie : principes, maintenance de 1er niveau.</t>
        </is>
      </c>
      <c r="H444" s="21" t="n">
        <v>6</v>
      </c>
      <c r="I444" s="21" t="n">
        <v>6</v>
      </c>
      <c r="J444" s="21" t="n">
        <v>2</v>
      </c>
      <c r="K444" s="21" t="n">
        <v>14</v>
      </c>
      <c r="L444" s="21" t="n">
        <v>60</v>
      </c>
      <c r="M444" s="21" t="n">
        <v>6</v>
      </c>
    </row>
    <row r="445">
      <c r="A445" s="21" t="inlineStr">
        <is>
          <t>Maintenance biomédicale</t>
        </is>
      </c>
      <c r="B445" s="21" t="inlineStr">
        <is>
          <t>L2</t>
        </is>
      </c>
      <c r="C445" s="21" t="inlineStr">
        <is>
          <t>4</t>
        </is>
      </c>
      <c r="D445" s="21" t="inlineStr">
        <is>
          <t>UE19</t>
        </is>
      </c>
      <c r="E445" s="21" t="inlineStr">
        <is>
          <t>Biomédical II (imagerie, stérilisation, laboratoire)</t>
        </is>
      </c>
      <c r="F445" s="21" t="inlineStr">
        <is>
          <t>- Autoclaves et stérilisateurs : fonctionnement, vérification, protocoles OMS.</t>
        </is>
      </c>
      <c r="H445" s="21" t="n">
        <v>6</v>
      </c>
      <c r="I445" s="21" t="n">
        <v>6</v>
      </c>
      <c r="J445" s="21" t="n">
        <v>4</v>
      </c>
      <c r="K445" s="21" t="n">
        <v>16</v>
      </c>
      <c r="L445" s="21" t="n">
        <v>60</v>
      </c>
      <c r="M445" s="21" t="n">
        <v>6</v>
      </c>
    </row>
    <row r="446">
      <c r="A446" s="21" t="inlineStr">
        <is>
          <t>Maintenance biomédicale</t>
        </is>
      </c>
      <c r="B446" s="21" t="inlineStr">
        <is>
          <t>L2</t>
        </is>
      </c>
      <c r="C446" s="21" t="inlineStr">
        <is>
          <t>4</t>
        </is>
      </c>
      <c r="D446" s="21" t="inlineStr">
        <is>
          <t>UE19</t>
        </is>
      </c>
      <c r="E446" s="21" t="inlineStr">
        <is>
          <t>Biomédical II (imagerie, stérilisation, laboratoire)</t>
        </is>
      </c>
      <c r="F446" s="21" t="inlineStr">
        <is>
          <t>- TP pratiques sur autoclaves, échographes, analyseurs.</t>
        </is>
      </c>
      <c r="J446" s="21" t="n">
        <v>12</v>
      </c>
      <c r="K446" s="21" t="n">
        <v>12</v>
      </c>
      <c r="L446" s="21" t="n">
        <v>60</v>
      </c>
      <c r="M446" s="21" t="n">
        <v>6</v>
      </c>
    </row>
    <row r="447">
      <c r="A447" s="21" t="inlineStr">
        <is>
          <t>Maintenance biomédicale</t>
        </is>
      </c>
      <c r="B447" s="21" t="inlineStr">
        <is>
          <t>L2</t>
        </is>
      </c>
      <c r="C447" s="21" t="inlineStr">
        <is>
          <t>4</t>
        </is>
      </c>
      <c r="D447" s="21" t="inlineStr">
        <is>
          <t>UE20</t>
        </is>
      </c>
      <c r="E447" s="21" t="inlineStr">
        <is>
          <t>Gestion de maintenance</t>
        </is>
      </c>
      <c r="F447" s="21" t="inlineStr">
        <is>
          <t>- Planification avancée de la maintenance préventive (AMDEC, MTBF, MTTR).</t>
        </is>
      </c>
      <c r="H447" s="21" t="n">
        <v>6</v>
      </c>
      <c r="I447" s="21" t="n">
        <v>4</v>
      </c>
      <c r="K447" s="21" t="n">
        <v>10</v>
      </c>
      <c r="L447" s="21" t="n">
        <v>40</v>
      </c>
      <c r="M447" s="21" t="n">
        <v>6</v>
      </c>
    </row>
    <row r="448">
      <c r="A448" s="21" t="inlineStr">
        <is>
          <t>Maintenance biomédicale</t>
        </is>
      </c>
      <c r="B448" s="21" t="inlineStr">
        <is>
          <t>L2</t>
        </is>
      </c>
      <c r="C448" s="21" t="inlineStr">
        <is>
          <t>4</t>
        </is>
      </c>
      <c r="D448" s="21" t="inlineStr">
        <is>
          <t>UE20</t>
        </is>
      </c>
      <c r="E448" s="21" t="inlineStr">
        <is>
          <t>Gestion de maintenance</t>
        </is>
      </c>
      <c r="F448" s="21" t="inlineStr">
        <is>
          <t>- Utilisation de logiciels simples de GMAO.</t>
        </is>
      </c>
      <c r="H448" s="21" t="n">
        <v>2</v>
      </c>
      <c r="I448" s="21" t="n">
        <v>2</v>
      </c>
      <c r="J448" s="21" t="n">
        <v>4</v>
      </c>
      <c r="K448" s="21" t="n">
        <v>8</v>
      </c>
      <c r="L448" s="21" t="n">
        <v>40</v>
      </c>
      <c r="M448" s="21" t="n">
        <v>6</v>
      </c>
    </row>
    <row r="449">
      <c r="A449" s="21" t="inlineStr">
        <is>
          <t>Maintenance biomédicale</t>
        </is>
      </c>
      <c r="B449" s="21" t="inlineStr">
        <is>
          <t>L2</t>
        </is>
      </c>
      <c r="C449" s="21" t="inlineStr">
        <is>
          <t>4</t>
        </is>
      </c>
      <c r="D449" s="21" t="inlineStr">
        <is>
          <t>UE20</t>
        </is>
      </c>
      <c r="E449" s="21" t="inlineStr">
        <is>
          <t>Gestion de maintenance</t>
        </is>
      </c>
      <c r="F449" s="21" t="inlineStr">
        <is>
          <t>- Gestion des stocks et pièces détachées (méthode ABC, stock critique).</t>
        </is>
      </c>
      <c r="H449" s="21" t="n">
        <v>2</v>
      </c>
      <c r="I449" s="21" t="n">
        <v>4</v>
      </c>
      <c r="J449" s="21" t="n">
        <v>2</v>
      </c>
      <c r="K449" s="21" t="n">
        <v>8</v>
      </c>
      <c r="L449" s="21" t="n">
        <v>40</v>
      </c>
      <c r="M449" s="21" t="n">
        <v>6</v>
      </c>
    </row>
    <row r="450">
      <c r="A450" s="21" t="inlineStr">
        <is>
          <t>Maintenance biomédicale</t>
        </is>
      </c>
      <c r="B450" s="21" t="inlineStr">
        <is>
          <t>L2</t>
        </is>
      </c>
      <c r="C450" s="21" t="inlineStr">
        <is>
          <t>4</t>
        </is>
      </c>
      <c r="D450" s="21" t="inlineStr">
        <is>
          <t>UE20</t>
        </is>
      </c>
      <c r="E450" s="21" t="inlineStr">
        <is>
          <t>Gestion de maintenance</t>
        </is>
      </c>
      <c r="F450" s="21" t="inlineStr">
        <is>
          <t>- Rédaction de rapports techniques détaillés et audit de service.</t>
        </is>
      </c>
      <c r="H450" s="21" t="n">
        <v>2</v>
      </c>
      <c r="I450" s="21" t="n">
        <v>2</v>
      </c>
      <c r="J450" s="21" t="n">
        <v>4</v>
      </c>
      <c r="K450" s="21" t="n">
        <v>8</v>
      </c>
      <c r="L450" s="21" t="n">
        <v>40</v>
      </c>
      <c r="M450" s="21" t="n">
        <v>6</v>
      </c>
    </row>
    <row r="451">
      <c r="A451" s="21" t="inlineStr">
        <is>
          <t>Maintenance biomédicale</t>
        </is>
      </c>
      <c r="B451" s="21" t="inlineStr">
        <is>
          <t>L2</t>
        </is>
      </c>
      <c r="C451" s="21" t="inlineStr">
        <is>
          <t>4</t>
        </is>
      </c>
      <c r="D451" s="21" t="inlineStr">
        <is>
          <t>UE20</t>
        </is>
      </c>
      <c r="E451" s="21" t="inlineStr">
        <is>
          <t>Gestion de maintenance</t>
        </is>
      </c>
      <c r="F451" s="21" t="inlineStr">
        <is>
          <t>- Exercice pratique : mise en place d’un plan de maintenance annuel.</t>
        </is>
      </c>
      <c r="H451" s="21" t="n">
        <v>2</v>
      </c>
      <c r="J451" s="21" t="n">
        <v>4</v>
      </c>
      <c r="K451" s="21" t="n">
        <v>6</v>
      </c>
      <c r="L451" s="21" t="n">
        <v>40</v>
      </c>
      <c r="M451" s="21" t="n">
        <v>6</v>
      </c>
    </row>
    <row r="452">
      <c r="A452" s="21" t="inlineStr">
        <is>
          <t>Maintenance biomédicale</t>
        </is>
      </c>
      <c r="B452" s="21" t="inlineStr">
        <is>
          <t>L2</t>
        </is>
      </c>
      <c r="C452" s="21" t="inlineStr">
        <is>
          <t>4</t>
        </is>
      </c>
      <c r="D452" s="21" t="inlineStr">
        <is>
          <t>UE21</t>
        </is>
      </c>
      <c r="E452" s="21" t="inlineStr">
        <is>
          <t>Hygiène hospitalière approfondie</t>
        </is>
      </c>
      <c r="F452" s="21" t="inlineStr">
        <is>
          <t>- Hygiène en bloc opératoire (stérilisation, flux laminaire).</t>
        </is>
      </c>
      <c r="H452" s="21" t="n">
        <v>4</v>
      </c>
      <c r="I452" s="21" t="n">
        <v>2</v>
      </c>
      <c r="J452" s="21" t="n">
        <v>4</v>
      </c>
      <c r="K452" s="21" t="n">
        <v>10</v>
      </c>
      <c r="L452" s="21" t="n">
        <v>40</v>
      </c>
      <c r="M452" s="21" t="n">
        <v>6</v>
      </c>
    </row>
    <row r="453">
      <c r="A453" s="21" t="inlineStr">
        <is>
          <t>Maintenance biomédicale</t>
        </is>
      </c>
      <c r="B453" s="21" t="inlineStr">
        <is>
          <t>L2</t>
        </is>
      </c>
      <c r="C453" s="21" t="inlineStr">
        <is>
          <t>4</t>
        </is>
      </c>
      <c r="D453" s="21" t="inlineStr">
        <is>
          <t>UE21</t>
        </is>
      </c>
      <c r="E453" s="21" t="inlineStr">
        <is>
          <t>Hygiène hospitalière approfondie</t>
        </is>
      </c>
      <c r="F453" s="21" t="inlineStr">
        <is>
          <t>- Biosécurité en laboratoire (niveaux P1–P3).</t>
        </is>
      </c>
      <c r="H453" s="21" t="n">
        <v>4</v>
      </c>
      <c r="I453" s="21" t="n">
        <v>2</v>
      </c>
      <c r="J453" s="21" t="n">
        <v>2</v>
      </c>
      <c r="K453" s="21" t="n">
        <v>8</v>
      </c>
      <c r="L453" s="21" t="n">
        <v>40</v>
      </c>
      <c r="M453" s="21" t="n">
        <v>6</v>
      </c>
    </row>
    <row r="454">
      <c r="A454" s="21" t="inlineStr">
        <is>
          <t>Maintenance biomédicale</t>
        </is>
      </c>
      <c r="B454" s="21" t="inlineStr">
        <is>
          <t>L2</t>
        </is>
      </c>
      <c r="C454" s="21" t="inlineStr">
        <is>
          <t>4</t>
        </is>
      </c>
      <c r="D454" s="21" t="inlineStr">
        <is>
          <t>UE21</t>
        </is>
      </c>
      <c r="E454" s="21" t="inlineStr">
        <is>
          <t>Hygiène hospitalière approfondie</t>
        </is>
      </c>
      <c r="F454" s="21" t="inlineStr">
        <is>
          <t>- Gestion des déchets biomédicaux (DASRI).</t>
        </is>
      </c>
      <c r="H454" s="21" t="n">
        <v>2</v>
      </c>
      <c r="I454" s="21" t="n">
        <v>4</v>
      </c>
      <c r="J454" s="21" t="n">
        <v>2</v>
      </c>
      <c r="K454" s="21" t="n">
        <v>8</v>
      </c>
      <c r="L454" s="21" t="n">
        <v>40</v>
      </c>
      <c r="M454" s="21" t="n">
        <v>6</v>
      </c>
    </row>
    <row r="455">
      <c r="A455" s="21" t="inlineStr">
        <is>
          <t>Maintenance biomédicale</t>
        </is>
      </c>
      <c r="B455" s="21" t="inlineStr">
        <is>
          <t>L2</t>
        </is>
      </c>
      <c r="C455" s="21" t="inlineStr">
        <is>
          <t>4</t>
        </is>
      </c>
      <c r="D455" s="21" t="inlineStr">
        <is>
          <t>UE21</t>
        </is>
      </c>
      <c r="E455" s="21" t="inlineStr">
        <is>
          <t>Hygiène hospitalière approfondie</t>
        </is>
      </c>
      <c r="F455" s="21" t="inlineStr">
        <is>
          <t>- Normes OMS sur désinfection et prévention des infections nosocomiales.</t>
        </is>
      </c>
      <c r="H455" s="21" t="n">
        <v>4</v>
      </c>
      <c r="I455" s="21" t="n">
        <v>2</v>
      </c>
      <c r="J455" s="21" t="n">
        <v>2</v>
      </c>
      <c r="K455" s="21" t="n">
        <v>8</v>
      </c>
      <c r="L455" s="21" t="n">
        <v>40</v>
      </c>
      <c r="M455" s="21" t="n">
        <v>6</v>
      </c>
    </row>
    <row r="456">
      <c r="A456" s="21" t="inlineStr">
        <is>
          <t>Maintenance biomédicale</t>
        </is>
      </c>
      <c r="B456" s="21" t="inlineStr">
        <is>
          <t>L2</t>
        </is>
      </c>
      <c r="C456" s="21" t="inlineStr">
        <is>
          <t>4</t>
        </is>
      </c>
      <c r="D456" s="21" t="inlineStr">
        <is>
          <t>UE21</t>
        </is>
      </c>
      <c r="E456" s="21" t="inlineStr">
        <is>
          <t>Hygiène hospitalière approfondie</t>
        </is>
      </c>
      <c r="F456" s="21" t="inlineStr">
        <is>
          <t>- Exercices pratiques : checklists et inspections internes.</t>
        </is>
      </c>
      <c r="I456" s="21" t="n">
        <v>2</v>
      </c>
      <c r="J456" s="21" t="n">
        <v>4</v>
      </c>
      <c r="K456" s="21" t="n">
        <v>6</v>
      </c>
      <c r="L456" s="21" t="n">
        <v>40</v>
      </c>
      <c r="M456" s="21" t="n">
        <v>6</v>
      </c>
    </row>
    <row r="457">
      <c r="A457" s="21" t="inlineStr">
        <is>
          <t>Maintenance biomédicale</t>
        </is>
      </c>
      <c r="B457" s="21" t="inlineStr">
        <is>
          <t>L2</t>
        </is>
      </c>
      <c r="C457" s="21" t="inlineStr">
        <is>
          <t>4</t>
        </is>
      </c>
      <c r="D457" s="21" t="inlineStr">
        <is>
          <t>UE22</t>
        </is>
      </c>
      <c r="E457" s="21" t="inlineStr">
        <is>
          <t>Projet tutoré II</t>
        </is>
      </c>
      <c r="F457" s="21" t="inlineStr">
        <is>
          <t>- Projet de terrain : diagnostic technique d’un service hospitalier.</t>
        </is>
      </c>
      <c r="H457" s="21" t="n">
        <v>4</v>
      </c>
      <c r="I457" s="21" t="n">
        <v>6</v>
      </c>
      <c r="J457" s="21" t="n">
        <v>8</v>
      </c>
      <c r="K457" s="21" t="n">
        <v>18</v>
      </c>
      <c r="L457" s="21" t="n">
        <v>50</v>
      </c>
      <c r="M457" s="21" t="n">
        <v>6</v>
      </c>
    </row>
    <row r="458">
      <c r="A458" s="21" t="inlineStr">
        <is>
          <t>Maintenance biomédicale</t>
        </is>
      </c>
      <c r="B458" s="21" t="inlineStr">
        <is>
          <t>L2</t>
        </is>
      </c>
      <c r="C458" s="21" t="inlineStr">
        <is>
          <t>4</t>
        </is>
      </c>
      <c r="D458" s="21" t="inlineStr">
        <is>
          <t>UE22</t>
        </is>
      </c>
      <c r="E458" s="21" t="inlineStr">
        <is>
          <t>Projet tutoré II</t>
        </is>
      </c>
      <c r="F458" s="21" t="inlineStr">
        <is>
          <t>- Élaboration d’un plan de maintenance pour 5 équipements biomédicaux.</t>
        </is>
      </c>
      <c r="H458" s="21" t="n">
        <v>4</v>
      </c>
      <c r="I458" s="21" t="n">
        <v>6</v>
      </c>
      <c r="J458" s="21" t="n">
        <v>4</v>
      </c>
      <c r="K458" s="21" t="n">
        <v>14</v>
      </c>
      <c r="L458" s="21" t="n">
        <v>50</v>
      </c>
      <c r="M458" s="21" t="n">
        <v>6</v>
      </c>
    </row>
    <row r="459">
      <c r="A459" s="21" t="inlineStr">
        <is>
          <t>Maintenance biomédicale</t>
        </is>
      </c>
      <c r="B459" s="21" t="inlineStr">
        <is>
          <t>L2</t>
        </is>
      </c>
      <c r="C459" s="21" t="inlineStr">
        <is>
          <t>4</t>
        </is>
      </c>
      <c r="D459" s="21" t="inlineStr">
        <is>
          <t>UE22</t>
        </is>
      </c>
      <c r="E459" s="21" t="inlineStr">
        <is>
          <t>Projet tutoré II</t>
        </is>
      </c>
      <c r="F459" s="21" t="inlineStr">
        <is>
          <t>- Travail en équipe interdisciplinaire (simulation médecin – technicien – administrateur).</t>
        </is>
      </c>
      <c r="H459" s="21" t="n">
        <v>2</v>
      </c>
      <c r="I459" s="21" t="n">
        <v>2</v>
      </c>
      <c r="J459" s="21" t="n">
        <v>6</v>
      </c>
      <c r="K459" s="21" t="n">
        <v>10</v>
      </c>
      <c r="L459" s="21" t="n">
        <v>50</v>
      </c>
      <c r="M459" s="21" t="n">
        <v>6</v>
      </c>
    </row>
    <row r="460">
      <c r="A460" s="21" t="inlineStr">
        <is>
          <t>Maintenance biomédicale</t>
        </is>
      </c>
      <c r="B460" s="21" t="inlineStr">
        <is>
          <t>L2</t>
        </is>
      </c>
      <c r="C460" s="21" t="inlineStr">
        <is>
          <t>4</t>
        </is>
      </c>
      <c r="D460" s="21" t="inlineStr">
        <is>
          <t>UE22</t>
        </is>
      </c>
      <c r="E460" s="21" t="inlineStr">
        <is>
          <t>Projet tutoré II</t>
        </is>
      </c>
      <c r="F460" s="21" t="inlineStr">
        <is>
          <t>- Présentation écrite et orale.</t>
        </is>
      </c>
      <c r="H460" s="21" t="n">
        <v>2</v>
      </c>
      <c r="I460" s="21" t="n">
        <v>2</v>
      </c>
      <c r="J460" s="21" t="n">
        <v>4</v>
      </c>
      <c r="K460" s="21" t="n">
        <v>8</v>
      </c>
      <c r="L460" s="21" t="n">
        <v>50</v>
      </c>
      <c r="M460" s="21" t="n">
        <v>6</v>
      </c>
    </row>
    <row r="461">
      <c r="A461" s="21" t="inlineStr">
        <is>
          <t>Maintenance biomédicale</t>
        </is>
      </c>
      <c r="B461" s="21" t="inlineStr">
        <is>
          <t>L2</t>
        </is>
      </c>
      <c r="C461" s="21" t="inlineStr">
        <is>
          <t>4</t>
        </is>
      </c>
      <c r="D461" s="21" t="inlineStr">
        <is>
          <t>UE23</t>
        </is>
      </c>
      <c r="E461" s="21" t="inlineStr">
        <is>
          <t>Stage technique (1 mois)</t>
        </is>
      </c>
      <c r="F461" s="21" t="inlineStr">
        <is>
          <t>(Stage pratique</t>
        </is>
      </c>
      <c r="J461" s="21" t="n">
        <v>150</v>
      </c>
      <c r="K461" s="21" t="n">
        <v>150</v>
      </c>
      <c r="L461" s="21" t="n">
        <v>150</v>
      </c>
      <c r="M461" s="21" t="n">
        <v>6</v>
      </c>
    </row>
    <row r="462">
      <c r="A462" s="21" t="inlineStr">
        <is>
          <t>Maintenance biomédicale</t>
        </is>
      </c>
      <c r="B462" s="21" t="inlineStr">
        <is>
          <t>L3</t>
        </is>
      </c>
      <c r="C462" s="21" t="inlineStr">
        <is>
          <t>5</t>
        </is>
      </c>
      <c r="D462" s="21" t="inlineStr">
        <is>
          <t>UE24</t>
        </is>
      </c>
      <c r="E462" s="21" t="inlineStr">
        <is>
          <t>Management des équipements biomédicaux</t>
        </is>
      </c>
      <c r="F462" s="21" t="inlineStr">
        <is>
          <t>- Gestion complète du parc biomédical (inventaire, traçabilité, planification pluriannuelle).</t>
        </is>
      </c>
      <c r="H462" s="21" t="n">
        <v>4</v>
      </c>
      <c r="I462" s="21" t="n">
        <v>6</v>
      </c>
      <c r="K462" s="21" t="n">
        <v>10</v>
      </c>
      <c r="L462" s="21" t="n">
        <v>50</v>
      </c>
      <c r="M462" s="21" t="n">
        <v>6</v>
      </c>
    </row>
    <row r="463">
      <c r="A463" s="21" t="inlineStr">
        <is>
          <t>Maintenance biomédicale</t>
        </is>
      </c>
      <c r="B463" s="21" t="inlineStr">
        <is>
          <t>L3</t>
        </is>
      </c>
      <c r="C463" s="21" t="inlineStr">
        <is>
          <t>5</t>
        </is>
      </c>
      <c r="D463" s="21" t="inlineStr">
        <is>
          <t>UE24</t>
        </is>
      </c>
      <c r="E463" s="21" t="inlineStr">
        <is>
          <t>Management des équipements biomédicaux</t>
        </is>
      </c>
      <c r="F463" s="21" t="inlineStr">
        <is>
          <t>Gestion de projet</t>
        </is>
      </c>
      <c r="L463" s="21" t="n">
        <v>50</v>
      </c>
      <c r="M463" s="21" t="n">
        <v>6</v>
      </c>
    </row>
    <row r="464">
      <c r="A464" s="21" t="inlineStr">
        <is>
          <t>Maintenance biomédicale</t>
        </is>
      </c>
      <c r="B464" s="21" t="inlineStr">
        <is>
          <t>L3</t>
        </is>
      </c>
      <c r="C464" s="21" t="inlineStr">
        <is>
          <t>5</t>
        </is>
      </c>
      <c r="D464" s="21" t="inlineStr">
        <is>
          <t>UE24</t>
        </is>
      </c>
      <c r="E464" s="21" t="inlineStr">
        <is>
          <t>Management des équipements biomédicaux</t>
        </is>
      </c>
      <c r="F464" s="21" t="inlineStr">
        <is>
          <t>- Gestion budgétaire et priorisation des investissements.</t>
        </is>
      </c>
      <c r="H464" s="21" t="n">
        <v>4</v>
      </c>
      <c r="I464" s="21" t="n">
        <v>6</v>
      </c>
      <c r="K464" s="21" t="n">
        <v>10</v>
      </c>
      <c r="L464" s="21" t="n">
        <v>50</v>
      </c>
      <c r="M464" s="21" t="n">
        <v>6</v>
      </c>
    </row>
    <row r="465">
      <c r="A465" s="21" t="inlineStr">
        <is>
          <t>Maintenance biomédicale</t>
        </is>
      </c>
      <c r="B465" s="21" t="inlineStr">
        <is>
          <t>L3</t>
        </is>
      </c>
      <c r="C465" s="21" t="inlineStr">
        <is>
          <t>5</t>
        </is>
      </c>
      <c r="D465" s="21" t="inlineStr">
        <is>
          <t>UE24</t>
        </is>
      </c>
      <c r="E465" s="21" t="inlineStr">
        <is>
          <t>Management des équipements biomédicaux</t>
        </is>
      </c>
      <c r="F465" s="21" t="inlineStr">
        <is>
          <t>- Audit technique et reporting pour la direction hospitalière.</t>
        </is>
      </c>
      <c r="H465" s="21" t="n">
        <v>6</v>
      </c>
      <c r="I465" s="21" t="n">
        <v>6</v>
      </c>
      <c r="K465" s="21" t="n">
        <v>12</v>
      </c>
      <c r="L465" s="21" t="n">
        <v>50</v>
      </c>
      <c r="M465" s="21" t="n">
        <v>6</v>
      </c>
    </row>
    <row r="466">
      <c r="A466" s="21" t="inlineStr">
        <is>
          <t>Maintenance biomédicale</t>
        </is>
      </c>
      <c r="B466" s="21" t="inlineStr">
        <is>
          <t>L3</t>
        </is>
      </c>
      <c r="C466" s="21" t="inlineStr">
        <is>
          <t>5</t>
        </is>
      </c>
      <c r="D466" s="21" t="inlineStr">
        <is>
          <t>UE24</t>
        </is>
      </c>
      <c r="E466" s="21" t="inlineStr">
        <is>
          <t>Management des équipements biomédicaux</t>
        </is>
      </c>
      <c r="F466" s="21" t="inlineStr">
        <is>
          <t>- Normes ISO 13485 et OMS sur la gestion des dispositifs médicaux.</t>
        </is>
      </c>
      <c r="H466" s="21" t="n">
        <v>4</v>
      </c>
      <c r="I466" s="21" t="n">
        <v>4</v>
      </c>
      <c r="K466" s="21" t="n">
        <v>8</v>
      </c>
      <c r="L466" s="21" t="n">
        <v>50</v>
      </c>
      <c r="M466" s="21" t="n">
        <v>6</v>
      </c>
    </row>
    <row r="467">
      <c r="A467" s="21" t="inlineStr">
        <is>
          <t>Maintenance biomédicale</t>
        </is>
      </c>
      <c r="B467" s="21" t="inlineStr">
        <is>
          <t>L3</t>
        </is>
      </c>
      <c r="C467" s="21" t="inlineStr">
        <is>
          <t>5</t>
        </is>
      </c>
      <c r="D467" s="21" t="inlineStr">
        <is>
          <t>UE24</t>
        </is>
      </c>
      <c r="E467" s="21" t="inlineStr">
        <is>
          <t>Management des équipements biomédicaux</t>
        </is>
      </c>
      <c r="F467" s="21" t="inlineStr">
        <is>
          <t>- Normes ISO avancées (13485, 14971, 9001) et recommandations OMS.</t>
        </is>
      </c>
      <c r="H467" s="21" t="n">
        <v>4</v>
      </c>
      <c r="I467" s="21" t="n">
        <v>6</v>
      </c>
      <c r="K467" s="21" t="n">
        <v>10</v>
      </c>
      <c r="L467" s="21" t="n">
        <v>50</v>
      </c>
      <c r="M467" s="21" t="n">
        <v>6</v>
      </c>
    </row>
    <row r="468">
      <c r="A468" s="21" t="inlineStr">
        <is>
          <t>Maintenance biomédicale</t>
        </is>
      </c>
      <c r="B468" s="21" t="inlineStr">
        <is>
          <t>L3</t>
        </is>
      </c>
      <c r="C468" s="21" t="inlineStr">
        <is>
          <t>5</t>
        </is>
      </c>
      <c r="D468" s="21" t="inlineStr">
        <is>
          <t>UE25</t>
        </is>
      </c>
      <c r="E468" s="21" t="inlineStr">
        <is>
          <t>Gestion énergétique et infrastructures</t>
        </is>
      </c>
      <c r="F468" s="21" t="inlineStr">
        <is>
          <t>- Supervision des réseaux électriques hospitaliers complexes.</t>
        </is>
      </c>
      <c r="H468" s="21" t="n">
        <v>4</v>
      </c>
      <c r="I468" s="21" t="n">
        <v>4</v>
      </c>
      <c r="K468" s="21" t="n">
        <v>8</v>
      </c>
      <c r="L468" s="21" t="n">
        <v>40</v>
      </c>
      <c r="M468" s="21" t="n">
        <v>6</v>
      </c>
    </row>
    <row r="469">
      <c r="A469" s="21" t="inlineStr">
        <is>
          <t>Maintenance biomédicale</t>
        </is>
      </c>
      <c r="B469" s="21" t="inlineStr">
        <is>
          <t>L3</t>
        </is>
      </c>
      <c r="C469" s="21" t="inlineStr">
        <is>
          <t>5</t>
        </is>
      </c>
      <c r="D469" s="21" t="inlineStr">
        <is>
          <t>UE25</t>
        </is>
      </c>
      <c r="E469" s="21" t="inlineStr">
        <is>
          <t>Gestion énergétique et infrastructures</t>
        </is>
      </c>
      <c r="F469" s="21" t="inlineStr">
        <is>
          <t>- Groupes électrogènes et systèmes hybrides (réseau + solaire + batteries).</t>
        </is>
      </c>
      <c r="H469" s="21" t="n">
        <v>4</v>
      </c>
      <c r="I469" s="21" t="n">
        <v>4</v>
      </c>
      <c r="K469" s="21" t="n">
        <v>8</v>
      </c>
      <c r="L469" s="21" t="n">
        <v>40</v>
      </c>
      <c r="M469" s="21" t="n">
        <v>6</v>
      </c>
    </row>
    <row r="470">
      <c r="A470" s="21" t="inlineStr">
        <is>
          <t>Maintenance biomédicale</t>
        </is>
      </c>
      <c r="B470" s="21" t="inlineStr">
        <is>
          <t>L3</t>
        </is>
      </c>
      <c r="C470" s="21" t="inlineStr">
        <is>
          <t>5</t>
        </is>
      </c>
      <c r="D470" s="21" t="inlineStr">
        <is>
          <t>UE25</t>
        </is>
      </c>
      <c r="E470" s="21" t="inlineStr">
        <is>
          <t>Gestion énergétique et infrastructures</t>
        </is>
      </c>
      <c r="F470" s="21" t="inlineStr">
        <is>
          <t>- Optimisation de la consommation et continuité de service.</t>
        </is>
      </c>
      <c r="H470" s="21" t="n">
        <v>4</v>
      </c>
      <c r="I470" s="21" t="n">
        <v>4</v>
      </c>
      <c r="J470" s="21" t="n">
        <v>4</v>
      </c>
      <c r="K470" s="21" t="n">
        <v>12</v>
      </c>
      <c r="L470" s="21" t="n">
        <v>40</v>
      </c>
      <c r="M470" s="21" t="n">
        <v>6</v>
      </c>
    </row>
    <row r="471">
      <c r="A471" s="21" t="inlineStr">
        <is>
          <t>Maintenance biomédicale</t>
        </is>
      </c>
      <c r="B471" s="21" t="inlineStr">
        <is>
          <t>L3</t>
        </is>
      </c>
      <c r="C471" s="21" t="inlineStr">
        <is>
          <t>5</t>
        </is>
      </c>
      <c r="D471" s="21" t="inlineStr">
        <is>
          <t>UE25</t>
        </is>
      </c>
      <c r="E471" s="21" t="inlineStr">
        <is>
          <t>Gestion énergétique et infrastructures</t>
        </is>
      </c>
      <c r="F471" s="21" t="inlineStr">
        <is>
          <t>- Maintenance avancée des infrastructures hospitalières (ascenseurs, climatisation, réseaux d’eau/gaz médicaux).</t>
        </is>
      </c>
      <c r="H471" s="21" t="n">
        <v>4</v>
      </c>
      <c r="I471" s="21" t="n">
        <v>2</v>
      </c>
      <c r="J471" s="21" t="n">
        <v>6</v>
      </c>
      <c r="K471" s="21" t="n">
        <v>12</v>
      </c>
      <c r="L471" s="21" t="n">
        <v>40</v>
      </c>
      <c r="M471" s="21" t="n">
        <v>6</v>
      </c>
    </row>
    <row r="472">
      <c r="A472" s="21" t="inlineStr">
        <is>
          <t>Maintenance biomédicale</t>
        </is>
      </c>
      <c r="B472" s="21" t="inlineStr">
        <is>
          <t>L3</t>
        </is>
      </c>
      <c r="C472" s="21" t="inlineStr">
        <is>
          <t>5</t>
        </is>
      </c>
      <c r="D472" s="21" t="inlineStr">
        <is>
          <t>UE26</t>
        </is>
      </c>
      <c r="E472" s="21" t="inlineStr">
        <is>
          <t>Equipement de laboratoire</t>
        </is>
      </c>
      <c r="F472" s="21" t="inlineStr">
        <is>
          <t>- Maintenance avancée des analyseurs de biochimie, hématologie, immunologie.</t>
        </is>
      </c>
      <c r="H472" s="21" t="n">
        <v>6</v>
      </c>
      <c r="I472" s="21" t="n">
        <v>4</v>
      </c>
      <c r="J472" s="21" t="n">
        <v>4</v>
      </c>
      <c r="K472" s="21" t="n">
        <v>14</v>
      </c>
      <c r="L472" s="21" t="n">
        <v>40</v>
      </c>
      <c r="M472" s="21" t="n">
        <v>6</v>
      </c>
    </row>
    <row r="473">
      <c r="A473" s="21" t="inlineStr">
        <is>
          <t>Maintenance biomédicale</t>
        </is>
      </c>
      <c r="B473" s="21" t="inlineStr">
        <is>
          <t>L3</t>
        </is>
      </c>
      <c r="C473" s="21" t="inlineStr">
        <is>
          <t>5</t>
        </is>
      </c>
      <c r="D473" s="21" t="inlineStr">
        <is>
          <t>UE26</t>
        </is>
      </c>
      <c r="E473" s="21" t="inlineStr">
        <is>
          <t>Equipement de laboratoire</t>
        </is>
      </c>
      <c r="F473" s="21" t="inlineStr">
        <is>
          <t>Analyseurs de laboratoire (biochimie, hématologie, immunologie).</t>
        </is>
      </c>
      <c r="L473" s="21" t="n">
        <v>40</v>
      </c>
      <c r="M473" s="21" t="n">
        <v>6</v>
      </c>
    </row>
    <row r="474">
      <c r="A474" s="21" t="inlineStr">
        <is>
          <t>Maintenance biomédicale</t>
        </is>
      </c>
      <c r="B474" s="21" t="inlineStr">
        <is>
          <t>L3</t>
        </is>
      </c>
      <c r="C474" s="21" t="inlineStr">
        <is>
          <t>5</t>
        </is>
      </c>
      <c r="D474" s="21" t="inlineStr">
        <is>
          <t>UE26</t>
        </is>
      </c>
      <c r="E474" s="21" t="inlineStr">
        <is>
          <t>Equipement de laboratoire</t>
        </is>
      </c>
      <c r="F474" s="21" t="inlineStr">
        <is>
          <t>- Calibration et contrôles qualité selon normes OMS/ISO.</t>
        </is>
      </c>
      <c r="H474" s="21" t="n">
        <v>4</v>
      </c>
      <c r="I474" s="21" t="n">
        <v>2</v>
      </c>
      <c r="J474" s="21" t="n">
        <v>4</v>
      </c>
      <c r="K474" s="21" t="n">
        <v>10</v>
      </c>
      <c r="L474" s="21" t="n">
        <v>40</v>
      </c>
      <c r="M474" s="21" t="n">
        <v>6</v>
      </c>
    </row>
    <row r="475">
      <c r="A475" s="21" t="inlineStr">
        <is>
          <t>Maintenance biomédicale</t>
        </is>
      </c>
      <c r="B475" s="21" t="inlineStr">
        <is>
          <t>L3</t>
        </is>
      </c>
      <c r="C475" s="21" t="inlineStr">
        <is>
          <t>5</t>
        </is>
      </c>
      <c r="D475" s="21" t="inlineStr">
        <is>
          <t>UE26</t>
        </is>
      </c>
      <c r="E475" s="21" t="inlineStr">
        <is>
          <t>Equipement de laboratoire</t>
        </is>
      </c>
      <c r="F475" s="21" t="inlineStr">
        <is>
          <t>- Sécurité et biosécurité niveau P2–P3.</t>
        </is>
      </c>
      <c r="H475" s="21" t="n">
        <v>4</v>
      </c>
      <c r="I475" s="21" t="n">
        <v>4</v>
      </c>
      <c r="K475" s="21" t="n">
        <v>8</v>
      </c>
      <c r="L475" s="21" t="n">
        <v>40</v>
      </c>
      <c r="M475" s="21" t="n">
        <v>6</v>
      </c>
    </row>
    <row r="476">
      <c r="A476" s="21" t="inlineStr">
        <is>
          <t>Maintenance biomédicale</t>
        </is>
      </c>
      <c r="B476" s="21" t="inlineStr">
        <is>
          <t>L3</t>
        </is>
      </c>
      <c r="C476" s="21" t="inlineStr">
        <is>
          <t>5</t>
        </is>
      </c>
      <c r="D476" s="21" t="inlineStr">
        <is>
          <t>UE26</t>
        </is>
      </c>
      <c r="E476" s="21" t="inlineStr">
        <is>
          <t>Equipement de laboratoire</t>
        </is>
      </c>
      <c r="F476" s="21" t="inlineStr">
        <is>
          <t>- Gestion des consommables critiques (cuvettes, réactifs, lampes).</t>
        </is>
      </c>
      <c r="H476" s="21" t="n">
        <v>2</v>
      </c>
      <c r="I476" s="21" t="n">
        <v>2</v>
      </c>
      <c r="J476" s="21" t="n">
        <v>4</v>
      </c>
      <c r="K476" s="21" t="n">
        <v>8</v>
      </c>
      <c r="L476" s="21" t="n">
        <v>40</v>
      </c>
      <c r="M476" s="21" t="n">
        <v>6</v>
      </c>
    </row>
    <row r="477">
      <c r="A477" s="21" t="inlineStr">
        <is>
          <t>Maintenance biomédicale</t>
        </is>
      </c>
      <c r="B477" s="21" t="inlineStr">
        <is>
          <t>L3</t>
        </is>
      </c>
      <c r="C477" s="21" t="inlineStr">
        <is>
          <t>5</t>
        </is>
      </c>
      <c r="D477" s="21" t="inlineStr">
        <is>
          <t>UE27</t>
        </is>
      </c>
      <c r="E477" s="21" t="inlineStr">
        <is>
          <t>Communication professionnelle &amp; RH</t>
        </is>
      </c>
      <c r="F477" s="21" t="inlineStr">
        <is>
          <t>- Communication avancée : préparation et présentation de rapports techniques devant direction/partenaires.</t>
        </is>
      </c>
      <c r="H477" s="21" t="n">
        <v>2</v>
      </c>
      <c r="I477" s="21" t="n">
        <v>2</v>
      </c>
      <c r="J477" s="21" t="n">
        <v>4</v>
      </c>
      <c r="K477" s="21" t="n">
        <v>8</v>
      </c>
      <c r="L477" s="21" t="n">
        <v>36</v>
      </c>
      <c r="M477" s="21" t="n">
        <v>6</v>
      </c>
    </row>
    <row r="478">
      <c r="A478" s="21" t="inlineStr">
        <is>
          <t>Maintenance biomédicale</t>
        </is>
      </c>
      <c r="B478" s="21" t="inlineStr">
        <is>
          <t>L3</t>
        </is>
      </c>
      <c r="C478" s="21" t="inlineStr">
        <is>
          <t>5</t>
        </is>
      </c>
      <c r="D478" s="21" t="inlineStr">
        <is>
          <t>UE27</t>
        </is>
      </c>
      <c r="E478" s="21" t="inlineStr">
        <is>
          <t>Communication professionnelle &amp; RH</t>
        </is>
      </c>
      <c r="F478" s="21" t="inlineStr">
        <is>
          <t>- Animation et gestion d’équipe biomédicale.</t>
        </is>
      </c>
      <c r="H478" s="21" t="n">
        <v>4</v>
      </c>
      <c r="I478" s="21" t="n">
        <v>2</v>
      </c>
      <c r="J478" s="21" t="n">
        <v>4</v>
      </c>
      <c r="K478" s="21" t="n">
        <v>10</v>
      </c>
      <c r="L478" s="21" t="n">
        <v>36</v>
      </c>
      <c r="M478" s="21" t="n">
        <v>6</v>
      </c>
    </row>
    <row r="479">
      <c r="A479" s="21" t="inlineStr">
        <is>
          <t>Maintenance biomédicale</t>
        </is>
      </c>
      <c r="B479" s="21" t="inlineStr">
        <is>
          <t>L3</t>
        </is>
      </c>
      <c r="C479" s="21" t="inlineStr">
        <is>
          <t>5</t>
        </is>
      </c>
      <c r="D479" s="21" t="inlineStr">
        <is>
          <t>UE27</t>
        </is>
      </c>
      <c r="E479" s="21" t="inlineStr">
        <is>
          <t>Communication professionnelle &amp; RH</t>
        </is>
      </c>
      <c r="F479" s="21" t="inlineStr">
        <is>
          <t>- Gestion des conflits techniques ↔ cliniques.</t>
        </is>
      </c>
      <c r="H479" s="21" t="n">
        <v>2</v>
      </c>
      <c r="I479" s="21" t="n">
        <v>2</v>
      </c>
      <c r="J479" s="21" t="n">
        <v>2</v>
      </c>
      <c r="K479" s="21" t="n">
        <v>6</v>
      </c>
      <c r="L479" s="21" t="n">
        <v>36</v>
      </c>
      <c r="M479" s="21" t="n">
        <v>6</v>
      </c>
    </row>
    <row r="480">
      <c r="A480" s="21" t="inlineStr">
        <is>
          <t>Maintenance biomédicale</t>
        </is>
      </c>
      <c r="B480" s="21" t="inlineStr">
        <is>
          <t>L3</t>
        </is>
      </c>
      <c r="C480" s="21" t="inlineStr">
        <is>
          <t>5</t>
        </is>
      </c>
      <c r="D480" s="21" t="inlineStr">
        <is>
          <t>UE27</t>
        </is>
      </c>
      <c r="E480" s="21" t="inlineStr">
        <is>
          <t>Communication professionnelle &amp; RH</t>
        </is>
      </c>
      <c r="F480" s="21" t="inlineStr">
        <is>
          <t>Formation</t>
        </is>
      </c>
      <c r="K480" s="21" t="n">
        <v>0</v>
      </c>
      <c r="L480" s="21" t="n">
        <v>36</v>
      </c>
      <c r="M480" s="21" t="n">
        <v>6</v>
      </c>
    </row>
    <row r="481">
      <c r="A481" s="21" t="inlineStr">
        <is>
          <t>Maintenance biomédicale</t>
        </is>
      </c>
      <c r="B481" s="21" t="inlineStr">
        <is>
          <t>L3</t>
        </is>
      </c>
      <c r="C481" s="21" t="inlineStr">
        <is>
          <t>5</t>
        </is>
      </c>
      <c r="D481" s="21" t="inlineStr">
        <is>
          <t>UE27</t>
        </is>
      </c>
      <c r="E481" s="21" t="inlineStr">
        <is>
          <t>Communication professionnelle &amp; RH</t>
        </is>
      </c>
      <c r="F481" s="21" t="inlineStr">
        <is>
          <t>- Encadrement de stagiaires et techniciens juniors.</t>
        </is>
      </c>
      <c r="H481" s="21" t="n">
        <v>2</v>
      </c>
      <c r="I481" s="21" t="n">
        <v>2</v>
      </c>
      <c r="J481" s="21" t="n">
        <v>2</v>
      </c>
      <c r="K481" s="21" t="n">
        <v>6</v>
      </c>
      <c r="L481" s="21" t="n">
        <v>36</v>
      </c>
      <c r="M481" s="21" t="n">
        <v>6</v>
      </c>
    </row>
    <row r="482">
      <c r="A482" s="21" t="inlineStr">
        <is>
          <t>Maintenance biomédicale</t>
        </is>
      </c>
      <c r="B482" s="21" t="inlineStr">
        <is>
          <t>L3</t>
        </is>
      </c>
      <c r="C482" s="21" t="inlineStr">
        <is>
          <t>5</t>
        </is>
      </c>
      <c r="D482" s="21" t="inlineStr">
        <is>
          <t>UE27</t>
        </is>
      </c>
      <c r="E482" s="21" t="inlineStr">
        <is>
          <t>Communication professionnelle &amp; RH</t>
        </is>
      </c>
      <c r="F482" s="21" t="inlineStr">
        <is>
          <t>- Simulation de réunion interdisciplinaire de crise.</t>
        </is>
      </c>
      <c r="H482" s="21" t="n">
        <v>4</v>
      </c>
      <c r="I482" s="21" t="n">
        <v>2</v>
      </c>
      <c r="K482" s="21" t="n">
        <v>6</v>
      </c>
      <c r="L482" s="21" t="n">
        <v>36</v>
      </c>
      <c r="M482" s="21" t="n">
        <v>6</v>
      </c>
    </row>
    <row r="483">
      <c r="A483" s="21" t="inlineStr">
        <is>
          <t>Maintenance biomédicale</t>
        </is>
      </c>
      <c r="B483" s="21" t="inlineStr">
        <is>
          <t>L3</t>
        </is>
      </c>
      <c r="C483" s="21" t="inlineStr">
        <is>
          <t>5</t>
        </is>
      </c>
      <c r="D483" s="21" t="inlineStr">
        <is>
          <t>UE28</t>
        </is>
      </c>
      <c r="E483" s="21" t="inlineStr">
        <is>
          <t>Anglais professionnel</t>
        </is>
      </c>
      <c r="F483" s="21" t="inlineStr">
        <is>
          <t>- Lecture de normes et manuels techniques en anglais.</t>
        </is>
      </c>
      <c r="H483" s="21" t="n">
        <v>4</v>
      </c>
      <c r="I483" s="21" t="n">
        <v>4</v>
      </c>
      <c r="K483" s="21" t="n">
        <v>8</v>
      </c>
      <c r="L483" s="21" t="n">
        <v>30</v>
      </c>
      <c r="M483" s="21" t="n">
        <v>3</v>
      </c>
    </row>
    <row r="484">
      <c r="A484" s="21" t="inlineStr">
        <is>
          <t>Maintenance biomédicale</t>
        </is>
      </c>
      <c r="B484" s="21" t="inlineStr">
        <is>
          <t>L3</t>
        </is>
      </c>
      <c r="C484" s="21" t="inlineStr">
        <is>
          <t>5</t>
        </is>
      </c>
      <c r="D484" s="21" t="inlineStr">
        <is>
          <t>UE28</t>
        </is>
      </c>
      <c r="E484" s="21" t="inlineStr">
        <is>
          <t>Anglais professionnel</t>
        </is>
      </c>
      <c r="F484" s="21" t="inlineStr">
        <is>
          <t>- Communication professionnelle avec fournisseurs internationaux.</t>
        </is>
      </c>
      <c r="H484" s="21" t="n">
        <v>2</v>
      </c>
      <c r="I484" s="21" t="n">
        <v>4</v>
      </c>
      <c r="K484" s="21" t="n">
        <v>6</v>
      </c>
      <c r="L484" s="21" t="n">
        <v>30</v>
      </c>
      <c r="M484" s="21" t="n">
        <v>3</v>
      </c>
    </row>
    <row r="485">
      <c r="A485" s="21" t="inlineStr">
        <is>
          <t>Maintenance biomédicale</t>
        </is>
      </c>
      <c r="B485" s="21" t="inlineStr">
        <is>
          <t>L3</t>
        </is>
      </c>
      <c r="C485" s="21" t="inlineStr">
        <is>
          <t>5</t>
        </is>
      </c>
      <c r="D485" s="21" t="inlineStr">
        <is>
          <t>UE28</t>
        </is>
      </c>
      <c r="E485" s="21" t="inlineStr">
        <is>
          <t>Anglais professionnel</t>
        </is>
      </c>
      <c r="F485" s="21" t="inlineStr">
        <is>
          <t>- Rédaction d’emails techniques et rapports en anglais.</t>
        </is>
      </c>
      <c r="H485" s="21" t="n">
        <v>4</v>
      </c>
      <c r="I485" s="21" t="n">
        <v>4</v>
      </c>
      <c r="K485" s="21" t="n">
        <v>8</v>
      </c>
      <c r="L485" s="21" t="n">
        <v>30</v>
      </c>
      <c r="M485" s="21" t="n">
        <v>3</v>
      </c>
    </row>
    <row r="486">
      <c r="A486" s="21" t="inlineStr">
        <is>
          <t>Maintenance biomédicale</t>
        </is>
      </c>
      <c r="B486" s="21" t="inlineStr">
        <is>
          <t>L3</t>
        </is>
      </c>
      <c r="C486" s="21" t="inlineStr">
        <is>
          <t>5</t>
        </is>
      </c>
      <c r="D486" s="21" t="inlineStr">
        <is>
          <t>UE28</t>
        </is>
      </c>
      <c r="E486" s="21" t="inlineStr">
        <is>
          <t>Anglais professionnel</t>
        </is>
      </c>
      <c r="F486" s="21" t="inlineStr">
        <is>
          <t>- Présentations orales en anglais technique.</t>
        </is>
      </c>
      <c r="H486" s="21" t="n">
        <v>2</v>
      </c>
      <c r="I486" s="21" t="n">
        <v>6</v>
      </c>
      <c r="K486" s="21" t="n">
        <v>8</v>
      </c>
      <c r="L486" s="21" t="n">
        <v>30</v>
      </c>
      <c r="M486" s="21" t="n">
        <v>3</v>
      </c>
    </row>
    <row r="487">
      <c r="A487" s="21" t="inlineStr">
        <is>
          <t>Maintenance biomédicale</t>
        </is>
      </c>
      <c r="B487" s="21" t="inlineStr">
        <is>
          <t>L3</t>
        </is>
      </c>
      <c r="C487" s="21" t="inlineStr">
        <is>
          <t>5</t>
        </is>
      </c>
      <c r="D487" s="21" t="inlineStr">
        <is>
          <t>UE28</t>
        </is>
      </c>
      <c r="E487" s="21" t="inlineStr">
        <is>
          <t>Anglais professionnel</t>
        </is>
      </c>
      <c r="F487" s="21" t="inlineStr">
        <is>
          <t>- Préparation et suivi d’audits normatifs.</t>
        </is>
      </c>
      <c r="H487" s="21" t="n">
        <v>6</v>
      </c>
      <c r="I487" s="21" t="n">
        <v>4</v>
      </c>
      <c r="K487" s="21" t="n">
        <v>10</v>
      </c>
      <c r="L487" s="21" t="n">
        <v>30</v>
      </c>
      <c r="M487" s="21" t="n">
        <v>3</v>
      </c>
    </row>
    <row r="488">
      <c r="A488" s="21" t="inlineStr">
        <is>
          <t>Maintenance biomédicale</t>
        </is>
      </c>
      <c r="B488" s="21" t="inlineStr">
        <is>
          <t>L3</t>
        </is>
      </c>
      <c r="C488" s="21" t="inlineStr">
        <is>
          <t>5</t>
        </is>
      </c>
      <c r="D488" s="21" t="inlineStr">
        <is>
          <t>UE28</t>
        </is>
      </c>
      <c r="E488" s="21" t="inlineStr">
        <is>
          <t>Anglais professionnel</t>
        </is>
      </c>
      <c r="F488" s="21" t="inlineStr">
        <is>
          <t>- Systèmes de management qualité (SMQ) en maintenance biomédicale.</t>
        </is>
      </c>
      <c r="H488" s="21" t="n">
        <v>6</v>
      </c>
      <c r="I488" s="21" t="n">
        <v>6</v>
      </c>
      <c r="K488" s="21" t="n">
        <v>12</v>
      </c>
      <c r="L488" s="21" t="n">
        <v>30</v>
      </c>
      <c r="M488" s="21" t="n">
        <v>3</v>
      </c>
    </row>
    <row r="489">
      <c r="A489" s="21" t="inlineStr">
        <is>
          <t>Maintenance biomédicale</t>
        </is>
      </c>
      <c r="B489" s="21" t="inlineStr">
        <is>
          <t>L3</t>
        </is>
      </c>
      <c r="C489" s="21" t="inlineStr">
        <is>
          <t>5</t>
        </is>
      </c>
      <c r="D489" s="21" t="inlineStr">
        <is>
          <t>UE28</t>
        </is>
      </c>
      <c r="E489" s="21" t="inlineStr">
        <is>
          <t>Anglais professionnel</t>
        </is>
      </c>
      <c r="F489" s="21" t="inlineStr">
        <is>
          <t>- Certification et accréditation d’un service hospitalier.</t>
        </is>
      </c>
      <c r="H489" s="21" t="n">
        <v>4</v>
      </c>
      <c r="I489" s="21" t="n">
        <v>4</v>
      </c>
      <c r="K489" s="21" t="n">
        <v>8</v>
      </c>
      <c r="L489" s="21" t="n">
        <v>30</v>
      </c>
      <c r="M489" s="21" t="n">
        <v>3</v>
      </c>
    </row>
    <row r="490">
      <c r="A490" s="21" t="inlineStr">
        <is>
          <t>Maintenance biomédicale</t>
        </is>
      </c>
      <c r="B490" s="21" t="inlineStr">
        <is>
          <t>L3</t>
        </is>
      </c>
      <c r="C490" s="21" t="inlineStr">
        <is>
          <t>6</t>
        </is>
      </c>
      <c r="D490" s="21" t="inlineStr">
        <is>
          <t>UE30</t>
        </is>
      </c>
      <c r="E490" s="21" t="inlineStr">
        <is>
          <t>Projet de fin d’études</t>
        </is>
      </c>
      <c r="F490" s="21" t="inlineStr">
        <is>
          <t>- Réalisation d’un projet pratique complet : audit technique, plan de maintenance ou innovation locale.</t>
        </is>
      </c>
      <c r="H490" s="21" t="n">
        <v>6</v>
      </c>
      <c r="I490" s="21" t="n">
        <v>8</v>
      </c>
      <c r="J490" s="21" t="n">
        <v>24</v>
      </c>
      <c r="K490" s="21" t="n">
        <v>38</v>
      </c>
      <c r="L490" s="21" t="n">
        <v>50</v>
      </c>
      <c r="M490" s="21" t="n">
        <v>6</v>
      </c>
    </row>
    <row r="491">
      <c r="A491" s="21" t="inlineStr">
        <is>
          <t>Maintenance biomédicale</t>
        </is>
      </c>
      <c r="B491" s="21" t="inlineStr">
        <is>
          <t>L3</t>
        </is>
      </c>
      <c r="C491" s="21" t="inlineStr">
        <is>
          <t>6</t>
        </is>
      </c>
      <c r="D491" s="21" t="inlineStr">
        <is>
          <t>UE30</t>
        </is>
      </c>
      <c r="E491" s="21" t="inlineStr">
        <is>
          <t>Projet de fin d’études</t>
        </is>
      </c>
      <c r="F491" s="21" t="inlineStr">
        <is>
          <t>- Rapport écrit et soutenance orale devant un jury mixte (techniciens, médecins, administrateurs).</t>
        </is>
      </c>
      <c r="H491" s="21" t="n">
        <v>4</v>
      </c>
      <c r="I491" s="21" t="n">
        <v>4</v>
      </c>
      <c r="J491" s="21" t="n">
        <v>4</v>
      </c>
      <c r="K491" s="21" t="n">
        <v>12</v>
      </c>
      <c r="L491" s="21" t="n">
        <v>50</v>
      </c>
      <c r="M491" s="21" t="n">
        <v>6</v>
      </c>
    </row>
    <row r="492">
      <c r="A492" s="21" t="inlineStr">
        <is>
          <t>Maintenance biomédicale</t>
        </is>
      </c>
      <c r="B492" s="21" t="inlineStr">
        <is>
          <t>L3</t>
        </is>
      </c>
      <c r="C492" s="21" t="inlineStr">
        <is>
          <t>6</t>
        </is>
      </c>
      <c r="D492" s="21" t="inlineStr">
        <is>
          <t>UE31</t>
        </is>
      </c>
      <c r="E492" s="21" t="inlineStr">
        <is>
          <t>Stage professionnel (3 à 6 mois)</t>
        </is>
      </c>
      <c r="F492" s="21" t="inlineStr">
        <is>
          <t>(Stage pratique long .</t>
        </is>
      </c>
      <c r="J492" s="21" t="n">
        <v>864</v>
      </c>
      <c r="K492" s="21" t="n">
        <v>864</v>
      </c>
      <c r="L492" s="21" t="n">
        <v>864</v>
      </c>
      <c r="M492" s="21" t="n">
        <v>12</v>
      </c>
    </row>
    <row r="493">
      <c r="A493" s="21" t="inlineStr">
        <is>
          <t>Maintenance biomédicale</t>
        </is>
      </c>
      <c r="B493" s="21" t="inlineStr">
        <is>
          <t>L3</t>
        </is>
      </c>
      <c r="C493" s="21" t="inlineStr">
        <is>
          <t>6</t>
        </is>
      </c>
      <c r="D493" s="21" t="inlineStr">
        <is>
          <t>UE32</t>
        </is>
      </c>
      <c r="E493" s="21" t="inlineStr">
        <is>
          <t>Equipement des urgences</t>
        </is>
      </c>
      <c r="F493" s="21" t="inlineStr">
        <is>
          <t>- Maintenance des équipements d’urgences : moniteurs de transport, respirateurs d’urgence, défibrillateurs, aspirateurs.</t>
        </is>
      </c>
      <c r="H493" s="21" t="n">
        <v>6</v>
      </c>
      <c r="I493" s="21" t="n">
        <v>6</v>
      </c>
      <c r="J493" s="21" t="n">
        <v>10</v>
      </c>
      <c r="K493" s="21" t="n">
        <v>22</v>
      </c>
      <c r="L493" s="21" t="n">
        <v>50</v>
      </c>
      <c r="M493" s="21" t="n">
        <v>6</v>
      </c>
    </row>
    <row r="494">
      <c r="A494" s="21" t="inlineStr">
        <is>
          <t>Maintenance biomédicale</t>
        </is>
      </c>
      <c r="B494" s="21" t="inlineStr">
        <is>
          <t>L3</t>
        </is>
      </c>
      <c r="C494" s="21" t="inlineStr">
        <is>
          <t>6</t>
        </is>
      </c>
      <c r="D494" s="21" t="inlineStr">
        <is>
          <t>UE32</t>
        </is>
      </c>
      <c r="E494" s="21" t="inlineStr">
        <is>
          <t>Equipement des urgences</t>
        </is>
      </c>
      <c r="F494" s="21" t="inlineStr">
        <is>
          <t>- Protocoles de tests rapides et maintenance en contexte critique.</t>
        </is>
      </c>
      <c r="H494" s="21" t="n">
        <v>4</v>
      </c>
      <c r="I494" s="21" t="n">
        <v>6</v>
      </c>
      <c r="J494" s="21" t="n">
        <v>4</v>
      </c>
      <c r="K494" s="21" t="n">
        <v>14</v>
      </c>
      <c r="L494" s="21" t="n">
        <v>50</v>
      </c>
      <c r="M494" s="21" t="n">
        <v>6</v>
      </c>
    </row>
    <row r="495">
      <c r="A495" s="21" t="inlineStr">
        <is>
          <t>Maintenance biomédicale</t>
        </is>
      </c>
      <c r="B495" s="21" t="inlineStr">
        <is>
          <t>L3</t>
        </is>
      </c>
      <c r="C495" s="21" t="inlineStr">
        <is>
          <t>6</t>
        </is>
      </c>
      <c r="D495" s="21" t="inlineStr">
        <is>
          <t>UE32</t>
        </is>
      </c>
      <c r="E495" s="21" t="inlineStr">
        <is>
          <t>Equipement des urgences</t>
        </is>
      </c>
      <c r="F495" s="21" t="inlineStr">
        <is>
          <t>- Plans de continuité des soins en cas de panne.</t>
        </is>
      </c>
      <c r="H495" s="21" t="n">
        <v>6</v>
      </c>
      <c r="I495" s="21" t="n">
        <v>8</v>
      </c>
      <c r="K495" s="21" t="n">
        <v>14</v>
      </c>
      <c r="L495" s="21" t="n">
        <v>50</v>
      </c>
      <c r="M495" s="21" t="n">
        <v>6</v>
      </c>
    </row>
    <row r="496">
      <c r="A496" s="21" t="inlineStr">
        <is>
          <t>Maintenance biomédicale</t>
        </is>
      </c>
      <c r="B496" s="21" t="inlineStr">
        <is>
          <t>L3</t>
        </is>
      </c>
      <c r="C496" s="21" t="inlineStr">
        <is>
          <t>6</t>
        </is>
      </c>
      <c r="D496" s="21" t="inlineStr">
        <is>
          <t>UE33</t>
        </is>
      </c>
      <c r="E496" s="21" t="inlineStr">
        <is>
          <t>Equipments de chirurgie</t>
        </is>
      </c>
      <c r="F496" s="21" t="inlineStr">
        <is>
          <t>- Maintenance avancée des équipements du bloc opératoire : générateurs HF, colonnes de coelioscopie, moteurs chirurgicaux.</t>
        </is>
      </c>
      <c r="H496" s="21" t="n">
        <v>6</v>
      </c>
      <c r="I496" s="21" t="n">
        <v>6</v>
      </c>
      <c r="J496" s="21" t="n">
        <v>8</v>
      </c>
      <c r="K496" s="21" t="n">
        <v>20</v>
      </c>
      <c r="L496" s="21" t="n">
        <v>50</v>
      </c>
      <c r="M496" s="21" t="n">
        <v>6</v>
      </c>
    </row>
    <row r="497">
      <c r="A497" s="21" t="inlineStr">
        <is>
          <t>Maintenance biomédicale</t>
        </is>
      </c>
      <c r="B497" s="21" t="inlineStr">
        <is>
          <t>L3</t>
        </is>
      </c>
      <c r="C497" s="21" t="inlineStr">
        <is>
          <t>6</t>
        </is>
      </c>
      <c r="D497" s="21" t="inlineStr">
        <is>
          <t>UE33</t>
        </is>
      </c>
      <c r="E497" s="21" t="inlineStr">
        <is>
          <t>Equipments de chirurgie</t>
        </is>
      </c>
      <c r="F497" s="21" t="inlineStr">
        <is>
          <t>- Sécurité électrique et stérilisation associée.</t>
        </is>
      </c>
      <c r="H497" s="21" t="n">
        <v>4</v>
      </c>
      <c r="I497" s="21" t="n">
        <v>4</v>
      </c>
      <c r="K497" s="21" t="n">
        <v>8</v>
      </c>
      <c r="L497" s="21" t="n">
        <v>50</v>
      </c>
      <c r="M497" s="21" t="n">
        <v>6</v>
      </c>
    </row>
    <row r="498">
      <c r="A498" s="21" t="inlineStr">
        <is>
          <t>Maintenance biomédicale</t>
        </is>
      </c>
      <c r="B498" s="21" t="inlineStr">
        <is>
          <t>L3</t>
        </is>
      </c>
      <c r="C498" s="21" t="inlineStr">
        <is>
          <t>6</t>
        </is>
      </c>
      <c r="D498" s="21" t="inlineStr">
        <is>
          <t>UE33</t>
        </is>
      </c>
      <c r="E498" s="21" t="inlineStr">
        <is>
          <t>Equipments de chirurgie</t>
        </is>
      </c>
      <c r="F498" s="21" t="inlineStr">
        <is>
          <t>- Vérification des lampes scialytiques, tables opératoires et systèmes d’aspiration.</t>
        </is>
      </c>
      <c r="H498" s="21" t="n">
        <v>6</v>
      </c>
      <c r="I498" s="21" t="n">
        <v>2</v>
      </c>
      <c r="J498" s="21" t="n">
        <v>4</v>
      </c>
      <c r="K498" s="21" t="n">
        <v>12</v>
      </c>
      <c r="L498" s="21" t="n">
        <v>50</v>
      </c>
      <c r="M498" s="21" t="n">
        <v>6</v>
      </c>
    </row>
    <row r="499">
      <c r="A499" s="21" t="inlineStr">
        <is>
          <t>Maintenance biomédicale</t>
        </is>
      </c>
      <c r="B499" s="21" t="inlineStr">
        <is>
          <t>L3</t>
        </is>
      </c>
      <c r="C499" s="21" t="inlineStr">
        <is>
          <t>6</t>
        </is>
      </c>
      <c r="D499" s="21" t="inlineStr">
        <is>
          <t>UE33</t>
        </is>
      </c>
      <c r="E499" s="21" t="inlineStr">
        <is>
          <t>Equipments de chirurgie</t>
        </is>
      </c>
      <c r="F499" s="21" t="inlineStr">
        <is>
          <t>- TP pratiques : diagnostic et maintenance corrective en bloc.</t>
        </is>
      </c>
      <c r="J499" s="21" t="n">
        <v>10</v>
      </c>
      <c r="K499" s="21" t="n">
        <v>10</v>
      </c>
      <c r="L499" s="21" t="n">
        <v>50</v>
      </c>
      <c r="M499" s="21" t="n">
        <v>6</v>
      </c>
    </row>
    <row r="500">
      <c r="A500" s="21" t="inlineStr">
        <is>
          <t>Imagerie médicale</t>
        </is>
      </c>
      <c r="B500" s="21" t="inlineStr">
        <is>
          <t>L1</t>
        </is>
      </c>
      <c r="C500" s="21" t="inlineStr">
        <is>
          <t>1</t>
        </is>
      </c>
      <c r="D500" s="21" t="inlineStr">
        <is>
          <t>UE1</t>
        </is>
      </c>
      <c r="E500" s="21" t="inlineStr">
        <is>
          <t>Physique de l'imagerie</t>
        </is>
      </c>
      <c r="F500" s="21" t="inlineStr">
        <is>
          <t>Historique et évolution de la physique de l’imageries avec applications dans le monde médicale  (rayons X, échographie, scanner, IRM)</t>
        </is>
      </c>
      <c r="H500" s="21" t="n">
        <v>6</v>
      </c>
      <c r="I500" s="21" t="n">
        <v>4</v>
      </c>
      <c r="K500" s="21" t="n">
        <v>10</v>
      </c>
      <c r="L500" s="21" t="n">
        <v>45</v>
      </c>
      <c r="M500" s="21" t="n">
        <v>5</v>
      </c>
    </row>
    <row r="501">
      <c r="A501" s="21" t="inlineStr">
        <is>
          <t>Imagerie médicale</t>
        </is>
      </c>
      <c r="B501" s="21" t="inlineStr">
        <is>
          <t>L1</t>
        </is>
      </c>
      <c r="C501" s="21" t="inlineStr">
        <is>
          <t>1</t>
        </is>
      </c>
      <c r="D501" s="21" t="inlineStr">
        <is>
          <t>UE1</t>
        </is>
      </c>
      <c r="E501" s="21" t="inlineStr">
        <is>
          <t>Physique de l'imagerie</t>
        </is>
      </c>
      <c r="F501" s="21" t="inlineStr">
        <is>
          <t>Principes physiques des rayonnements ionisants et non ionisants</t>
        </is>
      </c>
      <c r="H501" s="21" t="n">
        <v>6</v>
      </c>
      <c r="I501" s="21" t="n">
        <v>3</v>
      </c>
      <c r="K501" s="21" t="n">
        <v>9</v>
      </c>
      <c r="L501" s="21" t="n">
        <v>45</v>
      </c>
      <c r="M501" s="21" t="n">
        <v>5</v>
      </c>
    </row>
    <row r="502">
      <c r="A502" s="21" t="inlineStr">
        <is>
          <t>Imagerie médicale</t>
        </is>
      </c>
      <c r="B502" s="21" t="inlineStr">
        <is>
          <t>L1</t>
        </is>
      </c>
      <c r="C502" s="21" t="inlineStr">
        <is>
          <t>1</t>
        </is>
      </c>
      <c r="D502" s="21" t="inlineStr">
        <is>
          <t>UE1</t>
        </is>
      </c>
      <c r="E502" s="21" t="inlineStr">
        <is>
          <t>Physique de l'imagerie</t>
        </is>
      </c>
      <c r="F502" s="21" t="inlineStr">
        <is>
          <t>Interaction rayonnements–matière (absorption, diffusion, atténuation)</t>
        </is>
      </c>
      <c r="H502" s="21" t="n">
        <v>5</v>
      </c>
      <c r="I502" s="21" t="n">
        <v>2</v>
      </c>
      <c r="K502" s="21" t="n">
        <v>7</v>
      </c>
      <c r="L502" s="21" t="n">
        <v>45</v>
      </c>
      <c r="M502" s="21" t="n">
        <v>5</v>
      </c>
    </row>
    <row r="503">
      <c r="A503" s="21" t="inlineStr">
        <is>
          <t>Imagerie médicale</t>
        </is>
      </c>
      <c r="B503" s="21" t="inlineStr">
        <is>
          <t>L1</t>
        </is>
      </c>
      <c r="C503" s="21" t="inlineStr">
        <is>
          <t>1</t>
        </is>
      </c>
      <c r="D503" s="21" t="inlineStr">
        <is>
          <t>UE1</t>
        </is>
      </c>
      <c r="E503" s="21" t="inlineStr">
        <is>
          <t>Physique de l'imagerie</t>
        </is>
      </c>
      <c r="F503" s="21" t="inlineStr">
        <is>
          <t>Bases physiques des ultrasons (propagation, modes A-B-M, Doppler)</t>
        </is>
      </c>
      <c r="H503" s="21" t="n">
        <v>6</v>
      </c>
      <c r="I503" s="21" t="n">
        <v>2</v>
      </c>
      <c r="K503" s="21" t="n">
        <v>8</v>
      </c>
      <c r="L503" s="21" t="n">
        <v>45</v>
      </c>
      <c r="M503" s="21" t="n">
        <v>5</v>
      </c>
    </row>
    <row r="504">
      <c r="A504" s="21" t="inlineStr">
        <is>
          <t>Imagerie médicale</t>
        </is>
      </c>
      <c r="B504" s="21" t="inlineStr">
        <is>
          <t>L1</t>
        </is>
      </c>
      <c r="C504" s="21" t="inlineStr">
        <is>
          <t>1</t>
        </is>
      </c>
      <c r="D504" s="21" t="inlineStr">
        <is>
          <t>UE1</t>
        </is>
      </c>
      <c r="E504" s="21" t="inlineStr">
        <is>
          <t>Physique de l'imagerie</t>
        </is>
      </c>
      <c r="F504" s="21" t="inlineStr">
        <is>
          <t>Les grandeurs dosimétrique  (Effets biologiques des rayonnements ionisants)</t>
        </is>
      </c>
      <c r="H504" s="21" t="n">
        <v>7</v>
      </c>
      <c r="I504" s="21" t="n">
        <v>4</v>
      </c>
      <c r="K504" s="21" t="n">
        <v>11</v>
      </c>
      <c r="L504" s="21" t="n">
        <v>45</v>
      </c>
      <c r="M504" s="21" t="n">
        <v>5</v>
      </c>
    </row>
    <row r="505">
      <c r="A505" s="21" t="inlineStr">
        <is>
          <t>Imagerie médicale</t>
        </is>
      </c>
      <c r="B505" s="21" t="inlineStr">
        <is>
          <t>L1</t>
        </is>
      </c>
      <c r="C505" s="21" t="inlineStr">
        <is>
          <t>1</t>
        </is>
      </c>
      <c r="D505" s="21" t="inlineStr">
        <is>
          <t>UE2</t>
        </is>
      </c>
      <c r="E505" s="21" t="inlineStr">
        <is>
          <t>Anatomie et terminologie médicale</t>
        </is>
      </c>
      <c r="F505" s="21" t="inlineStr">
        <is>
          <t>Anatomie descriptive des systèmes</t>
        </is>
      </c>
      <c r="H505" s="21" t="n">
        <v>8</v>
      </c>
      <c r="I505" s="21" t="n">
        <v>4</v>
      </c>
      <c r="K505" s="21" t="n">
        <v>12</v>
      </c>
      <c r="L505" s="21" t="n">
        <v>46</v>
      </c>
      <c r="M505" s="21" t="n">
        <v>5</v>
      </c>
    </row>
    <row r="506">
      <c r="A506" s="21" t="inlineStr">
        <is>
          <t>Imagerie médicale</t>
        </is>
      </c>
      <c r="B506" s="21" t="inlineStr">
        <is>
          <t>L1</t>
        </is>
      </c>
      <c r="C506" s="21" t="inlineStr">
        <is>
          <t>1</t>
        </is>
      </c>
      <c r="D506" s="21" t="inlineStr">
        <is>
          <t>UE2</t>
        </is>
      </c>
      <c r="E506" s="21" t="inlineStr">
        <is>
          <t>Anatomie et terminologie médicale</t>
        </is>
      </c>
      <c r="F506" s="21" t="inlineStr">
        <is>
          <t>Terminologie médicale et radiologique de base</t>
        </is>
      </c>
      <c r="H506" s="21" t="n">
        <v>6</v>
      </c>
      <c r="I506" s="21" t="n">
        <v>3</v>
      </c>
      <c r="K506" s="21" t="n">
        <v>9</v>
      </c>
      <c r="L506" s="21" t="n">
        <v>46</v>
      </c>
      <c r="M506" s="21" t="n">
        <v>5</v>
      </c>
    </row>
    <row r="507">
      <c r="A507" s="21" t="inlineStr">
        <is>
          <t>Imagerie médicale</t>
        </is>
      </c>
      <c r="B507" s="21" t="inlineStr">
        <is>
          <t>L1</t>
        </is>
      </c>
      <c r="C507" s="21" t="inlineStr">
        <is>
          <t>1</t>
        </is>
      </c>
      <c r="D507" s="21" t="inlineStr">
        <is>
          <t>UE2</t>
        </is>
      </c>
      <c r="E507" s="21" t="inlineStr">
        <is>
          <t>Anatomie et terminologie médicale</t>
        </is>
      </c>
      <c r="F507" s="21" t="inlineStr">
        <is>
          <t>Plans de coupe et correspondance avec l’imagerie</t>
        </is>
      </c>
      <c r="H507" s="21" t="n">
        <v>8</v>
      </c>
      <c r="I507" s="21" t="n">
        <v>5</v>
      </c>
      <c r="K507" s="21" t="n">
        <v>13</v>
      </c>
      <c r="L507" s="21" t="n">
        <v>46</v>
      </c>
      <c r="M507" s="21" t="n">
        <v>5</v>
      </c>
    </row>
    <row r="508">
      <c r="A508" s="21" t="inlineStr">
        <is>
          <t>Imagerie médicale</t>
        </is>
      </c>
      <c r="B508" s="21" t="inlineStr">
        <is>
          <t>L1</t>
        </is>
      </c>
      <c r="C508" s="21" t="inlineStr">
        <is>
          <t>1</t>
        </is>
      </c>
      <c r="D508" s="21" t="inlineStr">
        <is>
          <t>UE2</t>
        </is>
      </c>
      <c r="E508" s="21" t="inlineStr">
        <is>
          <t>Anatomie et terminologie médicale</t>
        </is>
      </c>
      <c r="F508" s="21" t="inlineStr">
        <is>
          <t>Vocabulaire spécifique aux examens radiologiques, échographiques, scanner et IRM</t>
        </is>
      </c>
      <c r="H508" s="21" t="n">
        <v>8</v>
      </c>
      <c r="I508" s="21" t="n">
        <v>4</v>
      </c>
      <c r="K508" s="21" t="n">
        <v>12</v>
      </c>
      <c r="L508" s="21" t="n">
        <v>46</v>
      </c>
      <c r="M508" s="21" t="n">
        <v>5</v>
      </c>
    </row>
    <row r="509">
      <c r="A509" s="21" t="inlineStr">
        <is>
          <t>Imagerie médicale</t>
        </is>
      </c>
      <c r="B509" s="21" t="inlineStr">
        <is>
          <t>L1</t>
        </is>
      </c>
      <c r="C509" s="21" t="inlineStr">
        <is>
          <t>1</t>
        </is>
      </c>
      <c r="D509" s="21" t="inlineStr">
        <is>
          <t>UE3</t>
        </is>
      </c>
      <c r="E509" s="21" t="inlineStr">
        <is>
          <t>Radioprotection</t>
        </is>
      </c>
      <c r="F509" s="21" t="inlineStr">
        <is>
          <t>Principes fondamentaux (justification, optimisation, limitation – ALARA)</t>
        </is>
      </c>
      <c r="H509" s="21" t="n">
        <v>4</v>
      </c>
      <c r="I509" s="21" t="n">
        <v>2</v>
      </c>
      <c r="K509" s="21" t="n">
        <v>6</v>
      </c>
      <c r="L509" s="21" t="n">
        <v>25</v>
      </c>
      <c r="M509" s="21" t="n">
        <v>4</v>
      </c>
    </row>
    <row r="510">
      <c r="A510" s="21" t="inlineStr">
        <is>
          <t>Imagerie médicale</t>
        </is>
      </c>
      <c r="B510" s="21" t="inlineStr">
        <is>
          <t>L1</t>
        </is>
      </c>
      <c r="C510" s="21" t="inlineStr">
        <is>
          <t>1</t>
        </is>
      </c>
      <c r="D510" s="21" t="inlineStr">
        <is>
          <t>UE3</t>
        </is>
      </c>
      <c r="E510" s="21" t="inlineStr">
        <is>
          <t>Radioprotection</t>
        </is>
      </c>
      <c r="F510" s="21" t="inlineStr">
        <is>
          <t>Radioprotection et optimisation des doses en radiologie conventionnelle</t>
        </is>
      </c>
      <c r="H510" s="21" t="n">
        <v>4</v>
      </c>
      <c r="I510" s="21" t="n">
        <v>2</v>
      </c>
      <c r="K510" s="21" t="n">
        <v>6</v>
      </c>
      <c r="L510" s="21" t="n">
        <v>25</v>
      </c>
      <c r="M510" s="21" t="n">
        <v>4</v>
      </c>
    </row>
    <row r="511">
      <c r="A511" s="21" t="inlineStr">
        <is>
          <t>Imagerie médicale</t>
        </is>
      </c>
      <c r="B511" s="21" t="inlineStr">
        <is>
          <t>L1</t>
        </is>
      </c>
      <c r="C511" s="21" t="inlineStr">
        <is>
          <t>1</t>
        </is>
      </c>
      <c r="D511" s="21" t="inlineStr">
        <is>
          <t>UE3</t>
        </is>
      </c>
      <c r="E511" s="21" t="inlineStr">
        <is>
          <t>Radioprotection</t>
        </is>
      </c>
      <c r="F511" s="21" t="inlineStr">
        <is>
          <t>Mesures de protection (dosimètres, blindages, procédures de sécurité)</t>
        </is>
      </c>
      <c r="H511" s="21" t="n">
        <v>2</v>
      </c>
      <c r="I511" s="21" t="n">
        <v>2</v>
      </c>
      <c r="K511" s="21" t="n">
        <v>4</v>
      </c>
      <c r="L511" s="21" t="n">
        <v>25</v>
      </c>
      <c r="M511" s="21" t="n">
        <v>4</v>
      </c>
    </row>
    <row r="512">
      <c r="A512" s="21" t="inlineStr">
        <is>
          <t>Imagerie médicale</t>
        </is>
      </c>
      <c r="B512" s="21" t="inlineStr">
        <is>
          <t>L1</t>
        </is>
      </c>
      <c r="C512" s="21" t="inlineStr">
        <is>
          <t>1</t>
        </is>
      </c>
      <c r="D512" s="21" t="inlineStr">
        <is>
          <t>UE3</t>
        </is>
      </c>
      <c r="E512" s="21" t="inlineStr">
        <is>
          <t>Radioprotection</t>
        </is>
      </c>
      <c r="F512" s="21" t="inlineStr">
        <is>
          <t>Techniques de radioscopie (principes, applications cliniques)</t>
        </is>
      </c>
      <c r="H512" s="21" t="n">
        <v>2</v>
      </c>
      <c r="I512" s="21" t="n">
        <v>2</v>
      </c>
      <c r="K512" s="21" t="n">
        <v>4</v>
      </c>
      <c r="L512" s="21" t="n">
        <v>25</v>
      </c>
      <c r="M512" s="21" t="n">
        <v>4</v>
      </c>
    </row>
    <row r="513">
      <c r="A513" s="21" t="inlineStr">
        <is>
          <t>Imagerie médicale</t>
        </is>
      </c>
      <c r="B513" s="21" t="inlineStr">
        <is>
          <t>L1</t>
        </is>
      </c>
      <c r="C513" s="21" t="inlineStr">
        <is>
          <t>1</t>
        </is>
      </c>
      <c r="D513" s="21" t="inlineStr">
        <is>
          <t>UE3</t>
        </is>
      </c>
      <c r="E513" s="21" t="inlineStr">
        <is>
          <t>Radioprotection</t>
        </is>
      </c>
      <c r="F513" s="21" t="inlineStr">
        <is>
          <t>Gestion des déchets</t>
        </is>
      </c>
      <c r="H513" s="21" t="n">
        <v>2</v>
      </c>
      <c r="I513" s="21" t="n">
        <v>3</v>
      </c>
      <c r="K513" s="21" t="n">
        <v>5</v>
      </c>
      <c r="L513" s="21" t="n">
        <v>25</v>
      </c>
      <c r="M513" s="21" t="n">
        <v>4</v>
      </c>
    </row>
    <row r="514">
      <c r="A514" s="21" t="inlineStr">
        <is>
          <t>Imagerie médicale</t>
        </is>
      </c>
      <c r="B514" s="21" t="inlineStr">
        <is>
          <t>L1</t>
        </is>
      </c>
      <c r="C514" s="21" t="inlineStr">
        <is>
          <t>1</t>
        </is>
      </c>
      <c r="D514" s="21" t="inlineStr">
        <is>
          <t>UE4</t>
        </is>
      </c>
      <c r="E514" s="21" t="inlineStr">
        <is>
          <t>Techniques de radiologie conventionnelle</t>
        </is>
      </c>
      <c r="F514" s="21" t="inlineStr">
        <is>
          <t>Fonctionnement des appareils de radiologie conventionnelle</t>
        </is>
      </c>
      <c r="H514" s="21" t="n">
        <v>6</v>
      </c>
      <c r="I514" s="21" t="n">
        <v>4</v>
      </c>
      <c r="K514" s="21" t="n">
        <v>10</v>
      </c>
      <c r="L514" s="21" t="n">
        <v>60</v>
      </c>
      <c r="M514" s="21" t="n">
        <v>6</v>
      </c>
    </row>
    <row r="515">
      <c r="A515" s="21" t="inlineStr">
        <is>
          <t>Imagerie médicale</t>
        </is>
      </c>
      <c r="B515" s="21" t="inlineStr">
        <is>
          <t>L1</t>
        </is>
      </c>
      <c r="C515" s="21" t="inlineStr">
        <is>
          <t>1</t>
        </is>
      </c>
      <c r="D515" s="21" t="inlineStr">
        <is>
          <t>UE4</t>
        </is>
      </c>
      <c r="E515" s="21" t="inlineStr">
        <is>
          <t>Techniques de radiologie conventionnelle</t>
        </is>
      </c>
      <c r="F515" s="21" t="inlineStr">
        <is>
          <t>Notions de qualité d’image : contraste, résolution, bruit, rapport signal/bruit</t>
        </is>
      </c>
      <c r="H515" s="21" t="n">
        <v>6</v>
      </c>
      <c r="I515" s="21" t="n">
        <v>4</v>
      </c>
      <c r="K515" s="21" t="n">
        <v>10</v>
      </c>
      <c r="L515" s="21" t="n">
        <v>60</v>
      </c>
      <c r="M515" s="21" t="n">
        <v>6</v>
      </c>
    </row>
    <row r="516">
      <c r="A516" s="21" t="inlineStr">
        <is>
          <t>Imagerie médicale</t>
        </is>
      </c>
      <c r="B516" s="21" t="inlineStr">
        <is>
          <t>L1</t>
        </is>
      </c>
      <c r="C516" s="21" t="inlineStr">
        <is>
          <t>1</t>
        </is>
      </c>
      <c r="D516" s="21" t="inlineStr">
        <is>
          <t>UE4</t>
        </is>
      </c>
      <c r="E516" s="21" t="inlineStr">
        <is>
          <t>Techniques de radiologie conventionnelle</t>
        </is>
      </c>
      <c r="F516" s="21" t="inlineStr">
        <is>
          <t>Paramètres techniques : kV, mAs, temps d’exposition, collimation</t>
        </is>
      </c>
      <c r="H516" s="21" t="n">
        <v>6</v>
      </c>
      <c r="I516" s="21" t="n">
        <v>2</v>
      </c>
      <c r="K516" s="21" t="n">
        <v>8</v>
      </c>
      <c r="L516" s="21" t="n">
        <v>60</v>
      </c>
      <c r="M516" s="21" t="n">
        <v>6</v>
      </c>
    </row>
    <row r="517">
      <c r="A517" s="21" t="inlineStr">
        <is>
          <t>Imagerie médicale</t>
        </is>
      </c>
      <c r="B517" s="21" t="inlineStr">
        <is>
          <t>L1</t>
        </is>
      </c>
      <c r="C517" s="21" t="inlineStr">
        <is>
          <t>1</t>
        </is>
      </c>
      <c r="D517" s="21" t="inlineStr">
        <is>
          <t>UE4</t>
        </is>
      </c>
      <c r="E517" s="21" t="inlineStr">
        <is>
          <t>Techniques de radiologie conventionnelle</t>
        </is>
      </c>
      <c r="F517" s="21" t="inlineStr">
        <is>
          <t>Protocoles standards : thorax, membres, bassin, rachis, abdomen</t>
        </is>
      </c>
      <c r="H517" s="21" t="n">
        <v>6</v>
      </c>
      <c r="I517" s="21" t="n">
        <v>4</v>
      </c>
      <c r="K517" s="21" t="n">
        <v>10</v>
      </c>
      <c r="L517" s="21" t="n">
        <v>60</v>
      </c>
      <c r="M517" s="21" t="n">
        <v>6</v>
      </c>
    </row>
    <row r="518">
      <c r="A518" s="21" t="inlineStr">
        <is>
          <t>Imagerie médicale</t>
        </is>
      </c>
      <c r="B518" s="21" t="inlineStr">
        <is>
          <t>L1</t>
        </is>
      </c>
      <c r="C518" s="21" t="inlineStr">
        <is>
          <t>1</t>
        </is>
      </c>
      <c r="D518" s="21" t="inlineStr">
        <is>
          <t>UE4</t>
        </is>
      </c>
      <c r="E518" s="21" t="inlineStr">
        <is>
          <t>Techniques de radiologie conventionnelle</t>
        </is>
      </c>
      <c r="F518" s="21" t="inlineStr">
        <is>
          <t>Techniques de radioscopie (principes, applications cliniques)</t>
        </is>
      </c>
      <c r="H518" s="21" t="n">
        <v>6</v>
      </c>
      <c r="I518" s="21" t="n">
        <v>4</v>
      </c>
      <c r="K518" s="21" t="n">
        <v>10</v>
      </c>
      <c r="L518" s="21" t="n">
        <v>60</v>
      </c>
      <c r="M518" s="21" t="n">
        <v>6</v>
      </c>
    </row>
    <row r="519">
      <c r="A519" s="21" t="inlineStr">
        <is>
          <t>Imagerie médicale</t>
        </is>
      </c>
      <c r="B519" s="21" t="inlineStr">
        <is>
          <t>L1</t>
        </is>
      </c>
      <c r="C519" s="21" t="inlineStr">
        <is>
          <t>1</t>
        </is>
      </c>
      <c r="D519" s="21" t="inlineStr">
        <is>
          <t>UE4</t>
        </is>
      </c>
      <c r="E519" s="21" t="inlineStr">
        <is>
          <t>Techniques de radiologie conventionnelle</t>
        </is>
      </c>
      <c r="F519" s="21" t="inlineStr">
        <is>
          <t>Protocoles adaptés (pédiatrie, traumatologie, urgences)</t>
        </is>
      </c>
      <c r="H519" s="21" t="n">
        <v>6</v>
      </c>
      <c r="I519" s="21" t="n">
        <v>6</v>
      </c>
      <c r="K519" s="21" t="n">
        <v>12</v>
      </c>
      <c r="L519" s="21" t="n">
        <v>60</v>
      </c>
      <c r="M519" s="21" t="n">
        <v>6</v>
      </c>
    </row>
    <row r="520">
      <c r="A520" s="21" t="inlineStr">
        <is>
          <t>Imagerie médicale</t>
        </is>
      </c>
      <c r="B520" s="21" t="inlineStr">
        <is>
          <t>L1</t>
        </is>
      </c>
      <c r="C520" s="21" t="inlineStr">
        <is>
          <t>1</t>
        </is>
      </c>
      <c r="D520" s="21" t="inlineStr">
        <is>
          <t>UE5</t>
        </is>
      </c>
      <c r="E520" s="21" t="inlineStr">
        <is>
          <t>Anatomie radiologique</t>
        </is>
      </c>
      <c r="F520" s="21" t="inlineStr">
        <is>
          <t>Lecture des images radiographiques normales</t>
        </is>
      </c>
      <c r="H520" s="21" t="n">
        <v>4</v>
      </c>
      <c r="I520" s="21" t="n">
        <v>2</v>
      </c>
      <c r="K520" s="21" t="n">
        <v>6</v>
      </c>
      <c r="L520" s="21" t="n">
        <v>30</v>
      </c>
      <c r="M520" s="21" t="n">
        <v>4</v>
      </c>
    </row>
    <row r="521">
      <c r="A521" s="21" t="inlineStr">
        <is>
          <t>Imagerie médicale</t>
        </is>
      </c>
      <c r="B521" s="21" t="inlineStr">
        <is>
          <t>L1</t>
        </is>
      </c>
      <c r="C521" s="21" t="inlineStr">
        <is>
          <t>1</t>
        </is>
      </c>
      <c r="D521" s="21" t="inlineStr">
        <is>
          <t>UE5</t>
        </is>
      </c>
      <c r="E521" s="21" t="inlineStr">
        <is>
          <t>Anatomie radiologique</t>
        </is>
      </c>
      <c r="F521" s="21" t="inlineStr">
        <is>
          <t>Repères anatomiques en radiographie standard</t>
        </is>
      </c>
      <c r="H521" s="21" t="n">
        <v>4</v>
      </c>
      <c r="I521" s="21" t="n">
        <v>4</v>
      </c>
      <c r="K521" s="21" t="n">
        <v>8</v>
      </c>
      <c r="L521" s="21" t="n">
        <v>30</v>
      </c>
      <c r="M521" s="21" t="n">
        <v>4</v>
      </c>
    </row>
    <row r="522">
      <c r="A522" s="21" t="inlineStr">
        <is>
          <t>Imagerie médicale</t>
        </is>
      </c>
      <c r="B522" s="21" t="inlineStr">
        <is>
          <t>L1</t>
        </is>
      </c>
      <c r="C522" s="21" t="inlineStr">
        <is>
          <t>1</t>
        </is>
      </c>
      <c r="D522" s="21" t="inlineStr">
        <is>
          <t>UE5</t>
        </is>
      </c>
      <c r="E522" s="21" t="inlineStr">
        <is>
          <t>Anatomie radiologique</t>
        </is>
      </c>
      <c r="F522" s="21" t="inlineStr">
        <is>
          <t>Superpositions et variations anatomiques normales</t>
        </is>
      </c>
      <c r="H522" s="21" t="n">
        <v>4</v>
      </c>
      <c r="I522" s="21" t="n">
        <v>2</v>
      </c>
      <c r="K522" s="21" t="n">
        <v>6</v>
      </c>
      <c r="L522" s="21" t="n">
        <v>30</v>
      </c>
      <c r="M522" s="21" t="n">
        <v>4</v>
      </c>
    </row>
    <row r="523">
      <c r="A523" s="21" t="inlineStr">
        <is>
          <t>Imagerie médicale</t>
        </is>
      </c>
      <c r="B523" s="21" t="inlineStr">
        <is>
          <t>L1</t>
        </is>
      </c>
      <c r="C523" s="21" t="inlineStr">
        <is>
          <t>1</t>
        </is>
      </c>
      <c r="D523" s="21" t="inlineStr">
        <is>
          <t>UE5</t>
        </is>
      </c>
      <c r="E523" s="21" t="inlineStr">
        <is>
          <t>Anatomie radiologique</t>
        </is>
      </c>
      <c r="F523" s="21" t="inlineStr">
        <is>
          <t>Introduction à la sémiologie radiologique de base (distinction normal / pathologique)</t>
        </is>
      </c>
      <c r="H523" s="21" t="n">
        <v>2</v>
      </c>
      <c r="I523" s="21" t="n">
        <v>2</v>
      </c>
      <c r="K523" s="21" t="n">
        <v>4</v>
      </c>
      <c r="L523" s="21" t="n">
        <v>30</v>
      </c>
      <c r="M523" s="21" t="n">
        <v>4</v>
      </c>
    </row>
    <row r="524">
      <c r="A524" s="21" t="inlineStr">
        <is>
          <t>Imagerie médicale</t>
        </is>
      </c>
      <c r="B524" s="21" t="inlineStr">
        <is>
          <t>L1</t>
        </is>
      </c>
      <c r="C524" s="21" t="inlineStr">
        <is>
          <t>1</t>
        </is>
      </c>
      <c r="D524" s="21" t="inlineStr">
        <is>
          <t>UE5</t>
        </is>
      </c>
      <c r="E524" s="21" t="inlineStr">
        <is>
          <t>Anatomie radiologique</t>
        </is>
      </c>
      <c r="F524" s="21" t="inlineStr">
        <is>
          <t>Utilisation des atlas d’anatomie radiologique et PACS</t>
        </is>
      </c>
      <c r="H524" s="21" t="n">
        <v>4</v>
      </c>
      <c r="I524" s="21" t="n">
        <v>2</v>
      </c>
      <c r="K524" s="21" t="n">
        <v>6</v>
      </c>
      <c r="L524" s="21" t="n">
        <v>30</v>
      </c>
      <c r="M524" s="21" t="n">
        <v>4</v>
      </c>
    </row>
    <row r="525">
      <c r="A525" s="21" t="inlineStr">
        <is>
          <t>Imagerie médicale</t>
        </is>
      </c>
      <c r="B525" s="21" t="inlineStr">
        <is>
          <t>L1</t>
        </is>
      </c>
      <c r="C525" s="21" t="inlineStr">
        <is>
          <t>1</t>
        </is>
      </c>
      <c r="D525" s="21" t="inlineStr">
        <is>
          <t>UE6</t>
        </is>
      </c>
      <c r="E525" s="21" t="inlineStr">
        <is>
          <t>Sciences et techniques infirmières</t>
        </is>
      </c>
      <c r="F525" s="21" t="inlineStr">
        <is>
          <t>Soins de base et manutention des malades</t>
        </is>
      </c>
      <c r="H525" s="21" t="n">
        <v>6</v>
      </c>
      <c r="I525" s="21" t="n">
        <v>2</v>
      </c>
      <c r="J525" s="21" t="n">
        <v>4</v>
      </c>
      <c r="K525" s="21" t="n">
        <v>12</v>
      </c>
      <c r="L525" s="21" t="n">
        <v>60</v>
      </c>
      <c r="M525" s="21" t="n">
        <v>6</v>
      </c>
    </row>
    <row r="526">
      <c r="A526" s="21" t="inlineStr">
        <is>
          <t>Imagerie médicale</t>
        </is>
      </c>
      <c r="B526" s="21" t="inlineStr">
        <is>
          <t>L1</t>
        </is>
      </c>
      <c r="C526" s="21" t="inlineStr">
        <is>
          <t>1</t>
        </is>
      </c>
      <c r="D526" s="21" t="inlineStr">
        <is>
          <t>UE6</t>
        </is>
      </c>
      <c r="E526" s="21" t="inlineStr">
        <is>
          <t>Sciences et techniques infirmières</t>
        </is>
      </c>
      <c r="F526" s="21" t="inlineStr">
        <is>
          <t>Ethiques et déontologie</t>
        </is>
      </c>
      <c r="H526" s="21" t="n">
        <v>4</v>
      </c>
      <c r="I526" s="21" t="n">
        <v>2</v>
      </c>
      <c r="K526" s="21" t="n">
        <v>6</v>
      </c>
      <c r="L526" s="21" t="n">
        <v>60</v>
      </c>
      <c r="M526" s="21" t="n">
        <v>6</v>
      </c>
    </row>
    <row r="527">
      <c r="A527" s="21" t="inlineStr">
        <is>
          <t>Imagerie médicale</t>
        </is>
      </c>
      <c r="B527" s="21" t="inlineStr">
        <is>
          <t>L1</t>
        </is>
      </c>
      <c r="C527" s="21" t="inlineStr">
        <is>
          <t>1</t>
        </is>
      </c>
      <c r="D527" s="21" t="inlineStr">
        <is>
          <t>UE6</t>
        </is>
      </c>
      <c r="E527" s="21" t="inlineStr">
        <is>
          <t>Sciences et techniques infirmières</t>
        </is>
      </c>
      <c r="F527" s="21" t="inlineStr">
        <is>
          <t>Psychologie et sociologie</t>
        </is>
      </c>
      <c r="H527" s="21" t="n">
        <v>6</v>
      </c>
      <c r="I527" s="21" t="n">
        <v>2</v>
      </c>
      <c r="K527" s="21" t="n">
        <v>8</v>
      </c>
      <c r="L527" s="21" t="n">
        <v>60</v>
      </c>
      <c r="M527" s="21" t="n">
        <v>6</v>
      </c>
    </row>
    <row r="528">
      <c r="A528" s="21" t="inlineStr">
        <is>
          <t>Imagerie médicale</t>
        </is>
      </c>
      <c r="B528" s="21" t="inlineStr">
        <is>
          <t>L1</t>
        </is>
      </c>
      <c r="C528" s="21" t="inlineStr">
        <is>
          <t>1</t>
        </is>
      </c>
      <c r="D528" s="21" t="inlineStr">
        <is>
          <t>UE6</t>
        </is>
      </c>
      <c r="E528" s="21" t="inlineStr">
        <is>
          <t>Sciences et techniques infirmières</t>
        </is>
      </c>
      <c r="F528" s="21" t="inlineStr">
        <is>
          <t>Accueil, préparation et positionnement du patient</t>
        </is>
      </c>
      <c r="H528" s="21" t="n">
        <v>6</v>
      </c>
      <c r="I528" s="21" t="n">
        <v>2</v>
      </c>
      <c r="J528" s="21" t="n">
        <v>4</v>
      </c>
      <c r="K528" s="21" t="n">
        <v>12</v>
      </c>
      <c r="L528" s="21" t="n">
        <v>60</v>
      </c>
      <c r="M528" s="21" t="n">
        <v>6</v>
      </c>
    </row>
    <row r="529">
      <c r="A529" s="21" t="inlineStr">
        <is>
          <t>Imagerie médicale</t>
        </is>
      </c>
      <c r="B529" s="21" t="inlineStr">
        <is>
          <t>L1</t>
        </is>
      </c>
      <c r="C529" s="21" t="inlineStr">
        <is>
          <t>1</t>
        </is>
      </c>
      <c r="D529" s="21" t="inlineStr">
        <is>
          <t>UE6</t>
        </is>
      </c>
      <c r="E529" s="21" t="inlineStr">
        <is>
          <t>Sciences et techniques infirmières</t>
        </is>
      </c>
      <c r="F529" s="21" t="inlineStr">
        <is>
          <t>Application des règles d’hygiène et de radioprotection</t>
        </is>
      </c>
      <c r="H529" s="21" t="n">
        <v>8</v>
      </c>
      <c r="I529" s="21" t="n">
        <v>2</v>
      </c>
      <c r="J529" s="21" t="n">
        <v>4</v>
      </c>
      <c r="K529" s="21" t="n">
        <v>14</v>
      </c>
      <c r="L529" s="21" t="n">
        <v>60</v>
      </c>
      <c r="M529" s="21" t="n">
        <v>6</v>
      </c>
    </row>
    <row r="530">
      <c r="A530" s="21" t="inlineStr">
        <is>
          <t>Imagerie médicale</t>
        </is>
      </c>
      <c r="B530" s="21" t="inlineStr">
        <is>
          <t>L1</t>
        </is>
      </c>
      <c r="C530" s="21" t="inlineStr">
        <is>
          <t>1</t>
        </is>
      </c>
      <c r="D530" s="21" t="inlineStr">
        <is>
          <t>UE6</t>
        </is>
      </c>
      <c r="E530" s="21" t="inlineStr">
        <is>
          <t>Sciences et techniques infirmières</t>
        </is>
      </c>
      <c r="F530" s="21" t="inlineStr">
        <is>
          <t>Tenue et organisation des dossiers d’imagerie</t>
        </is>
      </c>
      <c r="H530" s="21" t="n">
        <v>6</v>
      </c>
      <c r="I530" s="21" t="n">
        <v>2</v>
      </c>
      <c r="K530" s="21" t="n">
        <v>8</v>
      </c>
      <c r="L530" s="21" t="n">
        <v>60</v>
      </c>
      <c r="M530" s="21" t="n">
        <v>6</v>
      </c>
    </row>
    <row r="531">
      <c r="A531" s="21" t="inlineStr">
        <is>
          <t>Imagerie médicale</t>
        </is>
      </c>
      <c r="B531" s="21" t="inlineStr">
        <is>
          <t>L1</t>
        </is>
      </c>
      <c r="C531" s="21" t="inlineStr">
        <is>
          <t>1</t>
        </is>
      </c>
      <c r="D531" s="21" t="inlineStr">
        <is>
          <t>UE6</t>
        </is>
      </c>
      <c r="E531" s="21" t="inlineStr">
        <is>
          <t>Sciences et techniques infirmières</t>
        </is>
      </c>
      <c r="H531" s="21" t="n">
        <v>164</v>
      </c>
      <c r="I531" s="21" t="n">
        <v>90</v>
      </c>
      <c r="J531" s="21" t="n">
        <v>12</v>
      </c>
      <c r="K531" s="21" t="n">
        <v>266</v>
      </c>
      <c r="L531" s="21" t="n">
        <v>266</v>
      </c>
      <c r="M531" s="21" t="n">
        <v>30</v>
      </c>
    </row>
    <row r="532">
      <c r="A532" s="21" t="inlineStr">
        <is>
          <t>Imagerie médicale</t>
        </is>
      </c>
      <c r="B532" s="21" t="inlineStr">
        <is>
          <t>L1</t>
        </is>
      </c>
      <c r="C532" s="21" t="inlineStr">
        <is>
          <t>2</t>
        </is>
      </c>
      <c r="D532" s="21" t="inlineStr">
        <is>
          <t>UE7</t>
        </is>
      </c>
      <c r="E532" s="21" t="inlineStr">
        <is>
          <t>Principes de l’échographie</t>
        </is>
      </c>
      <c r="F532" s="21" t="inlineStr">
        <is>
          <t>Principes physiques des ultrasons (propagation, atténuation, réflexion)</t>
        </is>
      </c>
      <c r="H532" s="21" t="n">
        <v>6</v>
      </c>
      <c r="I532" s="21" t="n">
        <v>2</v>
      </c>
      <c r="K532" s="21" t="n">
        <v>8</v>
      </c>
      <c r="L532" s="21" t="n">
        <v>60</v>
      </c>
      <c r="M532" s="21" t="n">
        <v>6</v>
      </c>
    </row>
    <row r="533">
      <c r="A533" s="21" t="inlineStr">
        <is>
          <t>Imagerie médicale</t>
        </is>
      </c>
      <c r="B533" s="21" t="inlineStr">
        <is>
          <t>L1</t>
        </is>
      </c>
      <c r="C533" s="21" t="inlineStr">
        <is>
          <t>2</t>
        </is>
      </c>
      <c r="D533" s="21" t="inlineStr">
        <is>
          <t>UE7</t>
        </is>
      </c>
      <c r="E533" s="21" t="inlineStr">
        <is>
          <t>Principes de l’échographie</t>
        </is>
      </c>
      <c r="F533" s="21" t="inlineStr">
        <is>
          <t>Modes d’imagerie : B-mode, Doppler, 3D/4D</t>
        </is>
      </c>
      <c r="H533" s="21" t="n">
        <v>6</v>
      </c>
      <c r="I533" s="21" t="n">
        <v>4</v>
      </c>
      <c r="K533" s="21" t="n">
        <v>10</v>
      </c>
      <c r="L533" s="21" t="n">
        <v>60</v>
      </c>
      <c r="M533" s="21" t="n">
        <v>6</v>
      </c>
    </row>
    <row r="534">
      <c r="A534" s="21" t="inlineStr">
        <is>
          <t>Imagerie médicale</t>
        </is>
      </c>
      <c r="B534" s="21" t="inlineStr">
        <is>
          <t>L1</t>
        </is>
      </c>
      <c r="C534" s="21" t="inlineStr">
        <is>
          <t>2</t>
        </is>
      </c>
      <c r="D534" s="21" t="inlineStr">
        <is>
          <t>UE7</t>
        </is>
      </c>
      <c r="E534" s="21" t="inlineStr">
        <is>
          <t>Principes de l’échographie</t>
        </is>
      </c>
      <c r="F534" s="21" t="inlineStr">
        <is>
          <t>Appareils et sondes : linéaire, convexe, sectorielle, endocavitaire</t>
        </is>
      </c>
      <c r="H534" s="21" t="n">
        <v>6</v>
      </c>
      <c r="I534" s="21" t="n">
        <v>2</v>
      </c>
      <c r="K534" s="21" t="n">
        <v>8</v>
      </c>
      <c r="L534" s="21" t="n">
        <v>60</v>
      </c>
      <c r="M534" s="21" t="n">
        <v>6</v>
      </c>
    </row>
    <row r="535">
      <c r="A535" s="21" t="inlineStr">
        <is>
          <t>Imagerie médicale</t>
        </is>
      </c>
      <c r="B535" s="21" t="inlineStr">
        <is>
          <t>L1</t>
        </is>
      </c>
      <c r="C535" s="21" t="inlineStr">
        <is>
          <t>2</t>
        </is>
      </c>
      <c r="D535" s="21" t="inlineStr">
        <is>
          <t>UE7</t>
        </is>
      </c>
      <c r="E535" s="21" t="inlineStr">
        <is>
          <t>Principes de l’échographie</t>
        </is>
      </c>
      <c r="F535" s="21" t="inlineStr">
        <is>
          <t>Techniques d’acquisition et réglages de base (gain, profondeur, fréquence)</t>
        </is>
      </c>
      <c r="H535" s="21" t="n">
        <v>8</v>
      </c>
      <c r="I535" s="21" t="n">
        <v>4</v>
      </c>
      <c r="J535" s="21" t="n">
        <v>2</v>
      </c>
      <c r="K535" s="21" t="n">
        <v>14</v>
      </c>
      <c r="L535" s="21" t="n">
        <v>60</v>
      </c>
      <c r="M535" s="21" t="n">
        <v>6</v>
      </c>
    </row>
    <row r="536">
      <c r="A536" s="21" t="inlineStr">
        <is>
          <t>Imagerie médicale</t>
        </is>
      </c>
      <c r="B536" s="21" t="inlineStr">
        <is>
          <t>L1</t>
        </is>
      </c>
      <c r="C536" s="21" t="inlineStr">
        <is>
          <t>2</t>
        </is>
      </c>
      <c r="D536" s="21" t="inlineStr">
        <is>
          <t>UE7</t>
        </is>
      </c>
      <c r="E536" s="21" t="inlineStr">
        <is>
          <t>Principes de l’échographie</t>
        </is>
      </c>
      <c r="F536" s="21" t="inlineStr">
        <is>
          <t>Applications principales : abdominale, obstétricale, vasculaire, musculosquelettique</t>
        </is>
      </c>
      <c r="H536" s="21" t="n">
        <v>8</v>
      </c>
      <c r="I536" s="21" t="n">
        <v>6</v>
      </c>
      <c r="K536" s="21" t="n">
        <v>14</v>
      </c>
      <c r="L536" s="21" t="n">
        <v>60</v>
      </c>
      <c r="M536" s="21" t="n">
        <v>6</v>
      </c>
    </row>
    <row r="537">
      <c r="A537" s="21" t="inlineStr">
        <is>
          <t>Imagerie médicale</t>
        </is>
      </c>
      <c r="B537" s="21" t="inlineStr">
        <is>
          <t>L1</t>
        </is>
      </c>
      <c r="C537" s="21" t="inlineStr">
        <is>
          <t>2</t>
        </is>
      </c>
      <c r="D537" s="21" t="inlineStr">
        <is>
          <t>UE7</t>
        </is>
      </c>
      <c r="E537" s="21" t="inlineStr">
        <is>
          <t>Principes de l’échographie</t>
        </is>
      </c>
      <c r="F537" s="21" t="inlineStr">
        <is>
          <t>Sécurité, hygiène et entretien des sondes</t>
        </is>
      </c>
      <c r="H537" s="21" t="n">
        <v>2</v>
      </c>
      <c r="I537" s="21" t="n">
        <v>4</v>
      </c>
      <c r="K537" s="21" t="n">
        <v>6</v>
      </c>
      <c r="L537" s="21" t="n">
        <v>60</v>
      </c>
      <c r="M537" s="21" t="n">
        <v>6</v>
      </c>
    </row>
    <row r="538">
      <c r="A538" s="21" t="inlineStr">
        <is>
          <t>Imagerie médicale</t>
        </is>
      </c>
      <c r="B538" s="21" t="inlineStr">
        <is>
          <t>L1</t>
        </is>
      </c>
      <c r="C538" s="21" t="inlineStr">
        <is>
          <t>2</t>
        </is>
      </c>
      <c r="D538" s="21" t="inlineStr">
        <is>
          <t>UE8</t>
        </is>
      </c>
      <c r="E538" s="21" t="inlineStr">
        <is>
          <t>Anatomie échographique</t>
        </is>
      </c>
      <c r="F538" s="21" t="inlineStr">
        <is>
          <t>Repères échographiques de l’abdomen (foie, rate, reins, pancréas, vessie)</t>
        </is>
      </c>
      <c r="H538" s="21" t="n">
        <v>8</v>
      </c>
      <c r="I538" s="21" t="n">
        <v>4</v>
      </c>
      <c r="K538" s="21" t="n">
        <v>12</v>
      </c>
      <c r="L538" s="21" t="n">
        <v>40</v>
      </c>
      <c r="M538" s="21" t="n">
        <v>4</v>
      </c>
    </row>
    <row r="539">
      <c r="A539" s="21" t="inlineStr">
        <is>
          <t>Imagerie médicale</t>
        </is>
      </c>
      <c r="B539" s="21" t="inlineStr">
        <is>
          <t>L1</t>
        </is>
      </c>
      <c r="C539" s="21" t="inlineStr">
        <is>
          <t>2</t>
        </is>
      </c>
      <c r="D539" s="21" t="inlineStr">
        <is>
          <t>UE8</t>
        </is>
      </c>
      <c r="E539" s="21" t="inlineStr">
        <is>
          <t>Anatomie échographique</t>
        </is>
      </c>
      <c r="F539" s="21" t="inlineStr">
        <is>
          <t>Structures échographiques gynécologiques et obstétricales</t>
        </is>
      </c>
      <c r="H539" s="21" t="n">
        <v>6</v>
      </c>
      <c r="I539" s="21" t="n">
        <v>4</v>
      </c>
      <c r="K539" s="21" t="n">
        <v>10</v>
      </c>
      <c r="L539" s="21" t="n">
        <v>40</v>
      </c>
      <c r="M539" s="21" t="n">
        <v>4</v>
      </c>
    </row>
    <row r="540">
      <c r="A540" s="21" t="inlineStr">
        <is>
          <t>Imagerie médicale</t>
        </is>
      </c>
      <c r="B540" s="21" t="inlineStr">
        <is>
          <t>L1</t>
        </is>
      </c>
      <c r="C540" s="21" t="inlineStr">
        <is>
          <t>2</t>
        </is>
      </c>
      <c r="D540" s="21" t="inlineStr">
        <is>
          <t>UE8</t>
        </is>
      </c>
      <c r="E540" s="21" t="inlineStr">
        <is>
          <t>Anatomie échographique</t>
        </is>
      </c>
      <c r="F540" s="21" t="inlineStr">
        <is>
          <t>Anatomie vasculaire (artères, veines principales) et applications du Doppler</t>
        </is>
      </c>
      <c r="H540" s="21" t="n">
        <v>4</v>
      </c>
      <c r="I540" s="21" t="n">
        <v>2</v>
      </c>
      <c r="K540" s="21" t="n">
        <v>6</v>
      </c>
      <c r="L540" s="21" t="n">
        <v>40</v>
      </c>
      <c r="M540" s="21" t="n">
        <v>4</v>
      </c>
    </row>
    <row r="541">
      <c r="A541" s="21" t="inlineStr">
        <is>
          <t>Imagerie médicale</t>
        </is>
      </c>
      <c r="B541" s="21" t="inlineStr">
        <is>
          <t>L1</t>
        </is>
      </c>
      <c r="C541" s="21" t="inlineStr">
        <is>
          <t>2</t>
        </is>
      </c>
      <c r="D541" s="21" t="inlineStr">
        <is>
          <t>UE8</t>
        </is>
      </c>
      <c r="E541" s="21" t="inlineStr">
        <is>
          <t>Anatomie échographique</t>
        </is>
      </c>
      <c r="F541" s="21" t="inlineStr">
        <is>
          <t>Structures musculosquelettiques accessibles (tendons, articulations, muscles)</t>
        </is>
      </c>
      <c r="H541" s="21" t="n">
        <v>4</v>
      </c>
      <c r="I541" s="21" t="n">
        <v>2</v>
      </c>
      <c r="K541" s="21" t="n">
        <v>6</v>
      </c>
      <c r="L541" s="21" t="n">
        <v>40</v>
      </c>
      <c r="M541" s="21" t="n">
        <v>4</v>
      </c>
    </row>
    <row r="542">
      <c r="A542" s="21" t="inlineStr">
        <is>
          <t>Imagerie médicale</t>
        </is>
      </c>
      <c r="B542" s="21" t="inlineStr">
        <is>
          <t>L1</t>
        </is>
      </c>
      <c r="C542" s="21" t="inlineStr">
        <is>
          <t>2</t>
        </is>
      </c>
      <c r="D542" s="21" t="inlineStr">
        <is>
          <t>UE8</t>
        </is>
      </c>
      <c r="E542" s="21" t="inlineStr">
        <is>
          <t>Anatomie échographique</t>
        </is>
      </c>
      <c r="F542" s="21" t="inlineStr">
        <is>
          <t>Variations normales et pièges d’interprétation</t>
        </is>
      </c>
      <c r="H542" s="21" t="n">
        <v>4</v>
      </c>
      <c r="I542" s="21" t="n">
        <v>2</v>
      </c>
      <c r="K542" s="21" t="n">
        <v>6</v>
      </c>
      <c r="L542" s="21" t="n">
        <v>40</v>
      </c>
      <c r="M542" s="21" t="n">
        <v>4</v>
      </c>
    </row>
    <row r="543">
      <c r="A543" s="21" t="inlineStr">
        <is>
          <t>Imagerie médicale</t>
        </is>
      </c>
      <c r="B543" s="21" t="inlineStr">
        <is>
          <t>L1</t>
        </is>
      </c>
      <c r="C543" s="21" t="inlineStr">
        <is>
          <t>2</t>
        </is>
      </c>
      <c r="D543" s="21" t="inlineStr">
        <is>
          <t>UE 9 (UE17)</t>
        </is>
      </c>
      <c r="E543" s="21" t="inlineStr">
        <is>
          <t>Sémiologie radiologique</t>
        </is>
      </c>
      <c r="F543" s="21" t="inlineStr">
        <is>
          <t>Principes de la sémiologie en imagerie médicale (normal, variation, pathologique)</t>
        </is>
      </c>
      <c r="H543" s="21" t="n">
        <v>4</v>
      </c>
      <c r="I543" s="21" t="n">
        <v>2</v>
      </c>
      <c r="K543" s="21" t="n">
        <v>6</v>
      </c>
      <c r="L543" s="21" t="n">
        <v>46</v>
      </c>
      <c r="M543" s="21" t="n">
        <v>5</v>
      </c>
    </row>
    <row r="544">
      <c r="A544" s="21" t="inlineStr">
        <is>
          <t>Imagerie médicale</t>
        </is>
      </c>
      <c r="B544" s="21" t="inlineStr">
        <is>
          <t>L1</t>
        </is>
      </c>
      <c r="C544" s="21" t="inlineStr">
        <is>
          <t>2</t>
        </is>
      </c>
      <c r="D544" s="21" t="inlineStr">
        <is>
          <t>UE 9 (UE17)</t>
        </is>
      </c>
      <c r="E544" s="21" t="inlineStr">
        <is>
          <t>Sémiologie radiologique</t>
        </is>
      </c>
      <c r="F544" s="21" t="inlineStr">
        <is>
          <t>Sémiologie thoracique : opacités, atélectasie, épanchement, pneumothorax</t>
        </is>
      </c>
      <c r="H544" s="21" t="n">
        <v>6</v>
      </c>
      <c r="I544" s="21" t="n">
        <v>2</v>
      </c>
      <c r="K544" s="21" t="n">
        <v>8</v>
      </c>
      <c r="L544" s="21" t="n">
        <v>46</v>
      </c>
      <c r="M544" s="21" t="n">
        <v>5</v>
      </c>
    </row>
    <row r="545">
      <c r="A545" s="21" t="inlineStr">
        <is>
          <t>Imagerie médicale</t>
        </is>
      </c>
      <c r="B545" s="21" t="inlineStr">
        <is>
          <t>L1</t>
        </is>
      </c>
      <c r="C545" s="21" t="inlineStr">
        <is>
          <t>2</t>
        </is>
      </c>
      <c r="D545" s="21" t="inlineStr">
        <is>
          <t>UE 9 (UE17)</t>
        </is>
      </c>
      <c r="E545" s="21" t="inlineStr">
        <is>
          <t>Sémiologie radiologique</t>
        </is>
      </c>
      <c r="F545" s="21" t="inlineStr">
        <is>
          <t>Sémiologie osseuse et articulaire : fractures, luxations, lésions ostéolytiques/condensantes</t>
        </is>
      </c>
      <c r="H545" s="21" t="n">
        <v>6</v>
      </c>
      <c r="I545" s="21" t="n">
        <v>2</v>
      </c>
      <c r="K545" s="21" t="n">
        <v>8</v>
      </c>
      <c r="L545" s="21" t="n">
        <v>46</v>
      </c>
      <c r="M545" s="21" t="n">
        <v>5</v>
      </c>
    </row>
    <row r="546">
      <c r="A546" s="21" t="inlineStr">
        <is>
          <t>Imagerie médicale</t>
        </is>
      </c>
      <c r="B546" s="21" t="inlineStr">
        <is>
          <t>L1</t>
        </is>
      </c>
      <c r="C546" s="21" t="inlineStr">
        <is>
          <t>2</t>
        </is>
      </c>
      <c r="D546" s="21" t="inlineStr">
        <is>
          <t>UE 9 (UE17)</t>
        </is>
      </c>
      <c r="E546" s="21" t="inlineStr">
        <is>
          <t>Sémiologie radiologique</t>
        </is>
      </c>
      <c r="F546" s="21" t="inlineStr">
        <is>
          <t>Sémiologie abdominale : masses, occlusions, calcifications, ascite</t>
        </is>
      </c>
      <c r="H546" s="21" t="n">
        <v>6</v>
      </c>
      <c r="I546" s="21" t="n">
        <v>2</v>
      </c>
      <c r="K546" s="21" t="n">
        <v>8</v>
      </c>
      <c r="L546" s="21" t="n">
        <v>46</v>
      </c>
      <c r="M546" s="21" t="n">
        <v>5</v>
      </c>
    </row>
    <row r="547">
      <c r="A547" s="21" t="inlineStr">
        <is>
          <t>Imagerie médicale</t>
        </is>
      </c>
      <c r="B547" s="21" t="inlineStr">
        <is>
          <t>L1</t>
        </is>
      </c>
      <c r="C547" s="21" t="inlineStr">
        <is>
          <t>2</t>
        </is>
      </c>
      <c r="D547" s="21" t="inlineStr">
        <is>
          <t>UE 9 (UE17)</t>
        </is>
      </c>
      <c r="E547" s="21" t="inlineStr">
        <is>
          <t>Sémiologie radiologique</t>
        </is>
      </c>
      <c r="F547" s="21" t="inlineStr">
        <is>
          <t>Sémiologie en scanner : hémorragies, tumeurs, embolies, pathologies digestives</t>
        </is>
      </c>
      <c r="H547" s="21" t="n">
        <v>6</v>
      </c>
      <c r="I547" s="21" t="n">
        <v>2</v>
      </c>
      <c r="K547" s="21" t="n">
        <v>8</v>
      </c>
      <c r="L547" s="21" t="n">
        <v>46</v>
      </c>
      <c r="M547" s="21" t="n">
        <v>5</v>
      </c>
    </row>
    <row r="548">
      <c r="A548" s="21" t="inlineStr">
        <is>
          <t>Imagerie médicale</t>
        </is>
      </c>
      <c r="B548" s="21" t="inlineStr">
        <is>
          <t>L1</t>
        </is>
      </c>
      <c r="C548" s="21" t="inlineStr">
        <is>
          <t>2</t>
        </is>
      </c>
      <c r="D548" s="21" t="inlineStr">
        <is>
          <t>UE 9 (UE17)</t>
        </is>
      </c>
      <c r="E548" s="21" t="inlineStr">
        <is>
          <t>Sémiologie radiologique</t>
        </is>
      </c>
      <c r="F548" s="21" t="inlineStr">
        <is>
          <t>Sémiologie en IRM : neurologique, musculosquelettique, abdominale et pelvienne</t>
        </is>
      </c>
      <c r="H548" s="21" t="n">
        <v>6</v>
      </c>
      <c r="I548" s="21" t="n">
        <v>2</v>
      </c>
      <c r="K548" s="21" t="n">
        <v>8</v>
      </c>
      <c r="L548" s="21" t="n">
        <v>46</v>
      </c>
      <c r="M548" s="21" t="n">
        <v>5</v>
      </c>
    </row>
    <row r="549">
      <c r="A549" s="21" t="inlineStr">
        <is>
          <t>Imagerie médicale</t>
        </is>
      </c>
      <c r="B549" s="21" t="inlineStr">
        <is>
          <t>L1</t>
        </is>
      </c>
      <c r="C549" s="21" t="inlineStr">
        <is>
          <t>2</t>
        </is>
      </c>
      <c r="D549" s="21" t="inlineStr">
        <is>
          <t>UE10</t>
        </is>
      </c>
      <c r="E549" s="21" t="inlineStr">
        <is>
          <t>Pharmacologie de produits de contrastes</t>
        </is>
      </c>
      <c r="F549" s="21" t="inlineStr">
        <is>
          <t>Produits de contraste iodés, gadolinés et à microbulles</t>
        </is>
      </c>
      <c r="H549" s="21" t="n">
        <v>4</v>
      </c>
      <c r="I549" s="21" t="n">
        <v>1</v>
      </c>
      <c r="K549" s="21" t="n">
        <v>5</v>
      </c>
      <c r="L549" s="21" t="n">
        <v>25</v>
      </c>
      <c r="M549" s="21" t="n">
        <v>4</v>
      </c>
    </row>
    <row r="550">
      <c r="A550" s="21" t="inlineStr">
        <is>
          <t>Imagerie médicale</t>
        </is>
      </c>
      <c r="B550" s="21" t="inlineStr">
        <is>
          <t>L1</t>
        </is>
      </c>
      <c r="C550" s="21" t="inlineStr">
        <is>
          <t>2</t>
        </is>
      </c>
      <c r="D550" s="21" t="inlineStr">
        <is>
          <t>UE10</t>
        </is>
      </c>
      <c r="E550" s="21" t="inlineStr">
        <is>
          <t>Pharmacologie de produits de contrastes</t>
        </is>
      </c>
      <c r="F550" s="21" t="inlineStr">
        <is>
          <t>Mécanismes d’action, indications et contre-indications</t>
        </is>
      </c>
      <c r="H550" s="21" t="n">
        <v>4</v>
      </c>
      <c r="I550" s="21" t="n">
        <v>1</v>
      </c>
      <c r="K550" s="21" t="n">
        <v>5</v>
      </c>
      <c r="L550" s="21" t="n">
        <v>25</v>
      </c>
      <c r="M550" s="21" t="n">
        <v>4</v>
      </c>
    </row>
    <row r="551">
      <c r="A551" s="21" t="inlineStr">
        <is>
          <t>Imagerie médicale</t>
        </is>
      </c>
      <c r="B551" s="21" t="inlineStr">
        <is>
          <t>L1</t>
        </is>
      </c>
      <c r="C551" s="21" t="inlineStr">
        <is>
          <t>2</t>
        </is>
      </c>
      <c r="D551" s="21" t="inlineStr">
        <is>
          <t>UE10</t>
        </is>
      </c>
      <c r="E551" s="21" t="inlineStr">
        <is>
          <t>Pharmacologie de produits de contrastes</t>
        </is>
      </c>
      <c r="F551" s="21" t="inlineStr">
        <is>
          <t>Effets indésirables et réactions allergiques</t>
        </is>
      </c>
      <c r="H551" s="21" t="n">
        <v>4</v>
      </c>
      <c r="I551" s="21" t="n">
        <v>1</v>
      </c>
      <c r="K551" s="21" t="n">
        <v>5</v>
      </c>
      <c r="L551" s="21" t="n">
        <v>25</v>
      </c>
      <c r="M551" s="21" t="n">
        <v>4</v>
      </c>
    </row>
    <row r="552">
      <c r="A552" s="21" t="inlineStr">
        <is>
          <t>Imagerie médicale</t>
        </is>
      </c>
      <c r="B552" s="21" t="inlineStr">
        <is>
          <t>L1</t>
        </is>
      </c>
      <c r="C552" s="21" t="inlineStr">
        <is>
          <t>2</t>
        </is>
      </c>
      <c r="D552" s="21" t="inlineStr">
        <is>
          <t>UE10</t>
        </is>
      </c>
      <c r="E552" s="21" t="inlineStr">
        <is>
          <t>Pharmacologie de produits de contrastes</t>
        </is>
      </c>
      <c r="F552" s="21" t="inlineStr">
        <is>
          <t>Prévention des complications et protocoles de sécurité</t>
        </is>
      </c>
      <c r="H552" s="21" t="n">
        <v>4</v>
      </c>
      <c r="I552" s="21" t="n">
        <v>1</v>
      </c>
      <c r="K552" s="21" t="n">
        <v>5</v>
      </c>
      <c r="L552" s="21" t="n">
        <v>25</v>
      </c>
      <c r="M552" s="21" t="n">
        <v>4</v>
      </c>
    </row>
    <row r="553">
      <c r="A553" s="21" t="inlineStr">
        <is>
          <t>Imagerie médicale</t>
        </is>
      </c>
      <c r="B553" s="21" t="inlineStr">
        <is>
          <t>L1</t>
        </is>
      </c>
      <c r="C553" s="21" t="inlineStr">
        <is>
          <t>2</t>
        </is>
      </c>
      <c r="D553" s="21" t="inlineStr">
        <is>
          <t>UE10</t>
        </is>
      </c>
      <c r="E553" s="21" t="inlineStr">
        <is>
          <t>Pharmacologie de produits de contrastes</t>
        </is>
      </c>
      <c r="F553" s="21" t="inlineStr">
        <is>
          <t>Notions de pharmacovigilance en imagerie médicale</t>
        </is>
      </c>
      <c r="H553" s="21" t="n">
        <v>2</v>
      </c>
      <c r="I553" s="21" t="n">
        <v>1</v>
      </c>
      <c r="K553" s="21" t="n">
        <v>3</v>
      </c>
      <c r="L553" s="21" t="n">
        <v>25</v>
      </c>
      <c r="M553" s="21" t="n">
        <v>4</v>
      </c>
    </row>
    <row r="554">
      <c r="A554" s="21" t="inlineStr">
        <is>
          <t>Imagerie médicale</t>
        </is>
      </c>
      <c r="B554" s="21" t="inlineStr">
        <is>
          <t>L1</t>
        </is>
      </c>
      <c r="C554" s="21" t="inlineStr">
        <is>
          <t>2</t>
        </is>
      </c>
      <c r="D554" s="21" t="inlineStr">
        <is>
          <t>UE10</t>
        </is>
      </c>
      <c r="E554" s="21" t="inlineStr">
        <is>
          <t>Pharmacologie de produits de contrastes</t>
        </is>
      </c>
      <c r="F554" s="21" t="inlineStr">
        <is>
          <t>Traçabilité et gestion des médicaments utilisés en radiologie</t>
        </is>
      </c>
      <c r="H554" s="21" t="n">
        <v>2</v>
      </c>
      <c r="K554" s="21" t="n">
        <v>2</v>
      </c>
      <c r="L554" s="21" t="n">
        <v>25</v>
      </c>
      <c r="M554" s="21" t="n">
        <v>4</v>
      </c>
    </row>
    <row r="555">
      <c r="A555" s="21" t="inlineStr">
        <is>
          <t>Imagerie médicale</t>
        </is>
      </c>
      <c r="B555" s="21" t="inlineStr">
        <is>
          <t>L1</t>
        </is>
      </c>
      <c r="C555" s="21" t="inlineStr">
        <is>
          <t>2</t>
        </is>
      </c>
      <c r="D555" s="21" t="inlineStr">
        <is>
          <t>UE11</t>
        </is>
      </c>
      <c r="E555" s="21" t="inlineStr">
        <is>
          <t>Stage en radiologie conventionnelle et échographie</t>
        </is>
      </c>
      <c r="F555" s="21" t="inlineStr">
        <is>
          <t>Réalisation supervisée des examens de radiologie conventionnelle</t>
        </is>
      </c>
      <c r="H555" s="21" t="inlineStr">
        <is>
          <t>STAGE</t>
        </is>
      </c>
      <c r="J555" s="21" t="n">
        <v>150</v>
      </c>
      <c r="K555" s="21" t="n">
        <v>150</v>
      </c>
      <c r="L555" s="21" t="n">
        <v>150</v>
      </c>
      <c r="M555" s="21" t="n">
        <v>11</v>
      </c>
    </row>
    <row r="556">
      <c r="A556" s="21" t="inlineStr">
        <is>
          <t>Imagerie médicale</t>
        </is>
      </c>
      <c r="B556" s="21" t="inlineStr">
        <is>
          <t>L1</t>
        </is>
      </c>
      <c r="C556" s="21" t="inlineStr">
        <is>
          <t>2</t>
        </is>
      </c>
      <c r="D556" s="21" t="inlineStr">
        <is>
          <t>UE11</t>
        </is>
      </c>
      <c r="E556" s="21" t="inlineStr">
        <is>
          <t>Stage en radiologie conventionnelle et échographie</t>
        </is>
      </c>
      <c r="F556" s="21" t="inlineStr">
        <is>
          <t>Participation aux examens échographiques (préparation et installation du patient)</t>
        </is>
      </c>
      <c r="L556" s="21" t="n">
        <v>150</v>
      </c>
      <c r="M556" s="21" t="n">
        <v>11</v>
      </c>
    </row>
    <row r="557">
      <c r="A557" s="21" t="inlineStr">
        <is>
          <t>Imagerie médicale</t>
        </is>
      </c>
      <c r="B557" s="21" t="inlineStr">
        <is>
          <t>L1</t>
        </is>
      </c>
      <c r="C557" s="21" t="inlineStr">
        <is>
          <t>2</t>
        </is>
      </c>
      <c r="D557" s="21" t="inlineStr">
        <is>
          <t>UE11</t>
        </is>
      </c>
      <c r="E557" s="21" t="inlineStr">
        <is>
          <t>Stage en radiologie conventionnelle et échographie</t>
        </is>
      </c>
      <c r="F557" s="21" t="inlineStr">
        <is>
          <t>Application des protocoles standards et respect des règles de radioprotection</t>
        </is>
      </c>
      <c r="L557" s="21" t="n">
        <v>150</v>
      </c>
      <c r="M557" s="21" t="n">
        <v>11</v>
      </c>
    </row>
    <row r="558">
      <c r="A558" s="21" t="inlineStr">
        <is>
          <t>Imagerie médicale</t>
        </is>
      </c>
      <c r="B558" s="21" t="inlineStr">
        <is>
          <t>L1</t>
        </is>
      </c>
      <c r="C558" s="21" t="inlineStr">
        <is>
          <t>2</t>
        </is>
      </c>
      <c r="D558" s="21" t="inlineStr">
        <is>
          <t>UE11</t>
        </is>
      </c>
      <c r="E558" s="21" t="inlineStr">
        <is>
          <t>Stage en radiologie conventionnelle et échographie</t>
        </is>
      </c>
      <c r="F558" s="21" t="inlineStr">
        <is>
          <t>Acquisition des gestes de base en manipulation d’appareils</t>
        </is>
      </c>
      <c r="L558" s="21" t="n">
        <v>150</v>
      </c>
      <c r="M558" s="21" t="n">
        <v>11</v>
      </c>
    </row>
    <row r="559">
      <c r="A559" s="21" t="inlineStr">
        <is>
          <t>Imagerie médicale</t>
        </is>
      </c>
      <c r="B559" s="21" t="inlineStr">
        <is>
          <t>L1</t>
        </is>
      </c>
      <c r="C559" s="21" t="inlineStr">
        <is>
          <t>2</t>
        </is>
      </c>
      <c r="D559" s="21" t="inlineStr">
        <is>
          <t>UE11</t>
        </is>
      </c>
      <c r="E559" s="21" t="inlineStr">
        <is>
          <t>Stage en radiologie conventionnelle et échographie</t>
        </is>
      </c>
      <c r="F559" s="21" t="inlineStr">
        <is>
          <t>Observation et participation aux soins associés (injections, confort patient)</t>
        </is>
      </c>
      <c r="L559" s="21" t="n">
        <v>150</v>
      </c>
      <c r="M559" s="21" t="n">
        <v>11</v>
      </c>
    </row>
    <row r="560">
      <c r="A560" s="21" t="inlineStr">
        <is>
          <t>Imagerie médicale</t>
        </is>
      </c>
      <c r="B560" s="21" t="inlineStr">
        <is>
          <t>L1</t>
        </is>
      </c>
      <c r="C560" s="21" t="inlineStr">
        <is>
          <t>2</t>
        </is>
      </c>
      <c r="D560" s="21" t="inlineStr">
        <is>
          <t>UE11</t>
        </is>
      </c>
      <c r="E560" s="21" t="inlineStr">
        <is>
          <t>Stage en radiologie conventionnelle et échographie</t>
        </is>
      </c>
      <c r="F560" s="21" t="inlineStr">
        <is>
          <t>Travail interdisciplinaire avec radiologues et équipes de soins</t>
        </is>
      </c>
      <c r="L560" s="21" t="n">
        <v>150</v>
      </c>
      <c r="M560" s="21" t="n">
        <v>11</v>
      </c>
    </row>
    <row r="561">
      <c r="A561" s="21" t="inlineStr">
        <is>
          <t>Imagerie médicale</t>
        </is>
      </c>
      <c r="B561" s="21" t="inlineStr">
        <is>
          <t>L2</t>
        </is>
      </c>
      <c r="C561" s="21" t="inlineStr">
        <is>
          <t>3</t>
        </is>
      </c>
      <c r="D561" s="21" t="inlineStr">
        <is>
          <t>UE12</t>
        </is>
      </c>
      <c r="E561" s="21" t="inlineStr">
        <is>
          <t>Principes du scanner (TDM)</t>
        </is>
      </c>
      <c r="F561" s="21" t="inlineStr">
        <is>
          <t>Bases physiques de la tomodensitométrie (rayons X, reconstruction des coupes)</t>
        </is>
      </c>
      <c r="H561" s="21" t="n">
        <v>6</v>
      </c>
      <c r="I561" s="21" t="n">
        <v>2</v>
      </c>
      <c r="K561" s="21" t="n">
        <v>8</v>
      </c>
      <c r="L561" s="21" t="n">
        <v>60</v>
      </c>
      <c r="M561" s="21" t="n">
        <v>6</v>
      </c>
    </row>
    <row r="562">
      <c r="A562" s="21" t="inlineStr">
        <is>
          <t>Imagerie médicale</t>
        </is>
      </c>
      <c r="B562" s="21" t="inlineStr">
        <is>
          <t>L2</t>
        </is>
      </c>
      <c r="C562" s="21" t="inlineStr">
        <is>
          <t>3</t>
        </is>
      </c>
      <c r="D562" s="21" t="inlineStr">
        <is>
          <t>UE12</t>
        </is>
      </c>
      <c r="E562" s="21" t="inlineStr">
        <is>
          <t>Principes du scanner (TDM)</t>
        </is>
      </c>
      <c r="F562" s="21" t="inlineStr">
        <is>
          <t>Paramètres techniques : kV, mAs, pitch, collimation, épaisseur de coupe</t>
        </is>
      </c>
      <c r="H562" s="21" t="n">
        <v>8</v>
      </c>
      <c r="I562" s="21" t="n">
        <v>4</v>
      </c>
      <c r="K562" s="21" t="n">
        <v>12</v>
      </c>
      <c r="L562" s="21" t="n">
        <v>60</v>
      </c>
      <c r="M562" s="21" t="n">
        <v>6</v>
      </c>
    </row>
    <row r="563">
      <c r="A563" s="21" t="inlineStr">
        <is>
          <t>Imagerie médicale</t>
        </is>
      </c>
      <c r="B563" s="21" t="inlineStr">
        <is>
          <t>L2</t>
        </is>
      </c>
      <c r="C563" s="21" t="inlineStr">
        <is>
          <t>3</t>
        </is>
      </c>
      <c r="D563" s="21" t="inlineStr">
        <is>
          <t>UE12</t>
        </is>
      </c>
      <c r="E563" s="21" t="inlineStr">
        <is>
          <t>Principes du scanner (TDM)</t>
        </is>
      </c>
      <c r="F563" s="21" t="inlineStr">
        <is>
          <t>Modes d’acquisition : hélicoïdal, multibarrettes, reconstructions multiplanaires</t>
        </is>
      </c>
      <c r="H563" s="21" t="n">
        <v>6</v>
      </c>
      <c r="I563" s="21" t="n">
        <v>2</v>
      </c>
      <c r="K563" s="21" t="n">
        <v>8</v>
      </c>
      <c r="L563" s="21" t="n">
        <v>60</v>
      </c>
      <c r="M563" s="21" t="n">
        <v>6</v>
      </c>
    </row>
    <row r="564">
      <c r="A564" s="21" t="inlineStr">
        <is>
          <t>Imagerie médicale</t>
        </is>
      </c>
      <c r="B564" s="21" t="inlineStr">
        <is>
          <t>L2</t>
        </is>
      </c>
      <c r="C564" s="21" t="inlineStr">
        <is>
          <t>3</t>
        </is>
      </c>
      <c r="D564" s="21" t="inlineStr">
        <is>
          <t>UE12</t>
        </is>
      </c>
      <c r="E564" s="21" t="inlineStr">
        <is>
          <t>Principes du scanner (TDM)</t>
        </is>
      </c>
      <c r="F564" s="21" t="inlineStr">
        <is>
          <t>Protocoles selon les régions : tête, thorax, abdomen, pelvis</t>
        </is>
      </c>
      <c r="H564" s="21" t="n">
        <v>10</v>
      </c>
      <c r="I564" s="21" t="n">
        <v>2</v>
      </c>
      <c r="J564" s="21" t="n">
        <v>4</v>
      </c>
      <c r="K564" s="21" t="n">
        <v>16</v>
      </c>
      <c r="L564" s="21" t="n">
        <v>60</v>
      </c>
      <c r="M564" s="21" t="n">
        <v>6</v>
      </c>
    </row>
    <row r="565">
      <c r="A565" s="21" t="inlineStr">
        <is>
          <t>Imagerie médicale</t>
        </is>
      </c>
      <c r="B565" s="21" t="inlineStr">
        <is>
          <t>L2</t>
        </is>
      </c>
      <c r="C565" s="21" t="inlineStr">
        <is>
          <t>3</t>
        </is>
      </c>
      <c r="D565" s="21" t="inlineStr">
        <is>
          <t>UE12</t>
        </is>
      </c>
      <c r="E565" s="21" t="inlineStr">
        <is>
          <t>Principes du scanner (TDM)</t>
        </is>
      </c>
      <c r="F565" s="21" t="inlineStr">
        <is>
          <t>Techniques de réduction de dose et principe ALARA</t>
        </is>
      </c>
      <c r="H565" s="21" t="n">
        <v>6</v>
      </c>
      <c r="I565" s="21" t="n">
        <v>2</v>
      </c>
      <c r="K565" s="21" t="n">
        <v>8</v>
      </c>
      <c r="L565" s="21" t="n">
        <v>60</v>
      </c>
      <c r="M565" s="21" t="n">
        <v>6</v>
      </c>
    </row>
    <row r="566">
      <c r="A566" s="21" t="inlineStr">
        <is>
          <t>Imagerie médicale</t>
        </is>
      </c>
      <c r="B566" s="21" t="inlineStr">
        <is>
          <t>L2</t>
        </is>
      </c>
      <c r="C566" s="21" t="inlineStr">
        <is>
          <t>3</t>
        </is>
      </c>
      <c r="D566" s="21" t="inlineStr">
        <is>
          <t>UE12</t>
        </is>
      </c>
      <c r="E566" s="21" t="inlineStr">
        <is>
          <t>Principes du scanner (TDM)</t>
        </is>
      </c>
      <c r="F566" s="21" t="inlineStr">
        <is>
          <t>Sécurité patient : préparation, produits de contraste, contre-indications</t>
        </is>
      </c>
      <c r="H566" s="21" t="n">
        <v>6</v>
      </c>
      <c r="I566" s="21" t="n">
        <v>2</v>
      </c>
      <c r="K566" s="21" t="n">
        <v>8</v>
      </c>
      <c r="L566" s="21" t="n">
        <v>60</v>
      </c>
      <c r="M566" s="21" t="n">
        <v>6</v>
      </c>
    </row>
    <row r="567">
      <c r="A567" s="21" t="inlineStr">
        <is>
          <t>Imagerie médicale</t>
        </is>
      </c>
      <c r="B567" s="21" t="inlineStr">
        <is>
          <t>L2</t>
        </is>
      </c>
      <c r="C567" s="21" t="inlineStr">
        <is>
          <t>3</t>
        </is>
      </c>
      <c r="D567" s="21" t="inlineStr">
        <is>
          <t>UE13</t>
        </is>
      </c>
      <c r="E567" s="21" t="inlineStr">
        <is>
          <t>Anatomie scanographique</t>
        </is>
      </c>
      <c r="F567" s="21" t="inlineStr">
        <is>
          <t>Repères anatomiques en coupes axiales, coronales et sagittales</t>
        </is>
      </c>
      <c r="H567" s="21" t="n">
        <v>4</v>
      </c>
      <c r="I567" s="21" t="n">
        <v>1</v>
      </c>
      <c r="K567" s="21" t="n">
        <v>5</v>
      </c>
      <c r="L567" s="21" t="n">
        <v>30</v>
      </c>
      <c r="M567" s="21" t="n">
        <v>4</v>
      </c>
    </row>
    <row r="568">
      <c r="A568" s="21" t="inlineStr">
        <is>
          <t>Imagerie médicale</t>
        </is>
      </c>
      <c r="B568" s="21" t="inlineStr">
        <is>
          <t>L2</t>
        </is>
      </c>
      <c r="C568" s="21" t="inlineStr">
        <is>
          <t>3</t>
        </is>
      </c>
      <c r="D568" s="21" t="inlineStr">
        <is>
          <t>UE13</t>
        </is>
      </c>
      <c r="E568" s="21" t="inlineStr">
        <is>
          <t>Anatomie scanographique</t>
        </is>
      </c>
      <c r="F568" s="21" t="inlineStr">
        <is>
          <t>Structures intracrâniennes (cerveau, sinus, base du crâne)</t>
        </is>
      </c>
      <c r="H568" s="21" t="n">
        <v>4</v>
      </c>
      <c r="I568" s="21" t="n">
        <v>2</v>
      </c>
      <c r="K568" s="21" t="n">
        <v>6</v>
      </c>
      <c r="L568" s="21" t="n">
        <v>30</v>
      </c>
      <c r="M568" s="21" t="n">
        <v>4</v>
      </c>
    </row>
    <row r="569">
      <c r="A569" s="21" t="inlineStr">
        <is>
          <t>Imagerie médicale</t>
        </is>
      </c>
      <c r="B569" s="21" t="inlineStr">
        <is>
          <t>L2</t>
        </is>
      </c>
      <c r="C569" s="21" t="inlineStr">
        <is>
          <t>3</t>
        </is>
      </c>
      <c r="D569" s="21" t="inlineStr">
        <is>
          <t>UE13</t>
        </is>
      </c>
      <c r="E569" s="21" t="inlineStr">
        <is>
          <t>Anatomie scanographique</t>
        </is>
      </c>
      <c r="F569" s="21" t="inlineStr">
        <is>
          <t>Anatomie thoracique : poumons, médiastin, cœur, gros vaisseaux</t>
        </is>
      </c>
      <c r="H569" s="21" t="n">
        <v>4</v>
      </c>
      <c r="I569" s="21" t="n">
        <v>1</v>
      </c>
      <c r="K569" s="21" t="n">
        <v>5</v>
      </c>
      <c r="L569" s="21" t="n">
        <v>30</v>
      </c>
      <c r="M569" s="21" t="n">
        <v>4</v>
      </c>
    </row>
    <row r="570">
      <c r="A570" s="21" t="inlineStr">
        <is>
          <t>Imagerie médicale</t>
        </is>
      </c>
      <c r="B570" s="21" t="inlineStr">
        <is>
          <t>L2</t>
        </is>
      </c>
      <c r="C570" s="21" t="inlineStr">
        <is>
          <t>3</t>
        </is>
      </c>
      <c r="D570" s="21" t="inlineStr">
        <is>
          <t>UE13</t>
        </is>
      </c>
      <c r="E570" s="21" t="inlineStr">
        <is>
          <t>Anatomie scanographique</t>
        </is>
      </c>
      <c r="F570" s="21" t="inlineStr">
        <is>
          <t>Anatomie abdominale et pelvienne : foie, reins, rate, tube digestif, vessie</t>
        </is>
      </c>
      <c r="H570" s="21" t="n">
        <v>6</v>
      </c>
      <c r="I570" s="21" t="n">
        <v>2</v>
      </c>
      <c r="K570" s="21" t="n">
        <v>8</v>
      </c>
      <c r="L570" s="21" t="n">
        <v>30</v>
      </c>
      <c r="M570" s="21" t="n">
        <v>4</v>
      </c>
    </row>
    <row r="571">
      <c r="A571" s="21" t="inlineStr">
        <is>
          <t>Imagerie médicale</t>
        </is>
      </c>
      <c r="B571" s="21" t="inlineStr">
        <is>
          <t>L2</t>
        </is>
      </c>
      <c r="C571" s="21" t="inlineStr">
        <is>
          <t>3</t>
        </is>
      </c>
      <c r="D571" s="21" t="inlineStr">
        <is>
          <t>UE13</t>
        </is>
      </c>
      <c r="E571" s="21" t="inlineStr">
        <is>
          <t>Anatomie scanographique</t>
        </is>
      </c>
      <c r="F571" s="21" t="inlineStr">
        <is>
          <t>Squelette axial en scanner (rachis, bassin)</t>
        </is>
      </c>
      <c r="H571" s="21" t="n">
        <v>2</v>
      </c>
      <c r="K571" s="21" t="n">
        <v>2</v>
      </c>
      <c r="L571" s="21" t="n">
        <v>30</v>
      </c>
      <c r="M571" s="21" t="n">
        <v>4</v>
      </c>
    </row>
    <row r="572">
      <c r="A572" s="21" t="inlineStr">
        <is>
          <t>Imagerie médicale</t>
        </is>
      </c>
      <c r="B572" s="21" t="inlineStr">
        <is>
          <t>L2</t>
        </is>
      </c>
      <c r="C572" s="21" t="inlineStr">
        <is>
          <t>3</t>
        </is>
      </c>
      <c r="D572" s="21" t="inlineStr">
        <is>
          <t>UE13</t>
        </is>
      </c>
      <c r="E572" s="21" t="inlineStr">
        <is>
          <t>Anatomie scanographique</t>
        </is>
      </c>
      <c r="F572" s="21" t="inlineStr">
        <is>
          <t>Différenciation normal / pathologique en imagerie scanographique</t>
        </is>
      </c>
      <c r="H572" s="21" t="n">
        <v>4</v>
      </c>
      <c r="K572" s="21" t="n">
        <v>4</v>
      </c>
      <c r="L572" s="21" t="n">
        <v>30</v>
      </c>
      <c r="M572" s="21" t="n">
        <v>4</v>
      </c>
    </row>
    <row r="573">
      <c r="A573" s="21" t="inlineStr">
        <is>
          <t>Imagerie médicale</t>
        </is>
      </c>
      <c r="B573" s="21" t="inlineStr">
        <is>
          <t>L2</t>
        </is>
      </c>
      <c r="C573" s="21" t="inlineStr">
        <is>
          <t>3</t>
        </is>
      </c>
      <c r="D573" s="21" t="inlineStr">
        <is>
          <t>UE14</t>
        </is>
      </c>
      <c r="E573" s="21" t="inlineStr">
        <is>
          <t>Principes de l’IRM</t>
        </is>
      </c>
      <c r="F573" s="21" t="inlineStr">
        <is>
          <t>Principes physiques : champ magnétique, radiofréquences, relaxation T1/T2</t>
        </is>
      </c>
      <c r="H573" s="21" t="n">
        <v>6</v>
      </c>
      <c r="I573" s="21" t="n">
        <v>2</v>
      </c>
      <c r="K573" s="21" t="n">
        <v>8</v>
      </c>
      <c r="L573" s="21" t="n">
        <v>60</v>
      </c>
      <c r="M573" s="21" t="n">
        <v>6</v>
      </c>
    </row>
    <row r="574">
      <c r="A574" s="21" t="inlineStr">
        <is>
          <t>Imagerie médicale</t>
        </is>
      </c>
      <c r="B574" s="21" t="inlineStr">
        <is>
          <t>L2</t>
        </is>
      </c>
      <c r="C574" s="21" t="inlineStr">
        <is>
          <t>3</t>
        </is>
      </c>
      <c r="D574" s="21" t="inlineStr">
        <is>
          <t>UE14</t>
        </is>
      </c>
      <c r="E574" s="21" t="inlineStr">
        <is>
          <t>Principes de l’IRM</t>
        </is>
      </c>
      <c r="F574" s="21" t="inlineStr">
        <is>
          <t>Séquences IRM : spin-écho, écho de gradient, FLAIR, diffusion, perfusion</t>
        </is>
      </c>
      <c r="H574" s="21" t="n">
        <v>6</v>
      </c>
      <c r="I574" s="21" t="n">
        <v>2</v>
      </c>
      <c r="J574" s="21" t="n">
        <v>4</v>
      </c>
      <c r="K574" s="21" t="n">
        <v>12</v>
      </c>
      <c r="L574" s="21" t="n">
        <v>60</v>
      </c>
      <c r="M574" s="21" t="n">
        <v>6</v>
      </c>
    </row>
    <row r="575">
      <c r="A575" s="21" t="inlineStr">
        <is>
          <t>Imagerie médicale</t>
        </is>
      </c>
      <c r="B575" s="21" t="inlineStr">
        <is>
          <t>L2</t>
        </is>
      </c>
      <c r="C575" s="21" t="inlineStr">
        <is>
          <t>3</t>
        </is>
      </c>
      <c r="D575" s="21" t="inlineStr">
        <is>
          <t>UE14</t>
        </is>
      </c>
      <c r="E575" s="21" t="inlineStr">
        <is>
          <t>Principes de l’IRM</t>
        </is>
      </c>
      <c r="F575" s="21" t="inlineStr">
        <is>
          <t>Principes physiques de l’IRM (champ magnétique, radiofréquences, relaxation T1/T2)</t>
        </is>
      </c>
      <c r="H575" s="21" t="n">
        <v>6</v>
      </c>
      <c r="I575" s="21" t="n">
        <v>2</v>
      </c>
      <c r="K575" s="21" t="n">
        <v>8</v>
      </c>
      <c r="L575" s="21" t="n">
        <v>60</v>
      </c>
      <c r="M575" s="21" t="n">
        <v>6</v>
      </c>
    </row>
    <row r="576">
      <c r="A576" s="21" t="inlineStr">
        <is>
          <t>Imagerie médicale</t>
        </is>
      </c>
      <c r="B576" s="21" t="inlineStr">
        <is>
          <t>L2</t>
        </is>
      </c>
      <c r="C576" s="21" t="inlineStr">
        <is>
          <t>3</t>
        </is>
      </c>
      <c r="D576" s="21" t="inlineStr">
        <is>
          <t>UE14</t>
        </is>
      </c>
      <c r="E576" s="21" t="inlineStr">
        <is>
          <t>Principes de l’IRM</t>
        </is>
      </c>
      <c r="F576" s="21" t="inlineStr">
        <is>
          <t>Protocoles cliniques principaux : neurologie, musculosquelettique, abdominal et pelvien</t>
        </is>
      </c>
      <c r="H576" s="21" t="n">
        <v>6</v>
      </c>
      <c r="I576" s="21" t="n">
        <v>2</v>
      </c>
      <c r="J576" s="21" t="n">
        <v>4</v>
      </c>
      <c r="K576" s="21" t="n">
        <v>12</v>
      </c>
      <c r="L576" s="21" t="n">
        <v>60</v>
      </c>
      <c r="M576" s="21" t="n">
        <v>6</v>
      </c>
    </row>
    <row r="577">
      <c r="A577" s="21" t="inlineStr">
        <is>
          <t>Imagerie médicale</t>
        </is>
      </c>
      <c r="B577" s="21" t="inlineStr">
        <is>
          <t>L2</t>
        </is>
      </c>
      <c r="C577" s="21" t="inlineStr">
        <is>
          <t>3</t>
        </is>
      </c>
      <c r="D577" s="21" t="inlineStr">
        <is>
          <t>UE14</t>
        </is>
      </c>
      <c r="E577" s="21" t="inlineStr">
        <is>
          <t>Principes de l’IRM</t>
        </is>
      </c>
      <c r="F577" s="21" t="inlineStr">
        <is>
          <t>Produits de contraste à base de gadolinium : indications et risques</t>
        </is>
      </c>
      <c r="H577" s="21" t="n">
        <v>4</v>
      </c>
      <c r="K577" s="21" t="n">
        <v>4</v>
      </c>
      <c r="L577" s="21" t="n">
        <v>60</v>
      </c>
      <c r="M577" s="21" t="n">
        <v>6</v>
      </c>
    </row>
    <row r="578">
      <c r="A578" s="21" t="inlineStr">
        <is>
          <t>Imagerie médicale</t>
        </is>
      </c>
      <c r="B578" s="21" t="inlineStr">
        <is>
          <t>L2</t>
        </is>
      </c>
      <c r="C578" s="21" t="inlineStr">
        <is>
          <t>3</t>
        </is>
      </c>
      <c r="D578" s="21" t="inlineStr">
        <is>
          <t>UE14</t>
        </is>
      </c>
      <c r="E578" s="21" t="inlineStr">
        <is>
          <t>Principes de l’IRM</t>
        </is>
      </c>
      <c r="F578" s="21" t="inlineStr">
        <is>
          <t>Sécurité en environnement IRM : implants, claustrophobie, champs magnétiques</t>
        </is>
      </c>
      <c r="H578" s="21" t="n">
        <v>6</v>
      </c>
      <c r="I578" s="21" t="n">
        <v>2</v>
      </c>
      <c r="K578" s="21" t="n">
        <v>8</v>
      </c>
      <c r="L578" s="21" t="n">
        <v>60</v>
      </c>
      <c r="M578" s="21" t="n">
        <v>6</v>
      </c>
    </row>
    <row r="579">
      <c r="A579" s="21" t="inlineStr">
        <is>
          <t>Imagerie médicale</t>
        </is>
      </c>
      <c r="B579" s="21" t="inlineStr">
        <is>
          <t>L2</t>
        </is>
      </c>
      <c r="C579" s="21" t="inlineStr">
        <is>
          <t>3</t>
        </is>
      </c>
      <c r="D579" s="21" t="inlineStr">
        <is>
          <t>UE14</t>
        </is>
      </c>
      <c r="E579" s="21" t="inlineStr">
        <is>
          <t>Principes de l’IRM</t>
        </is>
      </c>
      <c r="F579" s="21" t="inlineStr">
        <is>
          <t>Optimisation de la qualité des images et réduction des artéfacts</t>
        </is>
      </c>
      <c r="H579" s="21" t="n">
        <v>6</v>
      </c>
      <c r="I579" s="21" t="n">
        <v>2</v>
      </c>
      <c r="K579" s="21" t="n">
        <v>8</v>
      </c>
      <c r="L579" s="21" t="n">
        <v>60</v>
      </c>
      <c r="M579" s="21" t="n">
        <v>6</v>
      </c>
    </row>
    <row r="580">
      <c r="A580" s="21" t="inlineStr">
        <is>
          <t>Imagerie médicale</t>
        </is>
      </c>
      <c r="B580" s="21" t="inlineStr">
        <is>
          <t>L2</t>
        </is>
      </c>
      <c r="C580" s="21" t="inlineStr">
        <is>
          <t>3</t>
        </is>
      </c>
      <c r="D580" s="21" t="inlineStr">
        <is>
          <t>UE15</t>
        </is>
      </c>
      <c r="E580" s="21" t="inlineStr">
        <is>
          <t>Anatomie IRM</t>
        </is>
      </c>
      <c r="F580" s="21" t="inlineStr">
        <is>
          <t>Lecture des coupes IRM : axial, sagittal, coronal</t>
        </is>
      </c>
      <c r="H580" s="21" t="n">
        <v>2</v>
      </c>
      <c r="I580" s="21" t="n">
        <v>2</v>
      </c>
      <c r="J580" s="21" t="n">
        <v>2</v>
      </c>
      <c r="K580" s="21" t="n">
        <v>6</v>
      </c>
      <c r="L580" s="21" t="n">
        <v>30</v>
      </c>
      <c r="M580" s="21" t="n">
        <v>4</v>
      </c>
    </row>
    <row r="581">
      <c r="A581" s="21" t="inlineStr">
        <is>
          <t>Imagerie médicale</t>
        </is>
      </c>
      <c r="B581" s="21" t="inlineStr">
        <is>
          <t>L2</t>
        </is>
      </c>
      <c r="C581" s="21" t="inlineStr">
        <is>
          <t>3</t>
        </is>
      </c>
      <c r="D581" s="21" t="inlineStr">
        <is>
          <t>UE15</t>
        </is>
      </c>
      <c r="E581" s="21" t="inlineStr">
        <is>
          <t>Anatomie IRM</t>
        </is>
      </c>
      <c r="F581" s="21" t="inlineStr">
        <is>
          <t>Anatomie cérébrale et médullaire (substance grise, blanche, nerfs, moelle)</t>
        </is>
      </c>
      <c r="H581" s="21" t="n">
        <v>2</v>
      </c>
      <c r="I581" s="21" t="n">
        <v>2</v>
      </c>
      <c r="K581" s="21" t="n">
        <v>4</v>
      </c>
      <c r="L581" s="21" t="n">
        <v>30</v>
      </c>
      <c r="M581" s="21" t="n">
        <v>4</v>
      </c>
    </row>
    <row r="582">
      <c r="A582" s="21" t="inlineStr">
        <is>
          <t>Imagerie médicale</t>
        </is>
      </c>
      <c r="B582" s="21" t="inlineStr">
        <is>
          <t>L2</t>
        </is>
      </c>
      <c r="C582" s="21" t="inlineStr">
        <is>
          <t>3</t>
        </is>
      </c>
      <c r="D582" s="21" t="inlineStr">
        <is>
          <t>UE15</t>
        </is>
      </c>
      <c r="E582" s="21" t="inlineStr">
        <is>
          <t>Anatomie IRM</t>
        </is>
      </c>
      <c r="F582" s="21" t="inlineStr">
        <is>
          <t>Structures musculosquelettiques (articulations, ligaments, muscles)</t>
        </is>
      </c>
      <c r="H582" s="21" t="n">
        <v>4</v>
      </c>
      <c r="I582" s="21" t="n">
        <v>2</v>
      </c>
      <c r="K582" s="21" t="n">
        <v>6</v>
      </c>
      <c r="L582" s="21" t="n">
        <v>30</v>
      </c>
      <c r="M582" s="21" t="n">
        <v>4</v>
      </c>
    </row>
    <row r="583">
      <c r="A583" s="21" t="inlineStr">
        <is>
          <t>Imagerie médicale</t>
        </is>
      </c>
      <c r="B583" s="21" t="inlineStr">
        <is>
          <t>L2</t>
        </is>
      </c>
      <c r="C583" s="21" t="inlineStr">
        <is>
          <t>3</t>
        </is>
      </c>
      <c r="D583" s="21" t="inlineStr">
        <is>
          <t>UE15</t>
        </is>
      </c>
      <c r="E583" s="21" t="inlineStr">
        <is>
          <t>Anatomie IRM</t>
        </is>
      </c>
      <c r="F583" s="21" t="inlineStr">
        <is>
          <t>Organes abdominaux et pelviens : foie, pancréas, reins, prostate, utérus, ovaires</t>
        </is>
      </c>
      <c r="H583" s="21" t="n">
        <v>4</v>
      </c>
      <c r="I583" s="21" t="n">
        <v>2</v>
      </c>
      <c r="K583" s="21" t="n">
        <v>6</v>
      </c>
      <c r="L583" s="21" t="n">
        <v>30</v>
      </c>
      <c r="M583" s="21" t="n">
        <v>4</v>
      </c>
    </row>
    <row r="584">
      <c r="A584" s="21" t="inlineStr">
        <is>
          <t>Imagerie médicale</t>
        </is>
      </c>
      <c r="B584" s="21" t="inlineStr">
        <is>
          <t>L2</t>
        </is>
      </c>
      <c r="C584" s="21" t="inlineStr">
        <is>
          <t>3</t>
        </is>
      </c>
      <c r="D584" s="21" t="inlineStr">
        <is>
          <t>UE15</t>
        </is>
      </c>
      <c r="E584" s="21" t="inlineStr">
        <is>
          <t>Anatomie IRM</t>
        </is>
      </c>
      <c r="F584" s="21" t="inlineStr">
        <is>
          <t>Anatomie cardiaque et vasculaire en IRM</t>
        </is>
      </c>
      <c r="H584" s="21" t="n">
        <v>2</v>
      </c>
      <c r="I584" s="21" t="n">
        <v>2</v>
      </c>
      <c r="K584" s="21" t="n">
        <v>4</v>
      </c>
      <c r="L584" s="21" t="n">
        <v>30</v>
      </c>
      <c r="M584" s="21" t="n">
        <v>4</v>
      </c>
    </row>
    <row r="585">
      <c r="A585" s="21" t="inlineStr">
        <is>
          <t>Imagerie médicale</t>
        </is>
      </c>
      <c r="B585" s="21" t="inlineStr">
        <is>
          <t>L2</t>
        </is>
      </c>
      <c r="C585" s="21" t="inlineStr">
        <is>
          <t>3</t>
        </is>
      </c>
      <c r="D585" s="21" t="inlineStr">
        <is>
          <t>UE15</t>
        </is>
      </c>
      <c r="E585" s="21" t="inlineStr">
        <is>
          <t>Anatomie IRM</t>
        </is>
      </c>
      <c r="F585" s="21" t="inlineStr">
        <is>
          <t>Repères IRM pédiatriques et obstétricaux</t>
        </is>
      </c>
      <c r="H585" s="21" t="n">
        <v>2</v>
      </c>
      <c r="I585" s="21" t="n">
        <v>2</v>
      </c>
      <c r="K585" s="21" t="n">
        <v>4</v>
      </c>
      <c r="L585" s="21" t="n">
        <v>30</v>
      </c>
      <c r="M585" s="21" t="n">
        <v>4</v>
      </c>
    </row>
    <row r="586">
      <c r="A586" s="21" t="inlineStr">
        <is>
          <t>Imagerie médicale</t>
        </is>
      </c>
      <c r="B586" s="21" t="inlineStr">
        <is>
          <t>L2</t>
        </is>
      </c>
      <c r="C586" s="21" t="inlineStr">
        <is>
          <t>3</t>
        </is>
      </c>
      <c r="D586" s="21" t="inlineStr">
        <is>
          <t>UE16</t>
        </is>
      </c>
      <c r="E586" s="21" t="inlineStr">
        <is>
          <t>Stage en scanner et IRM</t>
        </is>
      </c>
      <c r="F586" s="21" t="inlineStr">
        <is>
          <t>Participation active aux examens de scanner et IRM</t>
        </is>
      </c>
      <c r="H586" s="21" t="inlineStr">
        <is>
          <t>STAGE</t>
        </is>
      </c>
      <c r="J586" s="21" t="n">
        <v>150</v>
      </c>
      <c r="K586" s="21" t="n">
        <v>150</v>
      </c>
      <c r="L586" s="21" t="n">
        <v>150</v>
      </c>
      <c r="M586" s="21" t="n">
        <v>10</v>
      </c>
    </row>
    <row r="587">
      <c r="A587" s="21" t="inlineStr">
        <is>
          <t>Imagerie médicale</t>
        </is>
      </c>
      <c r="B587" s="21" t="inlineStr">
        <is>
          <t>L2</t>
        </is>
      </c>
      <c r="C587" s="21" t="inlineStr">
        <is>
          <t>3</t>
        </is>
      </c>
      <c r="D587" s="21" t="inlineStr">
        <is>
          <t>UE16</t>
        </is>
      </c>
      <c r="E587" s="21" t="inlineStr">
        <is>
          <t>Stage en scanner et IRM</t>
        </is>
      </c>
      <c r="F587" s="21" t="inlineStr">
        <is>
          <t>Préparation et installation du patient (sécurité, confort, contre-indications)</t>
        </is>
      </c>
      <c r="L587" s="21" t="n">
        <v>150</v>
      </c>
      <c r="M587" s="21" t="n">
        <v>10</v>
      </c>
    </row>
    <row r="588">
      <c r="A588" s="21" t="inlineStr">
        <is>
          <t>Imagerie médicale</t>
        </is>
      </c>
      <c r="B588" s="21" t="inlineStr">
        <is>
          <t>L2</t>
        </is>
      </c>
      <c r="C588" s="21" t="inlineStr">
        <is>
          <t>3</t>
        </is>
      </c>
      <c r="D588" s="21" t="inlineStr">
        <is>
          <t>UE16</t>
        </is>
      </c>
      <c r="E588" s="21" t="inlineStr">
        <is>
          <t>Stage en scanner et IRM</t>
        </is>
      </c>
      <c r="F588" s="21" t="inlineStr">
        <is>
          <t>Utilisation des injecteurs automatiques et suivi des produits de contraste</t>
        </is>
      </c>
      <c r="L588" s="21" t="n">
        <v>150</v>
      </c>
      <c r="M588" s="21" t="n">
        <v>10</v>
      </c>
    </row>
    <row r="589">
      <c r="A589" s="21" t="inlineStr">
        <is>
          <t>Imagerie médicale</t>
        </is>
      </c>
      <c r="B589" s="21" t="inlineStr">
        <is>
          <t>L2</t>
        </is>
      </c>
      <c r="C589" s="21" t="inlineStr">
        <is>
          <t>3</t>
        </is>
      </c>
      <c r="D589" s="21" t="inlineStr">
        <is>
          <t>UE16</t>
        </is>
      </c>
      <c r="E589" s="21" t="inlineStr">
        <is>
          <t>Stage en scanner et IRM</t>
        </is>
      </c>
      <c r="F589" s="21" t="inlineStr">
        <is>
          <t>Application des protocoles standards (tête, thorax, abdomen, pelvis, rachis)</t>
        </is>
      </c>
      <c r="L589" s="21" t="n">
        <v>150</v>
      </c>
      <c r="M589" s="21" t="n">
        <v>10</v>
      </c>
    </row>
    <row r="590">
      <c r="A590" s="21" t="inlineStr">
        <is>
          <t>Imagerie médicale</t>
        </is>
      </c>
      <c r="B590" s="21" t="inlineStr">
        <is>
          <t>L2</t>
        </is>
      </c>
      <c r="C590" s="21" t="inlineStr">
        <is>
          <t>3</t>
        </is>
      </c>
      <c r="D590" s="21" t="inlineStr">
        <is>
          <t>UE16</t>
        </is>
      </c>
      <c r="E590" s="21" t="inlineStr">
        <is>
          <t>Stage en scanner et IRM</t>
        </is>
      </c>
      <c r="F590" s="21" t="inlineStr">
        <is>
          <t>Respect des normes de radioprotection et de sécurité en IRM</t>
        </is>
      </c>
      <c r="L590" s="21" t="n">
        <v>150</v>
      </c>
      <c r="M590" s="21" t="n">
        <v>10</v>
      </c>
    </row>
    <row r="591">
      <c r="A591" s="21" t="inlineStr">
        <is>
          <t>Imagerie médicale</t>
        </is>
      </c>
      <c r="B591" s="21" t="inlineStr">
        <is>
          <t>L2</t>
        </is>
      </c>
      <c r="C591" s="21" t="inlineStr">
        <is>
          <t>3</t>
        </is>
      </c>
      <c r="D591" s="21" t="inlineStr">
        <is>
          <t>UE16</t>
        </is>
      </c>
      <c r="E591" s="21" t="inlineStr">
        <is>
          <t>Stage en scanner et IRM</t>
        </is>
      </c>
      <c r="F591" s="21" t="inlineStr">
        <is>
          <t>Observation et description des images obtenues sous supervision</t>
        </is>
      </c>
      <c r="L591" s="21" t="n">
        <v>150</v>
      </c>
      <c r="M591" s="21" t="n">
        <v>10</v>
      </c>
    </row>
    <row r="592">
      <c r="A592" s="21" t="inlineStr">
        <is>
          <t>Imagerie médicale</t>
        </is>
      </c>
      <c r="B592" s="21" t="inlineStr">
        <is>
          <t>L2</t>
        </is>
      </c>
      <c r="C592" s="21" t="inlineStr">
        <is>
          <t>4</t>
        </is>
      </c>
      <c r="D592" s="21" t="inlineStr">
        <is>
          <t>UE 17 (UE9)</t>
        </is>
      </c>
      <c r="E592" s="21" t="inlineStr">
        <is>
          <t>Sémiologie radiologique</t>
        </is>
      </c>
      <c r="F592" s="21" t="inlineStr">
        <is>
          <t>Principes de la sémiologie en imagerie médicale (normal, variation, pathologique)</t>
        </is>
      </c>
      <c r="H592" s="21" t="n">
        <v>6</v>
      </c>
      <c r="I592" s="21" t="n">
        <v>2</v>
      </c>
      <c r="K592" s="21" t="n">
        <v>8</v>
      </c>
      <c r="L592" s="21" t="n">
        <v>45</v>
      </c>
      <c r="M592" s="21" t="n">
        <v>5</v>
      </c>
    </row>
    <row r="593">
      <c r="A593" s="21" t="inlineStr">
        <is>
          <t>Imagerie médicale</t>
        </is>
      </c>
      <c r="B593" s="21" t="inlineStr">
        <is>
          <t>L2</t>
        </is>
      </c>
      <c r="C593" s="21" t="inlineStr">
        <is>
          <t>4</t>
        </is>
      </c>
      <c r="D593" s="21" t="inlineStr">
        <is>
          <t>UE 17 (UE9)</t>
        </is>
      </c>
      <c r="E593" s="21" t="inlineStr">
        <is>
          <t>Sémiologie radiologique</t>
        </is>
      </c>
      <c r="F593" s="21" t="inlineStr">
        <is>
          <t>Sémiologie thoracique : opacités, atélectasie, épanchement, pneumothorax</t>
        </is>
      </c>
      <c r="H593" s="21" t="n">
        <v>5</v>
      </c>
      <c r="I593" s="21" t="n">
        <v>3</v>
      </c>
      <c r="K593" s="21" t="n">
        <v>8</v>
      </c>
      <c r="L593" s="21" t="n">
        <v>45</v>
      </c>
      <c r="M593" s="21" t="n">
        <v>5</v>
      </c>
    </row>
    <row r="594">
      <c r="A594" s="21" t="inlineStr">
        <is>
          <t>Imagerie médicale</t>
        </is>
      </c>
      <c r="B594" s="21" t="inlineStr">
        <is>
          <t>L2</t>
        </is>
      </c>
      <c r="C594" s="21" t="inlineStr">
        <is>
          <t>4</t>
        </is>
      </c>
      <c r="D594" s="21" t="inlineStr">
        <is>
          <t>UE 17 (UE9)</t>
        </is>
      </c>
      <c r="E594" s="21" t="inlineStr">
        <is>
          <t>Sémiologie radiologique</t>
        </is>
      </c>
      <c r="F594" s="21" t="inlineStr">
        <is>
          <t>Sémiologie osseuse et articulaire : fractures, luxations, lésions ostéolytiques/condensantes</t>
        </is>
      </c>
      <c r="H594" s="21" t="n">
        <v>5</v>
      </c>
      <c r="I594" s="21" t="n">
        <v>3</v>
      </c>
      <c r="K594" s="21" t="n">
        <v>8</v>
      </c>
      <c r="L594" s="21" t="n">
        <v>45</v>
      </c>
      <c r="M594" s="21" t="n">
        <v>5</v>
      </c>
    </row>
    <row r="595">
      <c r="A595" s="21" t="inlineStr">
        <is>
          <t>Imagerie médicale</t>
        </is>
      </c>
      <c r="B595" s="21" t="inlineStr">
        <is>
          <t>L2</t>
        </is>
      </c>
      <c r="C595" s="21" t="inlineStr">
        <is>
          <t>4</t>
        </is>
      </c>
      <c r="D595" s="21" t="inlineStr">
        <is>
          <t>UE 17 (UE9)</t>
        </is>
      </c>
      <c r="E595" s="21" t="inlineStr">
        <is>
          <t>Sémiologie radiologique</t>
        </is>
      </c>
      <c r="F595" s="21" t="inlineStr">
        <is>
          <t>Sémiologie abdominale : masses, occlusions, calcifications, ascite</t>
        </is>
      </c>
      <c r="H595" s="21" t="n">
        <v>5</v>
      </c>
      <c r="I595" s="21" t="n">
        <v>2</v>
      </c>
      <c r="K595" s="21" t="n">
        <v>7</v>
      </c>
      <c r="L595" s="21" t="n">
        <v>45</v>
      </c>
      <c r="M595" s="21" t="n">
        <v>5</v>
      </c>
    </row>
    <row r="596">
      <c r="A596" s="21" t="inlineStr">
        <is>
          <t>Imagerie médicale</t>
        </is>
      </c>
      <c r="B596" s="21" t="inlineStr">
        <is>
          <t>L2</t>
        </is>
      </c>
      <c r="C596" s="21" t="inlineStr">
        <is>
          <t>4</t>
        </is>
      </c>
      <c r="D596" s="21" t="inlineStr">
        <is>
          <t>UE 17 (UE9)</t>
        </is>
      </c>
      <c r="E596" s="21" t="inlineStr">
        <is>
          <t>Sémiologie radiologique</t>
        </is>
      </c>
      <c r="F596" s="21" t="inlineStr">
        <is>
          <t>Sémiologie en scanner : hémorragies, tumeurs, embolies, pathologies digestives</t>
        </is>
      </c>
      <c r="H596" s="21" t="n">
        <v>5</v>
      </c>
      <c r="I596" s="21" t="n">
        <v>3</v>
      </c>
      <c r="K596" s="21" t="n">
        <v>8</v>
      </c>
      <c r="L596" s="21" t="n">
        <v>45</v>
      </c>
      <c r="M596" s="21" t="n">
        <v>5</v>
      </c>
    </row>
    <row r="597">
      <c r="A597" s="21" t="inlineStr">
        <is>
          <t>Imagerie médicale</t>
        </is>
      </c>
      <c r="B597" s="21" t="inlineStr">
        <is>
          <t>L2</t>
        </is>
      </c>
      <c r="C597" s="21" t="inlineStr">
        <is>
          <t>4</t>
        </is>
      </c>
      <c r="D597" s="21" t="inlineStr">
        <is>
          <t>UE 17 (UE9)</t>
        </is>
      </c>
      <c r="E597" s="21" t="inlineStr">
        <is>
          <t>Sémiologie radiologique</t>
        </is>
      </c>
      <c r="F597" s="21" t="inlineStr">
        <is>
          <t>Sémiologie en IRM : neurologique, musculosquelettique, abdominale et pelvienne</t>
        </is>
      </c>
      <c r="H597" s="21" t="n">
        <v>4</v>
      </c>
      <c r="I597" s="21" t="n">
        <v>2</v>
      </c>
      <c r="K597" s="21" t="n">
        <v>6</v>
      </c>
      <c r="L597" s="21" t="n">
        <v>45</v>
      </c>
      <c r="M597" s="21" t="n">
        <v>5</v>
      </c>
    </row>
    <row r="598">
      <c r="A598" s="21" t="inlineStr">
        <is>
          <t>Imagerie médicale</t>
        </is>
      </c>
      <c r="B598" s="21" t="inlineStr">
        <is>
          <t>L2</t>
        </is>
      </c>
      <c r="C598" s="21" t="inlineStr">
        <is>
          <t>4</t>
        </is>
      </c>
      <c r="D598" s="21" t="inlineStr">
        <is>
          <t>UE18</t>
        </is>
      </c>
      <c r="E598" s="21" t="inlineStr">
        <is>
          <t>Imagerie ostéo-articulaire</t>
        </is>
      </c>
      <c r="F598" s="21" t="inlineStr">
        <is>
          <t>Anatomie radiologique et IRM de l’appareil locomoteur</t>
        </is>
      </c>
      <c r="H598" s="21" t="n">
        <v>3</v>
      </c>
      <c r="I598" s="21" t="n">
        <v>2</v>
      </c>
      <c r="K598" s="21" t="n">
        <v>5</v>
      </c>
      <c r="L598" s="21" t="n">
        <v>30</v>
      </c>
      <c r="M598" s="21" t="n">
        <v>4</v>
      </c>
    </row>
    <row r="599">
      <c r="A599" s="21" t="inlineStr">
        <is>
          <t>Imagerie médicale</t>
        </is>
      </c>
      <c r="B599" s="21" t="inlineStr">
        <is>
          <t>L2</t>
        </is>
      </c>
      <c r="C599" s="21" t="inlineStr">
        <is>
          <t>4</t>
        </is>
      </c>
      <c r="D599" s="21" t="inlineStr">
        <is>
          <t>UE18</t>
        </is>
      </c>
      <c r="E599" s="21" t="inlineStr">
        <is>
          <t>Imagerie ostéo-articulaire</t>
        </is>
      </c>
      <c r="F599" s="21" t="inlineStr">
        <is>
          <t>Radiographies standards des os et articulations</t>
        </is>
      </c>
      <c r="H599" s="21" t="n">
        <v>2</v>
      </c>
      <c r="I599" s="21" t="n">
        <v>3</v>
      </c>
      <c r="K599" s="21" t="n">
        <v>5</v>
      </c>
      <c r="L599" s="21" t="n">
        <v>30</v>
      </c>
      <c r="M599" s="21" t="n">
        <v>4</v>
      </c>
    </row>
    <row r="600">
      <c r="A600" s="21" t="inlineStr">
        <is>
          <t>Imagerie médicale</t>
        </is>
      </c>
      <c r="B600" s="21" t="inlineStr">
        <is>
          <t>L2</t>
        </is>
      </c>
      <c r="C600" s="21" t="inlineStr">
        <is>
          <t>4</t>
        </is>
      </c>
      <c r="D600" s="21" t="inlineStr">
        <is>
          <t>UE18</t>
        </is>
      </c>
      <c r="E600" s="21" t="inlineStr">
        <is>
          <t>Imagerie ostéo-articulaire</t>
        </is>
      </c>
      <c r="F600" s="21" t="inlineStr">
        <is>
          <t>Imagerie scanner et IRM du rachis, des articulations périphériques et des os longs</t>
        </is>
      </c>
      <c r="H600" s="21" t="n">
        <v>3</v>
      </c>
      <c r="I600" s="21" t="n">
        <v>3</v>
      </c>
      <c r="K600" s="21" t="n">
        <v>6</v>
      </c>
      <c r="L600" s="21" t="n">
        <v>30</v>
      </c>
      <c r="M600" s="21" t="n">
        <v>4</v>
      </c>
    </row>
    <row r="601">
      <c r="A601" s="21" t="inlineStr">
        <is>
          <t>Imagerie médicale</t>
        </is>
      </c>
      <c r="B601" s="21" t="inlineStr">
        <is>
          <t>L2</t>
        </is>
      </c>
      <c r="C601" s="21" t="inlineStr">
        <is>
          <t>4</t>
        </is>
      </c>
      <c r="D601" s="21" t="inlineStr">
        <is>
          <t>UE18</t>
        </is>
      </c>
      <c r="E601" s="21" t="inlineStr">
        <is>
          <t>Imagerie ostéo-articulaire</t>
        </is>
      </c>
      <c r="F601" s="21" t="inlineStr">
        <is>
          <t>Sémiologie des pathologies fréquentes : fractures, entorses, arthrose, tumeurs osseuses</t>
        </is>
      </c>
      <c r="H601" s="21" t="n">
        <v>3</v>
      </c>
      <c r="I601" s="21" t="n">
        <v>3</v>
      </c>
      <c r="K601" s="21" t="n">
        <v>6</v>
      </c>
      <c r="L601" s="21" t="n">
        <v>30</v>
      </c>
      <c r="M601" s="21" t="n">
        <v>4</v>
      </c>
    </row>
    <row r="602">
      <c r="A602" s="21" t="inlineStr">
        <is>
          <t>Imagerie médicale</t>
        </is>
      </c>
      <c r="B602" s="21" t="inlineStr">
        <is>
          <t>L2</t>
        </is>
      </c>
      <c r="C602" s="21" t="inlineStr">
        <is>
          <t>4</t>
        </is>
      </c>
      <c r="D602" s="21" t="inlineStr">
        <is>
          <t>UE18</t>
        </is>
      </c>
      <c r="E602" s="21" t="inlineStr">
        <is>
          <t>Imagerie ostéo-articulaire</t>
        </is>
      </c>
      <c r="F602" s="21" t="inlineStr">
        <is>
          <t>Apports de l’échographie dans l’étude musculosquelettique</t>
        </is>
      </c>
      <c r="H602" s="21" t="n">
        <v>2</v>
      </c>
      <c r="I602" s="21" t="n">
        <v>2</v>
      </c>
      <c r="K602" s="21" t="n">
        <v>4</v>
      </c>
      <c r="L602" s="21" t="n">
        <v>30</v>
      </c>
      <c r="M602" s="21" t="n">
        <v>4</v>
      </c>
    </row>
    <row r="603">
      <c r="A603" s="21" t="inlineStr">
        <is>
          <t>Imagerie médicale</t>
        </is>
      </c>
      <c r="B603" s="21" t="inlineStr">
        <is>
          <t>L2</t>
        </is>
      </c>
      <c r="C603" s="21" t="inlineStr">
        <is>
          <t>4</t>
        </is>
      </c>
      <c r="D603" s="21" t="inlineStr">
        <is>
          <t>UE18</t>
        </is>
      </c>
      <c r="E603" s="21" t="inlineStr">
        <is>
          <t>Imagerie ostéo-articulaire</t>
        </is>
      </c>
      <c r="F603" s="21" t="inlineStr">
        <is>
          <t>Protocoles spécifiques en traumatologie et rhumatologie</t>
        </is>
      </c>
      <c r="H603" s="21" t="n">
        <v>2</v>
      </c>
      <c r="I603" s="21" t="n">
        <v>2</v>
      </c>
      <c r="K603" s="21" t="n">
        <v>4</v>
      </c>
      <c r="L603" s="21" t="n">
        <v>30</v>
      </c>
      <c r="M603" s="21" t="n">
        <v>4</v>
      </c>
    </row>
    <row r="604">
      <c r="A604" s="21" t="inlineStr">
        <is>
          <t>Imagerie médicale</t>
        </is>
      </c>
      <c r="B604" s="21" t="inlineStr">
        <is>
          <t>L2</t>
        </is>
      </c>
      <c r="C604" s="21" t="inlineStr">
        <is>
          <t>4</t>
        </is>
      </c>
      <c r="D604" s="21" t="inlineStr">
        <is>
          <t>UE19</t>
        </is>
      </c>
      <c r="E604" s="21" t="inlineStr">
        <is>
          <t>Imagerie abdominale et pelvienne</t>
        </is>
      </c>
      <c r="F604" s="21" t="inlineStr">
        <is>
          <t>Anatomie radiologique et échographique des organes abdominaux et pelviens</t>
        </is>
      </c>
      <c r="H604" s="21" t="n">
        <v>3</v>
      </c>
      <c r="I604" s="21" t="n">
        <v>2</v>
      </c>
      <c r="K604" s="21" t="n">
        <v>5</v>
      </c>
      <c r="L604" s="21" t="n">
        <v>30</v>
      </c>
      <c r="M604" s="21" t="n">
        <v>4</v>
      </c>
    </row>
    <row r="605">
      <c r="A605" s="21" t="inlineStr">
        <is>
          <t>Imagerie médicale</t>
        </is>
      </c>
      <c r="B605" s="21" t="inlineStr">
        <is>
          <t>L2</t>
        </is>
      </c>
      <c r="C605" s="21" t="inlineStr">
        <is>
          <t>4</t>
        </is>
      </c>
      <c r="D605" s="21" t="inlineStr">
        <is>
          <t>UE19</t>
        </is>
      </c>
      <c r="E605" s="21" t="inlineStr">
        <is>
          <t>Imagerie abdominale et pelvienne</t>
        </is>
      </c>
      <c r="F605" s="21" t="inlineStr">
        <is>
          <t>Imagerie hépatique, pancréatique, splénique et rénale (scanner, IRM, échographie)</t>
        </is>
      </c>
      <c r="H605" s="21" t="n">
        <v>2</v>
      </c>
      <c r="I605" s="21" t="n">
        <v>2</v>
      </c>
      <c r="K605" s="21" t="n">
        <v>4</v>
      </c>
      <c r="L605" s="21" t="n">
        <v>30</v>
      </c>
      <c r="M605" s="21" t="n">
        <v>4</v>
      </c>
    </row>
    <row r="606">
      <c r="A606" s="21" t="inlineStr">
        <is>
          <t>Imagerie médicale</t>
        </is>
      </c>
      <c r="B606" s="21" t="inlineStr">
        <is>
          <t>L2</t>
        </is>
      </c>
      <c r="C606" s="21" t="inlineStr">
        <is>
          <t>4</t>
        </is>
      </c>
      <c r="D606" s="21" t="inlineStr">
        <is>
          <t>UE19</t>
        </is>
      </c>
      <c r="E606" s="21" t="inlineStr">
        <is>
          <t>Imagerie abdominale et pelvienne</t>
        </is>
      </c>
      <c r="F606" s="21" t="inlineStr">
        <is>
          <t>Imagerie digestive : estomac, intestin grêle, côlon, rectum</t>
        </is>
      </c>
      <c r="H606" s="21" t="n">
        <v>3</v>
      </c>
      <c r="I606" s="21" t="n">
        <v>3</v>
      </c>
      <c r="K606" s="21" t="n">
        <v>6</v>
      </c>
      <c r="L606" s="21" t="n">
        <v>30</v>
      </c>
      <c r="M606" s="21" t="n">
        <v>4</v>
      </c>
    </row>
    <row r="607">
      <c r="A607" s="21" t="inlineStr">
        <is>
          <t>Imagerie médicale</t>
        </is>
      </c>
      <c r="B607" s="21" t="inlineStr">
        <is>
          <t>L2</t>
        </is>
      </c>
      <c r="C607" s="21" t="inlineStr">
        <is>
          <t>4</t>
        </is>
      </c>
      <c r="D607" s="21" t="inlineStr">
        <is>
          <t>UE19</t>
        </is>
      </c>
      <c r="E607" s="21" t="inlineStr">
        <is>
          <t>Imagerie abdominale et pelvienne</t>
        </is>
      </c>
      <c r="F607" s="21" t="inlineStr">
        <is>
          <t>Imagerie pelvienne : utérus, ovaires, prostate, vessie</t>
        </is>
      </c>
      <c r="H607" s="21" t="n">
        <v>4</v>
      </c>
      <c r="I607" s="21" t="n">
        <v>3</v>
      </c>
      <c r="K607" s="21" t="n">
        <v>7</v>
      </c>
      <c r="L607" s="21" t="n">
        <v>30</v>
      </c>
      <c r="M607" s="21" t="n">
        <v>4</v>
      </c>
    </row>
    <row r="608">
      <c r="A608" s="21" t="inlineStr">
        <is>
          <t>Imagerie médicale</t>
        </is>
      </c>
      <c r="B608" s="21" t="inlineStr">
        <is>
          <t>L2</t>
        </is>
      </c>
      <c r="C608" s="21" t="inlineStr">
        <is>
          <t>4</t>
        </is>
      </c>
      <c r="D608" s="21" t="inlineStr">
        <is>
          <t>UE19</t>
        </is>
      </c>
      <c r="E608" s="21" t="inlineStr">
        <is>
          <t>Imagerie abdominale et pelvienne</t>
        </is>
      </c>
      <c r="F608" s="21" t="inlineStr">
        <is>
          <t>Utilisation des produits de contraste en imagerie abdominale et pelvienne</t>
        </is>
      </c>
      <c r="H608" s="21" t="n">
        <v>2</v>
      </c>
      <c r="I608" s="21" t="n">
        <v>2</v>
      </c>
      <c r="K608" s="21" t="n">
        <v>4</v>
      </c>
      <c r="L608" s="21" t="n">
        <v>30</v>
      </c>
      <c r="M608" s="21" t="n">
        <v>4</v>
      </c>
    </row>
    <row r="609">
      <c r="A609" s="21" t="inlineStr">
        <is>
          <t>Imagerie médicale</t>
        </is>
      </c>
      <c r="B609" s="21" t="inlineStr">
        <is>
          <t>L2</t>
        </is>
      </c>
      <c r="C609" s="21" t="inlineStr">
        <is>
          <t>4</t>
        </is>
      </c>
      <c r="D609" s="21" t="inlineStr">
        <is>
          <t>UE19</t>
        </is>
      </c>
      <c r="E609" s="21" t="inlineStr">
        <is>
          <t>Imagerie abdominale et pelvienne</t>
        </is>
      </c>
      <c r="F609" s="21" t="inlineStr">
        <is>
          <t>Sémiologie des pathologies : tumeurs, lithiases, infections, occlusions</t>
        </is>
      </c>
      <c r="H609" s="21" t="n">
        <v>2</v>
      </c>
      <c r="I609" s="21" t="n">
        <v>2</v>
      </c>
      <c r="K609" s="21" t="n">
        <v>4</v>
      </c>
      <c r="L609" s="21" t="n">
        <v>30</v>
      </c>
      <c r="M609" s="21" t="n">
        <v>4</v>
      </c>
    </row>
    <row r="610">
      <c r="A610" s="21" t="inlineStr">
        <is>
          <t>Imagerie médicale</t>
        </is>
      </c>
      <c r="B610" s="21" t="inlineStr">
        <is>
          <t>L2</t>
        </is>
      </c>
      <c r="C610" s="21" t="inlineStr">
        <is>
          <t>4</t>
        </is>
      </c>
      <c r="D610" s="21" t="inlineStr">
        <is>
          <t>UE20</t>
        </is>
      </c>
      <c r="E610" s="21" t="inlineStr">
        <is>
          <t>Stage en scanner et IRM approfondi</t>
        </is>
      </c>
      <c r="F610" s="21" t="inlineStr">
        <is>
          <t>Participation approfondie aux examens de scanner et IRM complexes</t>
        </is>
      </c>
      <c r="H610" s="21" t="inlineStr">
        <is>
          <t>STAGE</t>
        </is>
      </c>
      <c r="J610" s="21" t="n">
        <v>150</v>
      </c>
      <c r="K610" s="21" t="n">
        <v>150</v>
      </c>
      <c r="L610" s="21" t="n">
        <v>150</v>
      </c>
      <c r="M610" s="21" t="n">
        <v>17</v>
      </c>
    </row>
    <row r="611">
      <c r="A611" s="21" t="inlineStr">
        <is>
          <t>Imagerie médicale</t>
        </is>
      </c>
      <c r="B611" s="21" t="inlineStr">
        <is>
          <t>L2</t>
        </is>
      </c>
      <c r="C611" s="21" t="inlineStr">
        <is>
          <t>4</t>
        </is>
      </c>
      <c r="D611" s="21" t="inlineStr">
        <is>
          <t>UE20</t>
        </is>
      </c>
      <c r="E611" s="21" t="inlineStr">
        <is>
          <t>Stage en scanner et IRM approfondi</t>
        </is>
      </c>
      <c r="F611" s="21" t="inlineStr">
        <is>
          <t>Mise en pratique des protocoles d’exploration neurologique, thoracique, abdominale, pelvienne et musculosquelettique</t>
        </is>
      </c>
      <c r="L611" s="21" t="n">
        <v>150</v>
      </c>
      <c r="M611" s="21" t="n">
        <v>17</v>
      </c>
    </row>
    <row r="612">
      <c r="A612" s="21" t="inlineStr">
        <is>
          <t>Imagerie médicale</t>
        </is>
      </c>
      <c r="B612" s="21" t="inlineStr">
        <is>
          <t>L2</t>
        </is>
      </c>
      <c r="C612" s="21" t="inlineStr">
        <is>
          <t>4</t>
        </is>
      </c>
      <c r="D612" s="21" t="inlineStr">
        <is>
          <t>UE20</t>
        </is>
      </c>
      <c r="E612" s="21" t="inlineStr">
        <is>
          <t>Stage en scanner et IRM approfondi</t>
        </is>
      </c>
      <c r="F612" s="21" t="inlineStr">
        <is>
          <t>Optimisation des paramètres techniques pour la qualité d’image</t>
        </is>
      </c>
      <c r="L612" s="21" t="n">
        <v>150</v>
      </c>
      <c r="M612" s="21" t="n">
        <v>17</v>
      </c>
    </row>
    <row r="613">
      <c r="A613" s="21" t="inlineStr">
        <is>
          <t>Imagerie médicale</t>
        </is>
      </c>
      <c r="B613" s="21" t="inlineStr">
        <is>
          <t>L2</t>
        </is>
      </c>
      <c r="C613" s="21" t="inlineStr">
        <is>
          <t>4</t>
        </is>
      </c>
      <c r="D613" s="21" t="inlineStr">
        <is>
          <t>UE20</t>
        </is>
      </c>
      <c r="E613" s="21" t="inlineStr">
        <is>
          <t>Stage en scanner et IRM approfondi</t>
        </is>
      </c>
      <c r="F613" s="21" t="inlineStr">
        <is>
          <t>Application stricte des mesures de sécurité en IRM</t>
        </is>
      </c>
      <c r="L613" s="21" t="n">
        <v>150</v>
      </c>
      <c r="M613" s="21" t="n">
        <v>17</v>
      </c>
    </row>
    <row r="614">
      <c r="A614" s="21" t="inlineStr">
        <is>
          <t>Imagerie médicale</t>
        </is>
      </c>
      <c r="B614" s="21" t="inlineStr">
        <is>
          <t>L2</t>
        </is>
      </c>
      <c r="C614" s="21" t="inlineStr">
        <is>
          <t>4</t>
        </is>
      </c>
      <c r="D614" s="21" t="inlineStr">
        <is>
          <t>UE20</t>
        </is>
      </c>
      <c r="E614" s="21" t="inlineStr">
        <is>
          <t>Stage en scanner et IRM approfondi</t>
        </is>
      </c>
      <c r="F614" s="21" t="inlineStr">
        <is>
          <t>Gestion des situations cliniques particulières (urgences, pédiatrie, patients polytraumatisés)</t>
        </is>
      </c>
      <c r="L614" s="21" t="n">
        <v>150</v>
      </c>
      <c r="M614" s="21" t="n">
        <v>17</v>
      </c>
    </row>
    <row r="615">
      <c r="A615" s="21" t="inlineStr">
        <is>
          <t>Imagerie médicale</t>
        </is>
      </c>
      <c r="B615" s="21" t="inlineStr">
        <is>
          <t>L2</t>
        </is>
      </c>
      <c r="C615" s="21" t="inlineStr">
        <is>
          <t>4</t>
        </is>
      </c>
      <c r="D615" s="21" t="inlineStr">
        <is>
          <t>UE20</t>
        </is>
      </c>
      <c r="E615" s="21" t="inlineStr">
        <is>
          <t>Stage en scanner et IRM approfondi</t>
        </is>
      </c>
      <c r="F615" s="21" t="inlineStr">
        <is>
          <t>Travail interdisciplinaire avec radiologues et cliniciens</t>
        </is>
      </c>
      <c r="L615" s="21" t="n">
        <v>150</v>
      </c>
      <c r="M615" s="21" t="n">
        <v>17</v>
      </c>
    </row>
    <row r="616">
      <c r="A616" s="21" t="inlineStr">
        <is>
          <t>Imagerie médicale</t>
        </is>
      </c>
      <c r="B616" s="21" t="inlineStr">
        <is>
          <t>L3</t>
        </is>
      </c>
      <c r="C616" s="21" t="inlineStr">
        <is>
          <t>5</t>
        </is>
      </c>
      <c r="D616" s="21" t="inlineStr">
        <is>
          <t>UE21</t>
        </is>
      </c>
      <c r="E616" s="21" t="inlineStr">
        <is>
          <t>Techniques d’imagerie pédiatrique</t>
        </is>
      </c>
      <c r="F616" s="21" t="inlineStr">
        <is>
          <t>Spécificités de l’imagerie chez l’enfant (radioprotection, protocoles adaptés)</t>
        </is>
      </c>
      <c r="H616" s="21" t="n">
        <v>4</v>
      </c>
      <c r="I616" s="21" t="n">
        <v>1</v>
      </c>
      <c r="K616" s="21" t="n">
        <v>5</v>
      </c>
      <c r="L616" s="21" t="n">
        <v>30</v>
      </c>
      <c r="M616" s="21" t="n">
        <v>4</v>
      </c>
    </row>
    <row r="617">
      <c r="A617" s="21" t="inlineStr">
        <is>
          <t>Imagerie médicale</t>
        </is>
      </c>
      <c r="B617" s="21" t="inlineStr">
        <is>
          <t>L3</t>
        </is>
      </c>
      <c r="C617" s="21" t="inlineStr">
        <is>
          <t>5</t>
        </is>
      </c>
      <c r="D617" s="21" t="inlineStr">
        <is>
          <t>UE21</t>
        </is>
      </c>
      <c r="E617" s="21" t="inlineStr">
        <is>
          <t>Techniques d’imagerie pédiatrique</t>
        </is>
      </c>
      <c r="F617" s="21" t="inlineStr">
        <is>
          <t>Radiographie pédiatrique : croissance osseuse, pathologies respiratoires</t>
        </is>
      </c>
      <c r="H617" s="21" t="n">
        <v>4</v>
      </c>
      <c r="I617" s="21" t="n">
        <v>1</v>
      </c>
      <c r="K617" s="21" t="n">
        <v>5</v>
      </c>
      <c r="L617" s="21" t="n">
        <v>30</v>
      </c>
      <c r="M617" s="21" t="n">
        <v>4</v>
      </c>
    </row>
    <row r="618">
      <c r="A618" s="21" t="inlineStr">
        <is>
          <t>Imagerie médicale</t>
        </is>
      </c>
      <c r="B618" s="21" t="inlineStr">
        <is>
          <t>L3</t>
        </is>
      </c>
      <c r="C618" s="21" t="inlineStr">
        <is>
          <t>5</t>
        </is>
      </c>
      <c r="D618" s="21" t="inlineStr">
        <is>
          <t>UE21</t>
        </is>
      </c>
      <c r="E618" s="21" t="inlineStr">
        <is>
          <t>Techniques d’imagerie pédiatrique</t>
        </is>
      </c>
      <c r="F618" s="21" t="inlineStr">
        <is>
          <t>Échographie pédiatrique (abdomen, reins, cerveau du nourrisson)</t>
        </is>
      </c>
      <c r="H618" s="21" t="n">
        <v>4</v>
      </c>
      <c r="I618" s="21" t="n">
        <v>1</v>
      </c>
      <c r="K618" s="21" t="n">
        <v>5</v>
      </c>
      <c r="L618" s="21" t="n">
        <v>30</v>
      </c>
      <c r="M618" s="21" t="n">
        <v>4</v>
      </c>
    </row>
    <row r="619">
      <c r="A619" s="21" t="inlineStr">
        <is>
          <t>Imagerie médicale</t>
        </is>
      </c>
      <c r="B619" s="21" t="inlineStr">
        <is>
          <t>L3</t>
        </is>
      </c>
      <c r="C619" s="21" t="inlineStr">
        <is>
          <t>5</t>
        </is>
      </c>
      <c r="D619" s="21" t="inlineStr">
        <is>
          <t>UE21</t>
        </is>
      </c>
      <c r="E619" s="21" t="inlineStr">
        <is>
          <t>Techniques d’imagerie pédiatrique</t>
        </is>
      </c>
      <c r="F619" s="21" t="inlineStr">
        <is>
          <t>Scanner et IRM pédiatriques : indications, limites, sédation</t>
        </is>
      </c>
      <c r="H619" s="21" t="n">
        <v>4</v>
      </c>
      <c r="I619" s="21" t="n">
        <v>1</v>
      </c>
      <c r="K619" s="21" t="n">
        <v>5</v>
      </c>
      <c r="L619" s="21" t="n">
        <v>30</v>
      </c>
      <c r="M619" s="21" t="n">
        <v>4</v>
      </c>
    </row>
    <row r="620">
      <c r="A620" s="21" t="inlineStr">
        <is>
          <t>Imagerie médicale</t>
        </is>
      </c>
      <c r="B620" s="21" t="inlineStr">
        <is>
          <t>L3</t>
        </is>
      </c>
      <c r="C620" s="21" t="inlineStr">
        <is>
          <t>5</t>
        </is>
      </c>
      <c r="D620" s="21" t="inlineStr">
        <is>
          <t>UE21</t>
        </is>
      </c>
      <c r="E620" s="21" t="inlineStr">
        <is>
          <t>Techniques d’imagerie pédiatrique</t>
        </is>
      </c>
      <c r="F620" s="21" t="inlineStr">
        <is>
          <t>Sémiologie des pathologies courantes (malformations, infections, traumatismes)</t>
        </is>
      </c>
      <c r="H620" s="21" t="n">
        <v>4</v>
      </c>
      <c r="I620" s="21" t="n">
        <v>1</v>
      </c>
      <c r="K620" s="21" t="n">
        <v>5</v>
      </c>
      <c r="L620" s="21" t="n">
        <v>30</v>
      </c>
      <c r="M620" s="21" t="n">
        <v>4</v>
      </c>
    </row>
    <row r="621">
      <c r="A621" s="21" t="inlineStr">
        <is>
          <t>Imagerie médicale</t>
        </is>
      </c>
      <c r="B621" s="21" t="inlineStr">
        <is>
          <t>L3</t>
        </is>
      </c>
      <c r="C621" s="21" t="inlineStr">
        <is>
          <t>5</t>
        </is>
      </c>
      <c r="D621" s="21" t="inlineStr">
        <is>
          <t>UE21</t>
        </is>
      </c>
      <c r="E621" s="21" t="inlineStr">
        <is>
          <t>Techniques d’imagerie pédiatrique</t>
        </is>
      </c>
      <c r="F621" s="21" t="inlineStr">
        <is>
          <t>Prise en charge et communication avec l’enfant et sa famille</t>
        </is>
      </c>
      <c r="H621" s="21" t="n">
        <v>4</v>
      </c>
      <c r="I621" s="21" t="n">
        <v>1</v>
      </c>
      <c r="K621" s="21" t="n">
        <v>5</v>
      </c>
      <c r="L621" s="21" t="n">
        <v>30</v>
      </c>
      <c r="M621" s="21" t="n">
        <v>4</v>
      </c>
    </row>
    <row r="622">
      <c r="A622" s="21" t="inlineStr">
        <is>
          <t>Imagerie médicale</t>
        </is>
      </c>
      <c r="B622" s="21" t="inlineStr">
        <is>
          <t>L3</t>
        </is>
      </c>
      <c r="C622" s="21" t="inlineStr">
        <is>
          <t>5</t>
        </is>
      </c>
      <c r="D622" s="21" t="inlineStr">
        <is>
          <t>UE22</t>
        </is>
      </c>
      <c r="E622" s="21" t="inlineStr">
        <is>
          <t>Techniques d’imagerie obstétricale</t>
        </is>
      </c>
      <c r="F622" s="21" t="inlineStr">
        <is>
          <t>Principes de l’échographie obstétricale (2D, 3D, Doppler)</t>
        </is>
      </c>
      <c r="H622" s="21" t="n">
        <v>4</v>
      </c>
      <c r="I622" s="21" t="n">
        <v>1</v>
      </c>
      <c r="K622" s="21" t="n">
        <v>5</v>
      </c>
      <c r="L622" s="21" t="n">
        <v>30</v>
      </c>
      <c r="M622" s="21" t="n">
        <v>4</v>
      </c>
    </row>
    <row r="623">
      <c r="A623" s="21" t="inlineStr">
        <is>
          <t>Imagerie médicale</t>
        </is>
      </c>
      <c r="B623" s="21" t="inlineStr">
        <is>
          <t>L3</t>
        </is>
      </c>
      <c r="C623" s="21" t="inlineStr">
        <is>
          <t>5</t>
        </is>
      </c>
      <c r="D623" s="21" t="inlineStr">
        <is>
          <t>UE22</t>
        </is>
      </c>
      <c r="E623" s="21" t="inlineStr">
        <is>
          <t>Techniques d’imagerie obstétricale</t>
        </is>
      </c>
      <c r="F623" s="21" t="inlineStr">
        <is>
          <t>Suivi de grossesse : biométrie, placenta, liquide amniotique</t>
        </is>
      </c>
      <c r="H623" s="21" t="n">
        <v>6</v>
      </c>
      <c r="I623" s="21" t="n">
        <v>2</v>
      </c>
      <c r="K623" s="21" t="n">
        <v>8</v>
      </c>
      <c r="L623" s="21" t="n">
        <v>30</v>
      </c>
      <c r="M623" s="21" t="n">
        <v>4</v>
      </c>
    </row>
    <row r="624">
      <c r="A624" s="21" t="inlineStr">
        <is>
          <t>Imagerie médicale</t>
        </is>
      </c>
      <c r="B624" s="21" t="inlineStr">
        <is>
          <t>L3</t>
        </is>
      </c>
      <c r="C624" s="21" t="inlineStr">
        <is>
          <t>5</t>
        </is>
      </c>
      <c r="D624" s="21" t="inlineStr">
        <is>
          <t>UE22</t>
        </is>
      </c>
      <c r="E624" s="21" t="inlineStr">
        <is>
          <t>Techniques d’imagerie obstétricale</t>
        </is>
      </c>
      <c r="F624" s="21" t="inlineStr">
        <is>
          <t>Dépistage des malformations congénitales</t>
        </is>
      </c>
      <c r="H624" s="21" t="n">
        <v>4</v>
      </c>
      <c r="I624" s="21" t="n">
        <v>1</v>
      </c>
      <c r="K624" s="21" t="n">
        <v>5</v>
      </c>
      <c r="L624" s="21" t="n">
        <v>30</v>
      </c>
      <c r="M624" s="21" t="n">
        <v>4</v>
      </c>
    </row>
    <row r="625">
      <c r="A625" s="21" t="inlineStr">
        <is>
          <t>Imagerie médicale</t>
        </is>
      </c>
      <c r="B625" s="21" t="inlineStr">
        <is>
          <t>L3</t>
        </is>
      </c>
      <c r="C625" s="21" t="inlineStr">
        <is>
          <t>5</t>
        </is>
      </c>
      <c r="D625" s="21" t="inlineStr">
        <is>
          <t>UE22</t>
        </is>
      </c>
      <c r="E625" s="21" t="inlineStr">
        <is>
          <t>Techniques d’imagerie obstétricale</t>
        </is>
      </c>
      <c r="F625" s="21" t="inlineStr">
        <is>
          <t>IRM obstétricale : indications spécifiques et limites</t>
        </is>
      </c>
      <c r="H625" s="21" t="n">
        <v>2</v>
      </c>
      <c r="K625" s="21" t="n">
        <v>2</v>
      </c>
      <c r="L625" s="21" t="n">
        <v>30</v>
      </c>
      <c r="M625" s="21" t="n">
        <v>4</v>
      </c>
    </row>
    <row r="626">
      <c r="A626" s="21" t="inlineStr">
        <is>
          <t>Imagerie médicale</t>
        </is>
      </c>
      <c r="B626" s="21" t="inlineStr">
        <is>
          <t>L3</t>
        </is>
      </c>
      <c r="C626" s="21" t="inlineStr">
        <is>
          <t>5</t>
        </is>
      </c>
      <c r="D626" s="21" t="inlineStr">
        <is>
          <t>UE22</t>
        </is>
      </c>
      <c r="E626" s="21" t="inlineStr">
        <is>
          <t>Techniques d’imagerie obstétricale</t>
        </is>
      </c>
      <c r="F626" s="21" t="inlineStr">
        <is>
          <t>Sécurité et radioprotection de la femme enceinte</t>
        </is>
      </c>
      <c r="H626" s="21" t="n">
        <v>2</v>
      </c>
      <c r="K626" s="21" t="n">
        <v>2</v>
      </c>
      <c r="L626" s="21" t="n">
        <v>30</v>
      </c>
      <c r="M626" s="21" t="n">
        <v>4</v>
      </c>
    </row>
    <row r="627">
      <c r="A627" s="21" t="inlineStr">
        <is>
          <t>Imagerie médicale</t>
        </is>
      </c>
      <c r="B627" s="21" t="inlineStr">
        <is>
          <t>L3</t>
        </is>
      </c>
      <c r="C627" s="21" t="inlineStr">
        <is>
          <t>5</t>
        </is>
      </c>
      <c r="D627" s="21" t="inlineStr">
        <is>
          <t>UE22</t>
        </is>
      </c>
      <c r="E627" s="21" t="inlineStr">
        <is>
          <t>Techniques d’imagerie obstétricale</t>
        </is>
      </c>
      <c r="F627" s="21" t="inlineStr">
        <is>
          <t>Sémiologie des complications obstétricales (grossesse extra-utérine, retard de croissance, anomalies placentaires)</t>
        </is>
      </c>
      <c r="H627" s="21" t="n">
        <v>6</v>
      </c>
      <c r="I627" s="21" t="n">
        <v>2</v>
      </c>
      <c r="K627" s="21" t="n">
        <v>8</v>
      </c>
      <c r="L627" s="21" t="n">
        <v>30</v>
      </c>
      <c r="M627" s="21" t="n">
        <v>4</v>
      </c>
    </row>
    <row r="628">
      <c r="A628" s="21" t="inlineStr">
        <is>
          <t>Imagerie médicale</t>
        </is>
      </c>
      <c r="B628" s="21" t="inlineStr">
        <is>
          <t>L3</t>
        </is>
      </c>
      <c r="C628" s="21" t="inlineStr">
        <is>
          <t>5</t>
        </is>
      </c>
      <c r="D628" s="21" t="inlineStr">
        <is>
          <t>UE23</t>
        </is>
      </c>
      <c r="E628" s="21" t="inlineStr">
        <is>
          <t>Maintenance des équipements d’imagerie</t>
        </is>
      </c>
      <c r="F628" s="21" t="inlineStr">
        <is>
          <t>Principes de contrôle qualité en radiologie, scanner, IRM, échographie</t>
        </is>
      </c>
      <c r="H628" s="21" t="n">
        <v>4</v>
      </c>
      <c r="I628" s="21" t="n">
        <v>1</v>
      </c>
      <c r="K628" s="21" t="n">
        <v>5</v>
      </c>
      <c r="L628" s="21" t="n">
        <v>30</v>
      </c>
      <c r="M628" s="21" t="n">
        <v>4</v>
      </c>
    </row>
    <row r="629">
      <c r="A629" s="21" t="inlineStr">
        <is>
          <t>Imagerie médicale</t>
        </is>
      </c>
      <c r="B629" s="21" t="inlineStr">
        <is>
          <t>L3</t>
        </is>
      </c>
      <c r="C629" s="21" t="inlineStr">
        <is>
          <t>5</t>
        </is>
      </c>
      <c r="D629" s="21" t="inlineStr">
        <is>
          <t>UE23</t>
        </is>
      </c>
      <c r="E629" s="21" t="inlineStr">
        <is>
          <t>Maintenance des équipements d’imagerie</t>
        </is>
      </c>
      <c r="F629" s="21" t="inlineStr">
        <is>
          <t>Tests de performance et calibration des appareils</t>
        </is>
      </c>
      <c r="H629" s="21" t="n">
        <v>4</v>
      </c>
      <c r="I629" s="21" t="n">
        <v>2</v>
      </c>
      <c r="K629" s="21" t="n">
        <v>6</v>
      </c>
      <c r="L629" s="21" t="n">
        <v>30</v>
      </c>
      <c r="M629" s="21" t="n">
        <v>4</v>
      </c>
    </row>
    <row r="630">
      <c r="A630" s="21" t="inlineStr">
        <is>
          <t>Imagerie médicale</t>
        </is>
      </c>
      <c r="B630" s="21" t="inlineStr">
        <is>
          <t>L3</t>
        </is>
      </c>
      <c r="C630" s="21" t="inlineStr">
        <is>
          <t>5</t>
        </is>
      </c>
      <c r="D630" s="21" t="inlineStr">
        <is>
          <t>UE23</t>
        </is>
      </c>
      <c r="E630" s="21" t="inlineStr">
        <is>
          <t>Maintenance des équipements d’imagerie</t>
        </is>
      </c>
      <c r="F630" s="21" t="inlineStr">
        <is>
          <t>Vérification quotidienne des équipements et signalement des anomalies</t>
        </is>
      </c>
      <c r="H630" s="21" t="n">
        <v>4</v>
      </c>
      <c r="I630" s="21" t="n">
        <v>1</v>
      </c>
      <c r="K630" s="21" t="n">
        <v>5</v>
      </c>
      <c r="L630" s="21" t="n">
        <v>30</v>
      </c>
      <c r="M630" s="21" t="n">
        <v>4</v>
      </c>
    </row>
    <row r="631">
      <c r="A631" s="21" t="inlineStr">
        <is>
          <t>Imagerie médicale</t>
        </is>
      </c>
      <c r="B631" s="21" t="inlineStr">
        <is>
          <t>L3</t>
        </is>
      </c>
      <c r="C631" s="21" t="inlineStr">
        <is>
          <t>5</t>
        </is>
      </c>
      <c r="D631" s="21" t="inlineStr">
        <is>
          <t>UE23</t>
        </is>
      </c>
      <c r="E631" s="21" t="inlineStr">
        <is>
          <t>Maintenance des équipements d’imagerie</t>
        </is>
      </c>
      <c r="F631" s="21" t="inlineStr">
        <is>
          <t>Maintenance préventive de premier niveau (nettoyage, consommables, filtres)</t>
        </is>
      </c>
      <c r="H631" s="21" t="n">
        <v>4</v>
      </c>
      <c r="I631" s="21" t="n">
        <v>1</v>
      </c>
      <c r="K631" s="21" t="n">
        <v>5</v>
      </c>
      <c r="L631" s="21" t="n">
        <v>30</v>
      </c>
      <c r="M631" s="21" t="n">
        <v>4</v>
      </c>
    </row>
    <row r="632">
      <c r="A632" s="21" t="inlineStr">
        <is>
          <t>Imagerie médicale</t>
        </is>
      </c>
      <c r="B632" s="21" t="inlineStr">
        <is>
          <t>L3</t>
        </is>
      </c>
      <c r="C632" s="21" t="inlineStr">
        <is>
          <t>5</t>
        </is>
      </c>
      <c r="D632" s="21" t="inlineStr">
        <is>
          <t>UE23</t>
        </is>
      </c>
      <c r="E632" s="21" t="inlineStr">
        <is>
          <t>Maintenance des équipements d’imagerie</t>
        </is>
      </c>
      <c r="F632" s="21" t="inlineStr">
        <is>
          <t>Protocoles de sécurité et documentation (check-lists, registres)</t>
        </is>
      </c>
      <c r="H632" s="21" t="n">
        <v>4</v>
      </c>
      <c r="I632" s="21" t="n">
        <v>1</v>
      </c>
      <c r="K632" s="21" t="n">
        <v>5</v>
      </c>
      <c r="L632" s="21" t="n">
        <v>30</v>
      </c>
      <c r="M632" s="21" t="n">
        <v>4</v>
      </c>
    </row>
    <row r="633">
      <c r="A633" s="21" t="inlineStr">
        <is>
          <t>Imagerie médicale</t>
        </is>
      </c>
      <c r="B633" s="21" t="inlineStr">
        <is>
          <t>L3</t>
        </is>
      </c>
      <c r="C633" s="21" t="inlineStr">
        <is>
          <t>5</t>
        </is>
      </c>
      <c r="D633" s="21" t="inlineStr">
        <is>
          <t>UE23</t>
        </is>
      </c>
      <c r="E633" s="21" t="inlineStr">
        <is>
          <t>Maintenance des équipements d’imagerie</t>
        </is>
      </c>
      <c r="F633" s="21" t="inlineStr">
        <is>
          <t>Collaboration avec le service biomédical pour la maintenance avancée</t>
        </is>
      </c>
      <c r="H633" s="21" t="n">
        <v>4</v>
      </c>
      <c r="K633" s="21" t="n">
        <v>4</v>
      </c>
      <c r="L633" s="21" t="n">
        <v>30</v>
      </c>
      <c r="M633" s="21" t="n">
        <v>4</v>
      </c>
    </row>
    <row r="634">
      <c r="A634" s="21" t="inlineStr">
        <is>
          <t>Imagerie médicale</t>
        </is>
      </c>
      <c r="B634" s="21" t="inlineStr">
        <is>
          <t>L3</t>
        </is>
      </c>
      <c r="C634" s="21" t="inlineStr">
        <is>
          <t>5</t>
        </is>
      </c>
      <c r="D634" s="21" t="inlineStr">
        <is>
          <t>UE24</t>
        </is>
      </c>
      <c r="E634" s="21" t="inlineStr">
        <is>
          <t>Gestion des données en imagerie médicale</t>
        </is>
      </c>
      <c r="F634" s="21" t="inlineStr">
        <is>
          <t>Systèmes d’archivage et de communication (PACS, RIS)</t>
        </is>
      </c>
      <c r="H634" s="21" t="n">
        <v>4</v>
      </c>
      <c r="I634" s="21" t="n">
        <v>2</v>
      </c>
      <c r="K634" s="21" t="n">
        <v>6</v>
      </c>
      <c r="L634" s="21" t="n">
        <v>26</v>
      </c>
      <c r="M634" s="21" t="n">
        <v>4</v>
      </c>
    </row>
    <row r="635">
      <c r="A635" s="21" t="inlineStr">
        <is>
          <t>Imagerie médicale</t>
        </is>
      </c>
      <c r="B635" s="21" t="inlineStr">
        <is>
          <t>L3</t>
        </is>
      </c>
      <c r="C635" s="21" t="inlineStr">
        <is>
          <t>5</t>
        </is>
      </c>
      <c r="D635" s="21" t="inlineStr">
        <is>
          <t>UE24</t>
        </is>
      </c>
      <c r="E635" s="21" t="inlineStr">
        <is>
          <t>Gestion des données en imagerie médicale</t>
        </is>
      </c>
      <c r="F635" s="21" t="inlineStr">
        <is>
          <t>Confidentialité, protection et traçabilité des données patients</t>
        </is>
      </c>
      <c r="H635" s="21" t="n">
        <v>4</v>
      </c>
      <c r="I635" s="21" t="n">
        <v>1</v>
      </c>
      <c r="K635" s="21" t="n">
        <v>5</v>
      </c>
      <c r="L635" s="21" t="n">
        <v>26</v>
      </c>
      <c r="M635" s="21" t="n">
        <v>4</v>
      </c>
    </row>
    <row r="636">
      <c r="A636" s="21" t="inlineStr">
        <is>
          <t>Imagerie médicale</t>
        </is>
      </c>
      <c r="B636" s="21" t="inlineStr">
        <is>
          <t>L3</t>
        </is>
      </c>
      <c r="C636" s="21" t="inlineStr">
        <is>
          <t>5</t>
        </is>
      </c>
      <c r="D636" s="21" t="inlineStr">
        <is>
          <t>UE24</t>
        </is>
      </c>
      <c r="E636" s="21" t="inlineStr">
        <is>
          <t>Gestion des données en imagerie médicale</t>
        </is>
      </c>
      <c r="F636" s="21" t="inlineStr">
        <is>
          <t>Normes légales et éthiques liées aux données médicales</t>
        </is>
      </c>
      <c r="H636" s="21" t="n">
        <v>4</v>
      </c>
      <c r="K636" s="21" t="n">
        <v>4</v>
      </c>
      <c r="L636" s="21" t="n">
        <v>26</v>
      </c>
      <c r="M636" s="21" t="n">
        <v>4</v>
      </c>
    </row>
    <row r="637">
      <c r="A637" s="21" t="inlineStr">
        <is>
          <t>Imagerie médicale</t>
        </is>
      </c>
      <c r="B637" s="21" t="inlineStr">
        <is>
          <t>L3</t>
        </is>
      </c>
      <c r="C637" s="21" t="inlineStr">
        <is>
          <t>5</t>
        </is>
      </c>
      <c r="D637" s="21" t="inlineStr">
        <is>
          <t>UE24</t>
        </is>
      </c>
      <c r="E637" s="21" t="inlineStr">
        <is>
          <t>Gestion des données en imagerie médicale</t>
        </is>
      </c>
      <c r="F637" s="21" t="inlineStr">
        <is>
          <t>Traitement numérique des images (formats DICOM, compression)</t>
        </is>
      </c>
      <c r="H637" s="21" t="n">
        <v>4</v>
      </c>
      <c r="I637" s="21" t="n">
        <v>1</v>
      </c>
      <c r="K637" s="21" t="n">
        <v>5</v>
      </c>
      <c r="L637" s="21" t="n">
        <v>26</v>
      </c>
      <c r="M637" s="21" t="n">
        <v>4</v>
      </c>
    </row>
    <row r="638">
      <c r="A638" s="21" t="inlineStr">
        <is>
          <t>Imagerie médicale</t>
        </is>
      </c>
      <c r="B638" s="21" t="inlineStr">
        <is>
          <t>L3</t>
        </is>
      </c>
      <c r="C638" s="21" t="inlineStr">
        <is>
          <t>5</t>
        </is>
      </c>
      <c r="D638" s="21" t="inlineStr">
        <is>
          <t>UE24</t>
        </is>
      </c>
      <c r="E638" s="21" t="inlineStr">
        <is>
          <t>Gestion des données en imagerie médicale</t>
        </is>
      </c>
      <c r="F638" s="21" t="inlineStr">
        <is>
          <t>Organisation et stockage des dossiers d’imagerie</t>
        </is>
      </c>
      <c r="H638" s="21" t="n">
        <v>4</v>
      </c>
      <c r="K638" s="21" t="n">
        <v>4</v>
      </c>
      <c r="L638" s="21" t="n">
        <v>26</v>
      </c>
      <c r="M638" s="21" t="n">
        <v>4</v>
      </c>
    </row>
    <row r="639">
      <c r="A639" s="21" t="inlineStr">
        <is>
          <t>Imagerie médicale</t>
        </is>
      </c>
      <c r="B639" s="21" t="inlineStr">
        <is>
          <t>L3</t>
        </is>
      </c>
      <c r="C639" s="21" t="inlineStr">
        <is>
          <t>5</t>
        </is>
      </c>
      <c r="D639" s="21" t="inlineStr">
        <is>
          <t>UE24</t>
        </is>
      </c>
      <c r="E639" s="21" t="inlineStr">
        <is>
          <t>Gestion des données en imagerie médicale</t>
        </is>
      </c>
      <c r="F639" s="21" t="inlineStr">
        <is>
          <t>Notions de cybersécurité en santé</t>
        </is>
      </c>
      <c r="H639" s="21" t="n">
        <v>2</v>
      </c>
      <c r="K639" s="21" t="n">
        <v>2</v>
      </c>
      <c r="L639" s="21" t="n">
        <v>26</v>
      </c>
      <c r="M639" s="21" t="n">
        <v>4</v>
      </c>
    </row>
    <row r="640">
      <c r="A640" s="21" t="inlineStr">
        <is>
          <t>Imagerie médicale</t>
        </is>
      </c>
      <c r="B640" s="21" t="inlineStr">
        <is>
          <t>L3</t>
        </is>
      </c>
      <c r="C640" s="21" t="inlineStr">
        <is>
          <t>5</t>
        </is>
      </c>
      <c r="D640" s="21" t="inlineStr">
        <is>
          <t>UE25</t>
        </is>
      </c>
      <c r="E640" s="21" t="inlineStr">
        <is>
          <t>Stage en imagerie spécialisée</t>
        </is>
      </c>
      <c r="F640" s="21" t="inlineStr">
        <is>
          <t>Participation aux examens spécialisés : imagerie obstétricale, pédiatrique, musculosquelettique</t>
        </is>
      </c>
      <c r="H640" s="21" t="inlineStr">
        <is>
          <t>STAGE</t>
        </is>
      </c>
      <c r="J640" s="21" t="n">
        <v>150</v>
      </c>
      <c r="K640" s="21" t="n">
        <v>150</v>
      </c>
      <c r="L640" s="21" t="n">
        <v>150</v>
      </c>
      <c r="M640" s="21" t="n">
        <v>14</v>
      </c>
    </row>
    <row r="641">
      <c r="A641" s="21" t="inlineStr">
        <is>
          <t>Imagerie médicale</t>
        </is>
      </c>
      <c r="B641" s="21" t="inlineStr">
        <is>
          <t>L3</t>
        </is>
      </c>
      <c r="C641" s="21" t="inlineStr">
        <is>
          <t>5</t>
        </is>
      </c>
      <c r="D641" s="21" t="inlineStr">
        <is>
          <t>UE25</t>
        </is>
      </c>
      <c r="E641" s="21" t="inlineStr">
        <is>
          <t>Stage en imagerie spécialisée</t>
        </is>
      </c>
      <c r="F641" s="21" t="inlineStr">
        <is>
          <t>Pratique supervisée de l’échographie obstétricale et pédiatrique</t>
        </is>
      </c>
      <c r="L641" s="21" t="n">
        <v>150</v>
      </c>
      <c r="M641" s="21" t="n">
        <v>14</v>
      </c>
    </row>
    <row r="642">
      <c r="A642" s="21" t="inlineStr">
        <is>
          <t>Imagerie médicale</t>
        </is>
      </c>
      <c r="B642" s="21" t="inlineStr">
        <is>
          <t>L3</t>
        </is>
      </c>
      <c r="C642" s="21" t="inlineStr">
        <is>
          <t>5</t>
        </is>
      </c>
      <c r="D642" s="21" t="inlineStr">
        <is>
          <t>UE25</t>
        </is>
      </c>
      <c r="E642" s="21" t="inlineStr">
        <is>
          <t>Stage en imagerie spécialisée</t>
        </is>
      </c>
      <c r="F642" s="21" t="inlineStr">
        <is>
          <t>Observation et participation aux examens avancés (angiographie, IRM spécialisée)</t>
        </is>
      </c>
      <c r="L642" s="21" t="n">
        <v>150</v>
      </c>
      <c r="M642" s="21" t="n">
        <v>14</v>
      </c>
    </row>
    <row r="643">
      <c r="A643" s="21" t="inlineStr">
        <is>
          <t>Imagerie médicale</t>
        </is>
      </c>
      <c r="B643" s="21" t="inlineStr">
        <is>
          <t>L3</t>
        </is>
      </c>
      <c r="C643" s="21" t="inlineStr">
        <is>
          <t>5</t>
        </is>
      </c>
      <c r="D643" s="21" t="inlineStr">
        <is>
          <t>UE25</t>
        </is>
      </c>
      <c r="E643" s="21" t="inlineStr">
        <is>
          <t>Stage en imagerie spécialisée</t>
        </is>
      </c>
      <c r="F643" s="21" t="inlineStr">
        <is>
          <t>Intégration des compétences techniques et cliniques acquises</t>
        </is>
      </c>
      <c r="L643" s="21" t="n">
        <v>150</v>
      </c>
      <c r="M643" s="21" t="n">
        <v>14</v>
      </c>
    </row>
    <row r="644">
      <c r="A644" s="21" t="inlineStr">
        <is>
          <t>Imagerie médicale</t>
        </is>
      </c>
      <c r="B644" s="21" t="inlineStr">
        <is>
          <t>L3</t>
        </is>
      </c>
      <c r="C644" s="21" t="inlineStr">
        <is>
          <t>5</t>
        </is>
      </c>
      <c r="D644" s="21" t="inlineStr">
        <is>
          <t>UE25</t>
        </is>
      </c>
      <c r="E644" s="21" t="inlineStr">
        <is>
          <t>Stage en imagerie spécialisée</t>
        </is>
      </c>
      <c r="F644" s="21" t="inlineStr">
        <is>
          <t>Approfondissement de la relation patient – technicien en contexte spécialisé</t>
        </is>
      </c>
      <c r="L644" s="21" t="n">
        <v>150</v>
      </c>
      <c r="M644" s="21" t="n">
        <v>14</v>
      </c>
    </row>
    <row r="645">
      <c r="A645" s="21" t="inlineStr">
        <is>
          <t>Imagerie médicale</t>
        </is>
      </c>
      <c r="B645" s="21" t="inlineStr">
        <is>
          <t>L3</t>
        </is>
      </c>
      <c r="C645" s="21" t="inlineStr">
        <is>
          <t>5</t>
        </is>
      </c>
      <c r="D645" s="21" t="inlineStr">
        <is>
          <t>UE25</t>
        </is>
      </c>
      <c r="E645" s="21" t="inlineStr">
        <is>
          <t>Stage en imagerie spécialisée</t>
        </is>
      </c>
      <c r="F645" s="21" t="inlineStr">
        <is>
          <t>Application des protocoles de radioprotection spécifiques</t>
        </is>
      </c>
      <c r="L645" s="21" t="n">
        <v>150</v>
      </c>
      <c r="M645" s="21" t="n">
        <v>14</v>
      </c>
    </row>
    <row r="646">
      <c r="A646" s="21" t="inlineStr">
        <is>
          <t>Imagerie médicale</t>
        </is>
      </c>
      <c r="B646" s="21" t="inlineStr">
        <is>
          <t>L3</t>
        </is>
      </c>
      <c r="C646" s="21" t="inlineStr">
        <is>
          <t>6</t>
        </is>
      </c>
      <c r="D646" s="21" t="inlineStr">
        <is>
          <t>UE26</t>
        </is>
      </c>
      <c r="E646" s="21" t="inlineStr">
        <is>
          <t>Méthodologie de recherche</t>
        </is>
      </c>
      <c r="F646" s="21" t="inlineStr">
        <is>
          <t>Introduction à la recherche en sciences de la santé</t>
        </is>
      </c>
      <c r="H646" s="21" t="n">
        <v>4</v>
      </c>
      <c r="K646" s="21" t="n">
        <v>4</v>
      </c>
      <c r="L646" s="21" t="n">
        <v>30</v>
      </c>
      <c r="M646" s="21" t="n">
        <v>4</v>
      </c>
    </row>
    <row r="647">
      <c r="A647" s="21" t="inlineStr">
        <is>
          <t>Imagerie médicale</t>
        </is>
      </c>
      <c r="B647" s="21" t="inlineStr">
        <is>
          <t>L3</t>
        </is>
      </c>
      <c r="C647" s="21" t="inlineStr">
        <is>
          <t>6</t>
        </is>
      </c>
      <c r="D647" s="21" t="inlineStr">
        <is>
          <t>UE26</t>
        </is>
      </c>
      <c r="E647" s="21" t="inlineStr">
        <is>
          <t>Méthodologie de recherche</t>
        </is>
      </c>
      <c r="F647" s="21" t="inlineStr">
        <is>
          <t>Étapes d’un projet de recherche : problématique, hypothèses, objectifs</t>
        </is>
      </c>
      <c r="H647" s="21" t="n">
        <v>4</v>
      </c>
      <c r="I647" s="21" t="n">
        <v>2</v>
      </c>
      <c r="K647" s="21" t="n">
        <v>6</v>
      </c>
      <c r="L647" s="21" t="n">
        <v>30</v>
      </c>
      <c r="M647" s="21" t="n">
        <v>4</v>
      </c>
    </row>
    <row r="648">
      <c r="A648" s="21" t="inlineStr">
        <is>
          <t>Imagerie médicale</t>
        </is>
      </c>
      <c r="B648" s="21" t="inlineStr">
        <is>
          <t>L3</t>
        </is>
      </c>
      <c r="C648" s="21" t="inlineStr">
        <is>
          <t>6</t>
        </is>
      </c>
      <c r="D648" s="21" t="inlineStr">
        <is>
          <t>UE26</t>
        </is>
      </c>
      <c r="E648" s="21" t="inlineStr">
        <is>
          <t>Méthodologie de recherche</t>
        </is>
      </c>
      <c r="F648" s="21" t="inlineStr">
        <is>
          <t>Méthodes de recherche : quantitative, qualitative, mixte</t>
        </is>
      </c>
      <c r="H648" s="21" t="n">
        <v>4</v>
      </c>
      <c r="I648" s="21" t="n">
        <v>2</v>
      </c>
      <c r="K648" s="21" t="n">
        <v>6</v>
      </c>
      <c r="L648" s="21" t="n">
        <v>30</v>
      </c>
      <c r="M648" s="21" t="n">
        <v>4</v>
      </c>
    </row>
    <row r="649">
      <c r="A649" s="21" t="inlineStr">
        <is>
          <t>Imagerie médicale</t>
        </is>
      </c>
      <c r="B649" s="21" t="inlineStr">
        <is>
          <t>L3</t>
        </is>
      </c>
      <c r="C649" s="21" t="inlineStr">
        <is>
          <t>6</t>
        </is>
      </c>
      <c r="D649" s="21" t="inlineStr">
        <is>
          <t>UE26</t>
        </is>
      </c>
      <c r="E649" s="21" t="inlineStr">
        <is>
          <t>Méthodologie de recherche</t>
        </is>
      </c>
      <c r="F649" s="21" t="inlineStr">
        <is>
          <t>Notions de biostatistiques appliquées à l’imagerie médicale</t>
        </is>
      </c>
      <c r="H649" s="21" t="n">
        <v>4</v>
      </c>
      <c r="K649" s="21" t="n">
        <v>4</v>
      </c>
      <c r="L649" s="21" t="n">
        <v>30</v>
      </c>
      <c r="M649" s="21" t="n">
        <v>4</v>
      </c>
    </row>
    <row r="650">
      <c r="A650" s="21" t="inlineStr">
        <is>
          <t>Imagerie médicale</t>
        </is>
      </c>
      <c r="B650" s="21" t="inlineStr">
        <is>
          <t>L3</t>
        </is>
      </c>
      <c r="C650" s="21" t="inlineStr">
        <is>
          <t>6</t>
        </is>
      </c>
      <c r="D650" s="21" t="inlineStr">
        <is>
          <t>UE26</t>
        </is>
      </c>
      <c r="E650" s="21" t="inlineStr">
        <is>
          <t>Méthodologie de recherche</t>
        </is>
      </c>
      <c r="F650" s="21" t="inlineStr">
        <is>
          <t>Recherche documentaire (bases de données, bibliographie scientifique)</t>
        </is>
      </c>
      <c r="H650" s="21" t="n">
        <v>4</v>
      </c>
      <c r="I650" s="21" t="n">
        <v>2</v>
      </c>
      <c r="K650" s="21" t="n">
        <v>6</v>
      </c>
      <c r="L650" s="21" t="n">
        <v>30</v>
      </c>
      <c r="M650" s="21" t="n">
        <v>4</v>
      </c>
    </row>
    <row r="651">
      <c r="A651" s="21" t="inlineStr">
        <is>
          <t>Imagerie médicale</t>
        </is>
      </c>
      <c r="B651" s="21" t="inlineStr">
        <is>
          <t>L3</t>
        </is>
      </c>
      <c r="C651" s="21" t="inlineStr">
        <is>
          <t>6</t>
        </is>
      </c>
      <c r="D651" s="21" t="inlineStr">
        <is>
          <t>UE26</t>
        </is>
      </c>
      <c r="E651" s="21" t="inlineStr">
        <is>
          <t>Méthodologie de recherche</t>
        </is>
      </c>
      <c r="F651" s="21" t="inlineStr">
        <is>
          <t>Règles éthiques et réglementaires de la recherche en santé</t>
        </is>
      </c>
      <c r="H651" s="21" t="n">
        <v>2</v>
      </c>
      <c r="I651" s="21" t="n">
        <v>2</v>
      </c>
      <c r="K651" s="21" t="n">
        <v>4</v>
      </c>
      <c r="L651" s="21" t="n">
        <v>30</v>
      </c>
      <c r="M651" s="21" t="n">
        <v>4</v>
      </c>
    </row>
    <row r="652">
      <c r="A652" s="21" t="inlineStr">
        <is>
          <t>Imagerie médicale</t>
        </is>
      </c>
      <c r="B652" s="21" t="inlineStr">
        <is>
          <t>L3</t>
        </is>
      </c>
      <c r="C652" s="21" t="inlineStr">
        <is>
          <t>6</t>
        </is>
      </c>
      <c r="D652" s="21" t="inlineStr">
        <is>
          <t>UE27</t>
        </is>
      </c>
      <c r="E652" s="21" t="inlineStr">
        <is>
          <t>Rédaction et soutenance de mémoire</t>
        </is>
      </c>
      <c r="F652" s="21" t="inlineStr">
        <is>
          <t>Techniques de rédaction scientifique (plan, style, citations, références)</t>
        </is>
      </c>
      <c r="H652" s="21" t="n">
        <v>6</v>
      </c>
      <c r="I652" s="21" t="n">
        <v>6</v>
      </c>
      <c r="J652" s="21" t="n">
        <v>8</v>
      </c>
      <c r="K652" s="21" t="n">
        <v>20</v>
      </c>
      <c r="L652" s="21" t="n">
        <v>150</v>
      </c>
      <c r="M652" s="21" t="n">
        <v>10</v>
      </c>
    </row>
    <row r="653">
      <c r="A653" s="21" t="inlineStr">
        <is>
          <t>Imagerie médicale</t>
        </is>
      </c>
      <c r="B653" s="21" t="inlineStr">
        <is>
          <t>L3</t>
        </is>
      </c>
      <c r="C653" s="21" t="inlineStr">
        <is>
          <t>6</t>
        </is>
      </c>
      <c r="D653" s="21" t="inlineStr">
        <is>
          <t>UE27</t>
        </is>
      </c>
      <c r="E653" s="21" t="inlineStr">
        <is>
          <t>Rédaction et soutenance de mémoire</t>
        </is>
      </c>
      <c r="F653" s="21" t="inlineStr">
        <is>
          <t>Normes de présentation d’un mémoire universitaire</t>
        </is>
      </c>
      <c r="H653" s="21" t="n">
        <v>4</v>
      </c>
      <c r="I653" s="21" t="n">
        <v>4</v>
      </c>
      <c r="J653" s="21" t="n">
        <v>6</v>
      </c>
      <c r="K653" s="21" t="n">
        <v>14</v>
      </c>
      <c r="L653" s="21" t="n">
        <v>150</v>
      </c>
      <c r="M653" s="21" t="n">
        <v>10</v>
      </c>
    </row>
    <row r="654">
      <c r="A654" s="21" t="inlineStr">
        <is>
          <t>Imagerie médicale</t>
        </is>
      </c>
      <c r="B654" s="21" t="inlineStr">
        <is>
          <t>L3</t>
        </is>
      </c>
      <c r="C654" s="21" t="inlineStr">
        <is>
          <t>6</t>
        </is>
      </c>
      <c r="D654" s="21" t="inlineStr">
        <is>
          <t>UE27</t>
        </is>
      </c>
      <c r="E654" s="21" t="inlineStr">
        <is>
          <t>Rédaction et soutenance de mémoire</t>
        </is>
      </c>
      <c r="F654" s="21" t="inlineStr">
        <is>
          <t>Analyse critique de la littérature scientifique</t>
        </is>
      </c>
      <c r="H654" s="21" t="n">
        <v>6</v>
      </c>
      <c r="I654" s="21" t="n">
        <v>6</v>
      </c>
      <c r="J654" s="21" t="n">
        <v>8</v>
      </c>
      <c r="K654" s="21" t="n">
        <v>20</v>
      </c>
      <c r="L654" s="21" t="n">
        <v>150</v>
      </c>
      <c r="M654" s="21" t="n">
        <v>10</v>
      </c>
    </row>
    <row r="655">
      <c r="A655" s="21" t="inlineStr">
        <is>
          <t>Imagerie médicale</t>
        </is>
      </c>
      <c r="B655" s="21" t="inlineStr">
        <is>
          <t>L3</t>
        </is>
      </c>
      <c r="C655" s="21" t="inlineStr">
        <is>
          <t>6</t>
        </is>
      </c>
      <c r="D655" s="21" t="inlineStr">
        <is>
          <t>UE27</t>
        </is>
      </c>
      <c r="E655" s="21" t="inlineStr">
        <is>
          <t>Rédaction et soutenance de mémoire</t>
        </is>
      </c>
      <c r="F655" s="21" t="inlineStr">
        <is>
          <t>Élaboration d’un mémoire appliqué en imagerie médicale</t>
        </is>
      </c>
      <c r="H655" s="21" t="n">
        <v>10</v>
      </c>
      <c r="I655" s="21" t="n">
        <v>16</v>
      </c>
      <c r="J655" s="21" t="n">
        <v>40</v>
      </c>
      <c r="K655" s="21" t="n">
        <v>66</v>
      </c>
      <c r="L655" s="21" t="n">
        <v>150</v>
      </c>
      <c r="M655" s="21" t="n">
        <v>10</v>
      </c>
    </row>
    <row r="656">
      <c r="A656" s="21" t="inlineStr">
        <is>
          <t>Imagerie médicale</t>
        </is>
      </c>
      <c r="B656" s="21" t="inlineStr">
        <is>
          <t>L3</t>
        </is>
      </c>
      <c r="C656" s="21" t="inlineStr">
        <is>
          <t>6</t>
        </is>
      </c>
      <c r="D656" s="21" t="inlineStr">
        <is>
          <t>UE27</t>
        </is>
      </c>
      <c r="E656" s="21" t="inlineStr">
        <is>
          <t>Rédaction et soutenance de mémoire</t>
        </is>
      </c>
      <c r="F656" s="21" t="inlineStr">
        <is>
          <t>Préparation et techniques de soutenance orale</t>
        </is>
      </c>
      <c r="H656" s="21" t="n">
        <v>4</v>
      </c>
      <c r="I656" s="21" t="n">
        <v>4</v>
      </c>
      <c r="J656" s="21" t="n">
        <v>7</v>
      </c>
      <c r="K656" s="21" t="n">
        <v>15</v>
      </c>
      <c r="L656" s="21" t="n">
        <v>150</v>
      </c>
      <c r="M656" s="21" t="n">
        <v>10</v>
      </c>
    </row>
    <row r="657">
      <c r="A657" s="21" t="inlineStr">
        <is>
          <t>Imagerie médicale</t>
        </is>
      </c>
      <c r="B657" s="21" t="inlineStr">
        <is>
          <t>L3</t>
        </is>
      </c>
      <c r="C657" s="21" t="inlineStr">
        <is>
          <t>6</t>
        </is>
      </c>
      <c r="D657" s="21" t="inlineStr">
        <is>
          <t>UE27</t>
        </is>
      </c>
      <c r="E657" s="21" t="inlineStr">
        <is>
          <t>Rédaction et soutenance de mémoire</t>
        </is>
      </c>
      <c r="F657" s="21" t="inlineStr">
        <is>
          <t>Évaluation et auto-évaluation des compétences de recherche</t>
        </is>
      </c>
      <c r="H657" s="21" t="n">
        <v>4</v>
      </c>
      <c r="I657" s="21" t="n">
        <v>5</v>
      </c>
      <c r="J657" s="21" t="n">
        <v>6</v>
      </c>
      <c r="K657" s="21" t="n">
        <v>15</v>
      </c>
      <c r="L657" s="21" t="n">
        <v>150</v>
      </c>
      <c r="M657" s="21" t="n">
        <v>10</v>
      </c>
    </row>
    <row r="658">
      <c r="A658" s="21" t="inlineStr">
        <is>
          <t>Imagerie médicale</t>
        </is>
      </c>
      <c r="B658" s="21" t="inlineStr">
        <is>
          <t>L3</t>
        </is>
      </c>
      <c r="C658" s="21" t="inlineStr">
        <is>
          <t>6</t>
        </is>
      </c>
      <c r="D658" s="21" t="inlineStr">
        <is>
          <t>UE28</t>
        </is>
      </c>
      <c r="E658" s="21" t="inlineStr">
        <is>
          <t>Stage d'intégration professionnelle (stage préprofessionnel</t>
        </is>
      </c>
      <c r="F658" s="21" t="inlineStr">
        <is>
          <t>Immersion complète dans un service d’imagerie médicale</t>
        </is>
      </c>
      <c r="H658" s="21" t="inlineStr">
        <is>
          <t>STAGE</t>
        </is>
      </c>
      <c r="J658" s="21" t="inlineStr">
        <is>
          <t>200 (290)</t>
        </is>
      </c>
      <c r="K658" s="21" t="n">
        <v>200</v>
      </c>
      <c r="L658" s="21" t="n">
        <v>200</v>
      </c>
      <c r="M658" s="21" t="n">
        <v>16</v>
      </c>
    </row>
    <row r="659">
      <c r="A659" s="21" t="inlineStr">
        <is>
          <t>Imagerie médicale</t>
        </is>
      </c>
      <c r="B659" s="21" t="inlineStr">
        <is>
          <t>L3</t>
        </is>
      </c>
      <c r="C659" s="21" t="inlineStr">
        <is>
          <t>6</t>
        </is>
      </c>
      <c r="D659" s="21" t="inlineStr">
        <is>
          <t>UE28</t>
        </is>
      </c>
      <c r="E659" s="21" t="inlineStr">
        <is>
          <t>Stage d'intégration professionnelle (stage préprofessionnel</t>
        </is>
      </c>
      <c r="F659" s="21" t="inlineStr">
        <is>
          <t>Réalisation autonome et supervisée des examens (radiologie, échographie, scanner, IRM)</t>
        </is>
      </c>
      <c r="L659" s="21" t="n">
        <v>200</v>
      </c>
      <c r="M659" s="21" t="n">
        <v>16</v>
      </c>
    </row>
    <row r="660">
      <c r="A660" s="21" t="inlineStr">
        <is>
          <t>Imagerie médicale</t>
        </is>
      </c>
      <c r="B660" s="21" t="inlineStr">
        <is>
          <t>L3</t>
        </is>
      </c>
      <c r="C660" s="21" t="inlineStr">
        <is>
          <t>6</t>
        </is>
      </c>
      <c r="D660" s="21" t="inlineStr">
        <is>
          <t>UE28</t>
        </is>
      </c>
      <c r="E660" s="21" t="inlineStr">
        <is>
          <t>Stage d'intégration professionnelle (stage préprofessionnel</t>
        </is>
      </c>
      <c r="F660" s="21" t="inlineStr">
        <is>
          <t>Intégration des compétences techniques, cliniques et organisationnelles</t>
        </is>
      </c>
      <c r="L660" s="21" t="n">
        <v>200</v>
      </c>
      <c r="M660" s="21" t="n">
        <v>16</v>
      </c>
    </row>
    <row r="661">
      <c r="A661" s="21" t="inlineStr">
        <is>
          <t>Imagerie médicale</t>
        </is>
      </c>
      <c r="B661" s="21" t="inlineStr">
        <is>
          <t>L3</t>
        </is>
      </c>
      <c r="C661" s="21" t="inlineStr">
        <is>
          <t>6</t>
        </is>
      </c>
      <c r="D661" s="21" t="inlineStr">
        <is>
          <t>UE28</t>
        </is>
      </c>
      <c r="E661" s="21" t="inlineStr">
        <is>
          <t>Stage d'intégration professionnelle (stage préprofessionnel</t>
        </is>
      </c>
      <c r="F661" s="21" t="inlineStr">
        <is>
          <t>Participation à la gestion d’un service d’imagerie (organisation, qualité, sécurité)</t>
        </is>
      </c>
      <c r="L661" s="21" t="n">
        <v>200</v>
      </c>
      <c r="M661" s="21" t="n">
        <v>16</v>
      </c>
    </row>
    <row r="662">
      <c r="A662" s="21" t="inlineStr">
        <is>
          <t>Imagerie médicale</t>
        </is>
      </c>
      <c r="B662" s="21" t="inlineStr">
        <is>
          <t>L3</t>
        </is>
      </c>
      <c r="C662" s="21" t="inlineStr">
        <is>
          <t>6</t>
        </is>
      </c>
      <c r="D662" s="21" t="inlineStr">
        <is>
          <t>UE28</t>
        </is>
      </c>
      <c r="E662" s="21" t="inlineStr">
        <is>
          <t>Stage d'intégration professionnelle (stage préprofessionnel</t>
        </is>
      </c>
      <c r="F662" s="21" t="inlineStr">
        <is>
          <t>Communication interprofessionnelle et relation avec les patients</t>
        </is>
      </c>
      <c r="L662" s="21" t="n">
        <v>200</v>
      </c>
      <c r="M662" s="21" t="n">
        <v>16</v>
      </c>
    </row>
    <row r="663">
      <c r="A663" s="21" t="inlineStr">
        <is>
          <t>Imagerie médicale</t>
        </is>
      </c>
      <c r="B663" s="21" t="inlineStr">
        <is>
          <t>L3</t>
        </is>
      </c>
      <c r="C663" s="21" t="inlineStr">
        <is>
          <t>6</t>
        </is>
      </c>
      <c r="D663" s="21" t="inlineStr">
        <is>
          <t>UE28</t>
        </is>
      </c>
      <c r="E663" s="21" t="inlineStr">
        <is>
          <t>Stage d'intégration professionnelle (stage préprofessionnel</t>
        </is>
      </c>
      <c r="F663" s="21" t="inlineStr">
        <is>
          <t>Préparation à l’insertion professionnelle et à l’évolution de carrière</t>
        </is>
      </c>
      <c r="L663" s="21" t="n">
        <v>200</v>
      </c>
      <c r="M663" s="21" t="n">
        <v>16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
  <sheetViews>
    <sheetView workbookViewId="0">
      <pane ySplit="2" topLeftCell="A3" activePane="bottomLeft" state="frozen"/>
      <selection activeCell="A1" sqref="A1"/>
    </sheetView>
  </sheetViews>
  <sheetFormatPr baseColWidth="8" defaultRowHeight="15"/>
  <cols>
    <col width="32" customWidth="1" style="22" min="1" max="1"/>
    <col width="22" customWidth="1" style="22" min="2" max="3"/>
    <col width="18" customWidth="1" style="22" min="4" max="4"/>
    <col width="10" customWidth="1" style="22" min="5" max="5"/>
    <col width="26" customWidth="1" style="22" min="6" max="6"/>
  </cols>
  <sheetData>
    <row r="1">
      <c r="A1" s="21" t="inlineStr">
        <is>
          <t>LIEUX DE STAGE — REFERENTIEL ET QUOTAS</t>
        </is>
      </c>
    </row>
    <row r="2">
      <c r="A2" s="21" t="inlineStr">
        <is>
          <t>Lieu / structure (*)</t>
        </is>
      </c>
      <c r="B2" s="21" t="inlineStr">
        <is>
          <t>Service (*)</t>
        </is>
      </c>
      <c r="C2" s="21" t="inlineStr">
        <is>
          <t>Commune (*)</t>
        </is>
      </c>
      <c r="D2" s="21" t="inlineStr">
        <is>
          <t>Niveau concerne (*)</t>
        </is>
      </c>
      <c r="E2" s="21" t="inlineStr">
        <is>
          <t>Quota (*)</t>
        </is>
      </c>
      <c r="F2" s="21" t="inlineStr">
        <is>
          <t>Periode de disponibilite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
  <sheetViews>
    <sheetView workbookViewId="0">
      <pane ySplit="2" topLeftCell="A3" activePane="bottomLeft" state="frozen"/>
      <selection activeCell="A1" sqref="A1"/>
    </sheetView>
  </sheetViews>
  <sheetFormatPr baseColWidth="8" defaultRowHeight="15"/>
  <cols>
    <col width="14" customWidth="1" style="22" min="1" max="1"/>
    <col width="16" customWidth="1" style="22" min="2" max="2"/>
    <col width="22" customWidth="1" style="22" min="3" max="3"/>
    <col width="22" customWidth="1" style="22" min="4" max="4"/>
    <col width="30" customWidth="1" style="22" min="5" max="5"/>
    <col width="10" customWidth="1" style="22" min="6" max="6"/>
    <col width="20" customWidth="1" style="22" min="7" max="7"/>
    <col width="12" customWidth="1" style="22" min="8" max="8"/>
    <col width="14" customWidth="1" style="22" min="9" max="9"/>
    <col width="16" customWidth="1" style="22" min="10" max="10"/>
    <col width="20" customWidth="1" style="22" min="11" max="11"/>
    <col width="28" customWidth="1" style="22" min="12" max="12"/>
    <col width="16" customWidth="1" style="22" min="13" max="13"/>
  </cols>
  <sheetData>
    <row r="1">
      <c r="A1" s="21" t="inlineStr">
        <is>
          <t>EXPRESSION DE BESOIN (LOGISTIQUE)</t>
        </is>
      </c>
    </row>
    <row r="2">
      <c r="A2" s="21" t="inlineStr">
        <is>
          <t>ID besoin (*)</t>
        </is>
      </c>
      <c r="B2" s="21" t="inlineStr">
        <is>
          <t>Date d'expression (**)</t>
        </is>
      </c>
      <c r="C2" s="21" t="inlineStr">
        <is>
          <t>Type de besoin (**)</t>
        </is>
      </c>
      <c r="D2" s="21" t="inlineStr">
        <is>
          <t>Equipement concerne (**)</t>
        </is>
      </c>
      <c r="E2" s="21" t="inlineStr">
        <is>
          <t>Libelle du besoin (**)</t>
        </is>
      </c>
      <c r="F2" s="21" t="inlineStr">
        <is>
          <t>Quantite (**)</t>
        </is>
      </c>
      <c r="G2" s="21" t="inlineStr">
        <is>
          <t>Localisation / salle (**)</t>
        </is>
      </c>
      <c r="H2" s="21" t="inlineStr">
        <is>
          <t>Priorite (**)</t>
        </is>
      </c>
      <c r="I2" s="21" t="inlineStr">
        <is>
          <t>Statut (**)</t>
        </is>
      </c>
      <c r="J2" s="21" t="inlineStr">
        <is>
          <t>Cout estime (KMF) (**)</t>
        </is>
      </c>
      <c r="K2" s="21" t="inlineStr">
        <is>
          <t>Demandeur (**)</t>
        </is>
      </c>
      <c r="L2" s="21" t="inlineStr">
        <is>
          <t>Observations (**)</t>
        </is>
      </c>
      <c r="M2" s="21" t="inlineStr">
        <is>
          <t>Saisi par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
  <sheetViews>
    <sheetView workbookViewId="0">
      <pane ySplit="2" topLeftCell="A3" activePane="bottomLeft" state="frozen"/>
      <selection activeCell="A1" sqref="A1"/>
    </sheetView>
  </sheetViews>
  <sheetFormatPr baseColWidth="8" defaultRowHeight="15"/>
  <cols>
    <col width="16" customWidth="1" style="22" min="1" max="1"/>
    <col width="18" customWidth="1" style="22" min="2" max="2"/>
    <col width="18" customWidth="1" style="22" min="3" max="3"/>
    <col width="16" customWidth="1" style="22" min="4" max="4"/>
    <col width="14" customWidth="1" style="22" min="5" max="5"/>
    <col width="24" customWidth="1" style="22" min="6" max="6"/>
    <col width="16" customWidth="1" style="22" min="7" max="7"/>
    <col width="22" customWidth="1" style="22" min="8" max="8"/>
    <col width="16" customWidth="1" style="22" min="9" max="9"/>
    <col width="28" customWidth="1" style="22" min="10" max="10"/>
    <col width="16" customWidth="1" style="22" min="11" max="11"/>
    <col width="16" customWidth="1" style="22" min="12" max="12"/>
  </cols>
  <sheetData>
    <row r="1">
      <c r="A1" s="21" t="inlineStr">
        <is>
          <t>JOURNAL PERMANENT DES ELEVES (clotures successives)</t>
        </is>
      </c>
    </row>
    <row r="2">
      <c r="A2" s="21" t="inlineStr">
        <is>
          <t>Matricule</t>
        </is>
      </c>
      <c r="B2" s="21" t="inlineStr">
        <is>
          <t>Nom</t>
        </is>
      </c>
      <c r="C2" s="21" t="inlineStr">
        <is>
          <t>Prenom</t>
        </is>
      </c>
      <c r="D2" s="21" t="inlineStr">
        <is>
          <t>Filiere</t>
        </is>
      </c>
      <c r="E2" s="21" t="inlineStr">
        <is>
          <t>Niveau atteint (*)</t>
        </is>
      </c>
      <c r="F2" s="21" t="inlineStr">
        <is>
          <t>Periode (entree - sortie) (*)</t>
        </is>
      </c>
      <c r="G2" s="21" t="inlineStr">
        <is>
          <t>Statut final (*)</t>
        </is>
      </c>
      <c r="H2" s="21" t="inlineStr">
        <is>
          <t>Diplome obtenu (*)</t>
        </is>
      </c>
      <c r="I2" s="21" t="inlineStr">
        <is>
          <t>Mention (*)</t>
        </is>
      </c>
      <c r="J2" s="21" t="inlineStr">
        <is>
          <t>Ref. archive (*)</t>
        </is>
      </c>
      <c r="K2" s="21" t="inlineStr">
        <is>
          <t>Cloture le (*)</t>
        </is>
      </c>
      <c r="L2" s="21" t="inlineStr">
        <is>
          <t>Cloture par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activeCell="A1" sqref="A1"/>
    </sheetView>
  </sheetViews>
  <sheetFormatPr baseColWidth="8" defaultRowHeight="15"/>
  <cols>
    <col width="10" customWidth="1" style="22" min="1" max="1"/>
    <col width="22" customWidth="1" style="22" min="2" max="2"/>
    <col width="22" customWidth="1" style="22" min="3" max="3"/>
    <col width="24" customWidth="1" style="22" min="4" max="4"/>
    <col width="28" customWidth="1" style="22" min="5" max="5"/>
    <col width="16" customWidth="1" style="22" min="6" max="6"/>
    <col width="16" customWidth="1" style="22" min="7" max="7"/>
  </cols>
  <sheetData>
    <row r="1">
      <c r="A1" s="21" t="inlineStr">
        <is>
          <t>JOURNAL PERMANENT DE LA COMPTABILITE (exercices clos)</t>
        </is>
      </c>
    </row>
    <row r="2">
      <c r="A2" s="21" t="inlineStr">
        <is>
          <t>Annee (*)</t>
        </is>
      </c>
      <c r="B2" s="21" t="inlineStr">
        <is>
          <t>Total recettes (KMF) (*)</t>
        </is>
      </c>
      <c r="C2" s="21" t="inlineStr">
        <is>
          <t>Total depenses (KMF) (*)</t>
        </is>
      </c>
      <c r="D2" s="21" t="inlineStr">
        <is>
          <t>Solde de cloture (KMF) (*)</t>
        </is>
      </c>
      <c r="E2" s="21" t="inlineStr">
        <is>
          <t>Ref. archive (*)</t>
        </is>
      </c>
      <c r="F2" s="21" t="inlineStr">
        <is>
          <t>Cloture le (*)</t>
        </is>
      </c>
      <c r="G2" s="21" t="inlineStr">
        <is>
          <t>Cloture par (*)</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
  <sheetViews>
    <sheetView workbookViewId="0">
      <pane ySplit="2" topLeftCell="A3" activePane="bottomLeft" state="frozen"/>
      <selection activeCell="A1" sqref="A1"/>
    </sheetView>
  </sheetViews>
  <sheetFormatPr baseColWidth="8" defaultRowHeight="15"/>
  <cols>
    <col width="12" customWidth="1" style="22" min="1" max="1"/>
    <col width="18" customWidth="1" style="22" min="2" max="2"/>
    <col width="10" customWidth="1" style="22" min="3" max="3"/>
    <col width="14" customWidth="1" style="22" min="4" max="4"/>
    <col width="22" customWidth="1" style="22" min="5" max="5"/>
    <col width="26" customWidth="1" style="22" min="6" max="6"/>
    <col width="14" customWidth="1" style="22" min="7" max="7"/>
    <col width="30" customWidth="1" style="22" min="8" max="8"/>
    <col width="14" customWidth="1" style="22" min="9" max="9"/>
  </cols>
  <sheetData>
    <row r="1">
      <c r="A1" s="21" t="inlineStr">
        <is>
          <t>SUIVI DES SEANCES REALISEES (exceptions : remplacant / cours annule / duree)</t>
        </is>
      </c>
    </row>
    <row r="2">
      <c r="A2" s="21" t="inlineStr">
        <is>
          <t>Date (*)</t>
        </is>
      </c>
      <c r="B2" s="21" t="inlineStr">
        <is>
          <t>Session / Matiere (*)</t>
        </is>
      </c>
      <c r="C2" s="21" t="inlineStr">
        <is>
          <t>Creneau (*)</t>
        </is>
      </c>
      <c r="D2" s="21" t="inlineStr">
        <is>
          <t>Etat (*)</t>
        </is>
      </c>
      <c r="E2" s="21" t="inlineStr">
        <is>
          <t>Assure par (*)</t>
        </is>
      </c>
      <c r="F2" s="21" t="inlineStr">
        <is>
          <t>Matiere reelle (*)</t>
        </is>
      </c>
      <c r="G2" s="21" t="inlineStr">
        <is>
          <t>Vol. constate h (*)</t>
        </is>
      </c>
      <c r="H2" s="21" t="inlineStr">
        <is>
          <t>Motif (*)</t>
        </is>
      </c>
      <c r="I2" s="21" t="inlineStr">
        <is>
          <t>Saisi par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
  <sheetViews>
    <sheetView workbookViewId="0">
      <pane ySplit="2" topLeftCell="A3" activePane="bottomLeft" state="frozen"/>
      <selection pane="bottomLeft" activeCell="A1" sqref="A1"/>
    </sheetView>
  </sheetViews>
  <sheetFormatPr baseColWidth="8" defaultRowHeight="15"/>
  <cols>
    <col width="12" customWidth="1" style="22" min="1" max="1"/>
    <col width="30" customWidth="1" style="22" min="2" max="2"/>
    <col width="16" customWidth="1" style="22" min="3" max="3"/>
    <col width="12" customWidth="1" style="22" min="4" max="4"/>
    <col width="34" customWidth="1" style="22" min="5" max="5"/>
    <col width="22" customWidth="1" style="22" min="6" max="6"/>
    <col width="30" customWidth="1" style="22" min="7" max="7"/>
    <col width="16" customWidth="1" style="22" min="8" max="8"/>
  </cols>
  <sheetData>
    <row r="1">
      <c r="A1" s="42" t="inlineStr">
        <is>
          <t>BUDGET PAR POSTE (prevu) -- comparatif prevu / realise / ecart en annee civile</t>
        </is>
      </c>
    </row>
    <row r="2">
      <c r="A2" s="43" t="inlineStr">
        <is>
          <t>Exercice</t>
        </is>
      </c>
      <c r="B2" s="43" t="inlineStr">
        <is>
          <t>Poste budgetaire (**)</t>
        </is>
      </c>
      <c r="C2" s="43" t="inlineStr">
        <is>
          <t>Filiere (*)</t>
        </is>
      </c>
      <c r="D2" s="43" t="inlineStr">
        <is>
          <t>Sens (*)</t>
        </is>
      </c>
      <c r="E2" s="43" t="inlineStr">
        <is>
          <t>Source de financement / Bailleur (*)</t>
        </is>
      </c>
      <c r="F2" s="43" t="inlineStr">
        <is>
          <t>Montant budgete (KMF)</t>
        </is>
      </c>
      <c r="G2" s="43" t="inlineStr">
        <is>
          <t>Observations</t>
        </is>
      </c>
      <c r="H2" s="43" t="inlineStr">
        <is>
          <t>Saisi par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2" customWidth="1" style="22" min="1" max="1"/>
    <col width="10" customWidth="1" style="22" min="2" max="2"/>
    <col width="14" customWidth="1" style="22" min="3" max="3"/>
    <col width="14" customWidth="1" style="22" min="4" max="4"/>
    <col width="40" customWidth="1" style="22" min="5" max="5"/>
  </cols>
  <sheetData>
    <row r="1">
      <c r="A1" s="42" t="inlineStr">
        <is>
          <t>TAUX DE CHANGE (references) -- EUR = parite fixe; USD a renseigner par l'EMSP</t>
        </is>
      </c>
    </row>
    <row r="2">
      <c r="A2" s="43" t="inlineStr">
        <is>
          <t>Devise</t>
        </is>
      </c>
      <c r="B2" s="43" t="inlineStr">
        <is>
          <t>Code</t>
        </is>
      </c>
      <c r="C2" s="43" t="inlineStr">
        <is>
          <t>Taux en KMF</t>
        </is>
      </c>
      <c r="D2" s="43" t="inlineStr">
        <is>
          <t>Date d'effet</t>
        </is>
      </c>
      <c r="E2" s="43" t="inlineStr">
        <is>
          <t>Observations</t>
        </is>
      </c>
    </row>
    <row r="3">
      <c r="A3" s="21" t="inlineStr">
        <is>
          <t>EUR</t>
        </is>
      </c>
      <c r="B3" s="21" t="inlineStr">
        <is>
          <t>978</t>
        </is>
      </c>
      <c r="C3" s="21" t="n">
        <v>491.967</v>
      </c>
      <c r="D3" s="21" t="inlineStr">
        <is>
          <t>01/01/2026</t>
        </is>
      </c>
      <c r="E3" s="21" t="inlineStr">
        <is>
          <t>Parite fixe EUR/KMF</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cols>
    <col width="16" customWidth="1" style="22" min="1" max="1"/>
    <col width="34" customWidth="1" style="22" min="2" max="2"/>
    <col width="22" customWidth="1" style="22" min="3" max="3"/>
    <col width="26" customWidth="1" style="22" min="4" max="4"/>
    <col width="14" customWidth="1" style="22" min="5" max="5"/>
    <col width="14" customWidth="1" style="22" min="6" max="6"/>
    <col width="20" customWidth="1" style="22" min="7" max="7"/>
    <col width="34" customWidth="1" style="22" min="8" max="8"/>
    <col width="24" customWidth="1" style="22" min="9" max="9"/>
    <col width="16" customWidth="1" style="22" min="10" max="10"/>
    <col width="30" customWidth="1" style="22" min="11" max="11"/>
    <col width="16" customWidth="1" style="22" min="12" max="12"/>
  </cols>
  <sheetData>
    <row r="1">
      <c r="A1" s="21" t="inlineStr">
        <is>
          <t>BAILLEURS / SOURCES DE FINANCEMENT — CONTRAT, BUDGET, PERIMETRE</t>
        </is>
      </c>
    </row>
    <row r="2">
      <c r="A2" s="44" t="inlineStr">
        <is>
          <t>ID bailleur (*)</t>
        </is>
      </c>
      <c r="B2" s="44" t="inlineStr">
        <is>
          <t>Nom / raison sociale (**)</t>
        </is>
      </c>
      <c r="C2" s="44" t="inlineStr">
        <is>
          <t>Type (*)</t>
        </is>
      </c>
      <c r="D2" s="44" t="inlineStr">
        <is>
          <t>Reference contrat / convention (**)</t>
        </is>
      </c>
      <c r="E2" s="44" t="inlineStr">
        <is>
          <t>Date debut (**)</t>
        </is>
      </c>
      <c r="F2" s="44" t="inlineStr">
        <is>
          <t>Date fin (**)</t>
        </is>
      </c>
      <c r="G2" s="44" t="inlineStr">
        <is>
          <t>Budget alloue (KMF) (**)</t>
        </is>
      </c>
      <c r="H2" s="44" t="inlineStr">
        <is>
          <t>Perimetre du financement (**)</t>
        </is>
      </c>
      <c r="I2" s="44" t="inlineStr">
        <is>
          <t>Documents lies (*)</t>
        </is>
      </c>
      <c r="J2" s="44" t="inlineStr">
        <is>
          <t>Statut (*)</t>
        </is>
      </c>
      <c r="K2" s="44" t="inlineStr">
        <is>
          <t>Observations (**)</t>
        </is>
      </c>
      <c r="L2" s="44" t="inlineStr">
        <is>
          <t>Saisi par (*)</t>
        </is>
      </c>
    </row>
    <row r="3">
      <c r="A3" s="21" t="inlineStr">
        <is>
          <t>AFD</t>
        </is>
      </c>
      <c r="B3" s="21" t="inlineStr">
        <is>
          <t>Agence Française de Développement</t>
        </is>
      </c>
      <c r="C3" s="21" t="inlineStr">
        <is>
          <t>International</t>
        </is>
      </c>
      <c r="D3" s="21" t="inlineStr"/>
      <c r="E3" s="21" t="inlineStr"/>
      <c r="F3" s="21" t="inlineStr"/>
      <c r="G3" s="21" t="inlineStr"/>
      <c r="H3" s="21" t="inlineStr"/>
      <c r="I3" s="21" t="inlineStr"/>
      <c r="J3" s="21" t="inlineStr">
        <is>
          <t>Actif</t>
        </is>
      </c>
      <c r="K3" s="21" t="inlineStr"/>
      <c r="L3" s="21" t="inlineStr"/>
    </row>
    <row r="4">
      <c r="A4" s="21" t="inlineStr">
        <is>
          <t>Etat comorien</t>
        </is>
      </c>
      <c r="B4" s="21" t="inlineStr">
        <is>
          <t>État comorien (Union des Comores)</t>
        </is>
      </c>
      <c r="C4" s="21" t="inlineStr">
        <is>
          <t>État</t>
        </is>
      </c>
      <c r="D4" s="21" t="inlineStr"/>
      <c r="E4" s="21" t="inlineStr"/>
      <c r="F4" s="21" t="inlineStr"/>
      <c r="G4" s="21" t="inlineStr"/>
      <c r="H4" s="21" t="inlineStr"/>
      <c r="I4" s="21" t="inlineStr"/>
      <c r="J4" s="21" t="inlineStr">
        <is>
          <t>Actif</t>
        </is>
      </c>
      <c r="K4" s="21" t="inlineStr"/>
      <c r="L4" s="21" t="inlineStr"/>
    </row>
    <row r="5">
      <c r="A5" s="21" t="inlineStr">
        <is>
          <t>Ressources propres EMSP</t>
        </is>
      </c>
      <c r="B5" s="21" t="inlineStr">
        <is>
          <t>Ressources propres EMSP</t>
        </is>
      </c>
      <c r="C5" s="21" t="inlineStr">
        <is>
          <t>Autre</t>
        </is>
      </c>
      <c r="H5" s="21" t="inlineStr">
        <is>
          <t>Autofinancement EMSP</t>
        </is>
      </c>
      <c r="J5" s="21" t="inlineStr">
        <is>
          <t>Actif</t>
        </is>
      </c>
      <c r="L5" s="21" t="inlineStr">
        <is>
          <t>systeme</t>
        </is>
      </c>
    </row>
    <row r="6">
      <c r="A6" s="21" t="inlineStr">
        <is>
          <t>Autres donateurs</t>
        </is>
      </c>
      <c r="B6" s="21" t="inlineStr">
        <is>
          <t>Autres donateurs</t>
        </is>
      </c>
      <c r="C6" s="21" t="inlineStr">
        <is>
          <t>Autre</t>
        </is>
      </c>
      <c r="H6" s="21" t="inlineStr">
        <is>
          <t>Dons et financements divers</t>
        </is>
      </c>
      <c r="J6" s="21" t="inlineStr">
        <is>
          <t>Actif</t>
        </is>
      </c>
      <c r="L6" s="21" t="inlineStr">
        <is>
          <t>systeme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
  <sheetViews>
    <sheetView workbookViewId="0">
      <pane ySplit="2" topLeftCell="A3" activePane="bottomLeft" state="frozen"/>
      <selection activeCell="A1" sqref="A1"/>
    </sheetView>
  </sheetViews>
  <sheetFormatPr baseColWidth="8" defaultRowHeight="15"/>
  <cols>
    <col width="16" customWidth="1" style="22" min="1" max="1"/>
    <col width="11" customWidth="1" style="22" min="2" max="2"/>
    <col width="16" customWidth="1" style="22" min="3" max="3"/>
    <col width="16" customWidth="1" style="22" min="4" max="4"/>
    <col width="14" customWidth="1" style="22" min="5" max="5"/>
    <col width="16" customWidth="1" style="22" min="6" max="6"/>
    <col width="18" customWidth="1" style="22" min="7" max="7"/>
    <col width="16" customWidth="1" style="22" min="8" max="8"/>
    <col width="28" customWidth="1" style="22" min="9" max="9"/>
    <col width="16" customWidth="1" style="22" min="10" max="10"/>
    <col width="18" customWidth="1" style="22" min="11" max="11"/>
    <col width="28" customWidth="1" style="22" min="12" max="12"/>
    <col width="10" customWidth="1" style="22" min="13" max="13"/>
    <col width="14" customWidth="1" style="22" min="14" max="14"/>
    <col width="16" customWidth="1" style="22" min="15" max="15"/>
    <col width="22" customWidth="1" style="22" min="16" max="16"/>
    <col width="18" customWidth="1" style="22" min="17" max="17"/>
    <col width="12" customWidth="1" style="22" min="18" max="18"/>
    <col width="16" customWidth="1" style="22" min="19" max="19"/>
    <col width="16" customWidth="1" style="22" min="20" max="20"/>
  </cols>
  <sheetData>
    <row r="1">
      <c r="A1" s="21" t="inlineStr">
        <is>
          <t>ETATS DE PAIEMENT DES VACATIONS — HEURES, TAUX, MONTANT (KMF)</t>
        </is>
      </c>
    </row>
    <row r="2">
      <c r="A2" s="28" t="inlineStr">
        <is>
          <t>ID etat</t>
        </is>
      </c>
      <c r="B2" s="28" t="inlineStr">
        <is>
          <t>Semestre</t>
        </is>
      </c>
      <c r="C2" s="28" t="inlineStr">
        <is>
          <t>Annee academique</t>
        </is>
      </c>
      <c r="D2" s="28" t="inlineStr">
        <is>
          <t>Statut etat</t>
        </is>
      </c>
      <c r="E2" s="28" t="inlineStr">
        <is>
          <t>Date arrete</t>
        </is>
      </c>
      <c r="F2" s="28" t="inlineStr">
        <is>
          <t>Arrete par</t>
        </is>
      </c>
      <c r="G2" s="28" t="inlineStr">
        <is>
          <t>Ref ecriture F1</t>
        </is>
      </c>
      <c r="H2" s="28" t="inlineStr">
        <is>
          <t>Matricule ens.</t>
        </is>
      </c>
      <c r="I2" s="28" t="inlineStr">
        <is>
          <t>Nom-Prenom</t>
        </is>
      </c>
      <c r="J2" s="28" t="inlineStr">
        <is>
          <t>Statut prof.</t>
        </is>
      </c>
      <c r="K2" s="28" t="inlineStr">
        <is>
          <t>Mode remuneration</t>
        </is>
      </c>
      <c r="L2" s="28" t="inlineStr">
        <is>
          <t>Matiere enseignee</t>
        </is>
      </c>
      <c r="M2" s="28" t="inlineStr">
        <is>
          <t>Niveau</t>
        </is>
      </c>
      <c r="N2" s="28" t="inlineStr">
        <is>
          <t>Heures prevues</t>
        </is>
      </c>
      <c r="O2" s="28" t="inlineStr">
        <is>
          <t>Heures effectuees</t>
        </is>
      </c>
      <c r="P2" s="28" t="inlineStr">
        <is>
          <t>Heures autorisees a payer</t>
        </is>
      </c>
      <c r="Q2" s="28" t="inlineStr">
        <is>
          <t>Taux horaire (KMF/h)</t>
        </is>
      </c>
      <c r="R2" s="28" t="inlineStr">
        <is>
          <t>Mois (forfait)</t>
        </is>
      </c>
      <c r="S2" s="28" t="inlineStr">
        <is>
          <t>Cout mensuel (KMF)</t>
        </is>
      </c>
      <c r="T2" s="28" t="inlineStr">
        <is>
          <t>Montant (KMF)</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52"/>
  <sheetViews>
    <sheetView workbookViewId="0">
      <pane ySplit="2" topLeftCell="A3" activePane="bottomLeft" state="frozen"/>
      <selection activeCell="A1" sqref="A1"/>
    </sheetView>
  </sheetViews>
  <sheetFormatPr baseColWidth="8" defaultRowHeight="15"/>
  <cols>
    <col width="12" customWidth="1" style="22" min="1" max="1"/>
    <col width="58" customWidth="1" style="22" min="2" max="2"/>
    <col width="16" customWidth="1" style="22" min="3" max="3"/>
    <col width="14" customWidth="1" style="22" min="4" max="4"/>
    <col width="10" customWidth="1" style="22" min="5" max="5"/>
    <col width="8" customWidth="1" style="22" min="6" max="6"/>
  </cols>
  <sheetData>
    <row r="1">
      <c r="A1" s="21" t="inlineStr">
        <is>
          <t>EMSP - Nomenclature budgetaire (codes recette / depense / investissement)</t>
        </is>
      </c>
    </row>
    <row r="2">
      <c r="A2" s="21" t="inlineStr">
        <is>
          <t>Code</t>
        </is>
      </c>
      <c r="B2" s="21" t="inlineStr">
        <is>
          <t>Intitule</t>
        </is>
      </c>
      <c r="C2" s="21" t="inlineStr">
        <is>
          <t>Sens</t>
        </is>
      </c>
      <c r="D2" s="21" t="inlineStr">
        <is>
          <t>Niveau</t>
        </is>
      </c>
      <c r="E2" s="21" t="inlineStr">
        <is>
          <t>Source</t>
        </is>
      </c>
      <c r="F2" s="21" t="inlineStr">
        <is>
          <t>Actif</t>
        </is>
      </c>
    </row>
    <row r="3">
      <c r="A3" s="21" t="inlineStr">
        <is>
          <t>70</t>
        </is>
      </c>
      <c r="B3" s="21" t="inlineStr">
        <is>
          <t>Prestations de services</t>
        </is>
      </c>
      <c r="C3" s="21" t="inlineStr">
        <is>
          <t>Recette</t>
        </is>
      </c>
      <c r="D3" s="21" t="inlineStr">
        <is>
          <t>Chapitre</t>
        </is>
      </c>
      <c r="E3" s="21" t="inlineStr">
        <is>
          <t>OHADA</t>
        </is>
      </c>
      <c r="F3" s="21" t="inlineStr">
        <is>
          <t>Oui</t>
        </is>
      </c>
    </row>
    <row r="4">
      <c r="A4" s="21" t="inlineStr">
        <is>
          <t>72</t>
        </is>
      </c>
      <c r="B4" s="21" t="inlineStr">
        <is>
          <t>Production Immobilisee</t>
        </is>
      </c>
      <c r="C4" s="21" t="inlineStr">
        <is>
          <t>Recette</t>
        </is>
      </c>
      <c r="D4" s="21" t="inlineStr">
        <is>
          <t>Chapitre</t>
        </is>
      </c>
      <c r="E4" s="21" t="inlineStr">
        <is>
          <t>OHADA</t>
        </is>
      </c>
      <c r="F4" s="21" t="inlineStr">
        <is>
          <t>Non</t>
        </is>
      </c>
    </row>
    <row r="5">
      <c r="A5" s="21" t="inlineStr">
        <is>
          <t>73</t>
        </is>
      </c>
      <c r="B5" s="21" t="inlineStr">
        <is>
          <t>Variations De Stocks De Biens Et De Services Produits</t>
        </is>
      </c>
      <c r="C5" s="21" t="inlineStr">
        <is>
          <t>Recette</t>
        </is>
      </c>
      <c r="D5" s="21" t="inlineStr">
        <is>
          <t>Chapitre</t>
        </is>
      </c>
      <c r="E5" s="21" t="inlineStr">
        <is>
          <t>OHADA</t>
        </is>
      </c>
      <c r="F5" s="21" t="inlineStr">
        <is>
          <t>Non</t>
        </is>
      </c>
    </row>
    <row r="6">
      <c r="A6" s="21" t="inlineStr">
        <is>
          <t>74</t>
        </is>
      </c>
      <c r="B6" s="21" t="inlineStr">
        <is>
          <t>Subvention d'exploitation</t>
        </is>
      </c>
      <c r="C6" s="21" t="inlineStr">
        <is>
          <t>Recette</t>
        </is>
      </c>
      <c r="D6" s="21" t="inlineStr">
        <is>
          <t>Chapitre</t>
        </is>
      </c>
      <c r="E6" s="21" t="inlineStr">
        <is>
          <t>OHADA</t>
        </is>
      </c>
      <c r="F6" s="21" t="inlineStr">
        <is>
          <t>Oui</t>
        </is>
      </c>
    </row>
    <row r="7">
      <c r="A7" s="21" t="inlineStr">
        <is>
          <t>77</t>
        </is>
      </c>
      <c r="B7" s="21" t="inlineStr">
        <is>
          <t>Revenus Financiers Et Assimiles</t>
        </is>
      </c>
      <c r="C7" s="21" t="inlineStr">
        <is>
          <t>Recette</t>
        </is>
      </c>
      <c r="D7" s="21" t="inlineStr">
        <is>
          <t>Chapitre</t>
        </is>
      </c>
      <c r="E7" s="21" t="inlineStr">
        <is>
          <t>OHADA</t>
        </is>
      </c>
      <c r="F7" s="21" t="inlineStr">
        <is>
          <t>Non</t>
        </is>
      </c>
    </row>
    <row r="8">
      <c r="A8" s="21" t="inlineStr">
        <is>
          <t>78</t>
        </is>
      </c>
      <c r="B8" s="21" t="inlineStr">
        <is>
          <t>Transferts De Charges</t>
        </is>
      </c>
      <c r="C8" s="21" t="inlineStr">
        <is>
          <t>Recette</t>
        </is>
      </c>
      <c r="D8" s="21" t="inlineStr">
        <is>
          <t>Chapitre</t>
        </is>
      </c>
      <c r="E8" s="21" t="inlineStr">
        <is>
          <t>OHADA</t>
        </is>
      </c>
      <c r="F8" s="21" t="inlineStr">
        <is>
          <t>Non</t>
        </is>
      </c>
    </row>
    <row r="9">
      <c r="A9" s="21" t="inlineStr">
        <is>
          <t>79</t>
        </is>
      </c>
      <c r="B9" s="21" t="inlineStr">
        <is>
          <t>Reprises De Provisions</t>
        </is>
      </c>
      <c r="C9" s="21" t="inlineStr">
        <is>
          <t>Recette</t>
        </is>
      </c>
      <c r="D9" s="21" t="inlineStr">
        <is>
          <t>Chapitre</t>
        </is>
      </c>
      <c r="E9" s="21" t="inlineStr">
        <is>
          <t>OHADA</t>
        </is>
      </c>
      <c r="F9" s="21" t="inlineStr">
        <is>
          <t>Non</t>
        </is>
      </c>
    </row>
    <row r="10">
      <c r="A10" s="21" t="inlineStr">
        <is>
          <t>701</t>
        </is>
      </c>
      <c r="B10" s="21" t="inlineStr">
        <is>
          <t>Ventes De Marchandises</t>
        </is>
      </c>
      <c r="C10" s="21" t="inlineStr">
        <is>
          <t>Recette</t>
        </is>
      </c>
      <c r="D10" s="21" t="inlineStr">
        <is>
          <t>Article</t>
        </is>
      </c>
      <c r="E10" s="21" t="inlineStr">
        <is>
          <t>OHADA</t>
        </is>
      </c>
      <c r="F10" s="21" t="inlineStr">
        <is>
          <t>Non</t>
        </is>
      </c>
    </row>
    <row r="11">
      <c r="A11" s="21" t="inlineStr">
        <is>
          <t>703</t>
        </is>
      </c>
      <c r="B11" s="21" t="inlineStr">
        <is>
          <t>Ventes De Produits Intermediaires</t>
        </is>
      </c>
      <c r="C11" s="21" t="inlineStr">
        <is>
          <t>Recette</t>
        </is>
      </c>
      <c r="D11" s="21" t="inlineStr">
        <is>
          <t>Article</t>
        </is>
      </c>
      <c r="E11" s="21" t="inlineStr">
        <is>
          <t>OHADA</t>
        </is>
      </c>
      <c r="F11" s="21" t="inlineStr">
        <is>
          <t>Non</t>
        </is>
      </c>
    </row>
    <row r="12">
      <c r="A12" s="21" t="inlineStr">
        <is>
          <t>704</t>
        </is>
      </c>
      <c r="B12" s="21" t="inlineStr">
        <is>
          <t>Ventes De Produits Residuels</t>
        </is>
      </c>
      <c r="C12" s="21" t="inlineStr">
        <is>
          <t>Recette</t>
        </is>
      </c>
      <c r="D12" s="21" t="inlineStr">
        <is>
          <t>Article</t>
        </is>
      </c>
      <c r="E12" s="21" t="inlineStr">
        <is>
          <t>OHADA</t>
        </is>
      </c>
      <c r="F12" s="21" t="inlineStr">
        <is>
          <t>Non</t>
        </is>
      </c>
    </row>
    <row r="13">
      <c r="A13" s="21" t="inlineStr">
        <is>
          <t>705</t>
        </is>
      </c>
      <c r="B13" s="21" t="inlineStr">
        <is>
          <t>Études</t>
        </is>
      </c>
      <c r="C13" s="21" t="inlineStr">
        <is>
          <t>Recette</t>
        </is>
      </c>
      <c r="D13" s="21" t="inlineStr">
        <is>
          <t>Article</t>
        </is>
      </c>
      <c r="E13" s="21" t="inlineStr">
        <is>
          <t>OHADA</t>
        </is>
      </c>
      <c r="F13" s="21" t="inlineStr">
        <is>
          <t>Oui</t>
        </is>
      </c>
    </row>
    <row r="14">
      <c r="A14" s="21" t="inlineStr">
        <is>
          <t>706</t>
        </is>
      </c>
      <c r="B14" s="21" t="inlineStr">
        <is>
          <t>Prestations de services — droits universitaires</t>
        </is>
      </c>
      <c r="C14" s="21" t="inlineStr">
        <is>
          <t>Recette</t>
        </is>
      </c>
      <c r="D14" s="21" t="inlineStr">
        <is>
          <t>Article</t>
        </is>
      </c>
      <c r="E14" s="21" t="inlineStr">
        <is>
          <t>OHADA</t>
        </is>
      </c>
      <c r="F14" s="21" t="inlineStr">
        <is>
          <t>Oui</t>
        </is>
      </c>
    </row>
    <row r="15">
      <c r="A15" s="21" t="inlineStr">
        <is>
          <t>706a</t>
        </is>
      </c>
      <c r="B15" s="21" t="inlineStr">
        <is>
          <t>Droit de pré-inscription</t>
        </is>
      </c>
      <c r="C15" s="21" t="inlineStr">
        <is>
          <t>Recette</t>
        </is>
      </c>
      <c r="D15" s="21" t="inlineStr">
        <is>
          <t>Sous-article</t>
        </is>
      </c>
      <c r="E15" s="21" t="inlineStr">
        <is>
          <t>EMSP</t>
        </is>
      </c>
      <c r="F15" s="21" t="inlineStr">
        <is>
          <t>Oui</t>
        </is>
      </c>
    </row>
    <row r="16">
      <c r="A16" s="21" t="inlineStr">
        <is>
          <t>706b</t>
        </is>
      </c>
      <c r="B16" s="21" t="inlineStr">
        <is>
          <t>Droit d'inscription L1</t>
        </is>
      </c>
      <c r="C16" s="21" t="inlineStr">
        <is>
          <t>Recette</t>
        </is>
      </c>
      <c r="D16" s="21" t="inlineStr">
        <is>
          <t>Sous-article</t>
        </is>
      </c>
      <c r="E16" s="21" t="inlineStr">
        <is>
          <t>EMSP</t>
        </is>
      </c>
      <c r="F16" s="21" t="inlineStr">
        <is>
          <t>Oui</t>
        </is>
      </c>
    </row>
    <row r="17">
      <c r="A17" s="21" t="inlineStr">
        <is>
          <t>706c</t>
        </is>
      </c>
      <c r="B17" s="21" t="inlineStr">
        <is>
          <t>Droit d'inscription L2</t>
        </is>
      </c>
      <c r="C17" s="21" t="inlineStr">
        <is>
          <t>Recette</t>
        </is>
      </c>
      <c r="D17" s="21" t="inlineStr">
        <is>
          <t>Sous-article</t>
        </is>
      </c>
      <c r="E17" s="21" t="inlineStr">
        <is>
          <t>EMSP</t>
        </is>
      </c>
      <c r="F17" s="21" t="inlineStr">
        <is>
          <t>Oui</t>
        </is>
      </c>
    </row>
    <row r="18">
      <c r="A18" s="21" t="inlineStr">
        <is>
          <t>706d</t>
        </is>
      </c>
      <c r="B18" s="21" t="inlineStr">
        <is>
          <t>Droit d'inscription L3</t>
        </is>
      </c>
      <c r="C18" s="21" t="inlineStr">
        <is>
          <t>Recette</t>
        </is>
      </c>
      <c r="D18" s="21" t="inlineStr">
        <is>
          <t>Sous-article</t>
        </is>
      </c>
      <c r="E18" s="21" t="inlineStr">
        <is>
          <t>EMSP</t>
        </is>
      </c>
      <c r="F18" s="21" t="inlineStr">
        <is>
          <t>Oui</t>
        </is>
      </c>
    </row>
    <row r="19">
      <c r="A19" s="21" t="inlineStr">
        <is>
          <t>706e</t>
        </is>
      </c>
      <c r="B19" s="21" t="inlineStr">
        <is>
          <t>Formation continue (certification, attestations)</t>
        </is>
      </c>
      <c r="C19" s="21" t="inlineStr">
        <is>
          <t>Recette</t>
        </is>
      </c>
      <c r="D19" s="21" t="inlineStr">
        <is>
          <t>Sous-article</t>
        </is>
      </c>
      <c r="E19" s="21" t="inlineStr">
        <is>
          <t>EMSP</t>
        </is>
      </c>
      <c r="F19" s="21" t="inlineStr">
        <is>
          <t>Oui</t>
        </is>
      </c>
    </row>
    <row r="20">
      <c r="A20" s="21" t="inlineStr">
        <is>
          <t>707</t>
        </is>
      </c>
      <c r="B20" s="21" t="inlineStr">
        <is>
          <t>Produits Accessoires</t>
        </is>
      </c>
      <c r="C20" s="21" t="inlineStr">
        <is>
          <t>Recette</t>
        </is>
      </c>
      <c r="D20" s="21" t="inlineStr">
        <is>
          <t>Article</t>
        </is>
      </c>
      <c r="E20" s="21" t="inlineStr">
        <is>
          <t>OHADA</t>
        </is>
      </c>
      <c r="F20" s="21" t="inlineStr">
        <is>
          <t>Non</t>
        </is>
      </c>
    </row>
    <row r="21">
      <c r="A21" s="21" t="inlineStr">
        <is>
          <t>708</t>
        </is>
      </c>
      <c r="B21" s="21" t="inlineStr">
        <is>
          <t>Produits des activités annexes</t>
        </is>
      </c>
      <c r="C21" s="21" t="inlineStr">
        <is>
          <t>Recette</t>
        </is>
      </c>
      <c r="D21" s="21" t="inlineStr">
        <is>
          <t>Article</t>
        </is>
      </c>
      <c r="E21" s="21" t="inlineStr">
        <is>
          <t>OHADA</t>
        </is>
      </c>
      <c r="F21" s="21" t="inlineStr">
        <is>
          <t>Oui</t>
        </is>
      </c>
    </row>
    <row r="22">
      <c r="A22" s="21" t="inlineStr">
        <is>
          <t>708a</t>
        </is>
      </c>
      <c r="B22" s="21" t="inlineStr">
        <is>
          <t>Cafétéria / buvette</t>
        </is>
      </c>
      <c r="C22" s="21" t="inlineStr">
        <is>
          <t>Recette</t>
        </is>
      </c>
      <c r="D22" s="21" t="inlineStr">
        <is>
          <t>Sous-article</t>
        </is>
      </c>
      <c r="E22" s="21" t="inlineStr">
        <is>
          <t>EMSP</t>
        </is>
      </c>
      <c r="F22" s="21" t="inlineStr">
        <is>
          <t>Oui</t>
        </is>
      </c>
    </row>
    <row r="23">
      <c r="A23" s="21" t="inlineStr">
        <is>
          <t>708b</t>
        </is>
      </c>
      <c r="B23" s="21" t="inlineStr">
        <is>
          <t>Photocopies / polycopies des cours</t>
        </is>
      </c>
      <c r="C23" s="21" t="inlineStr">
        <is>
          <t>Recette</t>
        </is>
      </c>
      <c r="D23" s="21" t="inlineStr">
        <is>
          <t>Sous-article</t>
        </is>
      </c>
      <c r="E23" s="21" t="inlineStr">
        <is>
          <t>EMSP</t>
        </is>
      </c>
      <c r="F23" s="21" t="inlineStr">
        <is>
          <t>Oui</t>
        </is>
      </c>
    </row>
    <row r="24">
      <c r="A24" s="21" t="inlineStr">
        <is>
          <t>708c</t>
        </is>
      </c>
      <c r="B24" s="21" t="inlineStr">
        <is>
          <t>Attestation de passage</t>
        </is>
      </c>
      <c r="C24" s="21" t="inlineStr">
        <is>
          <t>Recette</t>
        </is>
      </c>
      <c r="D24" s="21" t="inlineStr">
        <is>
          <t>Sous-article</t>
        </is>
      </c>
      <c r="E24" s="21" t="inlineStr">
        <is>
          <t>EMSP</t>
        </is>
      </c>
      <c r="F24" s="21" t="inlineStr">
        <is>
          <t>Oui</t>
        </is>
      </c>
    </row>
    <row r="25">
      <c r="A25" s="21" t="inlineStr">
        <is>
          <t>708d</t>
        </is>
      </c>
      <c r="B25" s="21" t="inlineStr">
        <is>
          <t>Certification de scolarité</t>
        </is>
      </c>
      <c r="C25" s="21" t="inlineStr">
        <is>
          <t>Recette</t>
        </is>
      </c>
      <c r="D25" s="21" t="inlineStr">
        <is>
          <t>Sous-article</t>
        </is>
      </c>
      <c r="E25" s="21" t="inlineStr">
        <is>
          <t>EMSP</t>
        </is>
      </c>
      <c r="F25" s="21" t="inlineStr">
        <is>
          <t>Oui</t>
        </is>
      </c>
    </row>
    <row r="26">
      <c r="A26" s="21" t="inlineStr">
        <is>
          <t>711</t>
        </is>
      </c>
      <c r="B26" s="21" t="inlineStr">
        <is>
          <t>Sur Produits A L'Exportation</t>
        </is>
      </c>
      <c r="C26" s="21" t="inlineStr">
        <is>
          <t>Recette</t>
        </is>
      </c>
      <c r="D26" s="21" t="inlineStr">
        <is>
          <t>Article</t>
        </is>
      </c>
      <c r="E26" s="21" t="inlineStr">
        <is>
          <t>OHADA</t>
        </is>
      </c>
      <c r="F26" s="21" t="inlineStr">
        <is>
          <t>Non</t>
        </is>
      </c>
    </row>
    <row r="27">
      <c r="A27" s="21" t="inlineStr">
        <is>
          <t>712</t>
        </is>
      </c>
      <c r="B27" s="21" t="inlineStr">
        <is>
          <t>Sur Produits A L'Importation</t>
        </is>
      </c>
      <c r="C27" s="21" t="inlineStr">
        <is>
          <t>Recette</t>
        </is>
      </c>
      <c r="D27" s="21" t="inlineStr">
        <is>
          <t>Article</t>
        </is>
      </c>
      <c r="E27" s="21" t="inlineStr">
        <is>
          <t>OHADA</t>
        </is>
      </c>
      <c r="F27" s="21" t="inlineStr">
        <is>
          <t>Non</t>
        </is>
      </c>
    </row>
    <row r="28">
      <c r="A28" s="21" t="inlineStr">
        <is>
          <t>713</t>
        </is>
      </c>
      <c r="B28" s="21" t="inlineStr">
        <is>
          <t>Sur Produits De Perequation</t>
        </is>
      </c>
      <c r="C28" s="21" t="inlineStr">
        <is>
          <t>Recette</t>
        </is>
      </c>
      <c r="D28" s="21" t="inlineStr">
        <is>
          <t>Article</t>
        </is>
      </c>
      <c r="E28" s="21" t="inlineStr">
        <is>
          <t>OHADA</t>
        </is>
      </c>
      <c r="F28" s="21" t="inlineStr">
        <is>
          <t>Non</t>
        </is>
      </c>
    </row>
    <row r="29">
      <c r="A29" s="21" t="inlineStr">
        <is>
          <t>718</t>
        </is>
      </c>
      <c r="B29" s="21" t="inlineStr">
        <is>
          <t>Autres Subventions D'Exploitation</t>
        </is>
      </c>
      <c r="C29" s="21" t="inlineStr">
        <is>
          <t>Recette</t>
        </is>
      </c>
      <c r="D29" s="21" t="inlineStr">
        <is>
          <t>Article</t>
        </is>
      </c>
      <c r="E29" s="21" t="inlineStr">
        <is>
          <t>OHADA</t>
        </is>
      </c>
      <c r="F29" s="21" t="inlineStr">
        <is>
          <t>Non</t>
        </is>
      </c>
    </row>
    <row r="30">
      <c r="A30" s="21" t="inlineStr">
        <is>
          <t>721</t>
        </is>
      </c>
      <c r="B30" s="21" t="inlineStr">
        <is>
          <t>Immobilisations Incorporelles</t>
        </is>
      </c>
      <c r="C30" s="21" t="inlineStr">
        <is>
          <t>Recette</t>
        </is>
      </c>
      <c r="D30" s="21" t="inlineStr">
        <is>
          <t>Article</t>
        </is>
      </c>
      <c r="E30" s="21" t="inlineStr">
        <is>
          <t>OHADA</t>
        </is>
      </c>
      <c r="F30" s="21" t="inlineStr">
        <is>
          <t>Non</t>
        </is>
      </c>
    </row>
    <row r="31">
      <c r="A31" s="21" t="inlineStr">
        <is>
          <t>722</t>
        </is>
      </c>
      <c r="B31" s="21" t="inlineStr">
        <is>
          <t>Immobilisations Corporelles</t>
        </is>
      </c>
      <c r="C31" s="21" t="inlineStr">
        <is>
          <t>Recette</t>
        </is>
      </c>
      <c r="D31" s="21" t="inlineStr">
        <is>
          <t>Article</t>
        </is>
      </c>
      <c r="E31" s="21" t="inlineStr">
        <is>
          <t>OHADA</t>
        </is>
      </c>
      <c r="F31" s="21" t="inlineStr">
        <is>
          <t>Non</t>
        </is>
      </c>
    </row>
    <row r="32">
      <c r="A32" s="21" t="inlineStr">
        <is>
          <t>726</t>
        </is>
      </c>
      <c r="B32" s="21" t="inlineStr">
        <is>
          <t>Immobilisations Financieres (')</t>
        </is>
      </c>
      <c r="C32" s="21" t="inlineStr">
        <is>
          <t>Recette</t>
        </is>
      </c>
      <c r="D32" s="21" t="inlineStr">
        <is>
          <t>Article</t>
        </is>
      </c>
      <c r="E32" s="21" t="inlineStr">
        <is>
          <t>OHADA</t>
        </is>
      </c>
      <c r="F32" s="21" t="inlineStr">
        <is>
          <t>Non</t>
        </is>
      </c>
    </row>
    <row r="33">
      <c r="A33" s="21" t="inlineStr">
        <is>
          <t>734</t>
        </is>
      </c>
      <c r="B33" s="21" t="inlineStr">
        <is>
          <t>Variations Des Stocks De Produits En Cours</t>
        </is>
      </c>
      <c r="C33" s="21" t="inlineStr">
        <is>
          <t>Recette</t>
        </is>
      </c>
      <c r="D33" s="21" t="inlineStr">
        <is>
          <t>Article</t>
        </is>
      </c>
      <c r="E33" s="21" t="inlineStr">
        <is>
          <t>OHADA</t>
        </is>
      </c>
      <c r="F33" s="21" t="inlineStr">
        <is>
          <t>Non</t>
        </is>
      </c>
    </row>
    <row r="34">
      <c r="A34" s="21" t="inlineStr">
        <is>
          <t>735</t>
        </is>
      </c>
      <c r="B34" s="21" t="inlineStr">
        <is>
          <t>Variations Des En-Cours De Services</t>
        </is>
      </c>
      <c r="C34" s="21" t="inlineStr">
        <is>
          <t>Recette</t>
        </is>
      </c>
      <c r="D34" s="21" t="inlineStr">
        <is>
          <t>Article</t>
        </is>
      </c>
      <c r="E34" s="21" t="inlineStr">
        <is>
          <t>OHADA</t>
        </is>
      </c>
      <c r="F34" s="21" t="inlineStr">
        <is>
          <t>Non</t>
        </is>
      </c>
    </row>
    <row r="35">
      <c r="A35" s="21" t="inlineStr">
        <is>
          <t>736</t>
        </is>
      </c>
      <c r="B35" s="21" t="inlineStr">
        <is>
          <t>Variations Des Stocks De Produits Finis</t>
        </is>
      </c>
      <c r="C35" s="21" t="inlineStr">
        <is>
          <t>Recette</t>
        </is>
      </c>
      <c r="D35" s="21" t="inlineStr">
        <is>
          <t>Article</t>
        </is>
      </c>
      <c r="E35" s="21" t="inlineStr">
        <is>
          <t>OHADA</t>
        </is>
      </c>
      <c r="F35" s="21" t="inlineStr">
        <is>
          <t>Non</t>
        </is>
      </c>
    </row>
    <row r="36">
      <c r="A36" s="21" t="inlineStr">
        <is>
          <t>737</t>
        </is>
      </c>
      <c r="B36" s="21" t="inlineStr">
        <is>
          <t>Variations Des Stocks De Produits Intermediaires Et Residuels</t>
        </is>
      </c>
      <c r="C36" s="21" t="inlineStr">
        <is>
          <t>Recette</t>
        </is>
      </c>
      <c r="D36" s="21" t="inlineStr">
        <is>
          <t>Article</t>
        </is>
      </c>
      <c r="E36" s="21" t="inlineStr">
        <is>
          <t>OHADA</t>
        </is>
      </c>
      <c r="F36" s="21" t="inlineStr">
        <is>
          <t>Non</t>
        </is>
      </c>
    </row>
    <row r="37">
      <c r="A37" s="21" t="inlineStr">
        <is>
          <t>741</t>
        </is>
      </c>
      <c r="B37" s="21" t="inlineStr">
        <is>
          <t>État (subvention budget, TCR, RAU)</t>
        </is>
      </c>
      <c r="C37" s="21" t="inlineStr">
        <is>
          <t>Recette</t>
        </is>
      </c>
      <c r="D37" s="21" t="inlineStr">
        <is>
          <t>Article</t>
        </is>
      </c>
      <c r="E37" s="21" t="inlineStr">
        <is>
          <t>OHADA</t>
        </is>
      </c>
      <c r="F37" s="21" t="inlineStr">
        <is>
          <t>Oui</t>
        </is>
      </c>
    </row>
    <row r="38">
      <c r="A38" s="21" t="inlineStr">
        <is>
          <t>744</t>
        </is>
      </c>
      <c r="B38" s="21" t="inlineStr">
        <is>
          <t>Collectivités locales</t>
        </is>
      </c>
      <c r="C38" s="21" t="inlineStr">
        <is>
          <t>Recette</t>
        </is>
      </c>
      <c r="D38" s="21" t="inlineStr">
        <is>
          <t>Article</t>
        </is>
      </c>
      <c r="E38" s="21" t="inlineStr">
        <is>
          <t>OHADA</t>
        </is>
      </c>
      <c r="F38" s="21" t="inlineStr">
        <is>
          <t>Oui</t>
        </is>
      </c>
    </row>
    <row r="39">
      <c r="A39" s="21" t="inlineStr">
        <is>
          <t>752</t>
        </is>
      </c>
      <c r="B39" s="21" t="inlineStr">
        <is>
          <t>Quote-Part De Resultat Sur Operations Faites En Commun</t>
        </is>
      </c>
      <c r="C39" s="21" t="inlineStr">
        <is>
          <t>Recette</t>
        </is>
      </c>
      <c r="D39" s="21" t="inlineStr">
        <is>
          <t>Article</t>
        </is>
      </c>
      <c r="E39" s="21" t="inlineStr">
        <is>
          <t>OHADA</t>
        </is>
      </c>
      <c r="F39" s="21" t="inlineStr">
        <is>
          <t>Non</t>
        </is>
      </c>
    </row>
    <row r="40">
      <c r="A40" s="21" t="inlineStr">
        <is>
          <t>753</t>
        </is>
      </c>
      <c r="B40" s="21" t="inlineStr">
        <is>
          <t>Quote-Part De Resultat Sur Execution Partielle De Contrats</t>
        </is>
      </c>
      <c r="C40" s="21" t="inlineStr">
        <is>
          <t>Recette</t>
        </is>
      </c>
      <c r="D40" s="21" t="inlineStr">
        <is>
          <t>Article</t>
        </is>
      </c>
      <c r="E40" s="21" t="inlineStr">
        <is>
          <t>OHADA</t>
        </is>
      </c>
      <c r="F40" s="21" t="inlineStr">
        <is>
          <t>Non</t>
        </is>
      </c>
    </row>
    <row r="41">
      <c r="A41" s="21" t="inlineStr">
        <is>
          <t>754</t>
        </is>
      </c>
      <c r="B41" s="21" t="inlineStr">
        <is>
          <t>Produits Des Cessions Courantes D'Immobilisations</t>
        </is>
      </c>
      <c r="C41" s="21" t="inlineStr">
        <is>
          <t>Recette</t>
        </is>
      </c>
      <c r="D41" s="21" t="inlineStr">
        <is>
          <t>Article</t>
        </is>
      </c>
      <c r="E41" s="21" t="inlineStr">
        <is>
          <t>OHADA</t>
        </is>
      </c>
      <c r="F41" s="21" t="inlineStr">
        <is>
          <t>Non</t>
        </is>
      </c>
    </row>
    <row r="42">
      <c r="A42" s="21" t="inlineStr">
        <is>
          <t>758</t>
        </is>
      </c>
      <c r="B42" s="21" t="inlineStr">
        <is>
          <t>Produits Divers</t>
        </is>
      </c>
      <c r="C42" s="21" t="inlineStr">
        <is>
          <t>Recette</t>
        </is>
      </c>
      <c r="D42" s="21" t="inlineStr">
        <is>
          <t>Article</t>
        </is>
      </c>
      <c r="E42" s="21" t="inlineStr">
        <is>
          <t>OHADA</t>
        </is>
      </c>
      <c r="F42" s="21" t="inlineStr">
        <is>
          <t>Non</t>
        </is>
      </c>
    </row>
    <row r="43">
      <c r="A43" s="21" t="inlineStr">
        <is>
          <t>759</t>
        </is>
      </c>
      <c r="B43" s="21" t="inlineStr">
        <is>
          <t>Reprises De Charges Provisionnees D'Exploitation</t>
        </is>
      </c>
      <c r="C43" s="21" t="inlineStr">
        <is>
          <t>Recette</t>
        </is>
      </c>
      <c r="D43" s="21" t="inlineStr">
        <is>
          <t>Article</t>
        </is>
      </c>
      <c r="E43" s="21" t="inlineStr">
        <is>
          <t>OHADA</t>
        </is>
      </c>
      <c r="F43" s="21" t="inlineStr">
        <is>
          <t>Non</t>
        </is>
      </c>
    </row>
    <row r="44">
      <c r="A44" s="21" t="inlineStr">
        <is>
          <t>771</t>
        </is>
      </c>
      <c r="B44" s="21" t="inlineStr">
        <is>
          <t>Interets De Prets</t>
        </is>
      </c>
      <c r="C44" s="21" t="inlineStr">
        <is>
          <t>Recette</t>
        </is>
      </c>
      <c r="D44" s="21" t="inlineStr">
        <is>
          <t>Article</t>
        </is>
      </c>
      <c r="E44" s="21" t="inlineStr">
        <is>
          <t>OHADA</t>
        </is>
      </c>
      <c r="F44" s="21" t="inlineStr">
        <is>
          <t>Non</t>
        </is>
      </c>
    </row>
    <row r="45">
      <c r="A45" s="21" t="inlineStr">
        <is>
          <t>772</t>
        </is>
      </c>
      <c r="B45" s="21" t="inlineStr">
        <is>
          <t>Revenus De Participations</t>
        </is>
      </c>
      <c r="C45" s="21" t="inlineStr">
        <is>
          <t>Recette</t>
        </is>
      </c>
      <c r="D45" s="21" t="inlineStr">
        <is>
          <t>Article</t>
        </is>
      </c>
      <c r="E45" s="21" t="inlineStr">
        <is>
          <t>OHADA</t>
        </is>
      </c>
      <c r="F45" s="21" t="inlineStr">
        <is>
          <t>Non</t>
        </is>
      </c>
    </row>
    <row r="46">
      <c r="A46" s="21" t="inlineStr">
        <is>
          <t>774</t>
        </is>
      </c>
      <c r="B46" s="21" t="inlineStr">
        <is>
          <t>Revenus De Titres De Placement</t>
        </is>
      </c>
      <c r="C46" s="21" t="inlineStr">
        <is>
          <t>Recette</t>
        </is>
      </c>
      <c r="D46" s="21" t="inlineStr">
        <is>
          <t>Article</t>
        </is>
      </c>
      <c r="E46" s="21" t="inlineStr">
        <is>
          <t>OHADA</t>
        </is>
      </c>
      <c r="F46" s="21" t="inlineStr">
        <is>
          <t>Non</t>
        </is>
      </c>
    </row>
    <row r="47">
      <c r="A47" s="21" t="inlineStr">
        <is>
          <t>776</t>
        </is>
      </c>
      <c r="B47" s="21" t="inlineStr">
        <is>
          <t>Gains De Change</t>
        </is>
      </c>
      <c r="C47" s="21" t="inlineStr">
        <is>
          <t>Recette</t>
        </is>
      </c>
      <c r="D47" s="21" t="inlineStr">
        <is>
          <t>Article</t>
        </is>
      </c>
      <c r="E47" s="21" t="inlineStr">
        <is>
          <t>OHADA</t>
        </is>
      </c>
      <c r="F47" s="21" t="inlineStr">
        <is>
          <t>Non</t>
        </is>
      </c>
    </row>
    <row r="48">
      <c r="A48" s="21" t="inlineStr">
        <is>
          <t>777</t>
        </is>
      </c>
      <c r="B48" s="21" t="inlineStr">
        <is>
          <t>Gains Sur Cessions De Titres De Placement</t>
        </is>
      </c>
      <c r="C48" s="21" t="inlineStr">
        <is>
          <t>Recette</t>
        </is>
      </c>
      <c r="D48" s="21" t="inlineStr">
        <is>
          <t>Article</t>
        </is>
      </c>
      <c r="E48" s="21" t="inlineStr">
        <is>
          <t>OHADA</t>
        </is>
      </c>
      <c r="F48" s="21" t="inlineStr">
        <is>
          <t>Non</t>
        </is>
      </c>
    </row>
    <row r="49">
      <c r="A49" s="21" t="inlineStr">
        <is>
          <t>778</t>
        </is>
      </c>
      <c r="B49" s="21" t="inlineStr">
        <is>
          <t>Gains Sur Risques Financiers</t>
        </is>
      </c>
      <c r="C49" s="21" t="inlineStr">
        <is>
          <t>Recette</t>
        </is>
      </c>
      <c r="D49" s="21" t="inlineStr">
        <is>
          <t>Article</t>
        </is>
      </c>
      <c r="E49" s="21" t="inlineStr">
        <is>
          <t>OHADA</t>
        </is>
      </c>
      <c r="F49" s="21" t="inlineStr">
        <is>
          <t>Non</t>
        </is>
      </c>
    </row>
    <row r="50">
      <c r="A50" s="21" t="inlineStr">
        <is>
          <t>779</t>
        </is>
      </c>
      <c r="B50" s="21" t="inlineStr">
        <is>
          <t>Reprises De Charges Provisionnees Financieres</t>
        </is>
      </c>
      <c r="C50" s="21" t="inlineStr">
        <is>
          <t>Recette</t>
        </is>
      </c>
      <c r="D50" s="21" t="inlineStr">
        <is>
          <t>Article</t>
        </is>
      </c>
      <c r="E50" s="21" t="inlineStr">
        <is>
          <t>OHADA</t>
        </is>
      </c>
      <c r="F50" s="21" t="inlineStr">
        <is>
          <t>Non</t>
        </is>
      </c>
    </row>
    <row r="51">
      <c r="A51" s="21" t="inlineStr">
        <is>
          <t>781</t>
        </is>
      </c>
      <c r="B51" s="21" t="inlineStr">
        <is>
          <t>Transferts De Charges D'Exploitation</t>
        </is>
      </c>
      <c r="C51" s="21" t="inlineStr">
        <is>
          <t>Recette</t>
        </is>
      </c>
      <c r="D51" s="21" t="inlineStr">
        <is>
          <t>Article</t>
        </is>
      </c>
      <c r="E51" s="21" t="inlineStr">
        <is>
          <t>OHADA</t>
        </is>
      </c>
      <c r="F51" s="21" t="inlineStr">
        <is>
          <t>Non</t>
        </is>
      </c>
    </row>
    <row r="52">
      <c r="A52" s="21" t="inlineStr">
        <is>
          <t>787</t>
        </is>
      </c>
      <c r="B52" s="21" t="inlineStr">
        <is>
          <t>Transferts De Charges Financieres</t>
        </is>
      </c>
      <c r="C52" s="21" t="inlineStr">
        <is>
          <t>Recette</t>
        </is>
      </c>
      <c r="D52" s="21" t="inlineStr">
        <is>
          <t>Article</t>
        </is>
      </c>
      <c r="E52" s="21" t="inlineStr">
        <is>
          <t>OHADA</t>
        </is>
      </c>
      <c r="F52" s="21" t="inlineStr">
        <is>
          <t>Non</t>
        </is>
      </c>
    </row>
    <row r="53">
      <c r="A53" s="21" t="inlineStr">
        <is>
          <t>791</t>
        </is>
      </c>
      <c r="B53" s="21" t="inlineStr">
        <is>
          <t>Reprises De Provisions D'Exploitation</t>
        </is>
      </c>
      <c r="C53" s="21" t="inlineStr">
        <is>
          <t>Recette</t>
        </is>
      </c>
      <c r="D53" s="21" t="inlineStr">
        <is>
          <t>Article</t>
        </is>
      </c>
      <c r="E53" s="21" t="inlineStr">
        <is>
          <t>OHADA</t>
        </is>
      </c>
      <c r="F53" s="21" t="inlineStr">
        <is>
          <t>Non</t>
        </is>
      </c>
    </row>
    <row r="54">
      <c r="A54" s="21" t="inlineStr">
        <is>
          <t>797</t>
        </is>
      </c>
      <c r="B54" s="21" t="inlineStr">
        <is>
          <t>Reprises De Provisions Financieres</t>
        </is>
      </c>
      <c r="C54" s="21" t="inlineStr">
        <is>
          <t>Recette</t>
        </is>
      </c>
      <c r="D54" s="21" t="inlineStr">
        <is>
          <t>Article</t>
        </is>
      </c>
      <c r="E54" s="21" t="inlineStr">
        <is>
          <t>OHADA</t>
        </is>
      </c>
      <c r="F54" s="21" t="inlineStr">
        <is>
          <t>Non</t>
        </is>
      </c>
    </row>
    <row r="55">
      <c r="A55" s="21" t="inlineStr">
        <is>
          <t>798</t>
        </is>
      </c>
      <c r="B55" s="21" t="inlineStr">
        <is>
          <t>Reprises D'Amortissements (')</t>
        </is>
      </c>
      <c r="C55" s="21" t="inlineStr">
        <is>
          <t>Recette</t>
        </is>
      </c>
      <c r="D55" s="21" t="inlineStr">
        <is>
          <t>Article</t>
        </is>
      </c>
      <c r="E55" s="21" t="inlineStr">
        <is>
          <t>OHADA</t>
        </is>
      </c>
      <c r="F55" s="21" t="inlineStr">
        <is>
          <t>Non</t>
        </is>
      </c>
    </row>
    <row r="56">
      <c r="A56" s="21" t="inlineStr">
        <is>
          <t>60</t>
        </is>
      </c>
      <c r="B56" s="21" t="inlineStr">
        <is>
          <t>Achats et variations de stocks</t>
        </is>
      </c>
      <c r="C56" s="21" t="inlineStr">
        <is>
          <t>Depense</t>
        </is>
      </c>
      <c r="D56" s="21" t="inlineStr">
        <is>
          <t>Chapitre</t>
        </is>
      </c>
      <c r="E56" s="21" t="inlineStr">
        <is>
          <t>OHADA</t>
        </is>
      </c>
      <c r="F56" s="21" t="inlineStr">
        <is>
          <t>Oui</t>
        </is>
      </c>
    </row>
    <row r="57">
      <c r="A57" s="21" t="inlineStr">
        <is>
          <t>61</t>
        </is>
      </c>
      <c r="B57" s="21" t="inlineStr">
        <is>
          <t>Services extérieurs</t>
        </is>
      </c>
      <c r="C57" s="21" t="inlineStr">
        <is>
          <t>Depense</t>
        </is>
      </c>
      <c r="D57" s="21" t="inlineStr">
        <is>
          <t>Chapitre</t>
        </is>
      </c>
      <c r="E57" s="21" t="inlineStr">
        <is>
          <t>OHADA</t>
        </is>
      </c>
      <c r="F57" s="21" t="inlineStr">
        <is>
          <t>Oui</t>
        </is>
      </c>
    </row>
    <row r="58">
      <c r="A58" s="21" t="inlineStr">
        <is>
          <t>62</t>
        </is>
      </c>
      <c r="B58" s="21" t="inlineStr">
        <is>
          <t>Autres services extérieurs</t>
        </is>
      </c>
      <c r="C58" s="21" t="inlineStr">
        <is>
          <t>Depense</t>
        </is>
      </c>
      <c r="D58" s="21" t="inlineStr">
        <is>
          <t>Chapitre</t>
        </is>
      </c>
      <c r="E58" s="21" t="inlineStr">
        <is>
          <t>OHADA</t>
        </is>
      </c>
      <c r="F58" s="21" t="inlineStr">
        <is>
          <t>Oui</t>
        </is>
      </c>
    </row>
    <row r="59">
      <c r="A59" s="21" t="inlineStr">
        <is>
          <t>63</t>
        </is>
      </c>
      <c r="B59" s="21" t="inlineStr">
        <is>
          <t>Services Exterieurs B</t>
        </is>
      </c>
      <c r="C59" s="21" t="inlineStr">
        <is>
          <t>Depense</t>
        </is>
      </c>
      <c r="D59" s="21" t="inlineStr">
        <is>
          <t>Chapitre</t>
        </is>
      </c>
      <c r="E59" s="21" t="inlineStr">
        <is>
          <t>OHADA</t>
        </is>
      </c>
      <c r="F59" s="21" t="inlineStr">
        <is>
          <t>Non</t>
        </is>
      </c>
    </row>
    <row r="60">
      <c r="A60" s="21" t="inlineStr">
        <is>
          <t>64</t>
        </is>
      </c>
      <c r="B60" s="21" t="inlineStr">
        <is>
          <t>Charges de personnel</t>
        </is>
      </c>
      <c r="C60" s="21" t="inlineStr">
        <is>
          <t>Depense</t>
        </is>
      </c>
      <c r="D60" s="21" t="inlineStr">
        <is>
          <t>Chapitre</t>
        </is>
      </c>
      <c r="E60" s="21" t="inlineStr">
        <is>
          <t>OHADA</t>
        </is>
      </c>
      <c r="F60" s="21" t="inlineStr">
        <is>
          <t>Oui</t>
        </is>
      </c>
    </row>
    <row r="61">
      <c r="A61" s="21" t="inlineStr">
        <is>
          <t>65</t>
        </is>
      </c>
      <c r="B61" s="21" t="inlineStr">
        <is>
          <t>Autres charges de gestion courante</t>
        </is>
      </c>
      <c r="C61" s="21" t="inlineStr">
        <is>
          <t>Depense</t>
        </is>
      </c>
      <c r="D61" s="21" t="inlineStr">
        <is>
          <t>Chapitre</t>
        </is>
      </c>
      <c r="E61" s="21" t="inlineStr">
        <is>
          <t>OHADA</t>
        </is>
      </c>
      <c r="F61" s="21" t="inlineStr">
        <is>
          <t>Oui</t>
        </is>
      </c>
    </row>
    <row r="62">
      <c r="A62" s="21" t="inlineStr">
        <is>
          <t>66</t>
        </is>
      </c>
      <c r="B62" s="21" t="inlineStr">
        <is>
          <t>Charges financières</t>
        </is>
      </c>
      <c r="C62" s="21" t="inlineStr">
        <is>
          <t>Depense</t>
        </is>
      </c>
      <c r="D62" s="21" t="inlineStr">
        <is>
          <t>Chapitre</t>
        </is>
      </c>
      <c r="E62" s="21" t="inlineStr">
        <is>
          <t>OHADA</t>
        </is>
      </c>
      <c r="F62" s="21" t="inlineStr">
        <is>
          <t>Oui</t>
        </is>
      </c>
    </row>
    <row r="63">
      <c r="A63" s="21" t="inlineStr">
        <is>
          <t>67</t>
        </is>
      </c>
      <c r="B63" s="21" t="inlineStr">
        <is>
          <t>Charges exceptionnelles</t>
        </is>
      </c>
      <c r="C63" s="21" t="inlineStr">
        <is>
          <t>Depense</t>
        </is>
      </c>
      <c r="D63" s="21" t="inlineStr">
        <is>
          <t>Chapitre</t>
        </is>
      </c>
      <c r="E63" s="21" t="inlineStr">
        <is>
          <t>OHADA</t>
        </is>
      </c>
      <c r="F63" s="21" t="inlineStr">
        <is>
          <t>Oui</t>
        </is>
      </c>
    </row>
    <row r="64">
      <c r="A64" s="21" t="inlineStr">
        <is>
          <t>68</t>
        </is>
      </c>
      <c r="B64" s="21" t="inlineStr">
        <is>
          <t>Dotations Aux Amortissements</t>
        </is>
      </c>
      <c r="C64" s="21" t="inlineStr">
        <is>
          <t>Depense</t>
        </is>
      </c>
      <c r="D64" s="21" t="inlineStr">
        <is>
          <t>Chapitre</t>
        </is>
      </c>
      <c r="E64" s="21" t="inlineStr">
        <is>
          <t>OHADA</t>
        </is>
      </c>
      <c r="F64" s="21" t="inlineStr">
        <is>
          <t>Non</t>
        </is>
      </c>
    </row>
    <row r="65">
      <c r="A65" s="21" t="inlineStr">
        <is>
          <t>69</t>
        </is>
      </c>
      <c r="B65" s="21" t="inlineStr">
        <is>
          <t>Dotations Aux Provisions</t>
        </is>
      </c>
      <c r="C65" s="21" t="inlineStr">
        <is>
          <t>Depense</t>
        </is>
      </c>
      <c r="D65" s="21" t="inlineStr">
        <is>
          <t>Chapitre</t>
        </is>
      </c>
      <c r="E65" s="21" t="inlineStr">
        <is>
          <t>OHADA</t>
        </is>
      </c>
      <c r="F65" s="21" t="inlineStr">
        <is>
          <t>Non</t>
        </is>
      </c>
    </row>
    <row r="66">
      <c r="A66" s="21" t="inlineStr">
        <is>
          <t>601</t>
        </is>
      </c>
      <c r="B66" s="21" t="inlineStr">
        <is>
          <t>Achats De Marchandises</t>
        </is>
      </c>
      <c r="C66" s="21" t="inlineStr">
        <is>
          <t>Depense</t>
        </is>
      </c>
      <c r="D66" s="21" t="inlineStr">
        <is>
          <t>Article</t>
        </is>
      </c>
      <c r="E66" s="21" t="inlineStr">
        <is>
          <t>OHADA</t>
        </is>
      </c>
      <c r="F66" s="21" t="inlineStr">
        <is>
          <t>Non</t>
        </is>
      </c>
    </row>
    <row r="67">
      <c r="A67" s="21" t="inlineStr">
        <is>
          <t>602</t>
        </is>
      </c>
      <c r="B67" s="21" t="inlineStr">
        <is>
          <t>Achats stockés – autres approvisionnements</t>
        </is>
      </c>
      <c r="C67" s="21" t="inlineStr">
        <is>
          <t>Depense</t>
        </is>
      </c>
      <c r="D67" s="21" t="inlineStr">
        <is>
          <t>Article</t>
        </is>
      </c>
      <c r="E67" s="21" t="inlineStr">
        <is>
          <t>OHADA</t>
        </is>
      </c>
      <c r="F67" s="21" t="inlineStr">
        <is>
          <t>Oui</t>
        </is>
      </c>
    </row>
    <row r="68">
      <c r="A68" s="21" t="inlineStr">
        <is>
          <t>603</t>
        </is>
      </c>
      <c r="B68" s="21" t="inlineStr">
        <is>
          <t>Variations Des Stocks De Biens Achetes</t>
        </is>
      </c>
      <c r="C68" s="21" t="inlineStr">
        <is>
          <t>Depense</t>
        </is>
      </c>
      <c r="D68" s="21" t="inlineStr">
        <is>
          <t>Article</t>
        </is>
      </c>
      <c r="E68" s="21" t="inlineStr">
        <is>
          <t>OHADA</t>
        </is>
      </c>
      <c r="F68" s="21" t="inlineStr">
        <is>
          <t>Non</t>
        </is>
      </c>
    </row>
    <row r="69">
      <c r="A69" s="21" t="inlineStr">
        <is>
          <t>604</t>
        </is>
      </c>
      <c r="B69" s="21" t="inlineStr">
        <is>
          <t>Achat d'études et de prestations de services</t>
        </is>
      </c>
      <c r="C69" s="21" t="inlineStr">
        <is>
          <t>Depense</t>
        </is>
      </c>
      <c r="D69" s="21" t="inlineStr">
        <is>
          <t>Article</t>
        </is>
      </c>
      <c r="E69" s="21" t="inlineStr">
        <is>
          <t>OHADA</t>
        </is>
      </c>
      <c r="F69" s="21" t="inlineStr">
        <is>
          <t>Oui</t>
        </is>
      </c>
    </row>
    <row r="70">
      <c r="A70" s="21" t="inlineStr">
        <is>
          <t>605</t>
        </is>
      </c>
      <c r="B70" s="21" t="inlineStr">
        <is>
          <t>Achat de matériel — petit matériel</t>
        </is>
      </c>
      <c r="C70" s="21" t="inlineStr">
        <is>
          <t>Depense</t>
        </is>
      </c>
      <c r="D70" s="21" t="inlineStr">
        <is>
          <t>Article</t>
        </is>
      </c>
      <c r="E70" s="21" t="inlineStr">
        <is>
          <t>OHADA</t>
        </is>
      </c>
      <c r="F70" s="21" t="inlineStr">
        <is>
          <t>Oui</t>
        </is>
      </c>
    </row>
    <row r="71">
      <c r="A71" s="21" t="inlineStr">
        <is>
          <t>605A</t>
        </is>
      </c>
      <c r="B71" s="21" t="inlineStr">
        <is>
          <t>Matériel didactique et pédagogique</t>
        </is>
      </c>
      <c r="C71" s="21" t="inlineStr">
        <is>
          <t>Depense</t>
        </is>
      </c>
      <c r="D71" s="21" t="inlineStr">
        <is>
          <t>Sous-article</t>
        </is>
      </c>
      <c r="E71" s="21" t="inlineStr">
        <is>
          <t>EMSP</t>
        </is>
      </c>
      <c r="F71" s="21" t="inlineStr">
        <is>
          <t>Oui</t>
        </is>
      </c>
    </row>
    <row r="72">
      <c r="A72" s="21" t="inlineStr">
        <is>
          <t>606</t>
        </is>
      </c>
      <c r="B72" s="21" t="inlineStr">
        <is>
          <t>Achats non stockés de matières et fournitures</t>
        </is>
      </c>
      <c r="C72" s="21" t="inlineStr">
        <is>
          <t>Depense</t>
        </is>
      </c>
      <c r="D72" s="21" t="inlineStr">
        <is>
          <t>Article</t>
        </is>
      </c>
      <c r="E72" s="21" t="inlineStr">
        <is>
          <t>OHADA</t>
        </is>
      </c>
      <c r="F72" s="21" t="inlineStr">
        <is>
          <t>Oui</t>
        </is>
      </c>
    </row>
    <row r="73">
      <c r="A73" s="21" t="inlineStr">
        <is>
          <t>613</t>
        </is>
      </c>
      <c r="B73" s="21" t="inlineStr">
        <is>
          <t>Locations</t>
        </is>
      </c>
      <c r="C73" s="21" t="inlineStr">
        <is>
          <t>Depense</t>
        </is>
      </c>
      <c r="D73" s="21" t="inlineStr">
        <is>
          <t>Article</t>
        </is>
      </c>
      <c r="E73" s="21" t="inlineStr">
        <is>
          <t>OHADA</t>
        </is>
      </c>
      <c r="F73" s="21" t="inlineStr">
        <is>
          <t>Oui</t>
        </is>
      </c>
    </row>
    <row r="74">
      <c r="A74" s="21" t="inlineStr">
        <is>
          <t>615</t>
        </is>
      </c>
      <c r="B74" s="21" t="inlineStr">
        <is>
          <t>Entretien et réparations</t>
        </is>
      </c>
      <c r="C74" s="21" t="inlineStr">
        <is>
          <t>Depense</t>
        </is>
      </c>
      <c r="D74" s="21" t="inlineStr">
        <is>
          <t>Article</t>
        </is>
      </c>
      <c r="E74" s="21" t="inlineStr">
        <is>
          <t>OHADA</t>
        </is>
      </c>
      <c r="F74" s="21" t="inlineStr">
        <is>
          <t>Oui</t>
        </is>
      </c>
    </row>
    <row r="75">
      <c r="A75" s="21" t="inlineStr">
        <is>
          <t>616</t>
        </is>
      </c>
      <c r="B75" s="21" t="inlineStr">
        <is>
          <t>Primes d'assurances</t>
        </is>
      </c>
      <c r="C75" s="21" t="inlineStr">
        <is>
          <t>Depense</t>
        </is>
      </c>
      <c r="D75" s="21" t="inlineStr">
        <is>
          <t>Article</t>
        </is>
      </c>
      <c r="E75" s="21" t="inlineStr">
        <is>
          <t>OHADA</t>
        </is>
      </c>
      <c r="F75" s="21" t="inlineStr">
        <is>
          <t>Oui</t>
        </is>
      </c>
    </row>
    <row r="76">
      <c r="A76" s="21" t="inlineStr">
        <is>
          <t>617</t>
        </is>
      </c>
      <c r="B76" s="21" t="inlineStr">
        <is>
          <t>Études et recherches / formation et recherche</t>
        </is>
      </c>
      <c r="C76" s="21" t="inlineStr">
        <is>
          <t>Depense</t>
        </is>
      </c>
      <c r="D76" s="21" t="inlineStr">
        <is>
          <t>Article</t>
        </is>
      </c>
      <c r="E76" s="21" t="inlineStr">
        <is>
          <t>OHADA</t>
        </is>
      </c>
      <c r="F76" s="21" t="inlineStr">
        <is>
          <t>Oui</t>
        </is>
      </c>
    </row>
    <row r="77">
      <c r="A77" s="21" t="inlineStr">
        <is>
          <t>617 (sorties)</t>
        </is>
      </c>
      <c r="B77" s="21" t="inlineStr">
        <is>
          <t>Frais de sorties pédagogiques</t>
        </is>
      </c>
      <c r="C77" s="21" t="inlineStr">
        <is>
          <t>Depense</t>
        </is>
      </c>
      <c r="D77" s="21" t="inlineStr">
        <is>
          <t>Sous-article</t>
        </is>
      </c>
      <c r="E77" s="21" t="inlineStr">
        <is>
          <t>EMSP</t>
        </is>
      </c>
      <c r="F77" s="21" t="inlineStr">
        <is>
          <t>Oui</t>
        </is>
      </c>
    </row>
    <row r="78">
      <c r="A78" s="21" t="inlineStr">
        <is>
          <t>617d</t>
        </is>
      </c>
      <c r="B78" s="21" t="inlineStr">
        <is>
          <t>Appui à la publication des travaux de recherche</t>
        </is>
      </c>
      <c r="C78" s="21" t="inlineStr">
        <is>
          <t>Depense</t>
        </is>
      </c>
      <c r="D78" s="21" t="inlineStr">
        <is>
          <t>Sous-article</t>
        </is>
      </c>
      <c r="E78" s="21" t="inlineStr">
        <is>
          <t>EMSP</t>
        </is>
      </c>
      <c r="F78" s="21" t="inlineStr">
        <is>
          <t>Oui</t>
        </is>
      </c>
    </row>
    <row r="79">
      <c r="A79" s="21" t="inlineStr">
        <is>
          <t>617e</t>
        </is>
      </c>
      <c r="B79" s="21" t="inlineStr">
        <is>
          <t>Indemnité d'encadrement</t>
        </is>
      </c>
      <c r="C79" s="21" t="inlineStr">
        <is>
          <t>Depense</t>
        </is>
      </c>
      <c r="D79" s="21" t="inlineStr">
        <is>
          <t>Sous-article</t>
        </is>
      </c>
      <c r="E79" s="21" t="inlineStr">
        <is>
          <t>EMSP</t>
        </is>
      </c>
      <c r="F79" s="21" t="inlineStr">
        <is>
          <t>Oui</t>
        </is>
      </c>
    </row>
    <row r="80">
      <c r="A80" s="21" t="inlineStr">
        <is>
          <t>618</t>
        </is>
      </c>
      <c r="B80" s="21" t="inlineStr">
        <is>
          <t>Divers — abonnement documentation et reprographie</t>
        </is>
      </c>
      <c r="C80" s="21" t="inlineStr">
        <is>
          <t>Depense</t>
        </is>
      </c>
      <c r="D80" s="21" t="inlineStr">
        <is>
          <t>Article</t>
        </is>
      </c>
      <c r="E80" s="21" t="inlineStr">
        <is>
          <t>OHADA</t>
        </is>
      </c>
      <c r="F80" s="21" t="inlineStr">
        <is>
          <t>Oui</t>
        </is>
      </c>
    </row>
    <row r="81">
      <c r="A81" s="21" t="inlineStr">
        <is>
          <t>621</t>
        </is>
      </c>
      <c r="B81" s="21" t="inlineStr">
        <is>
          <t>Personnel extérieur</t>
        </is>
      </c>
      <c r="C81" s="21" t="inlineStr">
        <is>
          <t>Depense</t>
        </is>
      </c>
      <c r="D81" s="21" t="inlineStr">
        <is>
          <t>Article</t>
        </is>
      </c>
      <c r="E81" s="21" t="inlineStr">
        <is>
          <t>OHADA</t>
        </is>
      </c>
      <c r="F81" s="21" t="inlineStr">
        <is>
          <t>Oui</t>
        </is>
      </c>
    </row>
    <row r="82">
      <c r="A82" s="21" t="inlineStr">
        <is>
          <t>621a</t>
        </is>
      </c>
      <c r="B82" s="21" t="inlineStr">
        <is>
          <t>Personnel détaché</t>
        </is>
      </c>
      <c r="C82" s="21" t="inlineStr">
        <is>
          <t>Depense</t>
        </is>
      </c>
      <c r="D82" s="21" t="inlineStr">
        <is>
          <t>Sous-article</t>
        </is>
      </c>
      <c r="E82" s="21" t="inlineStr">
        <is>
          <t>EMSP</t>
        </is>
      </c>
      <c r="F82" s="21" t="inlineStr">
        <is>
          <t>Oui</t>
        </is>
      </c>
    </row>
    <row r="83">
      <c r="A83" s="21" t="inlineStr">
        <is>
          <t>622</t>
        </is>
      </c>
      <c r="B83" s="21" t="inlineStr">
        <is>
          <t>Rémunération d'intermédiaires et honoraires</t>
        </is>
      </c>
      <c r="C83" s="21" t="inlineStr">
        <is>
          <t>Depense</t>
        </is>
      </c>
      <c r="D83" s="21" t="inlineStr">
        <is>
          <t>Article</t>
        </is>
      </c>
      <c r="E83" s="21" t="inlineStr">
        <is>
          <t>OHADA</t>
        </is>
      </c>
      <c r="F83" s="21" t="inlineStr">
        <is>
          <t>Oui</t>
        </is>
      </c>
    </row>
    <row r="84">
      <c r="A84" s="21" t="inlineStr">
        <is>
          <t>622a</t>
        </is>
      </c>
      <c r="B84" s="21" t="inlineStr">
        <is>
          <t>Rémunération des transitaires</t>
        </is>
      </c>
      <c r="C84" s="21" t="inlineStr">
        <is>
          <t>Depense</t>
        </is>
      </c>
      <c r="D84" s="21" t="inlineStr">
        <is>
          <t>Sous-article</t>
        </is>
      </c>
      <c r="E84" s="21" t="inlineStr">
        <is>
          <t>EMSP</t>
        </is>
      </c>
      <c r="F84" s="21" t="inlineStr">
        <is>
          <t>Oui</t>
        </is>
      </c>
    </row>
    <row r="85">
      <c r="A85" s="21" t="inlineStr">
        <is>
          <t>623</t>
        </is>
      </c>
      <c r="B85" s="21" t="inlineStr">
        <is>
          <t>Publicité, relations publiques, annonces et insertions</t>
        </is>
      </c>
      <c r="C85" s="21" t="inlineStr">
        <is>
          <t>Depense</t>
        </is>
      </c>
      <c r="D85" s="21" t="inlineStr">
        <is>
          <t>Article</t>
        </is>
      </c>
      <c r="E85" s="21" t="inlineStr">
        <is>
          <t>OHADA</t>
        </is>
      </c>
      <c r="F85" s="21" t="inlineStr">
        <is>
          <t>Oui</t>
        </is>
      </c>
    </row>
    <row r="86">
      <c r="A86" s="21" t="inlineStr">
        <is>
          <t>625</t>
        </is>
      </c>
      <c r="B86" s="21" t="inlineStr">
        <is>
          <t>Déplacements, missions et réceptions</t>
        </is>
      </c>
      <c r="C86" s="21" t="inlineStr">
        <is>
          <t>Depense</t>
        </is>
      </c>
      <c r="D86" s="21" t="inlineStr">
        <is>
          <t>Article</t>
        </is>
      </c>
      <c r="E86" s="21" t="inlineStr">
        <is>
          <t>OHADA</t>
        </is>
      </c>
      <c r="F86" s="21" t="inlineStr">
        <is>
          <t>Oui</t>
        </is>
      </c>
    </row>
    <row r="87">
      <c r="A87" s="21" t="inlineStr">
        <is>
          <t>625 (récep.)</t>
        </is>
      </c>
      <c r="B87" s="21" t="inlineStr">
        <is>
          <t>Réception</t>
        </is>
      </c>
      <c r="C87" s="21" t="inlineStr">
        <is>
          <t>Depense</t>
        </is>
      </c>
      <c r="D87" s="21" t="inlineStr">
        <is>
          <t>Sous-article</t>
        </is>
      </c>
      <c r="E87" s="21" t="inlineStr">
        <is>
          <t>EMSP</t>
        </is>
      </c>
      <c r="F87" s="21" t="inlineStr">
        <is>
          <t>Oui</t>
        </is>
      </c>
    </row>
    <row r="88">
      <c r="A88" s="21" t="inlineStr">
        <is>
          <t>625b</t>
        </is>
      </c>
      <c r="B88" s="21" t="inlineStr">
        <is>
          <t>Transport et mission externe</t>
        </is>
      </c>
      <c r="C88" s="21" t="inlineStr">
        <is>
          <t>Depense</t>
        </is>
      </c>
      <c r="D88" s="21" t="inlineStr">
        <is>
          <t>Sous-article</t>
        </is>
      </c>
      <c r="E88" s="21" t="inlineStr">
        <is>
          <t>EMSP</t>
        </is>
      </c>
      <c r="F88" s="21" t="inlineStr">
        <is>
          <t>Oui</t>
        </is>
      </c>
    </row>
    <row r="89">
      <c r="A89" s="21" t="inlineStr">
        <is>
          <t>625c</t>
        </is>
      </c>
      <c r="B89" s="21" t="inlineStr">
        <is>
          <t>Transport et mission interne</t>
        </is>
      </c>
      <c r="C89" s="21" t="inlineStr">
        <is>
          <t>Depense</t>
        </is>
      </c>
      <c r="D89" s="21" t="inlineStr">
        <is>
          <t>Sous-article</t>
        </is>
      </c>
      <c r="E89" s="21" t="inlineStr">
        <is>
          <t>EMSP</t>
        </is>
      </c>
      <c r="F89" s="21" t="inlineStr">
        <is>
          <t>Oui</t>
        </is>
      </c>
    </row>
    <row r="90">
      <c r="A90" s="21" t="inlineStr">
        <is>
          <t>626</t>
        </is>
      </c>
      <c r="B90" s="21" t="inlineStr">
        <is>
          <t>Frais postaux et de télécommunication</t>
        </is>
      </c>
      <c r="C90" s="21" t="inlineStr">
        <is>
          <t>Depense</t>
        </is>
      </c>
      <c r="D90" s="21" t="inlineStr">
        <is>
          <t>Article</t>
        </is>
      </c>
      <c r="E90" s="21" t="inlineStr">
        <is>
          <t>OHADA</t>
        </is>
      </c>
      <c r="F90" s="21" t="inlineStr">
        <is>
          <t>Oui</t>
        </is>
      </c>
    </row>
    <row r="91">
      <c r="A91" s="21" t="inlineStr">
        <is>
          <t>626 (tel.)</t>
        </is>
      </c>
      <c r="B91" s="21" t="inlineStr">
        <is>
          <t>Téléphone, fax, Internet</t>
        </is>
      </c>
      <c r="C91" s="21" t="inlineStr">
        <is>
          <t>Depense</t>
        </is>
      </c>
      <c r="D91" s="21" t="inlineStr">
        <is>
          <t>Sous-article</t>
        </is>
      </c>
      <c r="E91" s="21" t="inlineStr">
        <is>
          <t>EMSP</t>
        </is>
      </c>
      <c r="F91" s="21" t="inlineStr">
        <is>
          <t>Oui</t>
        </is>
      </c>
    </row>
    <row r="92">
      <c r="A92" s="21" t="inlineStr">
        <is>
          <t>627</t>
        </is>
      </c>
      <c r="B92" s="21" t="inlineStr">
        <is>
          <t>Services bancaires et assimilés</t>
        </is>
      </c>
      <c r="C92" s="21" t="inlineStr">
        <is>
          <t>Depense</t>
        </is>
      </c>
      <c r="D92" s="21" t="inlineStr">
        <is>
          <t>Article</t>
        </is>
      </c>
      <c r="E92" s="21" t="inlineStr">
        <is>
          <t>OHADA</t>
        </is>
      </c>
      <c r="F92" s="21" t="inlineStr">
        <is>
          <t>Oui</t>
        </is>
      </c>
    </row>
    <row r="93">
      <c r="A93" s="21" t="inlineStr">
        <is>
          <t>641</t>
        </is>
      </c>
      <c r="B93" s="21" t="inlineStr">
        <is>
          <t>Rémunérations du personnel</t>
        </is>
      </c>
      <c r="C93" s="21" t="inlineStr">
        <is>
          <t>Depense</t>
        </is>
      </c>
      <c r="D93" s="21" t="inlineStr">
        <is>
          <t>Article</t>
        </is>
      </c>
      <c r="E93" s="21" t="inlineStr">
        <is>
          <t>OHADA</t>
        </is>
      </c>
      <c r="F93" s="21" t="inlineStr">
        <is>
          <t>Oui</t>
        </is>
      </c>
    </row>
    <row r="94">
      <c r="A94" s="21" t="inlineStr">
        <is>
          <t>642</t>
        </is>
      </c>
      <c r="B94" s="21" t="inlineStr">
        <is>
          <t>Cours complémentaires (heures supplémentaires)</t>
        </is>
      </c>
      <c r="C94" s="21" t="inlineStr">
        <is>
          <t>Depense</t>
        </is>
      </c>
      <c r="D94" s="21" t="inlineStr">
        <is>
          <t>Article</t>
        </is>
      </c>
      <c r="E94" s="21" t="inlineStr">
        <is>
          <t>OHADA</t>
        </is>
      </c>
      <c r="F94" s="21" t="inlineStr">
        <is>
          <t>Oui</t>
        </is>
      </c>
    </row>
    <row r="95">
      <c r="A95" s="21" t="inlineStr">
        <is>
          <t>645</t>
        </is>
      </c>
      <c r="B95" s="21" t="inlineStr">
        <is>
          <t>Charges de prévoyance</t>
        </is>
      </c>
      <c r="C95" s="21" t="inlineStr">
        <is>
          <t>Depense</t>
        </is>
      </c>
      <c r="D95" s="21" t="inlineStr">
        <is>
          <t>Article</t>
        </is>
      </c>
      <c r="E95" s="21" t="inlineStr">
        <is>
          <t>OHADA</t>
        </is>
      </c>
      <c r="F95" s="21" t="inlineStr">
        <is>
          <t>Oui</t>
        </is>
      </c>
    </row>
    <row r="96">
      <c r="A96" s="21" t="inlineStr">
        <is>
          <t>648</t>
        </is>
      </c>
      <c r="B96" s="21" t="inlineStr">
        <is>
          <t>Formation du personnel administratif</t>
        </is>
      </c>
      <c r="C96" s="21" t="inlineStr">
        <is>
          <t>Depense</t>
        </is>
      </c>
      <c r="D96" s="21" t="inlineStr">
        <is>
          <t>Article</t>
        </is>
      </c>
      <c r="E96" s="21" t="inlineStr">
        <is>
          <t>OHADA</t>
        </is>
      </c>
      <c r="F96" s="21" t="inlineStr">
        <is>
          <t>Oui</t>
        </is>
      </c>
    </row>
    <row r="97">
      <c r="A97" s="21" t="inlineStr">
        <is>
          <t>653</t>
        </is>
      </c>
      <c r="B97" s="21" t="inlineStr">
        <is>
          <t>Jetons de présence (conseil des composantes)</t>
        </is>
      </c>
      <c r="C97" s="21" t="inlineStr">
        <is>
          <t>Depense</t>
        </is>
      </c>
      <c r="D97" s="21" t="inlineStr">
        <is>
          <t>Article</t>
        </is>
      </c>
      <c r="E97" s="21" t="inlineStr">
        <is>
          <t>OHADA</t>
        </is>
      </c>
      <c r="F97" s="21" t="inlineStr">
        <is>
          <t>Oui</t>
        </is>
      </c>
    </row>
    <row r="98">
      <c r="A98" s="21" t="inlineStr">
        <is>
          <t>658</t>
        </is>
      </c>
      <c r="B98" s="21" t="inlineStr">
        <is>
          <t>Charges diverses de gestion</t>
        </is>
      </c>
      <c r="C98" s="21" t="inlineStr">
        <is>
          <t>Depense</t>
        </is>
      </c>
      <c r="D98" s="21" t="inlineStr">
        <is>
          <t>Article</t>
        </is>
      </c>
      <c r="E98" s="21" t="inlineStr">
        <is>
          <t>OHADA</t>
        </is>
      </c>
      <c r="F98" s="21" t="inlineStr">
        <is>
          <t>Oui</t>
        </is>
      </c>
    </row>
    <row r="99">
      <c r="A99" s="21" t="inlineStr">
        <is>
          <t>658a</t>
        </is>
      </c>
      <c r="B99" s="21" t="inlineStr">
        <is>
          <t>Frais de stage</t>
        </is>
      </c>
      <c r="C99" s="21" t="inlineStr">
        <is>
          <t>Depense</t>
        </is>
      </c>
      <c r="D99" s="21" t="inlineStr">
        <is>
          <t>Sous-article</t>
        </is>
      </c>
      <c r="E99" s="21" t="inlineStr">
        <is>
          <t>EMSP</t>
        </is>
      </c>
      <c r="F99" s="21" t="inlineStr">
        <is>
          <t>Oui</t>
        </is>
      </c>
    </row>
    <row r="100">
      <c r="A100" s="21" t="inlineStr">
        <is>
          <t>658b</t>
        </is>
      </c>
      <c r="B100" s="21" t="inlineStr">
        <is>
          <t>Couverture sanitaire</t>
        </is>
      </c>
      <c r="C100" s="21" t="inlineStr">
        <is>
          <t>Depense</t>
        </is>
      </c>
      <c r="D100" s="21" t="inlineStr">
        <is>
          <t>Sous-article</t>
        </is>
      </c>
      <c r="E100" s="21" t="inlineStr">
        <is>
          <t>EMSP</t>
        </is>
      </c>
      <c r="F100" s="21" t="inlineStr">
        <is>
          <t>Oui</t>
        </is>
      </c>
    </row>
    <row r="101">
      <c r="A101" s="21" t="inlineStr">
        <is>
          <t>658d</t>
        </is>
      </c>
      <c r="B101" s="21" t="inlineStr">
        <is>
          <t>Subvention à la vie scolaire</t>
        </is>
      </c>
      <c r="C101" s="21" t="inlineStr">
        <is>
          <t>Depense</t>
        </is>
      </c>
      <c r="D101" s="21" t="inlineStr">
        <is>
          <t>Sous-article</t>
        </is>
      </c>
      <c r="E101" s="21" t="inlineStr">
        <is>
          <t>EMSP</t>
        </is>
      </c>
      <c r="F101" s="21" t="inlineStr">
        <is>
          <t>Oui</t>
        </is>
      </c>
    </row>
    <row r="102">
      <c r="A102" s="21" t="inlineStr">
        <is>
          <t>6022</t>
        </is>
      </c>
      <c r="B102" s="21" t="inlineStr">
        <is>
          <t>Fournitures consommables</t>
        </is>
      </c>
      <c r="C102" s="21" t="inlineStr">
        <is>
          <t>Depense</t>
        </is>
      </c>
      <c r="D102" s="21" t="inlineStr">
        <is>
          <t>Sous-article</t>
        </is>
      </c>
      <c r="E102" s="21" t="inlineStr">
        <is>
          <t>OHADA</t>
        </is>
      </c>
      <c r="F102" s="21" t="inlineStr">
        <is>
          <t>Oui</t>
        </is>
      </c>
    </row>
    <row r="103">
      <c r="A103" s="21" t="inlineStr">
        <is>
          <t>6022B</t>
        </is>
      </c>
      <c r="B103" s="21" t="inlineStr">
        <is>
          <t>Fournitures d'examens</t>
        </is>
      </c>
      <c r="C103" s="21" t="inlineStr">
        <is>
          <t>Depense</t>
        </is>
      </c>
      <c r="D103" s="21" t="inlineStr">
        <is>
          <t>Sous-article</t>
        </is>
      </c>
      <c r="E103" s="21" t="inlineStr">
        <is>
          <t>EMSP</t>
        </is>
      </c>
      <c r="F103" s="21" t="inlineStr">
        <is>
          <t>Oui</t>
        </is>
      </c>
    </row>
    <row r="104">
      <c r="A104" s="21" t="inlineStr">
        <is>
          <t>6025</t>
        </is>
      </c>
      <c r="B104" s="21" t="inlineStr">
        <is>
          <t>Carburant et lubrifiant (groupe électrogène)</t>
        </is>
      </c>
      <c r="C104" s="21" t="inlineStr">
        <is>
          <t>Depense</t>
        </is>
      </c>
      <c r="D104" s="21" t="inlineStr">
        <is>
          <t>Sous-article</t>
        </is>
      </c>
      <c r="E104" s="21" t="inlineStr">
        <is>
          <t>OHADA</t>
        </is>
      </c>
      <c r="F104" s="21" t="inlineStr">
        <is>
          <t>Oui</t>
        </is>
      </c>
    </row>
    <row r="105">
      <c r="A105" s="21" t="inlineStr">
        <is>
          <t>6061</t>
        </is>
      </c>
      <c r="B105" s="21" t="inlineStr">
        <is>
          <t>Eau et électricité</t>
        </is>
      </c>
      <c r="C105" s="21" t="inlineStr">
        <is>
          <t>Depense</t>
        </is>
      </c>
      <c r="D105" s="21" t="inlineStr">
        <is>
          <t>Sous-article</t>
        </is>
      </c>
      <c r="E105" s="21" t="inlineStr">
        <is>
          <t>OHADA</t>
        </is>
      </c>
      <c r="F105" s="21" t="inlineStr">
        <is>
          <t>Oui</t>
        </is>
      </c>
    </row>
    <row r="106">
      <c r="A106" s="21" t="inlineStr">
        <is>
          <t>6063</t>
        </is>
      </c>
      <c r="B106" s="21" t="inlineStr">
        <is>
          <t>Autres (fournitures de laboratoire…)</t>
        </is>
      </c>
      <c r="C106" s="21" t="inlineStr">
        <is>
          <t>Depense</t>
        </is>
      </c>
      <c r="D106" s="21" t="inlineStr">
        <is>
          <t>Sous-article</t>
        </is>
      </c>
      <c r="E106" s="21" t="inlineStr">
        <is>
          <t>OHADA</t>
        </is>
      </c>
      <c r="F106" s="21" t="inlineStr">
        <is>
          <t>Oui</t>
        </is>
      </c>
    </row>
    <row r="107">
      <c r="A107" s="21" t="inlineStr">
        <is>
          <t>6155a</t>
        </is>
      </c>
      <c r="B107" s="21" t="inlineStr">
        <is>
          <t>Entretien du matériel commun</t>
        </is>
      </c>
      <c r="C107" s="21" t="inlineStr">
        <is>
          <t>Depense</t>
        </is>
      </c>
      <c r="D107" s="21" t="inlineStr">
        <is>
          <t>Sous-article</t>
        </is>
      </c>
      <c r="E107" s="21" t="inlineStr">
        <is>
          <t>EMSP</t>
        </is>
      </c>
      <c r="F107" s="21" t="inlineStr">
        <is>
          <t>Oui</t>
        </is>
      </c>
    </row>
    <row r="108">
      <c r="A108" s="21" t="inlineStr">
        <is>
          <t>6163</t>
        </is>
      </c>
      <c r="B108" s="21" t="inlineStr">
        <is>
          <t>Assurances automobiles</t>
        </is>
      </c>
      <c r="C108" s="21" t="inlineStr">
        <is>
          <t>Depense</t>
        </is>
      </c>
      <c r="D108" s="21" t="inlineStr">
        <is>
          <t>Sous-article</t>
        </is>
      </c>
      <c r="E108" s="21" t="inlineStr">
        <is>
          <t>OHADA</t>
        </is>
      </c>
      <c r="F108" s="21" t="inlineStr">
        <is>
          <t>Oui</t>
        </is>
      </c>
    </row>
    <row r="109">
      <c r="A109" s="21" t="inlineStr">
        <is>
          <t>6163A</t>
        </is>
      </c>
      <c r="B109" s="21" t="inlineStr">
        <is>
          <t>Assurances étudiantes</t>
        </is>
      </c>
      <c r="C109" s="21" t="inlineStr">
        <is>
          <t>Depense</t>
        </is>
      </c>
      <c r="D109" s="21" t="inlineStr">
        <is>
          <t>Sous-article</t>
        </is>
      </c>
      <c r="E109" s="21" t="inlineStr">
        <is>
          <t>EMSP</t>
        </is>
      </c>
      <c r="F109" s="21" t="inlineStr">
        <is>
          <t>Oui</t>
        </is>
      </c>
    </row>
    <row r="110">
      <c r="A110" s="21" t="inlineStr">
        <is>
          <t>6185</t>
        </is>
      </c>
      <c r="B110" s="21" t="inlineStr">
        <is>
          <t>Conférence et séminaire</t>
        </is>
      </c>
      <c r="C110" s="21" t="inlineStr">
        <is>
          <t>Depense</t>
        </is>
      </c>
      <c r="D110" s="21" t="inlineStr">
        <is>
          <t>Sous-article</t>
        </is>
      </c>
      <c r="E110" s="21" t="inlineStr">
        <is>
          <t>OHADA</t>
        </is>
      </c>
      <c r="F110" s="21" t="inlineStr">
        <is>
          <t>Oui</t>
        </is>
      </c>
    </row>
    <row r="111">
      <c r="A111" s="21" t="inlineStr">
        <is>
          <t>13</t>
        </is>
      </c>
      <c r="B111" s="21" t="inlineStr">
        <is>
          <t>Subvention d'investissement</t>
        </is>
      </c>
      <c r="C111" s="21" t="inlineStr">
        <is>
          <t>Investissement</t>
        </is>
      </c>
      <c r="D111" s="21" t="inlineStr">
        <is>
          <t>Chapitre</t>
        </is>
      </c>
      <c r="E111" s="21" t="inlineStr">
        <is>
          <t>OHADA</t>
        </is>
      </c>
      <c r="F111" s="21" t="inlineStr">
        <is>
          <t>Oui</t>
        </is>
      </c>
    </row>
    <row r="112">
      <c r="A112" s="21" t="inlineStr">
        <is>
          <t>16</t>
        </is>
      </c>
      <c r="B112" s="21" t="inlineStr">
        <is>
          <t>Remboursement des dettes (168 Autres dettes)</t>
        </is>
      </c>
      <c r="C112" s="21" t="inlineStr">
        <is>
          <t>Investissement</t>
        </is>
      </c>
      <c r="D112" s="21" t="inlineStr">
        <is>
          <t>Chapitre</t>
        </is>
      </c>
      <c r="E112" s="21" t="inlineStr">
        <is>
          <t>OHADA</t>
        </is>
      </c>
      <c r="F112" s="21" t="inlineStr">
        <is>
          <t>Oui</t>
        </is>
      </c>
    </row>
    <row r="113">
      <c r="A113" s="21" t="inlineStr">
        <is>
          <t>20</t>
        </is>
      </c>
      <c r="B113" s="21" t="inlineStr">
        <is>
          <t>Immobilisations incorporelles (208 Autres)</t>
        </is>
      </c>
      <c r="C113" s="21" t="inlineStr">
        <is>
          <t>Investissement</t>
        </is>
      </c>
      <c r="D113" s="21" t="inlineStr">
        <is>
          <t>Chapitre</t>
        </is>
      </c>
      <c r="E113" s="21" t="inlineStr">
        <is>
          <t>OHADA</t>
        </is>
      </c>
      <c r="F113" s="21" t="inlineStr">
        <is>
          <t>Oui</t>
        </is>
      </c>
    </row>
    <row r="114">
      <c r="A114" s="21" t="inlineStr">
        <is>
          <t>21</t>
        </is>
      </c>
      <c r="B114" s="21" t="inlineStr">
        <is>
          <t>Immobilisations corporelles</t>
        </is>
      </c>
      <c r="C114" s="21" t="inlineStr">
        <is>
          <t>Investissement</t>
        </is>
      </c>
      <c r="D114" s="21" t="inlineStr">
        <is>
          <t>Chapitre</t>
        </is>
      </c>
      <c r="E114" s="21" t="inlineStr">
        <is>
          <t>OHADA</t>
        </is>
      </c>
      <c r="F114" s="21" t="inlineStr">
        <is>
          <t>Oui</t>
        </is>
      </c>
    </row>
    <row r="115">
      <c r="A115" s="21" t="inlineStr">
        <is>
          <t>22</t>
        </is>
      </c>
      <c r="B115" s="21" t="inlineStr">
        <is>
          <t>Terrains</t>
        </is>
      </c>
      <c r="C115" s="21" t="inlineStr">
        <is>
          <t>Investissement</t>
        </is>
      </c>
      <c r="D115" s="21" t="inlineStr">
        <is>
          <t>Chapitre</t>
        </is>
      </c>
      <c r="E115" s="21" t="inlineStr">
        <is>
          <t>OHADA</t>
        </is>
      </c>
      <c r="F115" s="21" t="inlineStr">
        <is>
          <t>Non</t>
        </is>
      </c>
    </row>
    <row r="116">
      <c r="A116" s="21" t="inlineStr">
        <is>
          <t>23</t>
        </is>
      </c>
      <c r="B116" s="21" t="inlineStr">
        <is>
          <t>Batiments, Installations Techniques Et Agencements</t>
        </is>
      </c>
      <c r="C116" s="21" t="inlineStr">
        <is>
          <t>Investissement</t>
        </is>
      </c>
      <c r="D116" s="21" t="inlineStr">
        <is>
          <t>Chapitre</t>
        </is>
      </c>
      <c r="E116" s="21" t="inlineStr">
        <is>
          <t>OHADA</t>
        </is>
      </c>
      <c r="F116" s="21" t="inlineStr">
        <is>
          <t>Non</t>
        </is>
      </c>
    </row>
    <row r="117">
      <c r="A117" s="21" t="inlineStr">
        <is>
          <t>25</t>
        </is>
      </c>
      <c r="B117" s="21" t="inlineStr">
        <is>
          <t>Avances Et Acomptes Verses Sur Immobilisations</t>
        </is>
      </c>
      <c r="C117" s="21" t="inlineStr">
        <is>
          <t>Investissement</t>
        </is>
      </c>
      <c r="D117" s="21" t="inlineStr">
        <is>
          <t>Chapitre</t>
        </is>
      </c>
      <c r="E117" s="21" t="inlineStr">
        <is>
          <t>OHADA</t>
        </is>
      </c>
      <c r="F117" s="21" t="inlineStr">
        <is>
          <t>Non</t>
        </is>
      </c>
    </row>
    <row r="118">
      <c r="A118" s="21" t="inlineStr">
        <is>
          <t>26</t>
        </is>
      </c>
      <c r="B118" s="21" t="inlineStr">
        <is>
          <t>Titres De Participation</t>
        </is>
      </c>
      <c r="C118" s="21" t="inlineStr">
        <is>
          <t>Investissement</t>
        </is>
      </c>
      <c r="D118" s="21" t="inlineStr">
        <is>
          <t>Chapitre</t>
        </is>
      </c>
      <c r="E118" s="21" t="inlineStr">
        <is>
          <t>OHADA</t>
        </is>
      </c>
      <c r="F118" s="21" t="inlineStr">
        <is>
          <t>Non</t>
        </is>
      </c>
    </row>
    <row r="119">
      <c r="A119" s="21" t="inlineStr">
        <is>
          <t>27</t>
        </is>
      </c>
      <c r="B119" s="21" t="inlineStr">
        <is>
          <t>Autres Immobilisations Financieres</t>
        </is>
      </c>
      <c r="C119" s="21" t="inlineStr">
        <is>
          <t>Investissement</t>
        </is>
      </c>
      <c r="D119" s="21" t="inlineStr">
        <is>
          <t>Chapitre</t>
        </is>
      </c>
      <c r="E119" s="21" t="inlineStr">
        <is>
          <t>OHADA</t>
        </is>
      </c>
      <c r="F119" s="21" t="inlineStr">
        <is>
          <t>Non</t>
        </is>
      </c>
    </row>
    <row r="120">
      <c r="A120" s="21" t="inlineStr">
        <is>
          <t>28</t>
        </is>
      </c>
      <c r="B120" s="21" t="inlineStr">
        <is>
          <t>Amortissements</t>
        </is>
      </c>
      <c r="C120" s="21" t="inlineStr">
        <is>
          <t>Investissement</t>
        </is>
      </c>
      <c r="D120" s="21" t="inlineStr">
        <is>
          <t>Chapitre</t>
        </is>
      </c>
      <c r="E120" s="21" t="inlineStr">
        <is>
          <t>OHADA</t>
        </is>
      </c>
      <c r="F120" s="21" t="inlineStr">
        <is>
          <t>Non</t>
        </is>
      </c>
    </row>
    <row r="121">
      <c r="A121" s="21" t="inlineStr">
        <is>
          <t>29</t>
        </is>
      </c>
      <c r="B121" s="21" t="inlineStr">
        <is>
          <t>Provisions Pour Depreciation</t>
        </is>
      </c>
      <c r="C121" s="21" t="inlineStr">
        <is>
          <t>Investissement</t>
        </is>
      </c>
      <c r="D121" s="21" t="inlineStr">
        <is>
          <t>Chapitre</t>
        </is>
      </c>
      <c r="E121" s="21" t="inlineStr">
        <is>
          <t>OHADA</t>
        </is>
      </c>
      <c r="F121" s="21" t="inlineStr">
        <is>
          <t>Non</t>
        </is>
      </c>
    </row>
    <row r="122">
      <c r="A122" s="21" t="inlineStr">
        <is>
          <t>201</t>
        </is>
      </c>
      <c r="B122" s="21" t="inlineStr">
        <is>
          <t>Frais D'Etablissement</t>
        </is>
      </c>
      <c r="C122" s="21" t="inlineStr">
        <is>
          <t>Investissement</t>
        </is>
      </c>
      <c r="D122" s="21" t="inlineStr">
        <is>
          <t>Article</t>
        </is>
      </c>
      <c r="E122" s="21" t="inlineStr">
        <is>
          <t>OHADA</t>
        </is>
      </c>
      <c r="F122" s="21" t="inlineStr">
        <is>
          <t>Non</t>
        </is>
      </c>
    </row>
    <row r="123">
      <c r="A123" s="21" t="inlineStr">
        <is>
          <t>202</t>
        </is>
      </c>
      <c r="B123" s="21" t="inlineStr">
        <is>
          <t>Charges A Repartir Sur Plusieurs Exercices</t>
        </is>
      </c>
      <c r="C123" s="21" t="inlineStr">
        <is>
          <t>Investissement</t>
        </is>
      </c>
      <c r="D123" s="21" t="inlineStr">
        <is>
          <t>Article</t>
        </is>
      </c>
      <c r="E123" s="21" t="inlineStr">
        <is>
          <t>OHADA</t>
        </is>
      </c>
      <c r="F123" s="21" t="inlineStr">
        <is>
          <t>Non</t>
        </is>
      </c>
    </row>
    <row r="124">
      <c r="A124" s="21" t="inlineStr">
        <is>
          <t>206</t>
        </is>
      </c>
      <c r="B124" s="21" t="inlineStr">
        <is>
          <t>Primes De Remboursement Des Obligations</t>
        </is>
      </c>
      <c r="C124" s="21" t="inlineStr">
        <is>
          <t>Investissement</t>
        </is>
      </c>
      <c r="D124" s="21" t="inlineStr">
        <is>
          <t>Article</t>
        </is>
      </c>
      <c r="E124" s="21" t="inlineStr">
        <is>
          <t>OHADA</t>
        </is>
      </c>
      <c r="F124" s="21" t="inlineStr">
        <is>
          <t>Non</t>
        </is>
      </c>
    </row>
    <row r="125">
      <c r="A125" s="21" t="inlineStr">
        <is>
          <t>211</t>
        </is>
      </c>
      <c r="B125" s="21" t="inlineStr">
        <is>
          <t>Frais De Recherche Et De Developpement</t>
        </is>
      </c>
      <c r="C125" s="21" t="inlineStr">
        <is>
          <t>Investissement</t>
        </is>
      </c>
      <c r="D125" s="21" t="inlineStr">
        <is>
          <t>Article</t>
        </is>
      </c>
      <c r="E125" s="21" t="inlineStr">
        <is>
          <t>OHADA</t>
        </is>
      </c>
      <c r="F125" s="21" t="inlineStr">
        <is>
          <t>Non</t>
        </is>
      </c>
    </row>
    <row r="126">
      <c r="A126" s="21" t="inlineStr">
        <is>
          <t>213</t>
        </is>
      </c>
      <c r="B126" s="21" t="inlineStr">
        <is>
          <t>Constructions</t>
        </is>
      </c>
      <c r="C126" s="21" t="inlineStr">
        <is>
          <t>Investissement</t>
        </is>
      </c>
      <c r="D126" s="21" t="inlineStr">
        <is>
          <t>Article</t>
        </is>
      </c>
      <c r="E126" s="21" t="inlineStr">
        <is>
          <t>OHADA</t>
        </is>
      </c>
      <c r="F126" s="21" t="inlineStr">
        <is>
          <t>Oui</t>
        </is>
      </c>
    </row>
    <row r="127">
      <c r="A127" s="21" t="inlineStr">
        <is>
          <t>214</t>
        </is>
      </c>
      <c r="B127" s="21" t="inlineStr">
        <is>
          <t>Marques</t>
        </is>
      </c>
      <c r="C127" s="21" t="inlineStr">
        <is>
          <t>Investissement</t>
        </is>
      </c>
      <c r="D127" s="21" t="inlineStr">
        <is>
          <t>Article</t>
        </is>
      </c>
      <c r="E127" s="21" t="inlineStr">
        <is>
          <t>OHADA</t>
        </is>
      </c>
      <c r="F127" s="21" t="inlineStr">
        <is>
          <t>Non</t>
        </is>
      </c>
    </row>
    <row r="128">
      <c r="A128" s="21" t="inlineStr">
        <is>
          <t>215</t>
        </is>
      </c>
      <c r="B128" s="21" t="inlineStr">
        <is>
          <t>Installations techniques</t>
        </is>
      </c>
      <c r="C128" s="21" t="inlineStr">
        <is>
          <t>Investissement</t>
        </is>
      </c>
      <c r="D128" s="21" t="inlineStr">
        <is>
          <t>Article</t>
        </is>
      </c>
      <c r="E128" s="21" t="inlineStr">
        <is>
          <t>OHADA</t>
        </is>
      </c>
      <c r="F128" s="21" t="inlineStr">
        <is>
          <t>Oui</t>
        </is>
      </c>
    </row>
    <row r="129">
      <c r="A129" s="21" t="inlineStr">
        <is>
          <t>216</t>
        </is>
      </c>
      <c r="B129" s="21" t="inlineStr">
        <is>
          <t>Droit Au Bail</t>
        </is>
      </c>
      <c r="C129" s="21" t="inlineStr">
        <is>
          <t>Investissement</t>
        </is>
      </c>
      <c r="D129" s="21" t="inlineStr">
        <is>
          <t>Article</t>
        </is>
      </c>
      <c r="E129" s="21" t="inlineStr">
        <is>
          <t>OHADA</t>
        </is>
      </c>
      <c r="F129" s="21" t="inlineStr">
        <is>
          <t>Non</t>
        </is>
      </c>
    </row>
    <row r="130">
      <c r="A130" s="21" t="inlineStr">
        <is>
          <t>217</t>
        </is>
      </c>
      <c r="B130" s="21" t="inlineStr">
        <is>
          <t>Investissements De Creation</t>
        </is>
      </c>
      <c r="C130" s="21" t="inlineStr">
        <is>
          <t>Investissement</t>
        </is>
      </c>
      <c r="D130" s="21" t="inlineStr">
        <is>
          <t>Article</t>
        </is>
      </c>
      <c r="E130" s="21" t="inlineStr">
        <is>
          <t>OHADA</t>
        </is>
      </c>
      <c r="F130" s="21" t="inlineStr">
        <is>
          <t>Non</t>
        </is>
      </c>
    </row>
    <row r="131">
      <c r="A131" s="21" t="inlineStr">
        <is>
          <t>218</t>
        </is>
      </c>
      <c r="B131" s="21" t="inlineStr">
        <is>
          <t>Autres immobilisations corporelles</t>
        </is>
      </c>
      <c r="C131" s="21" t="inlineStr">
        <is>
          <t>Investissement</t>
        </is>
      </c>
      <c r="D131" s="21" t="inlineStr">
        <is>
          <t>Article</t>
        </is>
      </c>
      <c r="E131" s="21" t="inlineStr">
        <is>
          <t>OHADA</t>
        </is>
      </c>
      <c r="F131" s="21" t="inlineStr">
        <is>
          <t>Oui</t>
        </is>
      </c>
    </row>
    <row r="132">
      <c r="A132" s="21" t="inlineStr">
        <is>
          <t>219</t>
        </is>
      </c>
      <c r="B132" s="21" t="inlineStr">
        <is>
          <t>Immobilisations Incorporelles En Cours</t>
        </is>
      </c>
      <c r="C132" s="21" t="inlineStr">
        <is>
          <t>Investissement</t>
        </is>
      </c>
      <c r="D132" s="21" t="inlineStr">
        <is>
          <t>Article</t>
        </is>
      </c>
      <c r="E132" s="21" t="inlineStr">
        <is>
          <t>OHADA</t>
        </is>
      </c>
      <c r="F132" s="21" t="inlineStr">
        <is>
          <t>Non</t>
        </is>
      </c>
    </row>
    <row r="133">
      <c r="A133" s="21" t="inlineStr">
        <is>
          <t>221</t>
        </is>
      </c>
      <c r="B133" s="21" t="inlineStr">
        <is>
          <t>Terrains Agricoles Et Forestiers</t>
        </is>
      </c>
      <c r="C133" s="21" t="inlineStr">
        <is>
          <t>Investissement</t>
        </is>
      </c>
      <c r="D133" s="21" t="inlineStr">
        <is>
          <t>Article</t>
        </is>
      </c>
      <c r="E133" s="21" t="inlineStr">
        <is>
          <t>OHADA</t>
        </is>
      </c>
      <c r="F133" s="21" t="inlineStr">
        <is>
          <t>Non</t>
        </is>
      </c>
    </row>
    <row r="134">
      <c r="A134" s="21" t="inlineStr">
        <is>
          <t>222</t>
        </is>
      </c>
      <c r="B134" s="21" t="inlineStr">
        <is>
          <t>Terrains Nus</t>
        </is>
      </c>
      <c r="C134" s="21" t="inlineStr">
        <is>
          <t>Investissement</t>
        </is>
      </c>
      <c r="D134" s="21" t="inlineStr">
        <is>
          <t>Article</t>
        </is>
      </c>
      <c r="E134" s="21" t="inlineStr">
        <is>
          <t>OHADA</t>
        </is>
      </c>
      <c r="F134" s="21" t="inlineStr">
        <is>
          <t>Non</t>
        </is>
      </c>
    </row>
    <row r="135">
      <c r="A135" s="21" t="inlineStr">
        <is>
          <t>263</t>
        </is>
      </c>
      <c r="B135" s="21" t="inlineStr">
        <is>
          <t>Titres De Participation Dans Des Societes Conferant Une</t>
        </is>
      </c>
      <c r="C135" s="21" t="inlineStr">
        <is>
          <t>Investissement</t>
        </is>
      </c>
      <c r="D135" s="21" t="inlineStr">
        <is>
          <t>Article</t>
        </is>
      </c>
      <c r="E135" s="21" t="inlineStr">
        <is>
          <t>OHADA</t>
        </is>
      </c>
      <c r="F135" s="21" t="inlineStr">
        <is>
          <t>Non</t>
        </is>
      </c>
    </row>
    <row r="136">
      <c r="A136" s="21" t="inlineStr">
        <is>
          <t>265</t>
        </is>
      </c>
      <c r="B136" s="21" t="inlineStr">
        <is>
          <t>Participations Dans Des Organismes Professionnels</t>
        </is>
      </c>
      <c r="C136" s="21" t="inlineStr">
        <is>
          <t>Investissement</t>
        </is>
      </c>
      <c r="D136" s="21" t="inlineStr">
        <is>
          <t>Article</t>
        </is>
      </c>
      <c r="E136" s="21" t="inlineStr">
        <is>
          <t>OHADA</t>
        </is>
      </c>
      <c r="F136" s="21" t="inlineStr">
        <is>
          <t>Non</t>
        </is>
      </c>
    </row>
    <row r="137">
      <c r="A137" s="21" t="inlineStr">
        <is>
          <t>266</t>
        </is>
      </c>
      <c r="B137" s="21" t="inlineStr">
        <is>
          <t>Parts Dans Des Groupements D'Interet Economique (G.Le.)</t>
        </is>
      </c>
      <c r="C137" s="21" t="inlineStr">
        <is>
          <t>Investissement</t>
        </is>
      </c>
      <c r="D137" s="21" t="inlineStr">
        <is>
          <t>Article</t>
        </is>
      </c>
      <c r="E137" s="21" t="inlineStr">
        <is>
          <t>OHADA</t>
        </is>
      </c>
      <c r="F137" s="21" t="inlineStr">
        <is>
          <t>Non</t>
        </is>
      </c>
    </row>
    <row r="138">
      <c r="A138" s="21" t="inlineStr">
        <is>
          <t>268</t>
        </is>
      </c>
      <c r="B138" s="21" t="inlineStr">
        <is>
          <t>Autres Titres De Participation</t>
        </is>
      </c>
      <c r="C138" s="21" t="inlineStr">
        <is>
          <t>Investissement</t>
        </is>
      </c>
      <c r="D138" s="21" t="inlineStr">
        <is>
          <t>Article</t>
        </is>
      </c>
      <c r="E138" s="21" t="inlineStr">
        <is>
          <t>OHADA</t>
        </is>
      </c>
      <c r="F138" s="21" t="inlineStr">
        <is>
          <t>Non</t>
        </is>
      </c>
    </row>
    <row r="139">
      <c r="A139" s="21" t="inlineStr">
        <is>
          <t>271</t>
        </is>
      </c>
      <c r="B139" s="21" t="inlineStr">
        <is>
          <t>Prets Et Creances Non Commerciales</t>
        </is>
      </c>
      <c r="C139" s="21" t="inlineStr">
        <is>
          <t>Investissement</t>
        </is>
      </c>
      <c r="D139" s="21" t="inlineStr">
        <is>
          <t>Article</t>
        </is>
      </c>
      <c r="E139" s="21" t="inlineStr">
        <is>
          <t>OHADA</t>
        </is>
      </c>
      <c r="F139" s="21" t="inlineStr">
        <is>
          <t>Non</t>
        </is>
      </c>
    </row>
    <row r="140">
      <c r="A140" s="21" t="inlineStr">
        <is>
          <t>272</t>
        </is>
      </c>
      <c r="B140" s="21" t="inlineStr">
        <is>
          <t>Prets Au Personnel</t>
        </is>
      </c>
      <c r="C140" s="21" t="inlineStr">
        <is>
          <t>Investissement</t>
        </is>
      </c>
      <c r="D140" s="21" t="inlineStr">
        <is>
          <t>Article</t>
        </is>
      </c>
      <c r="E140" s="21" t="inlineStr">
        <is>
          <t>OHADA</t>
        </is>
      </c>
      <c r="F140" s="21" t="inlineStr">
        <is>
          <t>Non</t>
        </is>
      </c>
    </row>
    <row r="141">
      <c r="A141" s="21" t="inlineStr">
        <is>
          <t>273</t>
        </is>
      </c>
      <c r="B141" s="21" t="inlineStr">
        <is>
          <t>Creances Sur L'Etat</t>
        </is>
      </c>
      <c r="C141" s="21" t="inlineStr">
        <is>
          <t>Investissement</t>
        </is>
      </c>
      <c r="D141" s="21" t="inlineStr">
        <is>
          <t>Article</t>
        </is>
      </c>
      <c r="E141" s="21" t="inlineStr">
        <is>
          <t>OHADA</t>
        </is>
      </c>
      <c r="F141" s="21" t="inlineStr">
        <is>
          <t>Non</t>
        </is>
      </c>
    </row>
    <row r="142">
      <c r="A142" s="21" t="inlineStr">
        <is>
          <t>274</t>
        </is>
      </c>
      <c r="B142" s="21" t="inlineStr">
        <is>
          <t>Titres Immobilises</t>
        </is>
      </c>
      <c r="C142" s="21" t="inlineStr">
        <is>
          <t>Investissement</t>
        </is>
      </c>
      <c r="D142" s="21" t="inlineStr">
        <is>
          <t>Article</t>
        </is>
      </c>
      <c r="E142" s="21" t="inlineStr">
        <is>
          <t>OHADA</t>
        </is>
      </c>
      <c r="F142" s="21" t="inlineStr">
        <is>
          <t>Non</t>
        </is>
      </c>
    </row>
    <row r="143">
      <c r="A143" s="21" t="inlineStr">
        <is>
          <t>275</t>
        </is>
      </c>
      <c r="B143" s="21" t="inlineStr">
        <is>
          <t>Depots Et Cautionnements Verses</t>
        </is>
      </c>
      <c r="C143" s="21" t="inlineStr">
        <is>
          <t>Investissement</t>
        </is>
      </c>
      <c r="D143" s="21" t="inlineStr">
        <is>
          <t>Article</t>
        </is>
      </c>
      <c r="E143" s="21" t="inlineStr">
        <is>
          <t>OHADA</t>
        </is>
      </c>
      <c r="F143" s="21" t="inlineStr">
        <is>
          <t>Non</t>
        </is>
      </c>
    </row>
    <row r="144">
      <c r="A144" s="21" t="inlineStr">
        <is>
          <t>276</t>
        </is>
      </c>
      <c r="B144" s="21" t="inlineStr">
        <is>
          <t>Interets Courus</t>
        </is>
      </c>
      <c r="C144" s="21" t="inlineStr">
        <is>
          <t>Investissement</t>
        </is>
      </c>
      <c r="D144" s="21" t="inlineStr">
        <is>
          <t>Article</t>
        </is>
      </c>
      <c r="E144" s="21" t="inlineStr">
        <is>
          <t>OHADA</t>
        </is>
      </c>
      <c r="F144" s="21" t="inlineStr">
        <is>
          <t>Non</t>
        </is>
      </c>
    </row>
    <row r="145">
      <c r="A145" s="21" t="inlineStr">
        <is>
          <t>277</t>
        </is>
      </c>
      <c r="B145" s="21" t="inlineStr">
        <is>
          <t>Creances Rattachees A Des Participations Et Avances A Des G.I.E</t>
        </is>
      </c>
      <c r="C145" s="21" t="inlineStr">
        <is>
          <t>Investissement</t>
        </is>
      </c>
      <c r="D145" s="21" t="inlineStr">
        <is>
          <t>Article</t>
        </is>
      </c>
      <c r="E145" s="21" t="inlineStr">
        <is>
          <t>OHADA</t>
        </is>
      </c>
      <c r="F145" s="21" t="inlineStr">
        <is>
          <t>Non</t>
        </is>
      </c>
    </row>
    <row r="146">
      <c r="A146" s="21" t="inlineStr">
        <is>
          <t>278</t>
        </is>
      </c>
      <c r="B146" s="21" t="inlineStr">
        <is>
          <t>Immobilisations Financieres Diverses</t>
        </is>
      </c>
      <c r="C146" s="21" t="inlineStr">
        <is>
          <t>Investissement</t>
        </is>
      </c>
      <c r="D146" s="21" t="inlineStr">
        <is>
          <t>Article</t>
        </is>
      </c>
      <c r="E146" s="21" t="inlineStr">
        <is>
          <t>OHADA</t>
        </is>
      </c>
      <c r="F146" s="21" t="inlineStr">
        <is>
          <t>Non</t>
        </is>
      </c>
    </row>
    <row r="147">
      <c r="A147" s="21" t="inlineStr">
        <is>
          <t>281</t>
        </is>
      </c>
      <c r="B147" s="21" t="inlineStr">
        <is>
          <t>Amortissements Des Immobilisations Incorporelles</t>
        </is>
      </c>
      <c r="C147" s="21" t="inlineStr">
        <is>
          <t>Investissement</t>
        </is>
      </c>
      <c r="D147" s="21" t="inlineStr">
        <is>
          <t>Article</t>
        </is>
      </c>
      <c r="E147" s="21" t="inlineStr">
        <is>
          <t>OHADA</t>
        </is>
      </c>
      <c r="F147" s="21" t="inlineStr">
        <is>
          <t>Non</t>
        </is>
      </c>
    </row>
    <row r="148">
      <c r="A148" s="21" t="inlineStr">
        <is>
          <t>282</t>
        </is>
      </c>
      <c r="B148" s="21" t="inlineStr">
        <is>
          <t>Amortissements Des Terrains</t>
        </is>
      </c>
      <c r="C148" s="21" t="inlineStr">
        <is>
          <t>Investissement</t>
        </is>
      </c>
      <c r="D148" s="21" t="inlineStr">
        <is>
          <t>Article</t>
        </is>
      </c>
      <c r="E148" s="21" t="inlineStr">
        <is>
          <t>OHADA</t>
        </is>
      </c>
      <c r="F148" s="21" t="inlineStr">
        <is>
          <t>Non</t>
        </is>
      </c>
    </row>
    <row r="149">
      <c r="A149" s="21" t="inlineStr">
        <is>
          <t>283</t>
        </is>
      </c>
      <c r="B149" s="21" t="inlineStr">
        <is>
          <t>Amortissements Des Batiments, Installations Techniques Et</t>
        </is>
      </c>
      <c r="C149" s="21" t="inlineStr">
        <is>
          <t>Investissement</t>
        </is>
      </c>
      <c r="D149" s="21" t="inlineStr">
        <is>
          <t>Article</t>
        </is>
      </c>
      <c r="E149" s="21" t="inlineStr">
        <is>
          <t>OHADA</t>
        </is>
      </c>
      <c r="F149" s="21" t="inlineStr">
        <is>
          <t>Non</t>
        </is>
      </c>
    </row>
    <row r="150">
      <c r="A150" s="21" t="inlineStr">
        <is>
          <t>284</t>
        </is>
      </c>
      <c r="B150" s="21" t="inlineStr">
        <is>
          <t>Amortissements Du Materiel</t>
        </is>
      </c>
      <c r="C150" s="21" t="inlineStr">
        <is>
          <t>Investissement</t>
        </is>
      </c>
      <c r="D150" s="21" t="inlineStr">
        <is>
          <t>Article</t>
        </is>
      </c>
      <c r="E150" s="21" t="inlineStr">
        <is>
          <t>OHADA</t>
        </is>
      </c>
      <c r="F150" s="21" t="inlineStr">
        <is>
          <t>Non</t>
        </is>
      </c>
    </row>
    <row r="151">
      <c r="A151" s="21" t="inlineStr">
        <is>
          <t>291</t>
        </is>
      </c>
      <c r="B151" s="21" t="inlineStr">
        <is>
          <t>Provisions Pour Depreciation Des Immobilisations Incorporelles</t>
        </is>
      </c>
      <c r="C151" s="21" t="inlineStr">
        <is>
          <t>Investissement</t>
        </is>
      </c>
      <c r="D151" s="21" t="inlineStr">
        <is>
          <t>Article</t>
        </is>
      </c>
      <c r="E151" s="21" t="inlineStr">
        <is>
          <t>OHADA</t>
        </is>
      </c>
      <c r="F151" s="21" t="inlineStr">
        <is>
          <t>Non</t>
        </is>
      </c>
    </row>
    <row r="152">
      <c r="A152" s="21" t="inlineStr">
        <is>
          <t>292</t>
        </is>
      </c>
      <c r="B152" s="21" t="inlineStr">
        <is>
          <t>Provisions Pour Depreciation Des Terrains</t>
        </is>
      </c>
      <c r="C152" s="21" t="inlineStr">
        <is>
          <t>Investissement</t>
        </is>
      </c>
      <c r="D152" s="21" t="inlineStr">
        <is>
          <t>Article</t>
        </is>
      </c>
      <c r="E152" s="21" t="inlineStr">
        <is>
          <t>OHADA</t>
        </is>
      </c>
      <c r="F152" s="21" t="inlineStr">
        <is>
          <t>Non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2"/>
  <sheetViews>
    <sheetView workbookViewId="0">
      <pane ySplit="2" topLeftCell="A3" activePane="bottomLeft" state="frozen"/>
      <selection activeCell="A1" sqref="A1"/>
    </sheetView>
  </sheetViews>
  <sheetFormatPr baseColWidth="8" defaultRowHeight="15"/>
  <cols>
    <col width="22" customWidth="1" style="22" min="1" max="1"/>
    <col width="8" customWidth="1" style="22" min="2" max="2"/>
    <col width="26" customWidth="1" style="22" min="3" max="3"/>
    <col width="50" customWidth="1" style="22" min="4" max="4"/>
    <col width="12" customWidth="1" style="22" min="5" max="5"/>
    <col width="8" customWidth="1" style="22" min="6" max="6"/>
    <col width="12" customWidth="1" style="22" min="7" max="7"/>
    <col width="8" customWidth="1" style="22" min="8" max="8"/>
    <col width="16" customWidth="1" style="22" min="9" max="9"/>
    <col width="18" customWidth="1" style="22" min="10" max="10"/>
    <col width="30" customWidth="1" style="22" min="11" max="11"/>
    <col width="14" customWidth="1" style="22" min="12" max="12"/>
    <col width="16" customWidth="1" style="22" min="13" max="13"/>
    <col width="14" customWidth="1" style="22" min="14" max="14"/>
  </cols>
  <sheetData>
    <row r="1">
      <c r="A1" s="21" t="inlineStr">
        <is>
          <t>BUDGET PREVISIONNEL PAR FORMATION (KMF) -- detaille par niveau</t>
        </is>
      </c>
    </row>
    <row r="2">
      <c r="A2" s="21" t="inlineStr">
        <is>
          <t>Formation (*)</t>
        </is>
      </c>
      <c r="B2" s="21" t="inlineStr">
        <is>
          <t>Niveau (*)</t>
        </is>
      </c>
      <c r="C2" s="21" t="inlineStr">
        <is>
          <t>Rubrique</t>
        </is>
      </c>
      <c r="D2" s="21" t="inlineStr">
        <is>
          <t>Designation</t>
        </is>
      </c>
      <c r="E2" s="21" t="inlineStr">
        <is>
          <t>Unite1</t>
        </is>
      </c>
      <c r="F2" s="21" t="inlineStr">
        <is>
          <t>Qte1</t>
        </is>
      </c>
      <c r="G2" s="21" t="inlineStr">
        <is>
          <t>Unite2</t>
        </is>
      </c>
      <c r="H2" s="21" t="inlineStr">
        <is>
          <t>Qte2</t>
        </is>
      </c>
      <c r="I2" s="21" t="inlineStr">
        <is>
          <t>Cout unitaire (KMF)</t>
        </is>
      </c>
      <c r="J2" s="21" t="inlineStr">
        <is>
          <t>Poste budgetaire (**)</t>
        </is>
      </c>
      <c r="K2" s="21" t="inlineStr">
        <is>
          <t>Source de financement / Bailleur (*)</t>
        </is>
      </c>
      <c r="L2" s="21" t="inlineStr">
        <is>
          <t>Session (*)</t>
        </is>
      </c>
      <c r="M2" s="21" t="inlineStr">
        <is>
          <t>Montant (KMF)</t>
        </is>
      </c>
      <c r="N2" s="21" t="inlineStr">
        <is>
          <t>Montant (EUR)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2026-06-15T14:07:58Z</dcterms:created>
  <dcterms:modified xmlns:dcterms="http://purl.org/dc/terms/" xmlns:xsi="http://www.w3.org/2001/XMLSchema-instance" xsi:type="dcterms:W3CDTF">2026-07-03T04:31:28Z</dcterms:modified>
  <cp:lastModifiedBy>Bernard LEGLISE</cp:lastModifiedBy>
  <cp:revision>0</cp:revision>
</cp:coreProperties>
</file>