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e" sheetId="1" state="visible" r:id="rId3"/>
    <sheet name="P0_Parametres" sheetId="2" state="visible" r:id="rId4"/>
    <sheet name="P1_Roles" sheetId="3" state="visible" r:id="rId5"/>
    <sheet name="A1_Etudiants" sheetId="4" state="visible" r:id="rId6"/>
    <sheet name="A2_Presences" sheetId="5" state="visible" r:id="rId7"/>
    <sheet name="A3_Sessions" sheetId="6" state="visible" r:id="rId8"/>
    <sheet name="A4_Documents_etud" sheetId="7" state="visible" r:id="rId9"/>
    <sheet name="S1_Stages" sheetId="8" state="visible" r:id="rId10"/>
    <sheet name="E1_Enseignants" sheetId="9" state="visible" r:id="rId11"/>
    <sheet name="E2_Releve_heures" sheetId="10" state="visible" r:id="rId12"/>
    <sheet name="L1_Salles" sheetId="11" state="visible" r:id="rId13"/>
    <sheet name="F1_Mouvements" sheetId="12" state="visible" r:id="rId14"/>
    <sheet name="F2_Comptes" sheetId="13" state="visible" r:id="rId15"/>
    <sheet name="G1_Plan_action" sheetId="14" state="visible" r:id="rId16"/>
    <sheet name="H1_Biblio_docs" sheetId="15" state="visible" r:id="rId17"/>
    <sheet name="TDB_Direction" sheetId="16" state="visible" r:id="rId18"/>
    <sheet name="Dictionnaire" sheetId="17" state="visible" r:id="rId19"/>
    <sheet name="Guide" sheetId="18" state="visible" r:id="rId20"/>
    <sheet name="IMPORT_zone" sheetId="19" state="visible" r:id="rId21"/>
    <sheet name="D1_Modeles_docs" sheetId="20" state="visible" r:id="rId22"/>
    <sheet name="L2_Reservations" sheetId="21" state="visible" r:id="rId23"/>
    <sheet name="M1_Equipements" sheetId="22" state="visible" r:id="rId24"/>
    <sheet name="R1_Maquettes" sheetId="23" r:id="rId26"/>
    <sheet name="S2_Lieux_stage" sheetId="24" r:id="rId27"/>
    <sheet name="L3_Besoins" sheetId="25" r:id="rId28"/>
    <sheet name="J1_Journal_eleves" sheetId="26" r:id="rId29"/>
    <sheet name="J2_Journal_compta" sheetId="27" r:id="rId30"/>
    <sheet name="E3_Seances_faites" sheetId="28" r:id="rId31"/>
    <sheet name="F3_Budget_poste" sheetId="29" r:id="rId32"/>
    <sheet name="P2_Taux" sheetId="30" r:id="rId33"/>
    <sheet name="F4_Bailleurs" sheetId="31" r:id="rId34"/>
    <sheet name="E4_Etats_paiement" sheetId="32" r:id="rId35"/>
    <sheet xmlns:r="http://schemas.openxmlformats.org/officeDocument/2006/relationships" name="P3_Nomenclature" sheetId="33" r:id="rId36"/>
    <sheet xmlns:r="http://schemas.openxmlformats.org/officeDocument/2006/relationships" name="F5_Budget_Prev" sheetId="34" r:id="rId37"/>
  </sheets>
  <definedNames>
    <definedName function="false" hidden="true" localSheetId="3" name="_xlnm._FilterDatabase" vbProcedure="false">A1_Etudiants!$A$2:$O$300</definedName>
    <definedName function="false" hidden="true" localSheetId="4" name="_xlnm._FilterDatabase" vbProcedure="false">A2_Presences!$A$2:$F$300</definedName>
    <definedName function="false" hidden="true" localSheetId="5" name="_xlnm._FilterDatabase" vbProcedure="false">A3_Sessions!$A$2:$N$300</definedName>
    <definedName function="false" hidden="true" localSheetId="6" name="_xlnm._FilterDatabase" vbProcedure="false">A4_Documents_etud!$A$2:$G$300</definedName>
    <definedName function="false" hidden="true" localSheetId="16" name="_xlnm._FilterDatabase" vbProcedure="false">Dictionnaire!$A$2:$G$134</definedName>
    <definedName function="false" hidden="true" localSheetId="8" name="_xlnm._FilterDatabase" vbProcedure="false">E1_Enseignants!$A$2:$I$300</definedName>
    <definedName function="false" hidden="true" localSheetId="9" name="_xlnm._FilterDatabase" vbProcedure="false">E2_Releve_heures!$A$2:$E$300</definedName>
    <definedName function="false" hidden="true" localSheetId="11" name="_xlnm._FilterDatabase" vbProcedure="false">F1_Mouvements!$A$2:$P$300</definedName>
    <definedName function="false" hidden="true" localSheetId="12" name="_xlnm._FilterDatabase" vbProcedure="false">F2_Comptes!$A$2:$D$51</definedName>
    <definedName function="false" hidden="true" localSheetId="13" name="_xlnm._FilterDatabase" vbProcedure="false">G1_Plan_action!$A$2:$G$300</definedName>
    <definedName function="false" hidden="true" localSheetId="14" name="_xlnm._FilterDatabase" vbProcedure="false">H1_Biblio_docs!$A$2:$F$300</definedName>
    <definedName function="false" hidden="true" localSheetId="18" name="_xlnm._FilterDatabase" vbProcedure="false">IMPORT_zone!$A$2:$H$300</definedName>
    <definedName function="false" hidden="true" localSheetId="10" name="_xlnm._FilterDatabase" vbProcedure="false">L1_Salles!$A$2:$F$300</definedName>
    <definedName function="false" hidden="true" localSheetId="1" name="_xlnm._FilterDatabase" vbProcedure="false">P0_Parametres!$A$2:$O$200</definedName>
    <definedName function="false" hidden="true" localSheetId="2" name="_xlnm._FilterDatabase" vbProcedure="false">P1_Roles!$A$2:$E$300</definedName>
    <definedName function="false" hidden="true" localSheetId="7" name="_xlnm._FilterDatabase" vbProcedure="false">S1_Stages!$A$2:$I$300</definedName>
    <definedName function="false" hidden="false" name="Depense" vbProcedure="false">P0_Parametres!$H$3:$H$200</definedName>
    <definedName function="false" hidden="false" name="Recette" vbProcedure="false">P0_Parametres!$G$3:$G$200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<sst xmlns="http://schemas.openxmlformats.org/spreadsheetml/2006/main" count="1455" uniqueCount="626">
  <si>
    <t xml:space="preserve">EMSP — OUTIL DE GESTION (VERSION 1)</t>
  </si>
  <si>
    <t xml:space="preserve">Projet</t>
  </si>
  <si>
    <t xml:space="preserve">Expertise France / AFD — ODS 21SANOC277</t>
  </si>
  <si>
    <t xml:space="preserve">Reference</t>
  </si>
  <si>
    <t xml:space="preserve">2026/EAALDDDGPLDGDLS/15420 — Webcreatys SAS</t>
  </si>
  <si>
    <t xml:space="preserve">Perimetre</t>
  </si>
  <si>
    <t xml:space="preserve">Volet EMSP uniquement (GMAO ecarte). V1 sur perimetre TDR.</t>
  </si>
  <si>
    <t xml:space="preserve">Charte</t>
  </si>
  <si>
    <t xml:space="preserve">Calibri ; couleur 1F4E79 ; dates JJ/MM/AAAA ; montants KMF sans decimales.</t>
  </si>
  <si>
    <t xml:space="preserve">CODE DE PROVENANCE DES CHAMPS</t>
  </si>
  <si>
    <t xml:space="preserve">(sans marqueur)</t>
  </si>
  <si>
    <t xml:space="preserve">Champ exige par le TDR.</t>
  </si>
  <si>
    <t xml:space="preserve">(*)</t>
  </si>
  <si>
    <t xml:space="preserve">Initiative Webcreatys : complement pour rendre le TDR operationnel.</t>
  </si>
  <si>
    <t xml:space="preserve">(**)</t>
  </si>
  <si>
    <t xml:space="preserve">Ajout EMSP hors TDR (demande en reunion du 11/06 / notas).</t>
  </si>
  <si>
    <t xml:space="preserve">PRINCIPES</t>
  </si>
  <si>
    <t xml:space="preserve">Fichier unique</t>
  </si>
  <si>
    <t xml:space="preserve">Filiere et type d'inscrit = colonnes (pas de decoupage par filiere).</t>
  </si>
  <si>
    <t xml:space="preserve">Parametres</t>
  </si>
  <si>
    <t xml:space="preserve">Onglet P0 : toutes les listes deroulantes sont saisies par l'EMSP.</t>
  </si>
  <si>
    <t xml:space="preserve">Financier</t>
  </si>
  <si>
    <t xml:space="preserve">2 colonnes Recette/Depense, sans TVA, en KMF. Categories separees. Acces reserve Compta/Direction.</t>
  </si>
  <si>
    <t xml:space="preserve">Sans macro</t>
  </si>
  <si>
    <t xml:space="preserve">100% Excel : import CSV par RECHERCHEV ; listes deroulantes par validation.</t>
  </si>
  <si>
    <t xml:space="preserve">Filtres</t>
  </si>
  <si>
    <t xml:space="preserve">Chaque tableau dispose d'un filtre sur sa ligne d'en-tete.</t>
  </si>
  <si>
    <t xml:space="preserve">PARAMETRES — LISTES DE REFERENCE SAISIES PAR L'EMSP</t>
  </si>
  <si>
    <t xml:space="preserve">Filieres</t>
  </si>
  <si>
    <t xml:space="preserve">Niveaux</t>
  </si>
  <si>
    <t xml:space="preserve">Sections (*)</t>
  </si>
  <si>
    <t xml:space="preserve">Semestres</t>
  </si>
  <si>
    <t xml:space="preserve">Statuts_etudiant (**)</t>
  </si>
  <si>
    <t xml:space="preserve">Genres (*)</t>
  </si>
  <si>
    <t xml:space="preserve">Cat_Recettes (**)</t>
  </si>
  <si>
    <t xml:space="preserve">Cat_Depenses (**)</t>
  </si>
  <si>
    <t xml:space="preserve">Postes_budgetaires (**)</t>
  </si>
  <si>
    <t xml:space="preserve">Modes_paiement (*)</t>
  </si>
  <si>
    <t xml:space="preserve">Comptes_caisses (*)</t>
  </si>
  <si>
    <t xml:space="preserve">Types_salle (*)</t>
  </si>
  <si>
    <t xml:space="preserve">Lieux_stage (**)</t>
  </si>
  <si>
    <t xml:space="preserve">Annees_acad (*)</t>
  </si>
  <si>
    <t xml:space="preserve">Bailleurs (*)</t>
  </si>
  <si>
    <t xml:space="preserve">Types_document (**)</t>
  </si>
  <si>
    <t xml:space="preserve">Statuts_document (*)</t>
  </si>
  <si>
    <t xml:space="preserve">Categories_equipement (**)</t>
  </si>
  <si>
    <t xml:space="preserve">L1</t>
  </si>
  <si>
    <t xml:space="preserve">S.I</t>
  </si>
  <si>
    <t xml:space="preserve">S1</t>
  </si>
  <si>
    <t xml:space="preserve">Actif</t>
  </si>
  <si>
    <t xml:space="preserve">M</t>
  </si>
  <si>
    <t xml:space="preserve">Especes</t>
  </si>
  <si>
    <t xml:space="preserve">Cours</t>
  </si>
  <si>
    <t xml:space="preserve">CHN El-Maarouf (Moroni)</t>
  </si>
  <si>
    <t xml:space="preserve">2024-2025</t>
  </si>
  <si>
    <t xml:space="preserve">AFD</t>
  </si>
  <si>
    <t xml:space="preserve">Attestation de passage</t>
  </si>
  <si>
    <t xml:space="preserve">En attente conseil</t>
  </si>
  <si>
    <t xml:space="preserve">Informatique</t>
  </si>
  <si>
    <t xml:space="preserve">L2</t>
  </si>
  <si>
    <t xml:space="preserve">S.O</t>
  </si>
  <si>
    <t xml:space="preserve">S2</t>
  </si>
  <si>
    <t xml:space="preserve">Diplome</t>
  </si>
  <si>
    <t xml:space="preserve">F</t>
  </si>
  <si>
    <t xml:space="preserve">Cheque</t>
  </si>
  <si>
    <t xml:space="preserve">TD</t>
  </si>
  <si>
    <t xml:space="preserve">CHR Mitsamiouli</t>
  </si>
  <si>
    <t xml:space="preserve">2025-2026</t>
  </si>
  <si>
    <t xml:space="preserve">Etat</t>
  </si>
  <si>
    <t xml:space="preserve">Bulletin</t>
  </si>
  <si>
    <t xml:space="preserve">En attente delai</t>
  </si>
  <si>
    <t xml:space="preserve">Mobilier</t>
  </si>
  <si>
    <t xml:space="preserve">L3</t>
  </si>
  <si>
    <t xml:space="preserve">AS</t>
  </si>
  <si>
    <t xml:space="preserve">Abandonne</t>
  </si>
  <si>
    <t xml:space="preserve">Virement</t>
  </si>
  <si>
    <t xml:space="preserve">TP</t>
  </si>
  <si>
    <t xml:space="preserve">CHR Foumbouni</t>
  </si>
  <si>
    <t xml:space="preserve">Fonds propres</t>
  </si>
  <si>
    <t xml:space="preserve">Releve de notes</t>
  </si>
  <si>
    <t xml:space="preserve">Imprimable</t>
  </si>
  <si>
    <t xml:space="preserve">Materiel pedagogique</t>
  </si>
  <si>
    <t xml:space="preserve">Master</t>
  </si>
  <si>
    <t xml:space="preserve">Radie</t>
  </si>
  <si>
    <t xml:space="preserve">Autre</t>
  </si>
  <si>
    <t xml:space="preserve">Amphitheatre</t>
  </si>
  <si>
    <t xml:space="preserve">CHR Hombo (Anjouan)</t>
  </si>
  <si>
    <t xml:space="preserve">Autre partenaire</t>
  </si>
  <si>
    <t xml:space="preserve">Remis</t>
  </si>
  <si>
    <t xml:space="preserve">Materiel medical</t>
  </si>
  <si>
    <t xml:space="preserve">CHR Domoni (Anjouan)</t>
  </si>
  <si>
    <t xml:space="preserve">CHR Fomboni (Moheli)</t>
  </si>
  <si>
    <t xml:space="preserve">ROLES ET DROITS D'ACCES DES UTILISATEURS</t>
  </si>
  <si>
    <t xml:space="preserve">Utilisateur / Login (**)</t>
  </si>
  <si>
    <t xml:space="preserve">Role (**)</t>
  </si>
  <si>
    <t xml:space="preserve">Modules lecture (**)</t>
  </si>
  <si>
    <t xml:space="preserve">Modules ecriture (**)</t>
  </si>
  <si>
    <t xml:space="preserve">Acces financier (O/N) (**)</t>
  </si>
  <si>
    <t xml:space="preserve">Admin droits (O/N) (**)</t>
  </si>
  <si>
    <t xml:space="preserve">direction</t>
  </si>
  <si>
    <t xml:space="preserve">Direction</t>
  </si>
  <si>
    <t xml:space="preserve">Tous</t>
  </si>
  <si>
    <t xml:space="preserve">O</t>
  </si>
  <si>
    <t xml:space="preserve">scolarite</t>
  </si>
  <si>
    <t xml:space="preserve">Scolarite</t>
  </si>
  <si>
    <t xml:space="preserve">Academique, Stages</t>
  </si>
  <si>
    <t xml:space="preserve">N</t>
  </si>
  <si>
    <t xml:space="preserve">compta</t>
  </si>
  <si>
    <t xml:space="preserve">Comptabilite</t>
  </si>
  <si>
    <t xml:space="preserve">chef_dept</t>
  </si>
  <si>
    <t xml:space="preserve">Chef de departement</t>
  </si>
  <si>
    <t xml:space="preserve">Academique, Enseignants</t>
  </si>
  <si>
    <t xml:space="preserve">Presences</t>
  </si>
  <si>
    <t xml:space="preserve">superadmin</t>
  </si>
  <si>
    <t xml:space="preserve">Super-administrateur</t>
  </si>
  <si>
    <t xml:space="preserve">GESTION DES ETUDIANTS — FICHES ET INSCRIPTIONS</t>
  </si>
  <si>
    <t xml:space="preserve">N ordre (*)</t>
  </si>
  <si>
    <t xml:space="preserve">Matricule</t>
  </si>
  <si>
    <t xml:space="preserve">Genre (*)</t>
  </si>
  <si>
    <t xml:space="preserve">Nom</t>
  </si>
  <si>
    <t xml:space="preserve">Prenom</t>
  </si>
  <si>
    <t xml:space="preserve">Date naissance</t>
  </si>
  <si>
    <t xml:space="preserve">Lieu naissance</t>
  </si>
  <si>
    <t xml:space="preserve">Origine / lieu actuel (**)</t>
  </si>
  <si>
    <t xml:space="preserve">Niveau</t>
  </si>
  <si>
    <t xml:space="preserve">Filiere</t>
  </si>
  <si>
    <t xml:space="preserve">Section (*)</t>
  </si>
  <si>
    <t xml:space="preserve">Annee acad. (*)</t>
  </si>
  <si>
    <t xml:space="preserve">Statut (**)</t>
  </si>
  <si>
    <t xml:space="preserve">Date inscription</t>
  </si>
  <si>
    <t xml:space="preserve">Saisi par (*)</t>
  </si>
  <si>
    <t xml:space="preserve">PRESENCES DES ETUDIANTS — PAR CRENEAU HORAIRE</t>
  </si>
  <si>
    <t xml:space="preserve">Date (**)</t>
  </si>
  <si>
    <t xml:space="preserve">Matricule (**)</t>
  </si>
  <si>
    <t xml:space="preserve">Session / Matiere (**)</t>
  </si>
  <si>
    <t xml:space="preserve">Creneau (**)</t>
  </si>
  <si>
    <t xml:space="preserve">Present (O/N) (**)</t>
  </si>
  <si>
    <t xml:space="preserve">SEANCES ET PLANNING — MATIERES, ENSEIGNANTS, SALLES</t>
  </si>
  <si>
    <t xml:space="preserve">ID session</t>
  </si>
  <si>
    <t xml:space="preserve">Semestre</t>
  </si>
  <si>
    <t xml:space="preserve">Matiere</t>
  </si>
  <si>
    <t xml:space="preserve">Enseignant</t>
  </si>
  <si>
    <t xml:space="preserve">Salle</t>
  </si>
  <si>
    <t xml:space="preserve">Jour</t>
  </si>
  <si>
    <t xml:space="preserve">Heure debut</t>
  </si>
  <si>
    <t xml:space="preserve">Heure fin</t>
  </si>
  <si>
    <t xml:space="preserve">Type (*)</t>
  </si>
  <si>
    <t xml:space="preserve">Vol. horaire prog. (*)</t>
  </si>
  <si>
    <t xml:space="preserve">DOCUMENTS ETUDIANTS — ATTESTATIONS ET BULLETINS</t>
  </si>
  <si>
    <t xml:space="preserve">Type de document (**)</t>
  </si>
  <si>
    <t xml:space="preserve">Annee concernee (**)</t>
  </si>
  <si>
    <t xml:space="preserve">Date generation (**)</t>
  </si>
  <si>
    <t xml:space="preserve">Statut (*)</t>
  </si>
  <si>
    <t xml:space="preserve">Date liberation (*)</t>
  </si>
  <si>
    <t xml:space="preserve">Remis le (**)</t>
  </si>
  <si>
    <t xml:space="preserve">STAGES — AFFECTATION ET FICHES DE RETOUR</t>
  </si>
  <si>
    <t xml:space="preserve">Matricule (*)</t>
  </si>
  <si>
    <t xml:space="preserve">N seance (1-6) (*)</t>
  </si>
  <si>
    <t xml:space="preserve">Lieu de stage (*)</t>
  </si>
  <si>
    <t xml:space="preserve">Date debut (*)</t>
  </si>
  <si>
    <t xml:space="preserve">Date fin (*)</t>
  </si>
  <si>
    <t xml:space="preserve">Fiche retour (O/N) (*)</t>
  </si>
  <si>
    <t xml:space="preserve">Note stage /20 (*)</t>
  </si>
  <si>
    <t xml:space="preserve">Observation / plainte (**)</t>
  </si>
  <si>
    <t xml:space="preserve">ENSEIGNANTS ET VACATAIRES — FICHES</t>
  </si>
  <si>
    <t xml:space="preserve">Matricule ens.</t>
  </si>
  <si>
    <t xml:space="preserve">Statut (titulaire/vacataire) (*)</t>
  </si>
  <si>
    <t xml:space="preserve">Matieres enseignees</t>
  </si>
  <si>
    <t xml:space="preserve">Qualifications (*)</t>
  </si>
  <si>
    <t xml:space="preserve">Departement</t>
  </si>
  <si>
    <t xml:space="preserve">Chef dept validant (*)</t>
  </si>
  <si>
    <t xml:space="preserve">RELEVE DES HEURES ENSEIGNANTS — POUR LA PAIE</t>
  </si>
  <si>
    <t xml:space="preserve">Mois / Annee (*)</t>
  </si>
  <si>
    <t xml:space="preserve">Matricule ens. (*)</t>
  </si>
  <si>
    <t xml:space="preserve">Vol. horaire constate (*)</t>
  </si>
  <si>
    <t xml:space="preserve">Total heures a payer (*)</t>
  </si>
  <si>
    <t xml:space="preserve">SALLES — DESCRIPTIF ET EQUIPEMENTS</t>
  </si>
  <si>
    <t xml:space="preserve">ID salle</t>
  </si>
  <si>
    <t xml:space="preserve">Nom / libelle</t>
  </si>
  <si>
    <t xml:space="preserve">Capacite</t>
  </si>
  <si>
    <t xml:space="preserve">Equipements (*)</t>
  </si>
  <si>
    <t xml:space="preserve">Batiment / localisation (*)</t>
  </si>
  <si>
    <t xml:space="preserve">TRESORERIE — RECETTES ET DEPENSES (KMF)</t>
  </si>
  <si>
    <t xml:space="preserve">Date operation</t>
  </si>
  <si>
    <t xml:space="preserve">Sens (*)</t>
  </si>
  <si>
    <t xml:space="preserve">Categorie (**)</t>
  </si>
  <si>
    <t xml:space="preserve">Poste budgetaire (**)</t>
  </si>
  <si>
    <t xml:space="preserve">Mode paiement (*)</t>
  </si>
  <si>
    <t xml:space="preserve">Compte / caisse (*)</t>
  </si>
  <si>
    <t xml:space="preserve">Reference / N piece (*)</t>
  </si>
  <si>
    <t xml:space="preserve">Libelle / description</t>
  </si>
  <si>
    <t xml:space="preserve">Montant Recette (KMF)</t>
  </si>
  <si>
    <t xml:space="preserve">Montant Depense (KMF)</t>
  </si>
  <si>
    <t xml:space="preserve">Tiers (*)</t>
  </si>
  <si>
    <t xml:space="preserve">Date echeance (*)</t>
  </si>
  <si>
    <t xml:space="preserve">Date reglement (*)</t>
  </si>
  <si>
    <t xml:space="preserve">Source de financement / Bailleur (*)</t>
  </si>
  <si>
    <t xml:space="preserve">COMPTES ET CAISSES — SOLDES</t>
  </si>
  <si>
    <t xml:space="preserve">Nom du compte / caisse (*)</t>
  </si>
  <si>
    <t xml:space="preserve">Solde initial (KMF) (*)</t>
  </si>
  <si>
    <t xml:space="preserve">Solde courant (KMF) (*)</t>
  </si>
  <si>
    <t xml:space="preserve">PLAN D'ACTION — SUIVI DES ECARTS ET AXES DE PROGRES</t>
  </si>
  <si>
    <t xml:space="preserve">Domaine / module</t>
  </si>
  <si>
    <t xml:space="preserve">Ecart constate</t>
  </si>
  <si>
    <t xml:space="preserve">Action corrective</t>
  </si>
  <si>
    <t xml:space="preserve">Responsable</t>
  </si>
  <si>
    <t xml:space="preserve">Echeance</t>
  </si>
  <si>
    <t xml:space="preserve">Statut</t>
  </si>
  <si>
    <t xml:space="preserve">BIBLIOTHEQUE DES DOCUMENTS OFFICIELS</t>
  </si>
  <si>
    <t xml:space="preserve">Titre du document (**)</t>
  </si>
  <si>
    <t xml:space="preserve">Type (**)</t>
  </si>
  <si>
    <t xml:space="preserve">Reference (**)</t>
  </si>
  <si>
    <t xml:space="preserve">Chemin / lien local (*)</t>
  </si>
  <si>
    <t xml:space="preserve">Date de mise a jour (**)</t>
  </si>
  <si>
    <t xml:space="preserve">Responsable mise a jour (**)</t>
  </si>
  <si>
    <t xml:space="preserve">TABLEAU DE BORD — DIRECTION (lecture seule)</t>
  </si>
  <si>
    <t xml:space="preserve">ACTIVITE</t>
  </si>
  <si>
    <t xml:space="preserve">FINANCE (KMF)</t>
  </si>
  <si>
    <t xml:space="preserve">Effectif total etudiants</t>
  </si>
  <si>
    <t xml:space="preserve">Total recettes</t>
  </si>
  <si>
    <t xml:space="preserve">Dont actifs</t>
  </si>
  <si>
    <t xml:space="preserve">Total depenses</t>
  </si>
  <si>
    <t xml:space="preserve">Dont diplomes</t>
  </si>
  <si>
    <t xml:space="preserve">Solde global</t>
  </si>
  <si>
    <t xml:space="preserve">Dont abandonnes</t>
  </si>
  <si>
    <t xml:space="preserve">Dont radies</t>
  </si>
  <si>
    <t xml:space="preserve">EFFECTIF PAR FILIERE</t>
  </si>
  <si>
    <t xml:space="preserve">RH FORMATEURS</t>
  </si>
  <si>
    <t xml:space="preserve">Total heures constatees</t>
  </si>
  <si>
    <t xml:space="preserve">Nb enseignants references</t>
  </si>
  <si>
    <t xml:space="preserve">PRESENCE</t>
  </si>
  <si>
    <t xml:space="preserve">Taux de presence global</t>
  </si>
  <si>
    <t xml:space="preserve">DICTIONNAIRE DES DONNEES — EMSP V1</t>
  </si>
  <si>
    <t xml:space="preserve">Onglet</t>
  </si>
  <si>
    <t xml:space="preserve">Champ</t>
  </si>
  <si>
    <t xml:space="preserve">Type</t>
  </si>
  <si>
    <t xml:space="preserve">Obligatoire</t>
  </si>
  <si>
    <t xml:space="preserve">Provenance</t>
  </si>
  <si>
    <t xml:space="preserve">Liste / source</t>
  </si>
  <si>
    <t xml:space="preserve">Description</t>
  </si>
  <si>
    <t xml:space="preserve">P0_Parametres</t>
  </si>
  <si>
    <t xml:space="preserve">Texte</t>
  </si>
  <si>
    <t xml:space="preserve">Oui</t>
  </si>
  <si>
    <t xml:space="preserve">TDR</t>
  </si>
  <si>
    <t xml:space="preserve">-</t>
  </si>
  <si>
    <t xml:space="preserve">Libelles des filieres saisis par l'EMSP (5 actuellement).</t>
  </si>
  <si>
    <t xml:space="preserve">L1, L2, L3, Master (modifiable).</t>
  </si>
  <si>
    <t xml:space="preserve">Sections</t>
  </si>
  <si>
    <t xml:space="preserve">Non</t>
  </si>
  <si>
    <t xml:space="preserve">Initiative (*)</t>
  </si>
  <si>
    <t xml:space="preserve">S.I, S.O, AS (modifiable).</t>
  </si>
  <si>
    <t xml:space="preserve">S1, S2.</t>
  </si>
  <si>
    <t xml:space="preserve">Statuts_etudiant</t>
  </si>
  <si>
    <t xml:space="preserve">Hors TDR (**)</t>
  </si>
  <si>
    <t xml:space="preserve">Actif / Diplome / Abandonne / Radie (extensible).</t>
  </si>
  <si>
    <t xml:space="preserve">Genres</t>
  </si>
  <si>
    <t xml:space="preserve">M / F.</t>
  </si>
  <si>
    <t xml:space="preserve">Cat_Recettes</t>
  </si>
  <si>
    <t xml:space="preserve">Categories de recettes (liste separee, saisie EMSP).</t>
  </si>
  <si>
    <t xml:space="preserve">Cat_Depenses</t>
  </si>
  <si>
    <t xml:space="preserve">Categories de depenses (liste separee, saisie EMSP).</t>
  </si>
  <si>
    <t xml:space="preserve">Postes_budgetaires</t>
  </si>
  <si>
    <t xml:space="preserve">Postes budgetaires saisis par l'EMSP.</t>
  </si>
  <si>
    <t xml:space="preserve">Modes_paiement</t>
  </si>
  <si>
    <t xml:space="preserve">Especes / Cheque / Virement / Autre.</t>
  </si>
  <si>
    <t xml:space="preserve">Comptes_caisses</t>
  </si>
  <si>
    <t xml:space="preserve">Comptes et caisses (alimentent F2_Comptes).</t>
  </si>
  <si>
    <t xml:space="preserve">Types_salle</t>
  </si>
  <si>
    <t xml:space="preserve">Cours / TD / TP.</t>
  </si>
  <si>
    <t xml:space="preserve">Lieux_stage</t>
  </si>
  <si>
    <t xml:space="preserve">Referentiel des lieux de stage (une vingtaine, extensible).</t>
  </si>
  <si>
    <t xml:space="preserve">Annees_acad</t>
  </si>
  <si>
    <t xml:space="preserve">Annee = octobre AA a juillet AA+1.</t>
  </si>
  <si>
    <t xml:space="preserve">Bailleurs</t>
  </si>
  <si>
    <t xml:space="preserve">Sources de financement (AFD, Etat, fonds propres, autre partenaire), saisies par l'EMSP.</t>
  </si>
  <si>
    <t xml:space="preserve">P1_Roles</t>
  </si>
  <si>
    <t xml:space="preserve">Utilisateur / Login</t>
  </si>
  <si>
    <t xml:space="preserve">Identifiant de connexion.</t>
  </si>
  <si>
    <t xml:space="preserve">Role</t>
  </si>
  <si>
    <t xml:space="preserve">Direction / Scolarite / Comptabilite / Chef de departement.</t>
  </si>
  <si>
    <t xml:space="preserve">Modules lecture</t>
  </si>
  <si>
    <t xml:space="preserve">Modules consultables par ce role.</t>
  </si>
  <si>
    <t xml:space="preserve">Modules ecriture</t>
  </si>
  <si>
    <t xml:space="preserve">Modules modifiables par ce role.</t>
  </si>
  <si>
    <t xml:space="preserve">Acces financier (O/N)</t>
  </si>
  <si>
    <t xml:space="preserve">Liste</t>
  </si>
  <si>
    <t xml:space="preserve">O/N</t>
  </si>
  <si>
    <t xml:space="preserve">Financier reserve a Compta et Direction.</t>
  </si>
  <si>
    <t xml:space="preserve">A1_Etudiants</t>
  </si>
  <si>
    <t xml:space="preserve">N ordre</t>
  </si>
  <si>
    <t xml:space="preserve">Nombre</t>
  </si>
  <si>
    <t xml:space="preserve">Numero d'ordre dans la liste.</t>
  </si>
  <si>
    <t xml:space="preserve">Identifiant unique (cle de liaison entre onglets).</t>
  </si>
  <si>
    <t xml:space="preserve">Genre</t>
  </si>
  <si>
    <t xml:space="preserve">A completer si absent du CSV national.</t>
  </si>
  <si>
    <t xml:space="preserve">Nom de famille.</t>
  </si>
  <si>
    <t xml:space="preserve">Prenom.</t>
  </si>
  <si>
    <t xml:space="preserve">Date</t>
  </si>
  <si>
    <t xml:space="preserve">Format JJ/MM/AAAA.</t>
  </si>
  <si>
    <t xml:space="preserve">Lieu de naissance.</t>
  </si>
  <si>
    <t xml:space="preserve">Origine / lieu actuel</t>
  </si>
  <si>
    <t xml:space="preserve">Demande en reunion (distinct du lieu de naissance).</t>
  </si>
  <si>
    <t xml:space="preserve">Niveau d'etude.</t>
  </si>
  <si>
    <t xml:space="preserve">Filiere choisie.</t>
  </si>
  <si>
    <t xml:space="preserve">Section</t>
  </si>
  <si>
    <t xml:space="preserve">Section.</t>
  </si>
  <si>
    <t xml:space="preserve">Annee acad.</t>
  </si>
  <si>
    <t xml:space="preserve">Annee academique.</t>
  </si>
  <si>
    <t xml:space="preserve">Etat de l'etudiant.</t>
  </si>
  <si>
    <t xml:space="preserve">Date d'inscription.</t>
  </si>
  <si>
    <t xml:space="preserve">Saisi par</t>
  </si>
  <si>
    <t xml:space="preserve">Login de l'agent (tracabilite).</t>
  </si>
  <si>
    <t xml:space="preserve">A2_Presences</t>
  </si>
  <si>
    <t xml:space="preserve">Jour de la seance (JJ/MM/AAAA).</t>
  </si>
  <si>
    <t xml:space="preserve">Etudiants inscrits (A1)</t>
  </si>
  <si>
    <t xml:space="preserve">Lien vers A1_Etudiants.</t>
  </si>
  <si>
    <t xml:space="preserve">Session / Matiere</t>
  </si>
  <si>
    <t xml:space="preserve">Seances (A3)</t>
  </si>
  <si>
    <t xml:space="preserve">Seance ou matiere (lien A3).</t>
  </si>
  <si>
    <t xml:space="preserve">Creneau</t>
  </si>
  <si>
    <t xml:space="preserve">10h/12h/15h/17h</t>
  </si>
  <si>
    <t xml:space="preserve">Granularite par creneau (pas d'absence partielle en V1).</t>
  </si>
  <si>
    <t xml:space="preserve">Present (O/N)</t>
  </si>
  <si>
    <t xml:space="preserve">Presence constatee.</t>
  </si>
  <si>
    <t xml:space="preserve">Login de l'agent.</t>
  </si>
  <si>
    <t xml:space="preserve">A3_Sessions</t>
  </si>
  <si>
    <t xml:space="preserve">Identifiant de la seance.</t>
  </si>
  <si>
    <t xml:space="preserve">Semestre.</t>
  </si>
  <si>
    <t xml:space="preserve">Filiere.</t>
  </si>
  <si>
    <t xml:space="preserve">Niveau.</t>
  </si>
  <si>
    <t xml:space="preserve">Intitule de la matiere.</t>
  </si>
  <si>
    <t xml:space="preserve">Enseignants (E1)</t>
  </si>
  <si>
    <t xml:space="preserve">Lien E1 (lien seance &lt;-&gt; formateur du TDR).</t>
  </si>
  <si>
    <t xml:space="preserve">Salles (L1)</t>
  </si>
  <si>
    <t xml:space="preserve">Lien L1_Salles.</t>
  </si>
  <si>
    <t xml:space="preserve">Lundi..Samedi</t>
  </si>
  <si>
    <t xml:space="preserve">Jour de la semaine.</t>
  </si>
  <si>
    <t xml:space="preserve">Heure de debut.</t>
  </si>
  <si>
    <t xml:space="preserve">Heure de fin.</t>
  </si>
  <si>
    <t xml:space="preserve">Cours / TD / TP / Stage.</t>
  </si>
  <si>
    <t xml:space="preserve">Vol. horaire prog.</t>
  </si>
  <si>
    <t xml:space="preserve">Volume horaire programme.</t>
  </si>
  <si>
    <t xml:space="preserve">A4_Documents_etud</t>
  </si>
  <si>
    <t xml:space="preserve">Lien A1_Etudiants.</t>
  </si>
  <si>
    <t xml:space="preserve">Type de document</t>
  </si>
  <si>
    <t xml:space="preserve">Types_document</t>
  </si>
  <si>
    <t xml:space="preserve">Attestation de passage, bulletin, etc.</t>
  </si>
  <si>
    <t xml:space="preserve">Annee concernee</t>
  </si>
  <si>
    <t xml:space="preserve">Annee de scolarite concernee.</t>
  </si>
  <si>
    <t xml:space="preserve">Date generation</t>
  </si>
  <si>
    <t xml:space="preserve">Date de generation du document.</t>
  </si>
  <si>
    <t xml:space="preserve">Statuts_document</t>
  </si>
  <si>
    <t xml:space="preserve">Cycle de validation avant impression.</t>
  </si>
  <si>
    <t xml:space="preserve">Date liberation</t>
  </si>
  <si>
    <t xml:space="preserve">Date a partir de laquelle imprimable (delai 1 semaine).</t>
  </si>
  <si>
    <t xml:space="preserve">Remis le</t>
  </si>
  <si>
    <t xml:space="preserve">Date de remise a l'etudiant.</t>
  </si>
  <si>
    <t xml:space="preserve">S1_Stages</t>
  </si>
  <si>
    <t xml:space="preserve">N seance (1-6)</t>
  </si>
  <si>
    <t xml:space="preserve">6 seances de stage par an.</t>
  </si>
  <si>
    <t xml:space="preserve">Lieu de stage</t>
  </si>
  <si>
    <t xml:space="preserve">Etablissement d'accueil.</t>
  </si>
  <si>
    <t xml:space="preserve">Date debut</t>
  </si>
  <si>
    <t xml:space="preserve">Debut (1 mois d'affile).</t>
  </si>
  <si>
    <t xml:space="preserve">Date fin</t>
  </si>
  <si>
    <t xml:space="preserve">Fin.</t>
  </si>
  <si>
    <t xml:space="preserve">Fiche retour (O/N)</t>
  </si>
  <si>
    <t xml:space="preserve">Fiche de retour recue.</t>
  </si>
  <si>
    <t xml:space="preserve">Note stage /20</t>
  </si>
  <si>
    <t xml:space="preserve">Note (facultatif V1).</t>
  </si>
  <si>
    <t xml:space="preserve">Observation / plainte</t>
  </si>
  <si>
    <t xml:space="preserve">Zone d'observation (distincte des absences).</t>
  </si>
  <si>
    <t xml:space="preserve">E1_Enseignants</t>
  </si>
  <si>
    <t xml:space="preserve">Identifiant enseignant.</t>
  </si>
  <si>
    <t xml:space="preserve">Genre.</t>
  </si>
  <si>
    <t xml:space="preserve">Nom.</t>
  </si>
  <si>
    <t xml:space="preserve">Statut (titulaire/vacataire)</t>
  </si>
  <si>
    <t xml:space="preserve">Titulaire/Vacataire</t>
  </si>
  <si>
    <t xml:space="preserve">Statut de l'enseignant.</t>
  </si>
  <si>
    <t xml:space="preserve">Matieres assurees.</t>
  </si>
  <si>
    <t xml:space="preserve">Qualifications</t>
  </si>
  <si>
    <t xml:space="preserve">Diplomes / qualifications.</t>
  </si>
  <si>
    <t xml:space="preserve">Departement de rattachement.</t>
  </si>
  <si>
    <t xml:space="preserve">Chef dept validant</t>
  </si>
  <si>
    <t xml:space="preserve">Chef de departement validant les presences.</t>
  </si>
  <si>
    <t xml:space="preserve">E2_Releve_heures</t>
  </si>
  <si>
    <t xml:space="preserve">Mois / Annee</t>
  </si>
  <si>
    <t xml:space="preserve">Periode de paie.</t>
  </si>
  <si>
    <t xml:space="preserve">Enseignants matricule (E1)</t>
  </si>
  <si>
    <t xml:space="preserve">Lien E1_Enseignants.</t>
  </si>
  <si>
    <t xml:space="preserve">Heures programmees.</t>
  </si>
  <si>
    <t xml:space="preserve">Vol. horaire constate</t>
  </si>
  <si>
    <t xml:space="preserve">Heures reellement effectuees.</t>
  </si>
  <si>
    <t xml:space="preserve">Total heures a payer</t>
  </si>
  <si>
    <t xml:space="preserve">Formule</t>
  </si>
  <si>
    <t xml:space="preserve">Auto</t>
  </si>
  <si>
    <t xml:space="preserve">Calcul auto : reprend les heures constatees (nb d'heures, sans taux).</t>
  </si>
  <si>
    <t xml:space="preserve">L1_Salles</t>
  </si>
  <si>
    <t xml:space="preserve">Identifiant de la salle.</t>
  </si>
  <si>
    <t xml:space="preserve">Nom de la salle.</t>
  </si>
  <si>
    <t xml:space="preserve">Nombre de places.</t>
  </si>
  <si>
    <t xml:space="preserve">Equipements</t>
  </si>
  <si>
    <t xml:space="preserve">Equipements de la salle.</t>
  </si>
  <si>
    <t xml:space="preserve">Batiment / localisation</t>
  </si>
  <si>
    <t xml:space="preserve">Localisation.</t>
  </si>
  <si>
    <t xml:space="preserve">F1_Mouvements</t>
  </si>
  <si>
    <t xml:space="preserve">Date de l'operation (JJ/MM/AAAA).</t>
  </si>
  <si>
    <t xml:space="preserve">Sens</t>
  </si>
  <si>
    <t xml:space="preserve">Recette/Depense</t>
  </si>
  <si>
    <t xml:space="preserve">Determine la liste de categories proposee.</t>
  </si>
  <si>
    <t xml:space="preserve">Categorie</t>
  </si>
  <si>
    <t xml:space="preserve">Cat_Recettes OU Cat_Depenses</t>
  </si>
  <si>
    <t xml:space="preserve">Liste dependante du Sens (separee recettes/depenses).</t>
  </si>
  <si>
    <t xml:space="preserve">Poste budgetaire</t>
  </si>
  <si>
    <t xml:space="preserve">Imputation budgetaire.</t>
  </si>
  <si>
    <t xml:space="preserve">Mode paiement</t>
  </si>
  <si>
    <t xml:space="preserve">Moyen de paiement.</t>
  </si>
  <si>
    <t xml:space="preserve">Compte / caisse</t>
  </si>
  <si>
    <t xml:space="preserve">Compte concerne (alimente le solde F2).</t>
  </si>
  <si>
    <t xml:space="preserve">Reference / N piece</t>
  </si>
  <si>
    <t xml:space="preserve">N facture, cheque, virement, recu.</t>
  </si>
  <si>
    <t xml:space="preserve">Description de l'operation.</t>
  </si>
  <si>
    <t xml:space="preserve">KMF</t>
  </si>
  <si>
    <t xml:space="preserve">Cond.</t>
  </si>
  <si>
    <t xml:space="preserve">Rempli si Sens = Recette.</t>
  </si>
  <si>
    <t xml:space="preserve">Rempli si Sens = Depense.</t>
  </si>
  <si>
    <t xml:space="preserve">Tiers</t>
  </si>
  <si>
    <t xml:space="preserve">Client / fournisseur / partenaire.</t>
  </si>
  <si>
    <t xml:space="preserve">Previsionnel/Realise</t>
  </si>
  <si>
    <t xml:space="preserve">Etat de l'operation.</t>
  </si>
  <si>
    <t xml:space="preserve">Date echeance</t>
  </si>
  <si>
    <t xml:space="preserve">Si previsionnel.</t>
  </si>
  <si>
    <t xml:space="preserve">Date reglement</t>
  </si>
  <si>
    <t xml:space="preserve">Date effective de reglement.</t>
  </si>
  <si>
    <t xml:space="preserve">Source de financement / Bailleur</t>
  </si>
  <si>
    <t xml:space="preserve">Origine des fonds (AFD, Etat, fonds propres, autre). Permet de sortir par bailleur (filtre/TCD).</t>
  </si>
  <si>
    <t xml:space="preserve">F2_Comptes</t>
  </si>
  <si>
    <t xml:space="preserve">Nom du compte / caisse</t>
  </si>
  <si>
    <t xml:space="preserve">Doit correspondre aux valeurs de Comptes_caisses.</t>
  </si>
  <si>
    <t xml:space="preserve">Banque/Caisse/Autre</t>
  </si>
  <si>
    <t xml:space="preserve">Nature du compte.</t>
  </si>
  <si>
    <t xml:space="preserve">Solde initial (KMF)</t>
  </si>
  <si>
    <t xml:space="preserve">Solde de depart a la date d'ouverture.</t>
  </si>
  <si>
    <t xml:space="preserve">Solde courant (KMF)</t>
  </si>
  <si>
    <t xml:space="preserve">Calcul auto : initial + recettes - depenses du compte (SUMIF sur F1).</t>
  </si>
  <si>
    <t xml:space="preserve">G1_Plan_action</t>
  </si>
  <si>
    <t xml:space="preserve">Numero d'action.</t>
  </si>
  <si>
    <t xml:space="preserve">Module concerne.</t>
  </si>
  <si>
    <t xml:space="preserve">Description de l'ecart.</t>
  </si>
  <si>
    <t xml:space="preserve">Action prevue.</t>
  </si>
  <si>
    <t xml:space="preserve">Responsable de l'action.</t>
  </si>
  <si>
    <t xml:space="preserve">Date cible.</t>
  </si>
  <si>
    <t xml:space="preserve">A faire/En cours/Fait</t>
  </si>
  <si>
    <t xml:space="preserve">Avancement.</t>
  </si>
  <si>
    <t xml:space="preserve">H1_Biblio_docs</t>
  </si>
  <si>
    <t xml:space="preserve">Titre du document</t>
  </si>
  <si>
    <t xml:space="preserve">Intitule du document officiel.</t>
  </si>
  <si>
    <t xml:space="preserve">Reglementaire/OMS/...</t>
  </si>
  <si>
    <t xml:space="preserve">Categorie de document.</t>
  </si>
  <si>
    <t xml:space="preserve">Reference officielle.</t>
  </si>
  <si>
    <t xml:space="preserve">Chemin / lien local</t>
  </si>
  <si>
    <t xml:space="preserve">Chemin du fichier (100% hors-ligne).</t>
  </si>
  <si>
    <t xml:space="preserve">Date de mise a jour</t>
  </si>
  <si>
    <t xml:space="preserve">Derniere mise a jour.</t>
  </si>
  <si>
    <t xml:space="preserve">Responsable mise a jour</t>
  </si>
  <si>
    <t xml:space="preserve">Personne en charge.</t>
  </si>
  <si>
    <t xml:space="preserve">IMPORT_zone</t>
  </si>
  <si>
    <t xml:space="preserve">Colonnes A-G</t>
  </si>
  <si>
    <t xml:space="preserve">Zone de collage du CSV national.</t>
  </si>
  <si>
    <t xml:space="preserve">Statut vs base</t>
  </si>
  <si>
    <t xml:space="preserve">RECHERCHEV : marque NOUVEAU ou EXISTANT vs A1_Etudiants.</t>
  </si>
  <si>
    <t xml:space="preserve">Types de documents geres par l EMSP (attestation de passage, bulletin, releve).</t>
  </si>
  <si>
    <t xml:space="preserve">Cycle de validation des documents (en attente -&gt; imprimable -&gt; remis).</t>
  </si>
  <si>
    <t xml:space="preserve">Admin droits (O/N)</t>
  </si>
  <si>
    <t xml:space="preserve">Ajout (**)</t>
  </si>
  <si>
    <t xml:space="preserve">Si O, l'utilisateur peut administrer les droits (editer P1_Roles). Le superutilisateur (code) l'est toujours.</t>
  </si>
  <si>
    <t xml:space="preserve">L2_Reservations</t>
  </si>
  <si>
    <t xml:space="preserve">ID reservation</t>
  </si>
  <si>
    <t xml:space="preserve">Identifiant court (RES-n, pre-suggere).</t>
  </si>
  <si>
    <t xml:space="preserve">Salle reservee (liste L1).</t>
  </si>
  <si>
    <t xml:space="preserve">Date de la reservation (JJ/MM/AAAA).</t>
  </si>
  <si>
    <t xml:space="preserve">Heure de debut (ex. 14h00).</t>
  </si>
  <si>
    <t xml:space="preserve">Reunion/Examen/Evenement/Partenaire/Autre</t>
  </si>
  <si>
    <t xml:space="preserve">Nature de la reservation.</t>
  </si>
  <si>
    <t xml:space="preserve">Reserve par</t>
  </si>
  <si>
    <t xml:space="preserve">Demandeur (personne/service).</t>
  </si>
  <si>
    <t xml:space="preserve">Motif / objet</t>
  </si>
  <si>
    <t xml:space="preserve">Objet de la reservation.</t>
  </si>
  <si>
    <t xml:space="preserve">Demandee/Confirmee/Annulee</t>
  </si>
  <si>
    <t xml:space="preserve">Etat de la demande.</t>
  </si>
  <si>
    <t xml:space="preserve">Login du saisisseur (auto).</t>
  </si>
  <si>
    <t xml:space="preserve">M1_Equipements</t>
  </si>
  <si>
    <t xml:space="preserve">ID equipement</t>
  </si>
  <si>
    <t xml:space="preserve">Identifiant court (EQ-n, pre-suggere).</t>
  </si>
  <si>
    <t xml:space="preserve">Designation</t>
  </si>
  <si>
    <t xml:space="preserve">Libelle de l'equipement.</t>
  </si>
  <si>
    <t xml:space="preserve">Categories_equipement</t>
  </si>
  <si>
    <t xml:space="preserve">Categorie (parametrable).</t>
  </si>
  <si>
    <t xml:space="preserve">Salle / localisation</t>
  </si>
  <si>
    <t xml:space="preserve">Salle ou se trouve l'equipement (liste L1).</t>
  </si>
  <si>
    <t xml:space="preserve">Date d'acquisition</t>
  </si>
  <si>
    <t xml:space="preserve">Date d'acquisition (JJ/MM/AAAA).</t>
  </si>
  <si>
    <t xml:space="preserve">Bailleur (liste partagee avec F1).</t>
  </si>
  <si>
    <t xml:space="preserve">Montant (KMF)</t>
  </si>
  <si>
    <t xml:space="preserve">Valeur d'acquisition (KMF).</t>
  </si>
  <si>
    <t xml:space="preserve">Rappel de la piece F1 liee.</t>
  </si>
  <si>
    <t xml:space="preserve">En service/HS/Reforme</t>
  </si>
  <si>
    <t xml:space="preserve">Etat de l'equipement.</t>
  </si>
  <si>
    <t xml:space="preserve">N inventaire / serie</t>
  </si>
  <si>
    <t xml:space="preserve">Numero d'inventaire ou de serie.</t>
  </si>
  <si>
    <t xml:space="preserve">GUIDE D'UTILISATION — EMSP V1</t>
  </si>
  <si>
    <t xml:space="preserve">1. AVANT DE COMMENCER</t>
  </si>
  <si>
    <t xml:space="preserve">Ordre de demarrage</t>
  </si>
  <si>
    <t xml:space="preserve">Renseigner d'abord l'onglet P0_Parametres : filieres, niveaux, sections, statuts, categories de recettes, categories de depenses, postes budgetaires, comptes/caisses, lieux de stage, annees. Toutes les listes deroulantes en dependent.</t>
  </si>
  <si>
    <t xml:space="preserve">Provenance des champs</t>
  </si>
  <si>
    <t xml:space="preserve">Sans marqueur = exige par le TDR ; (*) = initiative Webcreatys ; (**) = ajout hors TDR. Voir Legende et Dictionnaire.</t>
  </si>
  <si>
    <t xml:space="preserve">Chaque tableau a un filtre sur sa ligne d'en-tete (fleche en haut de colonne).</t>
  </si>
  <si>
    <t xml:space="preserve">Sauvegarde</t>
  </si>
  <si>
    <t xml:space="preserve">100% hors-ligne. Copie datee chaque semaine sur cle USB dediee. Designer un referent sauvegarde.</t>
  </si>
  <si>
    <t xml:space="preserve">2. ETUDIANTS</t>
  </si>
  <si>
    <t xml:space="preserve">Saisie / import</t>
  </si>
  <si>
    <t xml:space="preserve">Saisir dans A1_Etudiants, ou utiliser IMPORT_zone : coller le CSV national ; la colonne 'Statut vs base' indique NOUVEAU ou EXISTANT. Ne recopier dans A1 que les lignes NOUVEAU. Completer genre/origine si absents.</t>
  </si>
  <si>
    <t xml:space="preserve">Mise a jour hebdo</t>
  </si>
  <si>
    <t xml:space="preserve">Importer les nouveaux etudiants une fois par semaine.</t>
  </si>
  <si>
    <t xml:space="preserve">A2_Presences : une ligne par etudiant / seance / creneau (10h, 12h, 15h, 17h). Pas d'absence partielle en V1.</t>
  </si>
  <si>
    <t xml:space="preserve">Documents</t>
  </si>
  <si>
    <t xml:space="preserve">A4_Documents_etud : cycle attestation (en attente conseil -&gt; delai contestation 1 semaine -&gt; imprimable).</t>
  </si>
  <si>
    <t xml:space="preserve">3. ENSEIGNEMENTS &amp; SALLES</t>
  </si>
  <si>
    <t xml:space="preserve">Sessions</t>
  </si>
  <si>
    <t xml:space="preserve">A3_Sessions relie matiere, enseignant et salle. L'occupation des salles se lit ici (pas de double saisie).</t>
  </si>
  <si>
    <t xml:space="preserve">Salles</t>
  </si>
  <si>
    <t xml:space="preserve">L1_Salles : type, capacite, equipements.</t>
  </si>
  <si>
    <t xml:space="preserve">Enseignants</t>
  </si>
  <si>
    <t xml:space="preserve">E1_Enseignants : fiche par enseignant. E2_Releve_heures : saisir le volume constate ; le total a payer se calcule seul (nb d'heures, sans montant).</t>
  </si>
  <si>
    <t xml:space="preserve">4. STAGES</t>
  </si>
  <si>
    <t xml:space="preserve">Stages</t>
  </si>
  <si>
    <t xml:space="preserve">S1_Stages : referentiel des lieux + affectation (6 seances/an, 1 mois) + fiche de retour O/N. Les observations/plaintes sont distinctes de la presence.</t>
  </si>
  <si>
    <t xml:space="preserve">5. FINANCES</t>
  </si>
  <si>
    <t xml:space="preserve">Mouvements</t>
  </si>
  <si>
    <t xml:space="preserve">F1_Mouvements : choisir d'abord le Sens (Recette ou Depense). La liste Categorie s'adapte automatiquement (listes separees). Saisir le montant dans la colonne Recette OU Depense (KMF). Indiquer le compte. Renseigner la Source de financement / Bailleur pour pouvoir sortir, par filtre, tout ce qui releve d'un bailleur donne.</t>
  </si>
  <si>
    <t xml:space="preserve">Comptes</t>
  </si>
  <si>
    <t xml:space="preserve">F2_Comptes : saisir le solde initial ; le solde courant se calcule automatiquement.</t>
  </si>
  <si>
    <t xml:space="preserve">6. PILOTAGE</t>
  </si>
  <si>
    <t xml:space="preserve">Tableau de bord</t>
  </si>
  <si>
    <t xml:space="preserve">TDB_Direction : se met a jour automatiquement (effectifs, finances, heures, presence). Ne rien y saisir.</t>
  </si>
  <si>
    <t xml:space="preserve">Plan d'action</t>
  </si>
  <si>
    <t xml:space="preserve">G1_Plan_action : consigner les ecarts et actions correctives.</t>
  </si>
  <si>
    <t xml:space="preserve">Documents officiels</t>
  </si>
  <si>
    <t xml:space="preserve">H1_Biblio_docs : referencer textes OMS, reglementaires, protocoles (lien local hors-ligne).</t>
  </si>
  <si>
    <t xml:space="preserve">7. REGLES IMPORTANTES</t>
  </si>
  <si>
    <t xml:space="preserve">Ne pas ecraser les formules</t>
  </si>
  <si>
    <t xml:space="preserve">Colonnes calculees (Total heures, Solde courant, Statut import, TDB) : ne jamais saisir a la main.</t>
  </si>
  <si>
    <t xml:space="preserve">Matricule = cle</t>
  </si>
  <si>
    <t xml:space="preserve">Le matricule relie tous les onglets : ne pas le modifier apres saisie.</t>
  </si>
  <si>
    <t xml:space="preserve">Depot du projet</t>
  </si>
  <si>
    <t xml:space="preserve">github.com/bWebreatys/emsp (branche main).</t>
  </si>
  <si>
    <t xml:space="preserve">IMPORT CSV NATIONAL — coller le fichier, colonne H = statut vs base</t>
  </si>
  <si>
    <t xml:space="preserve">Nom (*)</t>
  </si>
  <si>
    <t xml:space="preserve">Prenom (*)</t>
  </si>
  <si>
    <t xml:space="preserve">Date naissance (*)</t>
  </si>
  <si>
    <t xml:space="preserve">Lieu naissance (*)</t>
  </si>
  <si>
    <t xml:space="preserve">Niveau/Filiere (*)</t>
  </si>
  <si>
    <t xml:space="preserve">Statut vs base (*)</t>
  </si>
  <si>
    <t xml:space="preserve">MODELES DE DOCUMENTS — IMPRESSIONS &amp; EDITIONS</t>
  </si>
  <si>
    <t xml:space="preserve">Cle doc</t>
  </si>
  <si>
    <t xml:space="preserve">Libelle</t>
  </si>
  <si>
    <t xml:space="preserve">En-tete</t>
  </si>
  <si>
    <t xml:space="preserve">Titre</t>
  </si>
  <si>
    <t xml:space="preserve">Corps</t>
  </si>
  <si>
    <t xml:space="preserve">Mentions / pied</t>
  </si>
  <si>
    <t xml:space="preserve">Libelle signataire</t>
  </si>
  <si>
    <t xml:space="preserve">Nb copies</t>
  </si>
  <si>
    <t xml:space="preserve">LISTE_ETUD</t>
  </si>
  <si>
    <t xml:space="preserve">Liste d'etudiants</t>
  </si>
  <si>
    <t xml:space="preserve">UNION DES COMORES
Unite - Solidarite - Developpement
Ministere de l'Education Nationale, de l'Enseignement Superieur et de la Recherche
Universite des Comores
Ecole de Medecine et de Sante Publique</t>
  </si>
  <si>
    <t xml:space="preserve">LISTE DES ETUDIANTS</t>
  </si>
  <si>
    <t xml:space="preserve">Le Chef de la Scolarite</t>
  </si>
  <si>
    <t xml:space="preserve">1</t>
  </si>
  <si>
    <t xml:space="preserve">PRESENCE_VIERGE</t>
  </si>
  <si>
    <t xml:space="preserve">Feuille de presence vierge</t>
  </si>
  <si>
    <t xml:space="preserve">FICHE DE PRESENCE</t>
  </si>
  <si>
    <t xml:space="preserve">Hopital ou centre : ......................   Section : ......................
Periode du ...... / ...... / ......  au  ...... / ...... / ......</t>
  </si>
  <si>
    <t xml:space="preserve">En cas de rectification, les services concernes seront avertis.</t>
  </si>
  <si>
    <t xml:space="preserve">Signature du responsable de service</t>
  </si>
  <si>
    <t xml:space="preserve">RELEVE_IND</t>
  </si>
  <si>
    <t xml:space="preserve">Releve d'heures individuel (paie)</t>
  </si>
  <si>
    <t xml:space="preserve">RELEVE D'HEURES - ENSEIGNANT</t>
  </si>
  <si>
    <t xml:space="preserve">Enseignant : {nom} {prenom} (matricule {matricule})
Statut : {statut}    Departement : {departement}
Periode : {mois_annee}
Volume horaire programme : {vol_prog} h
Volume horaire constate : {vol_constate} h
Total heures a payer : {total_heures} h
Releve etabli pour la paie. Fait a Moroni, le {date_jour}.</t>
  </si>
  <si>
    <t xml:space="preserve">Heures uniquement (sans taux ni montant).</t>
  </si>
  <si>
    <t xml:space="preserve">L'enseignant / Le Chef de departement</t>
  </si>
  <si>
    <t xml:space="preserve">RELEVE_RECAP</t>
  </si>
  <si>
    <t xml:space="preserve">Recapitulatif mensuel des heures (tous enseignants)</t>
  </si>
  <si>
    <t xml:space="preserve">RECAPITULATIF MENSUEL DES HEURES - ENSEIGNANTS</t>
  </si>
  <si>
    <t xml:space="preserve">La Direction</t>
  </si>
  <si>
    <t xml:space="preserve">RECU</t>
  </si>
  <si>
    <t xml:space="preserve">Recu de paiement</t>
  </si>
  <si>
    <t xml:space="preserve">RECU DE PAIEMENT</t>
  </si>
  <si>
    <t xml:space="preserve">Recu N {reference}
Recu de {tiers} la somme de {montant} KMF (Francs comoriens),
au titre de : {categorie} - {libelle}.
Date de l'operation : {date_operation}
Mode de paiement : {mode_paiement}
Compte / caisse : {compte}
Fait a Moroni, le {date_jour}.</t>
  </si>
  <si>
    <t xml:space="preserve">Ce recu fait foi de paiement.</t>
  </si>
  <si>
    <t xml:space="preserve">Le Comptable</t>
  </si>
  <si>
    <t xml:space="preserve">2</t>
  </si>
  <si>
    <t xml:space="preserve">ATTESTATION</t>
  </si>
  <si>
    <t xml:space="preserve">ATTESTATION DE PASSAGE</t>
  </si>
  <si>
    <t xml:space="preserve">Je soussigne(e), responsable de la scolarite de l'Ecole de Medecine et de Sante Publique, atteste que :
{civilite} {prenom} {nom}, ne(e) le {date_naissance} a {lieu_naissance}, matricule {matricule}, est regulierement inscrit(e) en {niveau} - {filiere} (section {section}) au titre de l'annee academique {annee}.
La presente attestation est delivree pour servir et valoir ce que de droit.
Fait a Moroni, le {date_jour}.</t>
  </si>
  <si>
    <t xml:space="preserve">RESERVATIONS DE SALLES (HORS COURS)</t>
  </si>
  <si>
    <t xml:space="preserve">ID reservation (*)</t>
  </si>
  <si>
    <t xml:space="preserve">Salle (**)</t>
  </si>
  <si>
    <t xml:space="preserve">Heure debut (**)</t>
  </si>
  <si>
    <t xml:space="preserve">Heure fin (**)</t>
  </si>
  <si>
    <t xml:space="preserve">Reserve par (**)</t>
  </si>
  <si>
    <t xml:space="preserve">Motif / objet (**)</t>
  </si>
  <si>
    <t xml:space="preserve">EQUIPEMENTS — INVENTAIRE DE PILOTAGE</t>
  </si>
  <si>
    <t xml:space="preserve">ID equipement (*)</t>
  </si>
  <si>
    <t xml:space="preserve">Designation (**)</t>
  </si>
  <si>
    <t xml:space="preserve">Salle / localisation (**)</t>
  </si>
  <si>
    <t xml:space="preserve">Date d'acquisition (**)</t>
  </si>
  <si>
    <t xml:space="preserve">Source de financement / Bailleur (**)</t>
  </si>
  <si>
    <t xml:space="preserve">Montant (KMF) (**)</t>
  </si>
  <si>
    <t xml:space="preserve">Reference / N piece (**)</t>
  </si>
  <si>
    <t xml:space="preserve">Etat (**)</t>
  </si>
  <si>
    <t xml:space="preserve">N inventaire / serie (**)</t>
  </si>
  <si>
    <t xml:space="preserve">Compte (**)</t>
  </si>
  <si>
    <t xml:space="preserve">Sources_financement (*)</t>
  </si>
  <si>
    <t xml:space="preserve">Etat comorien</t>
  </si>
  <si>
    <t xml:space="preserve">Ressources propres EMSP</t>
  </si>
  <si>
    <t xml:space="preserve">Autres donateurs</t>
  </si>
</sst>
</file>

<file path=xl/styles.xml><?xml version="1.0" encoding="utf-8"?>
<styleSheet xmlns="http://schemas.openxmlformats.org/spreadsheetml/2006/main">
  <numFmts count="4">
    <numFmt numFmtId="164" formatCode="General"/>
    <numFmt numFmtId="165" formatCode="m/d/yyyy"/>
    <numFmt numFmtId="166" formatCode="#,##0;\-#,##0;\-"/>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5"/>
      <color rgb="FFFFFFFF"/>
      <name val="Calibri"/>
      <family val="0"/>
      <charset val="1"/>
    </font>
    <font>
      <b val="true"/>
      <sz val="11"/>
      <name val="Calibri"/>
      <family val="0"/>
      <charset val="1"/>
    </font>
    <font>
      <sz val="11"/>
      <name val="Calibri"/>
      <family val="0"/>
      <charset val="1"/>
    </font>
    <font>
      <b val="true"/>
      <sz val="11"/>
      <color rgb="FF000000"/>
      <name val="Calibri"/>
      <family val="0"/>
      <charset val="1"/>
    </font>
    <font>
      <sz val="11"/>
      <color rgb="FF000000"/>
      <name val="Calibri"/>
      <family val="0"/>
      <charset val="1"/>
    </font>
    <font>
      <b val="true"/>
      <sz val="11"/>
      <color rgb="FFFFFFFF"/>
      <name val="Calibri"/>
      <family val="0"/>
      <charset val="1"/>
    </font>
    <font>
      <b val="true"/>
      <sz val="12"/>
      <color rgb="FFFFFFFF"/>
      <name val="Calibri"/>
      <family val="0"/>
      <charset val="1"/>
    </font>
  </fonts>
  <fills count="5">
    <fill>
      <patternFill patternType="none"/>
    </fill>
    <fill>
      <patternFill patternType="gray125"/>
    </fill>
    <fill>
      <patternFill patternType="solid">
        <fgColor rgb="FF1F4E79"/>
        <bgColor rgb="FF003366"/>
      </patternFill>
    </fill>
    <fill>
      <patternFill patternType="solid">
        <fgColor rgb="FFDDEBF7"/>
        <bgColor rgb="FFEFEFEF"/>
      </patternFill>
    </fill>
    <fill>
      <patternFill patternType="solid">
        <fgColor rgb="FFEFEFEF"/>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EFEFEF"/>
          <bgColor rgb="FF000000"/>
        </patternFill>
      </fill>
    </dxf>
    <dxf>
      <fill>
        <patternFill patternType="solid">
          <bgColor rgb="FF000000"/>
        </patternFill>
      </fill>
    </dxf>
    <dxf>
      <fill>
        <patternFill patternType="solid">
          <fgColor rgb="FF000000"/>
          <bgColor rgb="FF000000"/>
        </patternFill>
      </fill>
    </dxf>
    <dxf>
      <fill>
        <patternFill patternType="solid">
          <fgColor rgb="FFDDEBF7"/>
          <bgColor rgb="FF000000"/>
        </patternFill>
      </fill>
    </dxf>
    <dxf>
      <fill>
        <patternFill patternType="solid">
          <fgColor rgb="FF1F4E79"/>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FEFEF"/>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9.xml.rels><?xml version="1.0" encoding="UTF-8"?>
<Relationships xmlns="http://schemas.openxmlformats.org/package/2006/relationships"><Relationship Id="rId1" Type="http://schemas.openxmlformats.org/officeDocument/2006/relationships/drawing" Target="../drawings/drawing1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30"/>
    <col collapsed="false" customWidth="true" hidden="false" outlineLevel="0" max="2" min="2" style="1" width="78"/>
  </cols>
  <sheetData>
    <row r="1" customFormat="false" ht="30" hidden="false" customHeight="true" outlineLevel="0" collapsed="false">
      <c r="A1" s="2" t="s">
        <v>0</v>
      </c>
      <c r="B1" s="2"/>
    </row>
    <row r="2" customFormat="false" ht="15" hidden="false" customHeight="true" outlineLevel="0" collapsed="false">
      <c r="A2" s="3" t="s">
        <v>1</v>
      </c>
      <c r="B2" s="4" t="s">
        <v>2</v>
      </c>
    </row>
    <row r="3" customFormat="false" ht="15" hidden="false" customHeight="true" outlineLevel="0" collapsed="false">
      <c r="A3" s="3" t="s">
        <v>3</v>
      </c>
      <c r="B3" s="4" t="s">
        <v>4</v>
      </c>
    </row>
    <row r="4" customFormat="false" ht="15" hidden="false" customHeight="true" outlineLevel="0" collapsed="false">
      <c r="A4" s="3" t="s">
        <v>5</v>
      </c>
      <c r="B4" s="4" t="s">
        <v>6</v>
      </c>
    </row>
    <row r="5" customFormat="false" ht="15" hidden="false" customHeight="true" outlineLevel="0" collapsed="false">
      <c r="A5" s="3" t="s">
        <v>7</v>
      </c>
      <c r="B5" s="4" t="s">
        <v>8</v>
      </c>
    </row>
    <row r="6" customFormat="false" ht="15" hidden="false" customHeight="true" outlineLevel="0" collapsed="false">
      <c r="A6" s="3"/>
      <c r="B6" s="4"/>
    </row>
    <row r="7" customFormat="false" ht="15" hidden="false" customHeight="true" outlineLevel="0" collapsed="false">
      <c r="A7" s="5" t="s">
        <v>9</v>
      </c>
      <c r="B7" s="4"/>
    </row>
    <row r="8" customFormat="false" ht="15" hidden="false" customHeight="true" outlineLevel="0" collapsed="false">
      <c r="A8" s="3" t="s">
        <v>10</v>
      </c>
      <c r="B8" s="4" t="s">
        <v>11</v>
      </c>
    </row>
    <row r="9" customFormat="false" ht="15" hidden="false" customHeight="true" outlineLevel="0" collapsed="false">
      <c r="A9" s="3" t="s">
        <v>12</v>
      </c>
      <c r="B9" s="4" t="s">
        <v>13</v>
      </c>
    </row>
    <row r="10" customFormat="false" ht="15" hidden="false" customHeight="true" outlineLevel="0" collapsed="false">
      <c r="A10" s="3" t="s">
        <v>14</v>
      </c>
      <c r="B10" s="4" t="s">
        <v>15</v>
      </c>
    </row>
    <row r="11" customFormat="false" ht="15" hidden="false" customHeight="true" outlineLevel="0" collapsed="false">
      <c r="A11" s="3"/>
      <c r="B11" s="4"/>
    </row>
    <row r="12" customFormat="false" ht="15" hidden="false" customHeight="true" outlineLevel="0" collapsed="false">
      <c r="A12" s="5" t="s">
        <v>16</v>
      </c>
      <c r="B12" s="4"/>
    </row>
    <row r="13" customFormat="false" ht="15" hidden="false" customHeight="true" outlineLevel="0" collapsed="false">
      <c r="A13" s="3" t="s">
        <v>17</v>
      </c>
      <c r="B13" s="4" t="s">
        <v>18</v>
      </c>
    </row>
    <row r="14" customFormat="false" ht="15" hidden="false" customHeight="true" outlineLevel="0" collapsed="false">
      <c r="A14" s="3" t="s">
        <v>19</v>
      </c>
      <c r="B14" s="4" t="s">
        <v>20</v>
      </c>
    </row>
    <row r="15" customFormat="false" ht="30" hidden="false" customHeight="true" outlineLevel="0" collapsed="false">
      <c r="A15" s="3" t="s">
        <v>21</v>
      </c>
      <c r="B15" s="4" t="s">
        <v>22</v>
      </c>
    </row>
    <row r="16" customFormat="false" ht="15" hidden="false" customHeight="true" outlineLevel="0" collapsed="false">
      <c r="A16" s="3" t="s">
        <v>23</v>
      </c>
      <c r="B16" s="4" t="s">
        <v>24</v>
      </c>
    </row>
    <row r="17" customFormat="false" ht="15" hidden="false" customHeight="true" outlineLevel="0" collapsed="false">
      <c r="A17" s="3" t="s">
        <v>25</v>
      </c>
      <c r="B17" s="4" t="s">
        <v>26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5" min="1" style="1" width="21"/>
    <col collapsed="false" customWidth="true" hidden="false" outlineLevel="0" max="17" min="16" style="1" width="24"/>
    <col collapsed="false" customWidth="true" hidden="false" outlineLevel="0" max="18" min="18" style="0" width="22"/>
    <col min="26" max="26" width="24" customWidth="1"/>
    <col min="27" max="27" width="20" customWidth="1"/>
  </cols>
  <sheetData>
    <row r="1" customFormat="false" ht="30" hidden="false" customHeight="true" outlineLevel="0" collapsed="false">
      <c r="A1" s="2" t="s">
        <v>27</v>
      </c>
      <c r="B1" s="2"/>
      <c r="C1" s="2"/>
      <c r="D1" s="2"/>
      <c r="E1" s="2"/>
      <c r="F1" s="2"/>
      <c r="G1" s="2"/>
      <c r="H1" s="2"/>
      <c r="I1" s="2"/>
      <c r="J1" s="2"/>
      <c r="K1" s="2"/>
      <c r="L1" s="2"/>
      <c r="M1" s="2"/>
      <c r="N1" s="2"/>
      <c r="O1" s="2"/>
      <c r="P1" s="2"/>
      <c r="Q1" s="2"/>
    </row>
    <row r="2" customFormat="false" ht="30" hidden="false" customHeight="true" outlineLevel="0" collapsed="false">
      <c r="A2" s="6" t="s">
        <v>28</v>
      </c>
      <c r="B2" s="6" t="s">
        <v>29</v>
      </c>
      <c r="C2" s="6" t="s">
        <v>30</v>
      </c>
      <c r="D2" s="6" t="s">
        <v>31</v>
      </c>
      <c r="E2" s="6" t="s">
        <v>32</v>
      </c>
      <c r="F2" s="6" t="s">
        <v>33</v>
      </c>
      <c r="G2" s="6" t="s">
        <v>34</v>
      </c>
      <c r="H2" s="6" t="s">
        <v>35</v>
      </c>
      <c r="I2" s="6" t="s">
        <v>36</v>
      </c>
      <c r="J2" s="6" t="s">
        <v>37</v>
      </c>
      <c r="K2" s="6" t="s">
        <v>38</v>
      </c>
      <c r="L2" s="6" t="s">
        <v>39</v>
      </c>
      <c r="M2" s="6" t="s">
        <v>40</v>
      </c>
      <c r="N2" s="6" t="s">
        <v>41</v>
      </c>
      <c r="O2" s="6" t="s">
        <v>622</v>
      </c>
      <c r="P2" s="6" t="s">
        <v>43</v>
      </c>
      <c r="Q2" s="6" t="s">
        <v>44</v>
      </c>
      <c r="R2" s="7" t="s">
        <v>45</v>
      </c>
      <c r="S2" s="6" t="inlineStr">
        <is>
          <t xml:space="preserve">Categories_doc (*)</t>
        </is>
      </c>
      <c r="T2" s="6" t="inlineStr">
        <is>
          <t xml:space="preserve">Types_ecart (*)</t>
        </is>
      </c>
      <c r="U2" s="6" t="inlineStr">
        <is>
          <t xml:space="preserve">Statuts_action (*)</t>
        </is>
      </c>
      <c r="V2" s="6" t="inlineStr">
        <is>
          <t xml:space="preserve">Etats_materiel (**)</t>
        </is>
      </c>
      <c r="W2" s="6" t="inlineStr">
        <is>
          <t xml:space="preserve">Types_besoin (**)</t>
        </is>
      </c>
      <c r="X2" s="6" t="inlineStr">
        <is>
          <t xml:space="preserve">Priorites_besoin (**)</t>
        </is>
      </c>
      <c r="Y2" s="6" t="inlineStr">
        <is>
          <t xml:space="preserve">Statuts_besoin (**)</t>
        </is>
      </c>
      <c r="Z2" s="7" t="inlineStr">
        <is>
          <t xml:space="preserve">Tarif_inscription_niveau</t>
        </is>
      </c>
      <c r="AA2" s="7" t="inlineStr">
        <is>
          <t xml:space="preserve">Tarif_inscription_KMF</t>
        </is>
      </c>
      <c r="AB2" s="6" t="inlineStr">
        <is>
          <t xml:space="preserve">Types_doc_bailleur</t>
        </is>
      </c>
      <c r="AC2" s="6" t="inlineStr">
        <is>
          <t xml:space="preserve">Types_bailleur</t>
        </is>
      </c>
      <c r="AD2" s="6" t="inlineStr">
        <is>
          <t xml:space="preserve">Statuts_bailleur</t>
        </is>
      </c>
      <c r="AE2" s="6" t="inlineStr">
        <is>
          <t xml:space="preserve">Statuts_enseignant</t>
        </is>
      </c>
    </row>
    <row r="3" customFormat="false" ht="15" hidden="false" customHeight="true" outlineLevel="0" collapsed="false">
      <c r="B3" s="8" t="s">
        <v>46</v>
      </c>
      <c r="C3" s="8" t="s">
        <v>47</v>
      </c>
      <c r="D3" s="8" t="s">
        <v>48</v>
      </c>
      <c r="E3" s="8" t="s">
        <v>49</v>
      </c>
      <c r="F3" s="8" t="s">
        <v>50</v>
      </c>
      <c r="J3" s="8" t="s">
        <v>51</v>
      </c>
      <c r="L3" s="8" t="s">
        <v>52</v>
      </c>
      <c r="M3" s="1" t="s">
        <v>53</v>
      </c>
      <c r="N3" s="8" t="s">
        <v>54</v>
      </c>
      <c r="O3" s="8" t="s">
        <v>55</v>
      </c>
      <c r="P3" s="1" t="s">
        <v>56</v>
      </c>
      <c r="Q3" s="1" t="s">
        <v>57</v>
      </c>
      <c r="R3" s="9" t="s">
        <v>58</v>
      </c>
      <c r="S3" s="8" t="inlineStr">
        <is>
          <t xml:space="preserve">Stratégique</t>
        </is>
      </c>
      <c r="T3" s="8" t="inlineStr">
        <is>
          <t xml:space="preserve">Budgétaire</t>
        </is>
      </c>
      <c r="U3" s="8" t="inlineStr">
        <is>
          <t xml:space="preserve">Non démarré</t>
        </is>
      </c>
      <c r="V3" s="8" t="inlineStr">
        <is>
          <t xml:space="preserve">Actif</t>
        </is>
      </c>
      <c r="W3" s="8" t="inlineStr">
        <is>
          <t xml:space="preserve">Matériel en panne</t>
        </is>
      </c>
      <c r="X3" s="8" t="inlineStr">
        <is>
          <t xml:space="preserve">Haute</t>
        </is>
      </c>
      <c r="Y3" s="8" t="inlineStr">
        <is>
          <t xml:space="preserve">Exprimé</t>
        </is>
      </c>
      <c r="AB3" t="inlineStr">
        <is>
          <t xml:space="preserve">Contrat/Convention</t>
        </is>
      </c>
      <c r="AC3" t="inlineStr">
        <is>
          <t xml:space="preserve">International</t>
        </is>
      </c>
      <c r="AD3" t="inlineStr">
        <is>
          <t xml:space="preserve">Actif</t>
        </is>
      </c>
      <c r="AE3" t="inlineStr">
        <is>
          <t xml:space="preserve">Permanent</t>
        </is>
      </c>
    </row>
    <row r="4" customFormat="false" ht="15" hidden="false" customHeight="true" outlineLevel="0" collapsed="false">
      <c r="B4" s="8" t="s">
        <v>59</v>
      </c>
      <c r="C4" s="8" t="s">
        <v>60</v>
      </c>
      <c r="D4" s="8" t="s">
        <v>61</v>
      </c>
      <c r="E4" s="8" t="s">
        <v>62</v>
      </c>
      <c r="F4" s="8" t="s">
        <v>63</v>
      </c>
      <c r="J4" s="8" t="s">
        <v>64</v>
      </c>
      <c r="L4" s="8" t="s">
        <v>65</v>
      </c>
      <c r="M4" s="1" t="s">
        <v>66</v>
      </c>
      <c r="N4" s="8" t="s">
        <v>67</v>
      </c>
      <c r="O4" s="8" t="s">
        <v>623</v>
      </c>
      <c r="P4" s="1" t="s">
        <v>69</v>
      </c>
      <c r="Q4" s="1" t="s">
        <v>70</v>
      </c>
      <c r="R4" s="9" t="s">
        <v>71</v>
      </c>
      <c r="S4" s="8" t="inlineStr">
        <is>
          <t xml:space="preserve">Médical</t>
        </is>
      </c>
      <c r="T4" s="8" t="inlineStr">
        <is>
          <t xml:space="preserve">Temporel</t>
        </is>
      </c>
      <c r="U4" s="8" t="inlineStr">
        <is>
          <t xml:space="preserve">En cours</t>
        </is>
      </c>
      <c r="V4" s="8" t="inlineStr">
        <is>
          <t xml:space="preserve">En panne</t>
        </is>
      </c>
      <c r="W4" s="8" t="inlineStr">
        <is>
          <t xml:space="preserve">Matériel manquant / absent</t>
        </is>
      </c>
      <c r="X4" s="8" t="inlineStr">
        <is>
          <t xml:space="preserve">Moyenne</t>
        </is>
      </c>
      <c r="Y4" s="8" t="inlineStr">
        <is>
          <t xml:space="preserve">En cours</t>
        </is>
      </c>
      <c r="AB4" t="inlineStr">
        <is>
          <t xml:space="preserve">Avenant</t>
        </is>
      </c>
      <c r="AC4" t="inlineStr">
        <is>
          <t xml:space="preserve">État</t>
        </is>
      </c>
      <c r="AD4" t="inlineStr">
        <is>
          <t xml:space="preserve">Clôturé</t>
        </is>
      </c>
      <c r="AE4" t="inlineStr">
        <is>
          <t xml:space="preserve">Contractuel</t>
        </is>
      </c>
    </row>
    <row r="5" customFormat="false" ht="15" hidden="false" customHeight="true" outlineLevel="0" collapsed="false">
      <c r="B5" s="8" t="s">
        <v>72</v>
      </c>
      <c r="C5" s="8" t="s">
        <v>73</v>
      </c>
      <c r="E5" s="8" t="s">
        <v>74</v>
      </c>
      <c r="J5" s="8" t="s">
        <v>75</v>
      </c>
      <c r="L5" s="8" t="s">
        <v>76</v>
      </c>
      <c r="M5" s="1" t="s">
        <v>77</v>
      </c>
      <c r="O5" s="8" t="s">
        <v>624</v>
      </c>
      <c r="P5" s="1" t="s">
        <v>79</v>
      </c>
      <c r="Q5" s="1" t="s">
        <v>80</v>
      </c>
      <c r="R5" s="9" t="s">
        <v>81</v>
      </c>
      <c r="S5" s="8" t="inlineStr">
        <is>
          <t xml:space="preserve">Supports de cours</t>
        </is>
      </c>
      <c r="T5" s="8" t="inlineStr">
        <is>
          <t xml:space="preserve">Contenu de formation</t>
        </is>
      </c>
      <c r="U5" s="8" t="inlineStr">
        <is>
          <t xml:space="preserve">Atteint</t>
        </is>
      </c>
      <c r="V5" s="8" t="inlineStr">
        <is>
          <t xml:space="preserve">Hors service</t>
        </is>
      </c>
      <c r="W5" s="8" t="inlineStr">
        <is>
          <t xml:space="preserve">Consommable</t>
        </is>
      </c>
      <c r="X5" s="8" t="inlineStr">
        <is>
          <t xml:space="preserve">Basse</t>
        </is>
      </c>
      <c r="Y5" s="8" t="inlineStr">
        <is>
          <t xml:space="preserve">Satisfait</t>
        </is>
      </c>
      <c r="AB5" t="inlineStr">
        <is>
          <t xml:space="preserve">Justificatif</t>
        </is>
      </c>
      <c r="AC5" t="inlineStr">
        <is>
          <t xml:space="preserve">Bilatéral</t>
        </is>
      </c>
      <c r="AD5" t="inlineStr">
        <is>
          <t xml:space="preserve">Suspendu</t>
        </is>
      </c>
      <c r="AE5" t="inlineStr">
        <is>
          <t xml:space="preserve">Vacataire</t>
        </is>
      </c>
    </row>
    <row r="6" customFormat="false" ht="15" hidden="false" customHeight="true" outlineLevel="0" collapsed="false">
      <c r="B6" s="8" t="s">
        <v>82</v>
      </c>
      <c r="E6" s="8" t="s">
        <v>83</v>
      </c>
      <c r="J6" s="8" t="s">
        <v>84</v>
      </c>
      <c r="L6" s="1" t="s">
        <v>85</v>
      </c>
      <c r="M6" s="1" t="s">
        <v>86</v>
      </c>
      <c r="O6" s="8" t="s">
        <v>625</v>
      </c>
      <c r="Q6" s="1" t="s">
        <v>88</v>
      </c>
      <c r="R6" s="9" t="s">
        <v>89</v>
      </c>
      <c r="S6" s="8" t="inlineStr">
        <is>
          <t xml:space="preserve">Réglementaire / officiel</t>
        </is>
      </c>
      <c r="T6" s="8" t="inlineStr">
        <is>
          <t xml:space="preserve">Qualité</t>
        </is>
      </c>
      <c r="U6" s="8" t="inlineStr">
        <is>
          <t xml:space="preserve">En retard</t>
        </is>
      </c>
      <c r="V6" s="8" t="inlineStr">
        <is>
          <t xml:space="preserve">En maintenance</t>
        </is>
      </c>
      <c r="W6" s="8" t="inlineStr">
        <is>
          <t xml:space="preserve">Nouveau matériel</t>
        </is>
      </c>
      <c r="Y6" s="8" t="inlineStr">
        <is>
          <t xml:space="preserve">Rejeté</t>
        </is>
      </c>
      <c r="AB6" t="inlineStr">
        <is>
          <t xml:space="preserve">Autre</t>
        </is>
      </c>
      <c r="AC6" t="inlineStr">
        <is>
          <t xml:space="preserve">Multilatéral</t>
        </is>
      </c>
      <c r="AD6" t="inlineStr">
        <is>
          <t xml:space="preserve">Autre</t>
        </is>
      </c>
      <c r="AE6" t="inlineStr">
        <is>
          <t xml:space="preserve">Bénévole</t>
        </is>
      </c>
    </row>
    <row r="7" customFormat="false" ht="15" hidden="false" customHeight="true" outlineLevel="0" collapsed="false">
      <c r="M7" s="1" t="s">
        <v>90</v>
      </c>
      <c r="R7" s="9" t="s">
        <v>84</v>
      </c>
      <c r="S7" s="8" t="inlineStr">
        <is>
          <t xml:space="preserve">OMS / international</t>
        </is>
      </c>
      <c r="T7" s="8" t="inlineStr">
        <is>
          <t xml:space="preserve">Autre</t>
        </is>
      </c>
      <c r="U7" s="8" t="inlineStr">
        <is>
          <t xml:space="preserve">Abandonné</t>
        </is>
      </c>
      <c r="V7" s="8" t="inlineStr">
        <is>
          <t xml:space="preserve">Réformé</t>
        </is>
      </c>
      <c r="W7" s="8" t="inlineStr">
        <is>
          <t xml:space="preserve">Réparation</t>
        </is>
      </c>
      <c r="AC7" t="inlineStr">
        <is>
          <t xml:space="preserve">ONG / Fondation</t>
        </is>
      </c>
    </row>
    <row r="8" customFormat="false" ht="15" hidden="false" customHeight="true" outlineLevel="0" collapsed="false">
      <c r="M8" s="1" t="s">
        <v>91</v>
      </c>
      <c r="S8" s="8" t="inlineStr">
        <is>
          <t xml:space="preserve">Autre</t>
        </is>
      </c>
      <c r="W8" s="8" t="inlineStr">
        <is>
          <t xml:space="preserve">Autre</t>
        </is>
      </c>
      <c r="AC8" t="inlineStr">
        <is>
          <t xml:space="preserve">Privé</t>
        </is>
      </c>
    </row>
    <row r="9" customFormat="false" ht="12.8" hidden="false" customHeight="false" outlineLevel="0" collapsed="false">
      <c r="AC9" t="inlineStr">
        <is>
          <t xml:space="preserve">Autre</t>
        </is>
      </c>
    </row>
  </sheetData>
  <autoFilter ref="A2:O200"/>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28"/>
    <col collapsed="false" customWidth="true" hidden="false" outlineLevel="0" max="2" min="2" style="1" width="14"/>
    <col collapsed="false" customWidth="true" hidden="false" outlineLevel="0" max="3" min="3" style="1" width="24"/>
    <col collapsed="false" customWidth="true" hidden="false" outlineLevel="0" max="4" min="4" style="1" width="25"/>
    <col collapsed="false" customWidth="true" hidden="false" outlineLevel="0" max="5" min="5" style="1" width="30"/>
  </cols>
  <sheetData>
    <row r="1" customFormat="false" ht="30" hidden="false" customHeight="true" outlineLevel="0" collapsed="false">
      <c r="A1" s="2" t="s">
        <v>92</v>
      </c>
      <c r="B1" s="2"/>
      <c r="C1" s="2"/>
      <c r="D1" s="2"/>
      <c r="E1" s="2"/>
    </row>
    <row r="2" customFormat="false" ht="31.5" hidden="false" customHeight="true" outlineLevel="0" collapsed="false">
      <c r="A2" s="7" t="s">
        <v>93</v>
      </c>
      <c r="B2" s="7" t="s">
        <v>94</v>
      </c>
      <c r="C2" s="7" t="s">
        <v>95</v>
      </c>
      <c r="D2" s="7" t="s">
        <v>96</v>
      </c>
      <c r="E2" s="7" t="s">
        <v>97</v>
      </c>
      <c r="F2" s="1" t="s">
        <v>98</v>
      </c>
    </row>
    <row r="3" customFormat="false" ht="15" hidden="false" customHeight="true" outlineLevel="0" collapsed="false">
      <c r="A3" s="8" t="s">
        <v>99</v>
      </c>
      <c r="B3" s="8" t="s">
        <v>100</v>
      </c>
      <c r="C3" s="8" t="s">
        <v>101</v>
      </c>
      <c r="D3" s="8" t="s">
        <v>101</v>
      </c>
      <c r="E3" s="8" t="s">
        <v>102</v>
      </c>
      <c r="F3" s="1" t="s">
        <v>102</v>
      </c>
    </row>
    <row r="4" customFormat="false" ht="15" hidden="false" customHeight="true" outlineLevel="0" collapsed="false">
      <c r="A4" s="8" t="s">
        <v>103</v>
      </c>
      <c r="B4" s="8" t="s">
        <v>104</v>
      </c>
      <c r="C4" s="8" t="s">
        <v>105</v>
      </c>
      <c r="D4" s="8" t="s">
        <v>105</v>
      </c>
      <c r="E4" s="8" t="s">
        <v>106</v>
      </c>
      <c r="F4" s="1" t="s">
        <v>106</v>
      </c>
    </row>
    <row r="5" customFormat="false" ht="15" hidden="false" customHeight="true" outlineLevel="0" collapsed="false">
      <c r="A5" s="8" t="s">
        <v>107</v>
      </c>
      <c r="B5" s="8" t="s">
        <v>108</v>
      </c>
      <c r="C5" s="8" t="s">
        <v>21</v>
      </c>
      <c r="D5" s="8" t="s">
        <v>21</v>
      </c>
      <c r="E5" s="8" t="s">
        <v>102</v>
      </c>
      <c r="F5" s="1" t="s">
        <v>106</v>
      </c>
    </row>
    <row r="6" customFormat="false" ht="15" hidden="false" customHeight="true" outlineLevel="0" collapsed="false">
      <c r="A6" s="8" t="s">
        <v>109</v>
      </c>
      <c r="B6" s="8" t="s">
        <v>110</v>
      </c>
      <c r="C6" s="8" t="s">
        <v>111</v>
      </c>
      <c r="D6" s="8" t="s">
        <v>112</v>
      </c>
      <c r="E6" s="8" t="s">
        <v>106</v>
      </c>
      <c r="F6" s="1" t="s">
        <v>106</v>
      </c>
    </row>
    <row r="7" customFormat="false" ht="15" hidden="false" customHeight="true" outlineLevel="0" collapsed="false">
      <c r="A7" s="8" t="s">
        <v>113</v>
      </c>
      <c r="B7" s="8" t="s">
        <v>114</v>
      </c>
      <c r="C7" s="8" t="s">
        <v>101</v>
      </c>
      <c r="D7" s="8" t="s">
        <v>101</v>
      </c>
      <c r="E7" s="8" t="s">
        <v>102</v>
      </c>
      <c r="F7" s="1" t="s">
        <v>102</v>
      </c>
    </row>
    <row r="8" customFormat="false" ht="15" hidden="false" customHeight="true" outlineLevel="0" collapsed="false">
      <c r="A8" s="8"/>
      <c r="B8" s="8"/>
      <c r="C8" s="8"/>
      <c r="D8" s="8"/>
      <c r="E8" s="8"/>
    </row>
    <row r="9" customFormat="false" ht="15" hidden="false" customHeight="true" outlineLevel="0" collapsed="false">
      <c r="A9" s="8"/>
      <c r="B9" s="8"/>
      <c r="C9" s="8"/>
      <c r="D9" s="8"/>
      <c r="E9" s="8"/>
    </row>
    <row r="10" customFormat="false" ht="15" hidden="false" customHeight="true" outlineLevel="0" collapsed="false">
      <c r="A10" s="8"/>
      <c r="B10" s="8"/>
      <c r="C10" s="8"/>
      <c r="D10" s="8"/>
      <c r="E10" s="8"/>
    </row>
    <row r="11" customFormat="false" ht="15" hidden="false" customHeight="true" outlineLevel="0" collapsed="false">
      <c r="A11" s="8"/>
      <c r="B11" s="8"/>
      <c r="C11" s="8"/>
      <c r="D11" s="8"/>
      <c r="E11" s="8"/>
    </row>
    <row r="12" customFormat="false" ht="15" hidden="false" customHeight="true" outlineLevel="0" collapsed="false">
      <c r="A12" s="8"/>
      <c r="B12" s="8"/>
      <c r="C12" s="8"/>
      <c r="D12" s="8"/>
      <c r="E12" s="8"/>
    </row>
    <row r="13" customFormat="false" ht="15" hidden="false" customHeight="true" outlineLevel="0" collapsed="false">
      <c r="A13" s="8"/>
      <c r="B13" s="8"/>
      <c r="C13" s="8"/>
      <c r="D13" s="8"/>
      <c r="E13" s="8"/>
    </row>
    <row r="14" customFormat="false" ht="15" hidden="false" customHeight="true" outlineLevel="0" collapsed="false">
      <c r="A14" s="8"/>
      <c r="B14" s="8"/>
      <c r="C14" s="8"/>
      <c r="D14" s="8"/>
      <c r="E14" s="8"/>
    </row>
    <row r="15" customFormat="false" ht="15" hidden="false" customHeight="true" outlineLevel="0" collapsed="false">
      <c r="A15" s="8"/>
      <c r="B15" s="8"/>
      <c r="C15" s="8"/>
      <c r="D15" s="8"/>
      <c r="E15" s="8"/>
    </row>
    <row r="16" customFormat="false" ht="15" hidden="false" customHeight="true" outlineLevel="0" collapsed="false">
      <c r="A16" s="8"/>
      <c r="B16" s="8"/>
      <c r="C16" s="8"/>
      <c r="D16" s="8"/>
      <c r="E16" s="8"/>
    </row>
    <row r="17" customFormat="false" ht="15" hidden="false" customHeight="true" outlineLevel="0" collapsed="false">
      <c r="A17" s="8"/>
      <c r="B17" s="8"/>
      <c r="C17" s="8"/>
      <c r="D17" s="8"/>
      <c r="E17" s="8"/>
    </row>
    <row r="18" customFormat="false" ht="15" hidden="false" customHeight="true" outlineLevel="0" collapsed="false">
      <c r="A18" s="8"/>
      <c r="B18" s="8"/>
      <c r="C18" s="8"/>
      <c r="D18" s="8"/>
      <c r="E18" s="8"/>
    </row>
    <row r="19" customFormat="false" ht="15" hidden="false" customHeight="true" outlineLevel="0" collapsed="false">
      <c r="A19" s="8"/>
      <c r="B19" s="8"/>
      <c r="C19" s="8"/>
      <c r="D19" s="8"/>
      <c r="E19" s="8"/>
    </row>
    <row r="20" customFormat="false" ht="15" hidden="false" customHeight="true" outlineLevel="0" collapsed="false">
      <c r="A20" s="8"/>
      <c r="B20" s="8"/>
      <c r="C20" s="8"/>
      <c r="D20" s="8"/>
      <c r="E20" s="8"/>
    </row>
    <row r="21" customFormat="false" ht="15" hidden="false" customHeight="true" outlineLevel="0" collapsed="false">
      <c r="A21" s="8"/>
      <c r="B21" s="8"/>
      <c r="C21" s="8"/>
      <c r="D21" s="8"/>
      <c r="E21" s="8"/>
    </row>
    <row r="22" customFormat="false" ht="15" hidden="false" customHeight="true" outlineLevel="0" collapsed="false">
      <c r="A22" s="8"/>
      <c r="B22" s="8"/>
      <c r="C22" s="8"/>
      <c r="D22" s="8"/>
      <c r="E22" s="8"/>
    </row>
    <row r="23" customFormat="false" ht="15" hidden="false" customHeight="true" outlineLevel="0" collapsed="false">
      <c r="A23" s="8"/>
      <c r="B23" s="8"/>
      <c r="C23" s="8"/>
      <c r="D23" s="8"/>
      <c r="E23" s="8"/>
    </row>
    <row r="24" customFormat="false" ht="15" hidden="false" customHeight="true" outlineLevel="0" collapsed="false">
      <c r="A24" s="8"/>
      <c r="B24" s="8"/>
      <c r="C24" s="8"/>
      <c r="D24" s="8"/>
      <c r="E24" s="8"/>
    </row>
    <row r="25" customFormat="false" ht="15" hidden="false" customHeight="true" outlineLevel="0" collapsed="false">
      <c r="A25" s="8"/>
      <c r="B25" s="8"/>
      <c r="C25" s="8"/>
      <c r="D25" s="8"/>
      <c r="E25" s="8"/>
    </row>
    <row r="26" customFormat="false" ht="15" hidden="false" customHeight="true" outlineLevel="0" collapsed="false">
      <c r="A26" s="8"/>
      <c r="B26" s="8"/>
      <c r="C26" s="8"/>
      <c r="D26" s="8"/>
      <c r="E26" s="8"/>
    </row>
    <row r="27" customFormat="false" ht="15" hidden="false" customHeight="true" outlineLevel="0" collapsed="false">
      <c r="A27" s="8"/>
      <c r="B27" s="8"/>
      <c r="C27" s="8"/>
      <c r="D27" s="8"/>
      <c r="E27" s="8"/>
    </row>
    <row r="28" customFormat="false" ht="15" hidden="false" customHeight="true" outlineLevel="0" collapsed="false">
      <c r="A28" s="8"/>
      <c r="B28" s="8"/>
      <c r="C28" s="8"/>
      <c r="D28" s="8"/>
      <c r="E28" s="8"/>
    </row>
    <row r="29" customFormat="false" ht="15" hidden="false" customHeight="true" outlineLevel="0" collapsed="false">
      <c r="A29" s="8"/>
      <c r="B29" s="8"/>
      <c r="C29" s="8"/>
      <c r="D29" s="8"/>
      <c r="E29" s="8"/>
    </row>
    <row r="30" customFormat="false" ht="15" hidden="false" customHeight="true" outlineLevel="0" collapsed="false">
      <c r="A30" s="8"/>
      <c r="B30" s="8"/>
      <c r="C30" s="8"/>
      <c r="D30" s="8"/>
      <c r="E30" s="8"/>
    </row>
    <row r="31" customFormat="false" ht="15" hidden="false" customHeight="true" outlineLevel="0" collapsed="false">
      <c r="A31" s="8"/>
      <c r="B31" s="8"/>
      <c r="C31" s="8"/>
      <c r="D31" s="8"/>
      <c r="E31" s="8"/>
    </row>
    <row r="32" customFormat="false" ht="15" hidden="false" customHeight="true" outlineLevel="0" collapsed="false">
      <c r="A32" s="8"/>
      <c r="B32" s="8"/>
      <c r="C32" s="8"/>
      <c r="D32" s="8"/>
      <c r="E32" s="8"/>
    </row>
    <row r="33" customFormat="false" ht="15" hidden="false" customHeight="true" outlineLevel="0" collapsed="false">
      <c r="A33" s="8"/>
      <c r="B33" s="8"/>
      <c r="C33" s="8"/>
      <c r="D33" s="8"/>
      <c r="E33" s="8"/>
    </row>
    <row r="34" customFormat="false" ht="15" hidden="false" customHeight="true" outlineLevel="0" collapsed="false">
      <c r="A34" s="8"/>
      <c r="B34" s="8"/>
      <c r="C34" s="8"/>
      <c r="D34" s="8"/>
      <c r="E34" s="8"/>
    </row>
    <row r="35" customFormat="false" ht="15" hidden="false" customHeight="true" outlineLevel="0" collapsed="false">
      <c r="A35" s="8"/>
      <c r="B35" s="8"/>
      <c r="C35" s="8"/>
      <c r="D35" s="8"/>
      <c r="E35" s="8"/>
    </row>
    <row r="36" customFormat="false" ht="15" hidden="false" customHeight="true" outlineLevel="0" collapsed="false">
      <c r="A36" s="8"/>
      <c r="B36" s="8"/>
      <c r="C36" s="8"/>
      <c r="D36" s="8"/>
      <c r="E36" s="8"/>
    </row>
    <row r="37" customFormat="false" ht="15" hidden="false" customHeight="true" outlineLevel="0" collapsed="false">
      <c r="A37" s="8"/>
      <c r="B37" s="8"/>
      <c r="C37" s="8"/>
      <c r="D37" s="8"/>
      <c r="E37" s="8"/>
    </row>
    <row r="38" customFormat="false" ht="15" hidden="false" customHeight="true" outlineLevel="0" collapsed="false">
      <c r="A38" s="8"/>
      <c r="B38" s="8"/>
      <c r="C38" s="8"/>
      <c r="D38" s="8"/>
      <c r="E38" s="8"/>
    </row>
    <row r="39" customFormat="false" ht="15" hidden="false" customHeight="true" outlineLevel="0" collapsed="false">
      <c r="A39" s="8"/>
      <c r="B39" s="8"/>
      <c r="C39" s="8"/>
      <c r="D39" s="8"/>
      <c r="E39" s="8"/>
    </row>
    <row r="40" customFormat="false" ht="15" hidden="false" customHeight="true" outlineLevel="0" collapsed="false">
      <c r="A40" s="8"/>
      <c r="B40" s="8"/>
      <c r="C40" s="8"/>
      <c r="D40" s="8"/>
      <c r="E40" s="8"/>
    </row>
    <row r="41" customFormat="false" ht="15" hidden="false" customHeight="true" outlineLevel="0" collapsed="false">
      <c r="A41" s="8"/>
      <c r="B41" s="8"/>
      <c r="C41" s="8"/>
      <c r="D41" s="8"/>
      <c r="E41" s="8"/>
    </row>
    <row r="42" customFormat="false" ht="15" hidden="false" customHeight="true" outlineLevel="0" collapsed="false">
      <c r="A42" s="8"/>
      <c r="B42" s="8"/>
      <c r="C42" s="8"/>
      <c r="D42" s="8"/>
      <c r="E42" s="8"/>
    </row>
    <row r="43" customFormat="false" ht="15" hidden="false" customHeight="true" outlineLevel="0" collapsed="false">
      <c r="A43" s="8"/>
      <c r="B43" s="8"/>
      <c r="C43" s="8"/>
      <c r="D43" s="8"/>
      <c r="E43" s="8"/>
    </row>
    <row r="44" customFormat="false" ht="15" hidden="false" customHeight="true" outlineLevel="0" collapsed="false">
      <c r="A44" s="8"/>
      <c r="B44" s="8"/>
      <c r="C44" s="8"/>
      <c r="D44" s="8"/>
      <c r="E44" s="8"/>
    </row>
    <row r="45" customFormat="false" ht="15" hidden="false" customHeight="true" outlineLevel="0" collapsed="false">
      <c r="A45" s="8"/>
      <c r="B45" s="8"/>
      <c r="C45" s="8"/>
      <c r="D45" s="8"/>
      <c r="E45" s="8"/>
    </row>
    <row r="46" customFormat="false" ht="15" hidden="false" customHeight="true" outlineLevel="0" collapsed="false">
      <c r="A46" s="8"/>
      <c r="B46" s="8"/>
      <c r="C46" s="8"/>
      <c r="D46" s="8"/>
      <c r="E46" s="8"/>
    </row>
    <row r="47" customFormat="false" ht="15" hidden="false" customHeight="true" outlineLevel="0" collapsed="false">
      <c r="A47" s="8"/>
      <c r="B47" s="8"/>
      <c r="C47" s="8"/>
      <c r="D47" s="8"/>
      <c r="E47" s="8"/>
    </row>
    <row r="48" customFormat="false" ht="15" hidden="false" customHeight="true" outlineLevel="0" collapsed="false">
      <c r="A48" s="8"/>
      <c r="B48" s="8"/>
      <c r="C48" s="8"/>
      <c r="D48" s="8"/>
      <c r="E48" s="8"/>
    </row>
    <row r="49" customFormat="false" ht="15" hidden="false" customHeight="true" outlineLevel="0" collapsed="false">
      <c r="A49" s="8"/>
      <c r="B49" s="8"/>
      <c r="C49" s="8"/>
      <c r="D49" s="8"/>
      <c r="E49" s="8"/>
    </row>
    <row r="50" customFormat="false" ht="15" hidden="false" customHeight="true" outlineLevel="0" collapsed="false">
      <c r="A50" s="8"/>
      <c r="B50" s="8"/>
      <c r="C50" s="8"/>
      <c r="D50" s="8"/>
      <c r="E50" s="8"/>
    </row>
    <row r="51" customFormat="false" ht="15" hidden="false" customHeight="true" outlineLevel="0" collapsed="false">
      <c r="A51" s="8"/>
      <c r="B51" s="8"/>
      <c r="C51" s="8"/>
      <c r="D51" s="8"/>
      <c r="E51" s="8"/>
    </row>
    <row r="52" customFormat="false" ht="15" hidden="false" customHeight="true" outlineLevel="0" collapsed="false">
      <c r="A52" s="8"/>
      <c r="B52" s="8"/>
      <c r="C52" s="8"/>
      <c r="D52" s="8"/>
      <c r="E52" s="8"/>
    </row>
    <row r="53" customFormat="false" ht="15" hidden="false" customHeight="true" outlineLevel="0" collapsed="false">
      <c r="A53" s="8"/>
      <c r="B53" s="8"/>
      <c r="C53" s="8"/>
      <c r="D53" s="8"/>
      <c r="E53" s="8"/>
    </row>
    <row r="54" customFormat="false" ht="15" hidden="false" customHeight="true" outlineLevel="0" collapsed="false">
      <c r="A54" s="8"/>
      <c r="B54" s="8"/>
      <c r="C54" s="8"/>
      <c r="D54" s="8"/>
      <c r="E54" s="8"/>
    </row>
    <row r="55" customFormat="false" ht="15" hidden="false" customHeight="true" outlineLevel="0" collapsed="false">
      <c r="A55" s="8"/>
      <c r="B55" s="8"/>
      <c r="C55" s="8"/>
      <c r="D55" s="8"/>
      <c r="E55" s="8"/>
    </row>
    <row r="56" customFormat="false" ht="15" hidden="false" customHeight="true" outlineLevel="0" collapsed="false">
      <c r="A56" s="8"/>
      <c r="B56" s="8"/>
      <c r="C56" s="8"/>
      <c r="D56" s="8"/>
      <c r="E56" s="8"/>
    </row>
    <row r="57" customFormat="false" ht="15" hidden="false" customHeight="true" outlineLevel="0" collapsed="false">
      <c r="A57" s="8"/>
      <c r="B57" s="8"/>
      <c r="C57" s="8"/>
      <c r="D57" s="8"/>
      <c r="E57" s="8"/>
    </row>
    <row r="58" customFormat="false" ht="15" hidden="false" customHeight="true" outlineLevel="0" collapsed="false">
      <c r="A58" s="8"/>
      <c r="B58" s="8"/>
      <c r="C58" s="8"/>
      <c r="D58" s="8"/>
      <c r="E58" s="8"/>
    </row>
    <row r="59" customFormat="false" ht="15" hidden="false" customHeight="true" outlineLevel="0" collapsed="false">
      <c r="A59" s="8"/>
      <c r="B59" s="8"/>
      <c r="C59" s="8"/>
      <c r="D59" s="8"/>
      <c r="E59" s="8"/>
    </row>
    <row r="60" customFormat="false" ht="15" hidden="false" customHeight="true" outlineLevel="0" collapsed="false">
      <c r="A60" s="8"/>
      <c r="B60" s="8"/>
      <c r="C60" s="8"/>
      <c r="D60" s="8"/>
      <c r="E60" s="8"/>
    </row>
    <row r="61" customFormat="false" ht="15" hidden="false" customHeight="true" outlineLevel="0" collapsed="false">
      <c r="A61" s="8"/>
      <c r="B61" s="8"/>
      <c r="C61" s="8"/>
      <c r="D61" s="8"/>
      <c r="E61" s="8"/>
    </row>
    <row r="62" customFormat="false" ht="15" hidden="false" customHeight="true" outlineLevel="0" collapsed="false">
      <c r="A62" s="8"/>
      <c r="B62" s="8"/>
      <c r="C62" s="8"/>
      <c r="D62" s="8"/>
      <c r="E62" s="8"/>
    </row>
    <row r="63" customFormat="false" ht="15" hidden="false" customHeight="true" outlineLevel="0" collapsed="false">
      <c r="A63" s="8"/>
      <c r="B63" s="8"/>
      <c r="C63" s="8"/>
      <c r="D63" s="8"/>
      <c r="E63" s="8"/>
    </row>
    <row r="64" customFormat="false" ht="15" hidden="false" customHeight="true" outlineLevel="0" collapsed="false">
      <c r="A64" s="8"/>
      <c r="B64" s="8"/>
      <c r="C64" s="8"/>
      <c r="D64" s="8"/>
      <c r="E64" s="8"/>
    </row>
    <row r="65" customFormat="false" ht="15" hidden="false" customHeight="true" outlineLevel="0" collapsed="false">
      <c r="A65" s="8"/>
      <c r="B65" s="8"/>
      <c r="C65" s="8"/>
      <c r="D65" s="8"/>
      <c r="E65" s="8"/>
    </row>
    <row r="66" customFormat="false" ht="15" hidden="false" customHeight="true" outlineLevel="0" collapsed="false">
      <c r="A66" s="8"/>
      <c r="B66" s="8"/>
      <c r="C66" s="8"/>
      <c r="D66" s="8"/>
      <c r="E66" s="8"/>
    </row>
    <row r="67" customFormat="false" ht="15" hidden="false" customHeight="true" outlineLevel="0" collapsed="false">
      <c r="A67" s="8"/>
      <c r="B67" s="8"/>
      <c r="C67" s="8"/>
      <c r="D67" s="8"/>
      <c r="E67" s="8"/>
    </row>
    <row r="68" customFormat="false" ht="15" hidden="false" customHeight="true" outlineLevel="0" collapsed="false">
      <c r="A68" s="8"/>
      <c r="B68" s="8"/>
      <c r="C68" s="8"/>
      <c r="D68" s="8"/>
      <c r="E68" s="8"/>
    </row>
    <row r="69" customFormat="false" ht="15" hidden="false" customHeight="true" outlineLevel="0" collapsed="false">
      <c r="A69" s="8"/>
      <c r="B69" s="8"/>
      <c r="C69" s="8"/>
      <c r="D69" s="8"/>
      <c r="E69" s="8"/>
    </row>
    <row r="70" customFormat="false" ht="15" hidden="false" customHeight="true" outlineLevel="0" collapsed="false">
      <c r="A70" s="8"/>
      <c r="B70" s="8"/>
      <c r="C70" s="8"/>
      <c r="D70" s="8"/>
      <c r="E70" s="8"/>
    </row>
    <row r="71" customFormat="false" ht="15" hidden="false" customHeight="true" outlineLevel="0" collapsed="false">
      <c r="A71" s="8"/>
      <c r="B71" s="8"/>
      <c r="C71" s="8"/>
      <c r="D71" s="8"/>
      <c r="E71" s="8"/>
    </row>
    <row r="72" customFormat="false" ht="15" hidden="false" customHeight="true" outlineLevel="0" collapsed="false">
      <c r="A72" s="8"/>
      <c r="B72" s="8"/>
      <c r="C72" s="8"/>
      <c r="D72" s="8"/>
      <c r="E72" s="8"/>
    </row>
    <row r="73" customFormat="false" ht="15" hidden="false" customHeight="true" outlineLevel="0" collapsed="false">
      <c r="A73" s="8"/>
      <c r="B73" s="8"/>
      <c r="C73" s="8"/>
      <c r="D73" s="8"/>
      <c r="E73" s="8"/>
    </row>
    <row r="74" customFormat="false" ht="15" hidden="false" customHeight="true" outlineLevel="0" collapsed="false">
      <c r="A74" s="8"/>
      <c r="B74" s="8"/>
      <c r="C74" s="8"/>
      <c r="D74" s="8"/>
      <c r="E74" s="8"/>
    </row>
    <row r="75" customFormat="false" ht="15" hidden="false" customHeight="true" outlineLevel="0" collapsed="false">
      <c r="A75" s="8"/>
      <c r="B75" s="8"/>
      <c r="C75" s="8"/>
      <c r="D75" s="8"/>
      <c r="E75" s="8"/>
    </row>
    <row r="76" customFormat="false" ht="15" hidden="false" customHeight="true" outlineLevel="0" collapsed="false">
      <c r="A76" s="8"/>
      <c r="B76" s="8"/>
      <c r="C76" s="8"/>
      <c r="D76" s="8"/>
      <c r="E76" s="8"/>
    </row>
    <row r="77" customFormat="false" ht="15" hidden="false" customHeight="true" outlineLevel="0" collapsed="false">
      <c r="A77" s="8"/>
      <c r="B77" s="8"/>
      <c r="C77" s="8"/>
      <c r="D77" s="8"/>
      <c r="E77" s="8"/>
    </row>
    <row r="78" customFormat="false" ht="15" hidden="false" customHeight="true" outlineLevel="0" collapsed="false">
      <c r="A78" s="8"/>
      <c r="B78" s="8"/>
      <c r="C78" s="8"/>
      <c r="D78" s="8"/>
      <c r="E78" s="8"/>
    </row>
    <row r="79" customFormat="false" ht="15" hidden="false" customHeight="true" outlineLevel="0" collapsed="false">
      <c r="A79" s="8"/>
      <c r="B79" s="8"/>
      <c r="C79" s="8"/>
      <c r="D79" s="8"/>
      <c r="E79" s="8"/>
    </row>
    <row r="80" customFormat="false" ht="15" hidden="false" customHeight="true" outlineLevel="0" collapsed="false">
      <c r="A80" s="8"/>
      <c r="B80" s="8"/>
      <c r="C80" s="8"/>
      <c r="D80" s="8"/>
      <c r="E80" s="8"/>
    </row>
    <row r="81" customFormat="false" ht="15" hidden="false" customHeight="true" outlineLevel="0" collapsed="false">
      <c r="A81" s="8"/>
      <c r="B81" s="8"/>
      <c r="C81" s="8"/>
      <c r="D81" s="8"/>
      <c r="E81" s="8"/>
    </row>
    <row r="82" customFormat="false" ht="15" hidden="false" customHeight="true" outlineLevel="0" collapsed="false">
      <c r="A82" s="8"/>
      <c r="B82" s="8"/>
      <c r="C82" s="8"/>
      <c r="D82" s="8"/>
      <c r="E82" s="8"/>
    </row>
    <row r="83" customFormat="false" ht="15" hidden="false" customHeight="true" outlineLevel="0" collapsed="false">
      <c r="A83" s="8"/>
      <c r="B83" s="8"/>
      <c r="C83" s="8"/>
      <c r="D83" s="8"/>
      <c r="E83" s="8"/>
    </row>
    <row r="84" customFormat="false" ht="15" hidden="false" customHeight="true" outlineLevel="0" collapsed="false">
      <c r="A84" s="8"/>
      <c r="B84" s="8"/>
      <c r="C84" s="8"/>
      <c r="D84" s="8"/>
      <c r="E84" s="8"/>
    </row>
    <row r="85" customFormat="false" ht="15" hidden="false" customHeight="true" outlineLevel="0" collapsed="false">
      <c r="A85" s="8"/>
      <c r="B85" s="8"/>
      <c r="C85" s="8"/>
      <c r="D85" s="8"/>
      <c r="E85" s="8"/>
    </row>
    <row r="86" customFormat="false" ht="15" hidden="false" customHeight="true" outlineLevel="0" collapsed="false">
      <c r="A86" s="8"/>
      <c r="B86" s="8"/>
      <c r="C86" s="8"/>
      <c r="D86" s="8"/>
      <c r="E86" s="8"/>
    </row>
    <row r="87" customFormat="false" ht="15" hidden="false" customHeight="true" outlineLevel="0" collapsed="false">
      <c r="A87" s="8"/>
      <c r="B87" s="8"/>
      <c r="C87" s="8"/>
      <c r="D87" s="8"/>
      <c r="E87" s="8"/>
    </row>
    <row r="88" customFormat="false" ht="15" hidden="false" customHeight="true" outlineLevel="0" collapsed="false">
      <c r="A88" s="8"/>
      <c r="B88" s="8"/>
      <c r="C88" s="8"/>
      <c r="D88" s="8"/>
      <c r="E88" s="8"/>
    </row>
    <row r="89" customFormat="false" ht="15" hidden="false" customHeight="true" outlineLevel="0" collapsed="false">
      <c r="A89" s="8"/>
      <c r="B89" s="8"/>
      <c r="C89" s="8"/>
      <c r="D89" s="8"/>
      <c r="E89" s="8"/>
    </row>
    <row r="90" customFormat="false" ht="15" hidden="false" customHeight="true" outlineLevel="0" collapsed="false">
      <c r="A90" s="8"/>
      <c r="B90" s="8"/>
      <c r="C90" s="8"/>
      <c r="D90" s="8"/>
      <c r="E90" s="8"/>
    </row>
    <row r="91" customFormat="false" ht="15" hidden="false" customHeight="true" outlineLevel="0" collapsed="false">
      <c r="A91" s="8"/>
      <c r="B91" s="8"/>
      <c r="C91" s="8"/>
      <c r="D91" s="8"/>
      <c r="E91" s="8"/>
    </row>
    <row r="92" customFormat="false" ht="15" hidden="false" customHeight="true" outlineLevel="0" collapsed="false">
      <c r="A92" s="8"/>
      <c r="B92" s="8"/>
      <c r="C92" s="8"/>
      <c r="D92" s="8"/>
      <c r="E92" s="8"/>
    </row>
    <row r="93" customFormat="false" ht="15" hidden="false" customHeight="true" outlineLevel="0" collapsed="false">
      <c r="A93" s="8"/>
      <c r="B93" s="8"/>
      <c r="C93" s="8"/>
      <c r="D93" s="8"/>
      <c r="E93" s="8"/>
    </row>
    <row r="94" customFormat="false" ht="15" hidden="false" customHeight="true" outlineLevel="0" collapsed="false">
      <c r="A94" s="8"/>
      <c r="B94" s="8"/>
      <c r="C94" s="8"/>
      <c r="D94" s="8"/>
      <c r="E94" s="8"/>
    </row>
    <row r="95" customFormat="false" ht="15" hidden="false" customHeight="true" outlineLevel="0" collapsed="false">
      <c r="A95" s="8"/>
      <c r="B95" s="8"/>
      <c r="C95" s="8"/>
      <c r="D95" s="8"/>
      <c r="E95" s="8"/>
    </row>
    <row r="96" customFormat="false" ht="15" hidden="false" customHeight="true" outlineLevel="0" collapsed="false">
      <c r="A96" s="8"/>
      <c r="B96" s="8"/>
      <c r="C96" s="8"/>
      <c r="D96" s="8"/>
      <c r="E96" s="8"/>
    </row>
    <row r="97" customFormat="false" ht="15" hidden="false" customHeight="true" outlineLevel="0" collapsed="false">
      <c r="A97" s="8"/>
      <c r="B97" s="8"/>
      <c r="C97" s="8"/>
      <c r="D97" s="8"/>
      <c r="E97" s="8"/>
    </row>
    <row r="98" customFormat="false" ht="15" hidden="false" customHeight="true" outlineLevel="0" collapsed="false">
      <c r="A98" s="8"/>
      <c r="B98" s="8"/>
      <c r="C98" s="8"/>
      <c r="D98" s="8"/>
      <c r="E98" s="8"/>
    </row>
    <row r="99" customFormat="false" ht="15" hidden="false" customHeight="true" outlineLevel="0" collapsed="false">
      <c r="A99" s="8"/>
      <c r="B99" s="8"/>
      <c r="C99" s="8"/>
      <c r="D99" s="8"/>
      <c r="E99" s="8"/>
    </row>
    <row r="100" customFormat="false" ht="15" hidden="false" customHeight="true" outlineLevel="0" collapsed="false">
      <c r="A100" s="8"/>
      <c r="B100" s="8"/>
      <c r="C100" s="8"/>
      <c r="D100" s="8"/>
      <c r="E100" s="8"/>
    </row>
    <row r="101" customFormat="false" ht="15" hidden="false" customHeight="true" outlineLevel="0" collapsed="false">
      <c r="A101" s="8"/>
      <c r="B101" s="8"/>
      <c r="C101" s="8"/>
      <c r="D101" s="8"/>
      <c r="E101" s="8"/>
    </row>
    <row r="102" customFormat="false" ht="15" hidden="false" customHeight="true" outlineLevel="0" collapsed="false">
      <c r="A102" s="8"/>
      <c r="B102" s="8"/>
      <c r="C102" s="8"/>
      <c r="D102" s="8"/>
      <c r="E102" s="8"/>
    </row>
    <row r="103" customFormat="false" ht="15" hidden="false" customHeight="true" outlineLevel="0" collapsed="false">
      <c r="A103" s="8"/>
      <c r="B103" s="8"/>
      <c r="C103" s="8"/>
      <c r="D103" s="8"/>
      <c r="E103" s="8"/>
    </row>
    <row r="104" customFormat="false" ht="15" hidden="false" customHeight="true" outlineLevel="0" collapsed="false">
      <c r="A104" s="8"/>
      <c r="B104" s="8"/>
      <c r="C104" s="8"/>
      <c r="D104" s="8"/>
      <c r="E104" s="8"/>
    </row>
    <row r="105" customFormat="false" ht="15" hidden="false" customHeight="true" outlineLevel="0" collapsed="false">
      <c r="A105" s="8"/>
      <c r="B105" s="8"/>
      <c r="C105" s="8"/>
      <c r="D105" s="8"/>
      <c r="E105" s="8"/>
    </row>
    <row r="106" customFormat="false" ht="15" hidden="false" customHeight="true" outlineLevel="0" collapsed="false">
      <c r="A106" s="8"/>
      <c r="B106" s="8"/>
      <c r="C106" s="8"/>
      <c r="D106" s="8"/>
      <c r="E106" s="8"/>
    </row>
    <row r="107" customFormat="false" ht="15" hidden="false" customHeight="true" outlineLevel="0" collapsed="false">
      <c r="A107" s="8"/>
      <c r="B107" s="8"/>
      <c r="C107" s="8"/>
      <c r="D107" s="8"/>
      <c r="E107" s="8"/>
    </row>
    <row r="108" customFormat="false" ht="15" hidden="false" customHeight="true" outlineLevel="0" collapsed="false">
      <c r="A108" s="8"/>
      <c r="B108" s="8"/>
      <c r="C108" s="8"/>
      <c r="D108" s="8"/>
      <c r="E108" s="8"/>
    </row>
    <row r="109" customFormat="false" ht="15" hidden="false" customHeight="true" outlineLevel="0" collapsed="false">
      <c r="A109" s="8"/>
      <c r="B109" s="8"/>
      <c r="C109" s="8"/>
      <c r="D109" s="8"/>
      <c r="E109" s="8"/>
    </row>
    <row r="110" customFormat="false" ht="15" hidden="false" customHeight="true" outlineLevel="0" collapsed="false">
      <c r="A110" s="8"/>
      <c r="B110" s="8"/>
      <c r="C110" s="8"/>
      <c r="D110" s="8"/>
      <c r="E110" s="8"/>
    </row>
    <row r="111" customFormat="false" ht="15" hidden="false" customHeight="true" outlineLevel="0" collapsed="false">
      <c r="A111" s="8"/>
      <c r="B111" s="8"/>
      <c r="C111" s="8"/>
      <c r="D111" s="8"/>
      <c r="E111" s="8"/>
    </row>
    <row r="112" customFormat="false" ht="15" hidden="false" customHeight="true" outlineLevel="0" collapsed="false">
      <c r="A112" s="8"/>
      <c r="B112" s="8"/>
      <c r="C112" s="8"/>
      <c r="D112" s="8"/>
      <c r="E112" s="8"/>
    </row>
    <row r="113" customFormat="false" ht="15" hidden="false" customHeight="true" outlineLevel="0" collapsed="false">
      <c r="A113" s="8"/>
      <c r="B113" s="8"/>
      <c r="C113" s="8"/>
      <c r="D113" s="8"/>
      <c r="E113" s="8"/>
    </row>
    <row r="114" customFormat="false" ht="15" hidden="false" customHeight="true" outlineLevel="0" collapsed="false">
      <c r="A114" s="8"/>
      <c r="B114" s="8"/>
      <c r="C114" s="8"/>
      <c r="D114" s="8"/>
      <c r="E114" s="8"/>
    </row>
    <row r="115" customFormat="false" ht="15" hidden="false" customHeight="true" outlineLevel="0" collapsed="false">
      <c r="A115" s="8"/>
      <c r="B115" s="8"/>
      <c r="C115" s="8"/>
      <c r="D115" s="8"/>
      <c r="E115" s="8"/>
    </row>
    <row r="116" customFormat="false" ht="15" hidden="false" customHeight="true" outlineLevel="0" collapsed="false">
      <c r="A116" s="8"/>
      <c r="B116" s="8"/>
      <c r="C116" s="8"/>
      <c r="D116" s="8"/>
      <c r="E116" s="8"/>
    </row>
    <row r="117" customFormat="false" ht="15" hidden="false" customHeight="true" outlineLevel="0" collapsed="false">
      <c r="A117" s="8"/>
      <c r="B117" s="8"/>
      <c r="C117" s="8"/>
      <c r="D117" s="8"/>
      <c r="E117" s="8"/>
    </row>
    <row r="118" customFormat="false" ht="15" hidden="false" customHeight="true" outlineLevel="0" collapsed="false">
      <c r="A118" s="8"/>
      <c r="B118" s="8"/>
      <c r="C118" s="8"/>
      <c r="D118" s="8"/>
      <c r="E118" s="8"/>
    </row>
    <row r="119" customFormat="false" ht="15" hidden="false" customHeight="true" outlineLevel="0" collapsed="false">
      <c r="A119" s="8"/>
      <c r="B119" s="8"/>
      <c r="C119" s="8"/>
      <c r="D119" s="8"/>
      <c r="E119" s="8"/>
    </row>
    <row r="120" customFormat="false" ht="15" hidden="false" customHeight="true" outlineLevel="0" collapsed="false">
      <c r="A120" s="8"/>
      <c r="B120" s="8"/>
      <c r="C120" s="8"/>
      <c r="D120" s="8"/>
      <c r="E120" s="8"/>
    </row>
    <row r="121" customFormat="false" ht="15" hidden="false" customHeight="true" outlineLevel="0" collapsed="false">
      <c r="A121" s="8"/>
      <c r="B121" s="8"/>
      <c r="C121" s="8"/>
      <c r="D121" s="8"/>
      <c r="E121" s="8"/>
    </row>
    <row r="122" customFormat="false" ht="15" hidden="false" customHeight="true" outlineLevel="0" collapsed="false">
      <c r="A122" s="8"/>
      <c r="B122" s="8"/>
      <c r="C122" s="8"/>
      <c r="D122" s="8"/>
      <c r="E122" s="8"/>
    </row>
    <row r="123" customFormat="false" ht="15" hidden="false" customHeight="true" outlineLevel="0" collapsed="false">
      <c r="A123" s="8"/>
      <c r="B123" s="8"/>
      <c r="C123" s="8"/>
      <c r="D123" s="8"/>
      <c r="E123" s="8"/>
    </row>
    <row r="124" customFormat="false" ht="15" hidden="false" customHeight="true" outlineLevel="0" collapsed="false">
      <c r="A124" s="8"/>
      <c r="B124" s="8"/>
      <c r="C124" s="8"/>
      <c r="D124" s="8"/>
      <c r="E124" s="8"/>
    </row>
    <row r="125" customFormat="false" ht="15" hidden="false" customHeight="true" outlineLevel="0" collapsed="false">
      <c r="A125" s="8"/>
      <c r="B125" s="8"/>
      <c r="C125" s="8"/>
      <c r="D125" s="8"/>
      <c r="E125" s="8"/>
    </row>
    <row r="126" customFormat="false" ht="15" hidden="false" customHeight="true" outlineLevel="0" collapsed="false">
      <c r="A126" s="8"/>
      <c r="B126" s="8"/>
      <c r="C126" s="8"/>
      <c r="D126" s="8"/>
      <c r="E126" s="8"/>
    </row>
    <row r="127" customFormat="false" ht="15" hidden="false" customHeight="true" outlineLevel="0" collapsed="false">
      <c r="A127" s="8"/>
      <c r="B127" s="8"/>
      <c r="C127" s="8"/>
      <c r="D127" s="8"/>
      <c r="E127" s="8"/>
    </row>
    <row r="128" customFormat="false" ht="15" hidden="false" customHeight="true" outlineLevel="0" collapsed="false">
      <c r="A128" s="8"/>
      <c r="B128" s="8"/>
      <c r="C128" s="8"/>
      <c r="D128" s="8"/>
      <c r="E128" s="8"/>
    </row>
    <row r="129" customFormat="false" ht="15" hidden="false" customHeight="true" outlineLevel="0" collapsed="false">
      <c r="A129" s="8"/>
      <c r="B129" s="8"/>
      <c r="C129" s="8"/>
      <c r="D129" s="8"/>
      <c r="E129" s="8"/>
    </row>
    <row r="130" customFormat="false" ht="15" hidden="false" customHeight="true" outlineLevel="0" collapsed="false">
      <c r="A130" s="8"/>
      <c r="B130" s="8"/>
      <c r="C130" s="8"/>
      <c r="D130" s="8"/>
      <c r="E130" s="8"/>
    </row>
    <row r="131" customFormat="false" ht="15" hidden="false" customHeight="true" outlineLevel="0" collapsed="false">
      <c r="A131" s="8"/>
      <c r="B131" s="8"/>
      <c r="C131" s="8"/>
      <c r="D131" s="8"/>
      <c r="E131" s="8"/>
    </row>
    <row r="132" customFormat="false" ht="15" hidden="false" customHeight="true" outlineLevel="0" collapsed="false">
      <c r="A132" s="8"/>
      <c r="B132" s="8"/>
      <c r="C132" s="8"/>
      <c r="D132" s="8"/>
      <c r="E132" s="8"/>
    </row>
    <row r="133" customFormat="false" ht="15" hidden="false" customHeight="true" outlineLevel="0" collapsed="false">
      <c r="A133" s="8"/>
      <c r="B133" s="8"/>
      <c r="C133" s="8"/>
      <c r="D133" s="8"/>
      <c r="E133" s="8"/>
    </row>
    <row r="134" customFormat="false" ht="15" hidden="false" customHeight="true" outlineLevel="0" collapsed="false">
      <c r="A134" s="8"/>
      <c r="B134" s="8"/>
      <c r="C134" s="8"/>
      <c r="D134" s="8"/>
      <c r="E134" s="8"/>
    </row>
    <row r="135" customFormat="false" ht="15" hidden="false" customHeight="true" outlineLevel="0" collapsed="false">
      <c r="A135" s="8"/>
      <c r="B135" s="8"/>
      <c r="C135" s="8"/>
      <c r="D135" s="8"/>
      <c r="E135" s="8"/>
    </row>
    <row r="136" customFormat="false" ht="15" hidden="false" customHeight="true" outlineLevel="0" collapsed="false">
      <c r="A136" s="8"/>
      <c r="B136" s="8"/>
      <c r="C136" s="8"/>
      <c r="D136" s="8"/>
      <c r="E136" s="8"/>
    </row>
    <row r="137" customFormat="false" ht="15" hidden="false" customHeight="true" outlineLevel="0" collapsed="false">
      <c r="A137" s="8"/>
      <c r="B137" s="8"/>
      <c r="C137" s="8"/>
      <c r="D137" s="8"/>
      <c r="E137" s="8"/>
    </row>
    <row r="138" customFormat="false" ht="15" hidden="false" customHeight="true" outlineLevel="0" collapsed="false">
      <c r="A138" s="8"/>
      <c r="B138" s="8"/>
      <c r="C138" s="8"/>
      <c r="D138" s="8"/>
      <c r="E138" s="8"/>
    </row>
    <row r="139" customFormat="false" ht="15" hidden="false" customHeight="true" outlineLevel="0" collapsed="false">
      <c r="A139" s="8"/>
      <c r="B139" s="8"/>
      <c r="C139" s="8"/>
      <c r="D139" s="8"/>
      <c r="E139" s="8"/>
    </row>
    <row r="140" customFormat="false" ht="15" hidden="false" customHeight="true" outlineLevel="0" collapsed="false">
      <c r="A140" s="8"/>
      <c r="B140" s="8"/>
      <c r="C140" s="8"/>
      <c r="D140" s="8"/>
      <c r="E140" s="8"/>
    </row>
    <row r="141" customFormat="false" ht="15" hidden="false" customHeight="true" outlineLevel="0" collapsed="false">
      <c r="A141" s="8"/>
      <c r="B141" s="8"/>
      <c r="C141" s="8"/>
      <c r="D141" s="8"/>
      <c r="E141" s="8"/>
    </row>
    <row r="142" customFormat="false" ht="15" hidden="false" customHeight="true" outlineLevel="0" collapsed="false">
      <c r="A142" s="8"/>
      <c r="B142" s="8"/>
      <c r="C142" s="8"/>
      <c r="D142" s="8"/>
      <c r="E142" s="8"/>
    </row>
    <row r="143" customFormat="false" ht="15" hidden="false" customHeight="true" outlineLevel="0" collapsed="false">
      <c r="A143" s="8"/>
      <c r="B143" s="8"/>
      <c r="C143" s="8"/>
      <c r="D143" s="8"/>
      <c r="E143" s="8"/>
    </row>
    <row r="144" customFormat="false" ht="15" hidden="false" customHeight="true" outlineLevel="0" collapsed="false">
      <c r="A144" s="8"/>
      <c r="B144" s="8"/>
      <c r="C144" s="8"/>
      <c r="D144" s="8"/>
      <c r="E144" s="8"/>
    </row>
    <row r="145" customFormat="false" ht="15" hidden="false" customHeight="true" outlineLevel="0" collapsed="false">
      <c r="A145" s="8"/>
      <c r="B145" s="8"/>
      <c r="C145" s="8"/>
      <c r="D145" s="8"/>
      <c r="E145" s="8"/>
    </row>
    <row r="146" customFormat="false" ht="15" hidden="false" customHeight="true" outlineLevel="0" collapsed="false">
      <c r="A146" s="8"/>
      <c r="B146" s="8"/>
      <c r="C146" s="8"/>
      <c r="D146" s="8"/>
      <c r="E146" s="8"/>
    </row>
    <row r="147" customFormat="false" ht="15" hidden="false" customHeight="true" outlineLevel="0" collapsed="false">
      <c r="A147" s="8"/>
      <c r="B147" s="8"/>
      <c r="C147" s="8"/>
      <c r="D147" s="8"/>
      <c r="E147" s="8"/>
    </row>
    <row r="148" customFormat="false" ht="15" hidden="false" customHeight="true" outlineLevel="0" collapsed="false">
      <c r="A148" s="8"/>
      <c r="B148" s="8"/>
      <c r="C148" s="8"/>
      <c r="D148" s="8"/>
      <c r="E148" s="8"/>
    </row>
    <row r="149" customFormat="false" ht="15" hidden="false" customHeight="true" outlineLevel="0" collapsed="false">
      <c r="A149" s="8"/>
      <c r="B149" s="8"/>
      <c r="C149" s="8"/>
      <c r="D149" s="8"/>
      <c r="E149" s="8"/>
    </row>
    <row r="150" customFormat="false" ht="15" hidden="false" customHeight="true" outlineLevel="0" collapsed="false">
      <c r="A150" s="8"/>
      <c r="B150" s="8"/>
      <c r="C150" s="8"/>
      <c r="D150" s="8"/>
      <c r="E150" s="8"/>
    </row>
    <row r="151" customFormat="false" ht="15" hidden="false" customHeight="true" outlineLevel="0" collapsed="false">
      <c r="A151" s="8"/>
      <c r="B151" s="8"/>
      <c r="C151" s="8"/>
      <c r="D151" s="8"/>
      <c r="E151" s="8"/>
    </row>
    <row r="152" customFormat="false" ht="15" hidden="false" customHeight="true" outlineLevel="0" collapsed="false">
      <c r="A152" s="8"/>
      <c r="B152" s="8"/>
      <c r="C152" s="8"/>
      <c r="D152" s="8"/>
      <c r="E152" s="8"/>
    </row>
    <row r="153" customFormat="false" ht="15" hidden="false" customHeight="true" outlineLevel="0" collapsed="false">
      <c r="A153" s="8"/>
      <c r="B153" s="8"/>
      <c r="C153" s="8"/>
      <c r="D153" s="8"/>
      <c r="E153" s="8"/>
    </row>
    <row r="154" customFormat="false" ht="15" hidden="false" customHeight="true" outlineLevel="0" collapsed="false">
      <c r="A154" s="8"/>
      <c r="B154" s="8"/>
      <c r="C154" s="8"/>
      <c r="D154" s="8"/>
      <c r="E154" s="8"/>
    </row>
    <row r="155" customFormat="false" ht="15" hidden="false" customHeight="true" outlineLevel="0" collapsed="false">
      <c r="A155" s="8"/>
      <c r="B155" s="8"/>
      <c r="C155" s="8"/>
      <c r="D155" s="8"/>
      <c r="E155" s="8"/>
    </row>
    <row r="156" customFormat="false" ht="15" hidden="false" customHeight="true" outlineLevel="0" collapsed="false">
      <c r="A156" s="8"/>
      <c r="B156" s="8"/>
      <c r="C156" s="8"/>
      <c r="D156" s="8"/>
      <c r="E156" s="8"/>
    </row>
    <row r="157" customFormat="false" ht="15" hidden="false" customHeight="true" outlineLevel="0" collapsed="false">
      <c r="A157" s="8"/>
      <c r="B157" s="8"/>
      <c r="C157" s="8"/>
      <c r="D157" s="8"/>
      <c r="E157" s="8"/>
    </row>
    <row r="158" customFormat="false" ht="15" hidden="false" customHeight="true" outlineLevel="0" collapsed="false">
      <c r="A158" s="8"/>
      <c r="B158" s="8"/>
      <c r="C158" s="8"/>
      <c r="D158" s="8"/>
      <c r="E158" s="8"/>
    </row>
    <row r="159" customFormat="false" ht="15" hidden="false" customHeight="true" outlineLevel="0" collapsed="false">
      <c r="A159" s="8"/>
      <c r="B159" s="8"/>
      <c r="C159" s="8"/>
      <c r="D159" s="8"/>
      <c r="E159" s="8"/>
    </row>
    <row r="160" customFormat="false" ht="15" hidden="false" customHeight="true" outlineLevel="0" collapsed="false">
      <c r="A160" s="8"/>
      <c r="B160" s="8"/>
      <c r="C160" s="8"/>
      <c r="D160" s="8"/>
      <c r="E160" s="8"/>
    </row>
    <row r="161" customFormat="false" ht="15" hidden="false" customHeight="true" outlineLevel="0" collapsed="false">
      <c r="A161" s="8"/>
      <c r="B161" s="8"/>
      <c r="C161" s="8"/>
      <c r="D161" s="8"/>
      <c r="E161" s="8"/>
    </row>
    <row r="162" customFormat="false" ht="15" hidden="false" customHeight="true" outlineLevel="0" collapsed="false">
      <c r="A162" s="8"/>
      <c r="B162" s="8"/>
      <c r="C162" s="8"/>
      <c r="D162" s="8"/>
      <c r="E162" s="8"/>
    </row>
    <row r="163" customFormat="false" ht="15" hidden="false" customHeight="true" outlineLevel="0" collapsed="false">
      <c r="A163" s="8"/>
      <c r="B163" s="8"/>
      <c r="C163" s="8"/>
      <c r="D163" s="8"/>
      <c r="E163" s="8"/>
    </row>
    <row r="164" customFormat="false" ht="15" hidden="false" customHeight="true" outlineLevel="0" collapsed="false">
      <c r="A164" s="8"/>
      <c r="B164" s="8"/>
      <c r="C164" s="8"/>
      <c r="D164" s="8"/>
      <c r="E164" s="8"/>
    </row>
    <row r="165" customFormat="false" ht="15" hidden="false" customHeight="true" outlineLevel="0" collapsed="false">
      <c r="A165" s="8"/>
      <c r="B165" s="8"/>
      <c r="C165" s="8"/>
      <c r="D165" s="8"/>
      <c r="E165" s="8"/>
    </row>
    <row r="166" customFormat="false" ht="15" hidden="false" customHeight="true" outlineLevel="0" collapsed="false">
      <c r="A166" s="8"/>
      <c r="B166" s="8"/>
      <c r="C166" s="8"/>
      <c r="D166" s="8"/>
      <c r="E166" s="8"/>
    </row>
    <row r="167" customFormat="false" ht="15" hidden="false" customHeight="true" outlineLevel="0" collapsed="false">
      <c r="A167" s="8"/>
      <c r="B167" s="8"/>
      <c r="C167" s="8"/>
      <c r="D167" s="8"/>
      <c r="E167" s="8"/>
    </row>
    <row r="168" customFormat="false" ht="15" hidden="false" customHeight="true" outlineLevel="0" collapsed="false">
      <c r="A168" s="8"/>
      <c r="B168" s="8"/>
      <c r="C168" s="8"/>
      <c r="D168" s="8"/>
      <c r="E168" s="8"/>
    </row>
    <row r="169" customFormat="false" ht="15" hidden="false" customHeight="true" outlineLevel="0" collapsed="false">
      <c r="A169" s="8"/>
      <c r="B169" s="8"/>
      <c r="C169" s="8"/>
      <c r="D169" s="8"/>
      <c r="E169" s="8"/>
    </row>
    <row r="170" customFormat="false" ht="15" hidden="false" customHeight="true" outlineLevel="0" collapsed="false">
      <c r="A170" s="8"/>
      <c r="B170" s="8"/>
      <c r="C170" s="8"/>
      <c r="D170" s="8"/>
      <c r="E170" s="8"/>
    </row>
    <row r="171" customFormat="false" ht="15" hidden="false" customHeight="true" outlineLevel="0" collapsed="false">
      <c r="A171" s="8"/>
      <c r="B171" s="8"/>
      <c r="C171" s="8"/>
      <c r="D171" s="8"/>
      <c r="E171" s="8"/>
    </row>
    <row r="172" customFormat="false" ht="15" hidden="false" customHeight="true" outlineLevel="0" collapsed="false">
      <c r="A172" s="8"/>
      <c r="B172" s="8"/>
      <c r="C172" s="8"/>
      <c r="D172" s="8"/>
      <c r="E172" s="8"/>
    </row>
    <row r="173" customFormat="false" ht="15" hidden="false" customHeight="true" outlineLevel="0" collapsed="false">
      <c r="A173" s="8"/>
      <c r="B173" s="8"/>
      <c r="C173" s="8"/>
      <c r="D173" s="8"/>
      <c r="E173" s="8"/>
    </row>
    <row r="174" customFormat="false" ht="15" hidden="false" customHeight="true" outlineLevel="0" collapsed="false">
      <c r="A174" s="8"/>
      <c r="B174" s="8"/>
      <c r="C174" s="8"/>
      <c r="D174" s="8"/>
      <c r="E174" s="8"/>
    </row>
    <row r="175" customFormat="false" ht="15" hidden="false" customHeight="true" outlineLevel="0" collapsed="false">
      <c r="A175" s="8"/>
      <c r="B175" s="8"/>
      <c r="C175" s="8"/>
      <c r="D175" s="8"/>
      <c r="E175" s="8"/>
    </row>
    <row r="176" customFormat="false" ht="15" hidden="false" customHeight="true" outlineLevel="0" collapsed="false">
      <c r="A176" s="8"/>
      <c r="B176" s="8"/>
      <c r="C176" s="8"/>
      <c r="D176" s="8"/>
      <c r="E176" s="8"/>
    </row>
    <row r="177" customFormat="false" ht="15" hidden="false" customHeight="true" outlineLevel="0" collapsed="false">
      <c r="A177" s="8"/>
      <c r="B177" s="8"/>
      <c r="C177" s="8"/>
      <c r="D177" s="8"/>
      <c r="E177" s="8"/>
    </row>
    <row r="178" customFormat="false" ht="15" hidden="false" customHeight="true" outlineLevel="0" collapsed="false">
      <c r="A178" s="8"/>
      <c r="B178" s="8"/>
      <c r="C178" s="8"/>
      <c r="D178" s="8"/>
      <c r="E178" s="8"/>
    </row>
    <row r="179" customFormat="false" ht="15" hidden="false" customHeight="true" outlineLevel="0" collapsed="false">
      <c r="A179" s="8"/>
      <c r="B179" s="8"/>
      <c r="C179" s="8"/>
      <c r="D179" s="8"/>
      <c r="E179" s="8"/>
    </row>
    <row r="180" customFormat="false" ht="15" hidden="false" customHeight="true" outlineLevel="0" collapsed="false">
      <c r="A180" s="8"/>
      <c r="B180" s="8"/>
      <c r="C180" s="8"/>
      <c r="D180" s="8"/>
      <c r="E180" s="8"/>
    </row>
    <row r="181" customFormat="false" ht="15" hidden="false" customHeight="true" outlineLevel="0" collapsed="false">
      <c r="A181" s="8"/>
      <c r="B181" s="8"/>
      <c r="C181" s="8"/>
      <c r="D181" s="8"/>
      <c r="E181" s="8"/>
    </row>
    <row r="182" customFormat="false" ht="15" hidden="false" customHeight="true" outlineLevel="0" collapsed="false">
      <c r="A182" s="8"/>
      <c r="B182" s="8"/>
      <c r="C182" s="8"/>
      <c r="D182" s="8"/>
      <c r="E182" s="8"/>
    </row>
    <row r="183" customFormat="false" ht="15" hidden="false" customHeight="true" outlineLevel="0" collapsed="false">
      <c r="A183" s="8"/>
      <c r="B183" s="8"/>
      <c r="C183" s="8"/>
      <c r="D183" s="8"/>
      <c r="E183" s="8"/>
    </row>
    <row r="184" customFormat="false" ht="15" hidden="false" customHeight="true" outlineLevel="0" collapsed="false">
      <c r="A184" s="8"/>
      <c r="B184" s="8"/>
      <c r="C184" s="8"/>
      <c r="D184" s="8"/>
      <c r="E184" s="8"/>
    </row>
    <row r="185" customFormat="false" ht="15" hidden="false" customHeight="true" outlineLevel="0" collapsed="false">
      <c r="A185" s="8"/>
      <c r="B185" s="8"/>
      <c r="C185" s="8"/>
      <c r="D185" s="8"/>
      <c r="E185" s="8"/>
    </row>
    <row r="186" customFormat="false" ht="15" hidden="false" customHeight="true" outlineLevel="0" collapsed="false">
      <c r="A186" s="8"/>
      <c r="B186" s="8"/>
      <c r="C186" s="8"/>
      <c r="D186" s="8"/>
      <c r="E186" s="8"/>
    </row>
    <row r="187" customFormat="false" ht="15" hidden="false" customHeight="true" outlineLevel="0" collapsed="false">
      <c r="A187" s="8"/>
      <c r="B187" s="8"/>
      <c r="C187" s="8"/>
      <c r="D187" s="8"/>
      <c r="E187" s="8"/>
    </row>
    <row r="188" customFormat="false" ht="15" hidden="false" customHeight="true" outlineLevel="0" collapsed="false">
      <c r="A188" s="8"/>
      <c r="B188" s="8"/>
      <c r="C188" s="8"/>
      <c r="D188" s="8"/>
      <c r="E188" s="8"/>
    </row>
    <row r="189" customFormat="false" ht="15" hidden="false" customHeight="true" outlineLevel="0" collapsed="false">
      <c r="A189" s="8"/>
      <c r="B189" s="8"/>
      <c r="C189" s="8"/>
      <c r="D189" s="8"/>
      <c r="E189" s="8"/>
    </row>
    <row r="190" customFormat="false" ht="15" hidden="false" customHeight="true" outlineLevel="0" collapsed="false">
      <c r="A190" s="8"/>
      <c r="B190" s="8"/>
      <c r="C190" s="8"/>
      <c r="D190" s="8"/>
      <c r="E190" s="8"/>
    </row>
    <row r="191" customFormat="false" ht="15" hidden="false" customHeight="true" outlineLevel="0" collapsed="false">
      <c r="A191" s="8"/>
      <c r="B191" s="8"/>
      <c r="C191" s="8"/>
      <c r="D191" s="8"/>
      <c r="E191" s="8"/>
    </row>
    <row r="192" customFormat="false" ht="15" hidden="false" customHeight="true" outlineLevel="0" collapsed="false">
      <c r="A192" s="8"/>
      <c r="B192" s="8"/>
      <c r="C192" s="8"/>
      <c r="D192" s="8"/>
      <c r="E192" s="8"/>
    </row>
    <row r="193" customFormat="false" ht="15" hidden="false" customHeight="true" outlineLevel="0" collapsed="false">
      <c r="A193" s="8"/>
      <c r="B193" s="8"/>
      <c r="C193" s="8"/>
      <c r="D193" s="8"/>
      <c r="E193" s="8"/>
    </row>
    <row r="194" customFormat="false" ht="15" hidden="false" customHeight="true" outlineLevel="0" collapsed="false">
      <c r="A194" s="8"/>
      <c r="B194" s="8"/>
      <c r="C194" s="8"/>
      <c r="D194" s="8"/>
      <c r="E194" s="8"/>
    </row>
    <row r="195" customFormat="false" ht="15" hidden="false" customHeight="true" outlineLevel="0" collapsed="false">
      <c r="A195" s="8"/>
      <c r="B195" s="8"/>
      <c r="C195" s="8"/>
      <c r="D195" s="8"/>
      <c r="E195" s="8"/>
    </row>
    <row r="196" customFormat="false" ht="15" hidden="false" customHeight="true" outlineLevel="0" collapsed="false">
      <c r="A196" s="8"/>
      <c r="B196" s="8"/>
      <c r="C196" s="8"/>
      <c r="D196" s="8"/>
      <c r="E196" s="8"/>
    </row>
    <row r="197" customFormat="false" ht="15" hidden="false" customHeight="true" outlineLevel="0" collapsed="false">
      <c r="A197" s="8"/>
      <c r="B197" s="8"/>
      <c r="C197" s="8"/>
      <c r="D197" s="8"/>
      <c r="E197" s="8"/>
    </row>
    <row r="198" customFormat="false" ht="15" hidden="false" customHeight="true" outlineLevel="0" collapsed="false">
      <c r="A198" s="8"/>
      <c r="B198" s="8"/>
      <c r="C198" s="8"/>
      <c r="D198" s="8"/>
      <c r="E198" s="8"/>
    </row>
    <row r="199" customFormat="false" ht="15" hidden="false" customHeight="true" outlineLevel="0" collapsed="false">
      <c r="A199" s="8"/>
      <c r="B199" s="8"/>
      <c r="C199" s="8"/>
      <c r="D199" s="8"/>
      <c r="E199" s="8"/>
    </row>
    <row r="200" customFormat="false" ht="15" hidden="false" customHeight="true" outlineLevel="0" collapsed="false">
      <c r="A200" s="8"/>
      <c r="B200" s="8"/>
      <c r="C200" s="8"/>
      <c r="D200" s="8"/>
      <c r="E200" s="8"/>
    </row>
    <row r="201" customFormat="false" ht="15" hidden="false" customHeight="true" outlineLevel="0" collapsed="false">
      <c r="A201" s="8"/>
      <c r="B201" s="8"/>
      <c r="C201" s="8"/>
      <c r="D201" s="8"/>
      <c r="E201" s="8"/>
    </row>
    <row r="202" customFormat="false" ht="15" hidden="false" customHeight="true" outlineLevel="0" collapsed="false">
      <c r="A202" s="8"/>
      <c r="B202" s="8"/>
      <c r="C202" s="8"/>
      <c r="D202" s="8"/>
      <c r="E202" s="8"/>
    </row>
    <row r="203" customFormat="false" ht="15" hidden="false" customHeight="true" outlineLevel="0" collapsed="false">
      <c r="A203" s="8"/>
      <c r="B203" s="8"/>
      <c r="C203" s="8"/>
      <c r="D203" s="8"/>
      <c r="E203" s="8"/>
    </row>
    <row r="204" customFormat="false" ht="15" hidden="false" customHeight="true" outlineLevel="0" collapsed="false">
      <c r="A204" s="8"/>
      <c r="B204" s="8"/>
      <c r="C204" s="8"/>
      <c r="D204" s="8"/>
      <c r="E204" s="8"/>
    </row>
    <row r="205" customFormat="false" ht="15" hidden="false" customHeight="true" outlineLevel="0" collapsed="false">
      <c r="A205" s="8"/>
      <c r="B205" s="8"/>
      <c r="C205" s="8"/>
      <c r="D205" s="8"/>
      <c r="E205" s="8"/>
    </row>
    <row r="206" customFormat="false" ht="15" hidden="false" customHeight="true" outlineLevel="0" collapsed="false">
      <c r="A206" s="8"/>
      <c r="B206" s="8"/>
      <c r="C206" s="8"/>
      <c r="D206" s="8"/>
      <c r="E206" s="8"/>
    </row>
    <row r="207" customFormat="false" ht="15" hidden="false" customHeight="true" outlineLevel="0" collapsed="false">
      <c r="A207" s="8"/>
      <c r="B207" s="8"/>
      <c r="C207" s="8"/>
      <c r="D207" s="8"/>
      <c r="E207" s="8"/>
    </row>
    <row r="208" customFormat="false" ht="15" hidden="false" customHeight="true" outlineLevel="0" collapsed="false">
      <c r="A208" s="8"/>
      <c r="B208" s="8"/>
      <c r="C208" s="8"/>
      <c r="D208" s="8"/>
      <c r="E208" s="8"/>
    </row>
    <row r="209" customFormat="false" ht="15" hidden="false" customHeight="true" outlineLevel="0" collapsed="false">
      <c r="A209" s="8"/>
      <c r="B209" s="8"/>
      <c r="C209" s="8"/>
      <c r="D209" s="8"/>
      <c r="E209" s="8"/>
    </row>
    <row r="210" customFormat="false" ht="15" hidden="false" customHeight="true" outlineLevel="0" collapsed="false">
      <c r="A210" s="8"/>
      <c r="B210" s="8"/>
      <c r="C210" s="8"/>
      <c r="D210" s="8"/>
      <c r="E210" s="8"/>
    </row>
    <row r="211" customFormat="false" ht="15" hidden="false" customHeight="true" outlineLevel="0" collapsed="false">
      <c r="A211" s="8"/>
      <c r="B211" s="8"/>
      <c r="C211" s="8"/>
      <c r="D211" s="8"/>
      <c r="E211" s="8"/>
    </row>
    <row r="212" customFormat="false" ht="15" hidden="false" customHeight="true" outlineLevel="0" collapsed="false">
      <c r="A212" s="8"/>
      <c r="B212" s="8"/>
      <c r="C212" s="8"/>
      <c r="D212" s="8"/>
      <c r="E212" s="8"/>
    </row>
    <row r="213" customFormat="false" ht="15" hidden="false" customHeight="true" outlineLevel="0" collapsed="false">
      <c r="A213" s="8"/>
      <c r="B213" s="8"/>
      <c r="C213" s="8"/>
      <c r="D213" s="8"/>
      <c r="E213" s="8"/>
    </row>
    <row r="214" customFormat="false" ht="15" hidden="false" customHeight="true" outlineLevel="0" collapsed="false">
      <c r="A214" s="8"/>
      <c r="B214" s="8"/>
      <c r="C214" s="8"/>
      <c r="D214" s="8"/>
      <c r="E214" s="8"/>
    </row>
    <row r="215" customFormat="false" ht="15" hidden="false" customHeight="true" outlineLevel="0" collapsed="false">
      <c r="A215" s="8"/>
      <c r="B215" s="8"/>
      <c r="C215" s="8"/>
      <c r="D215" s="8"/>
      <c r="E215" s="8"/>
    </row>
    <row r="216" customFormat="false" ht="15" hidden="false" customHeight="true" outlineLevel="0" collapsed="false">
      <c r="A216" s="8"/>
      <c r="B216" s="8"/>
      <c r="C216" s="8"/>
      <c r="D216" s="8"/>
      <c r="E216" s="8"/>
    </row>
    <row r="217" customFormat="false" ht="15" hidden="false" customHeight="true" outlineLevel="0" collapsed="false">
      <c r="A217" s="8"/>
      <c r="B217" s="8"/>
      <c r="C217" s="8"/>
      <c r="D217" s="8"/>
      <c r="E217" s="8"/>
    </row>
    <row r="218" customFormat="false" ht="15" hidden="false" customHeight="true" outlineLevel="0" collapsed="false">
      <c r="A218" s="8"/>
      <c r="B218" s="8"/>
      <c r="C218" s="8"/>
      <c r="D218" s="8"/>
      <c r="E218" s="8"/>
    </row>
    <row r="219" customFormat="false" ht="15" hidden="false" customHeight="true" outlineLevel="0" collapsed="false">
      <c r="A219" s="8"/>
      <c r="B219" s="8"/>
      <c r="C219" s="8"/>
      <c r="D219" s="8"/>
      <c r="E219" s="8"/>
    </row>
    <row r="220" customFormat="false" ht="15" hidden="false" customHeight="true" outlineLevel="0" collapsed="false">
      <c r="A220" s="8"/>
      <c r="B220" s="8"/>
      <c r="C220" s="8"/>
      <c r="D220" s="8"/>
      <c r="E220" s="8"/>
    </row>
    <row r="221" customFormat="false" ht="15" hidden="false" customHeight="true" outlineLevel="0" collapsed="false">
      <c r="A221" s="8"/>
      <c r="B221" s="8"/>
      <c r="C221" s="8"/>
      <c r="D221" s="8"/>
      <c r="E221" s="8"/>
    </row>
    <row r="222" customFormat="false" ht="15" hidden="false" customHeight="true" outlineLevel="0" collapsed="false">
      <c r="A222" s="8"/>
      <c r="B222" s="8"/>
      <c r="C222" s="8"/>
      <c r="D222" s="8"/>
      <c r="E222" s="8"/>
    </row>
    <row r="223" customFormat="false" ht="15" hidden="false" customHeight="true" outlineLevel="0" collapsed="false">
      <c r="A223" s="8"/>
      <c r="B223" s="8"/>
      <c r="C223" s="8"/>
      <c r="D223" s="8"/>
      <c r="E223" s="8"/>
    </row>
    <row r="224" customFormat="false" ht="15" hidden="false" customHeight="true" outlineLevel="0" collapsed="false">
      <c r="A224" s="8"/>
      <c r="B224" s="8"/>
      <c r="C224" s="8"/>
      <c r="D224" s="8"/>
      <c r="E224" s="8"/>
    </row>
    <row r="225" customFormat="false" ht="15" hidden="false" customHeight="true" outlineLevel="0" collapsed="false">
      <c r="A225" s="8"/>
      <c r="B225" s="8"/>
      <c r="C225" s="8"/>
      <c r="D225" s="8"/>
      <c r="E225" s="8"/>
    </row>
    <row r="226" customFormat="false" ht="15" hidden="false" customHeight="true" outlineLevel="0" collapsed="false">
      <c r="A226" s="8"/>
      <c r="B226" s="8"/>
      <c r="C226" s="8"/>
      <c r="D226" s="8"/>
      <c r="E226" s="8"/>
    </row>
    <row r="227" customFormat="false" ht="15" hidden="false" customHeight="true" outlineLevel="0" collapsed="false">
      <c r="A227" s="8"/>
      <c r="B227" s="8"/>
      <c r="C227" s="8"/>
      <c r="D227" s="8"/>
      <c r="E227" s="8"/>
    </row>
    <row r="228" customFormat="false" ht="15" hidden="false" customHeight="true" outlineLevel="0" collapsed="false">
      <c r="A228" s="8"/>
      <c r="B228" s="8"/>
      <c r="C228" s="8"/>
      <c r="D228" s="8"/>
      <c r="E228" s="8"/>
    </row>
    <row r="229" customFormat="false" ht="15" hidden="false" customHeight="true" outlineLevel="0" collapsed="false">
      <c r="A229" s="8"/>
      <c r="B229" s="8"/>
      <c r="C229" s="8"/>
      <c r="D229" s="8"/>
      <c r="E229" s="8"/>
    </row>
    <row r="230" customFormat="false" ht="15" hidden="false" customHeight="true" outlineLevel="0" collapsed="false">
      <c r="A230" s="8"/>
      <c r="B230" s="8"/>
      <c r="C230" s="8"/>
      <c r="D230" s="8"/>
      <c r="E230" s="8"/>
    </row>
    <row r="231" customFormat="false" ht="15" hidden="false" customHeight="true" outlineLevel="0" collapsed="false">
      <c r="A231" s="8"/>
      <c r="B231" s="8"/>
      <c r="C231" s="8"/>
      <c r="D231" s="8"/>
      <c r="E231" s="8"/>
    </row>
    <row r="232" customFormat="false" ht="15" hidden="false" customHeight="true" outlineLevel="0" collapsed="false">
      <c r="A232" s="8"/>
      <c r="B232" s="8"/>
      <c r="C232" s="8"/>
      <c r="D232" s="8"/>
      <c r="E232" s="8"/>
    </row>
    <row r="233" customFormat="false" ht="15" hidden="false" customHeight="true" outlineLevel="0" collapsed="false">
      <c r="A233" s="8"/>
      <c r="B233" s="8"/>
      <c r="C233" s="8"/>
      <c r="D233" s="8"/>
      <c r="E233" s="8"/>
    </row>
    <row r="234" customFormat="false" ht="15" hidden="false" customHeight="true" outlineLevel="0" collapsed="false">
      <c r="A234" s="8"/>
      <c r="B234" s="8"/>
      <c r="C234" s="8"/>
      <c r="D234" s="8"/>
      <c r="E234" s="8"/>
    </row>
    <row r="235" customFormat="false" ht="15" hidden="false" customHeight="true" outlineLevel="0" collapsed="false">
      <c r="A235" s="8"/>
      <c r="B235" s="8"/>
      <c r="C235" s="8"/>
      <c r="D235" s="8"/>
      <c r="E235" s="8"/>
    </row>
    <row r="236" customFormat="false" ht="15" hidden="false" customHeight="true" outlineLevel="0" collapsed="false">
      <c r="A236" s="8"/>
      <c r="B236" s="8"/>
      <c r="C236" s="8"/>
      <c r="D236" s="8"/>
      <c r="E236" s="8"/>
    </row>
    <row r="237" customFormat="false" ht="15" hidden="false" customHeight="true" outlineLevel="0" collapsed="false">
      <c r="A237" s="8"/>
      <c r="B237" s="8"/>
      <c r="C237" s="8"/>
      <c r="D237" s="8"/>
      <c r="E237" s="8"/>
    </row>
    <row r="238" customFormat="false" ht="15" hidden="false" customHeight="true" outlineLevel="0" collapsed="false">
      <c r="A238" s="8"/>
      <c r="B238" s="8"/>
      <c r="C238" s="8"/>
      <c r="D238" s="8"/>
      <c r="E238" s="8"/>
    </row>
    <row r="239" customFormat="false" ht="15" hidden="false" customHeight="true" outlineLevel="0" collapsed="false">
      <c r="A239" s="8"/>
      <c r="B239" s="8"/>
      <c r="C239" s="8"/>
      <c r="D239" s="8"/>
      <c r="E239" s="8"/>
    </row>
    <row r="240" customFormat="false" ht="15" hidden="false" customHeight="true" outlineLevel="0" collapsed="false">
      <c r="A240" s="8"/>
      <c r="B240" s="8"/>
      <c r="C240" s="8"/>
      <c r="D240" s="8"/>
      <c r="E240" s="8"/>
    </row>
    <row r="241" customFormat="false" ht="15" hidden="false" customHeight="true" outlineLevel="0" collapsed="false">
      <c r="A241" s="8"/>
      <c r="B241" s="8"/>
      <c r="C241" s="8"/>
      <c r="D241" s="8"/>
      <c r="E241" s="8"/>
    </row>
    <row r="242" customFormat="false" ht="15" hidden="false" customHeight="true" outlineLevel="0" collapsed="false">
      <c r="A242" s="8"/>
      <c r="B242" s="8"/>
      <c r="C242" s="8"/>
      <c r="D242" s="8"/>
      <c r="E242" s="8"/>
    </row>
    <row r="243" customFormat="false" ht="15" hidden="false" customHeight="true" outlineLevel="0" collapsed="false">
      <c r="A243" s="8"/>
      <c r="B243" s="8"/>
      <c r="C243" s="8"/>
      <c r="D243" s="8"/>
      <c r="E243" s="8"/>
    </row>
    <row r="244" customFormat="false" ht="15" hidden="false" customHeight="true" outlineLevel="0" collapsed="false">
      <c r="A244" s="8"/>
      <c r="B244" s="8"/>
      <c r="C244" s="8"/>
      <c r="D244" s="8"/>
      <c r="E244" s="8"/>
    </row>
    <row r="245" customFormat="false" ht="15" hidden="false" customHeight="true" outlineLevel="0" collapsed="false">
      <c r="A245" s="8"/>
      <c r="B245" s="8"/>
      <c r="C245" s="8"/>
      <c r="D245" s="8"/>
      <c r="E245" s="8"/>
    </row>
    <row r="246" customFormat="false" ht="15" hidden="false" customHeight="true" outlineLevel="0" collapsed="false">
      <c r="A246" s="8"/>
      <c r="B246" s="8"/>
      <c r="C246" s="8"/>
      <c r="D246" s="8"/>
      <c r="E246" s="8"/>
    </row>
    <row r="247" customFormat="false" ht="15" hidden="false" customHeight="true" outlineLevel="0" collapsed="false">
      <c r="A247" s="8"/>
      <c r="B247" s="8"/>
      <c r="C247" s="8"/>
      <c r="D247" s="8"/>
      <c r="E247" s="8"/>
    </row>
    <row r="248" customFormat="false" ht="15" hidden="false" customHeight="true" outlineLevel="0" collapsed="false">
      <c r="A248" s="8"/>
      <c r="B248" s="8"/>
      <c r="C248" s="8"/>
      <c r="D248" s="8"/>
      <c r="E248" s="8"/>
    </row>
    <row r="249" customFormat="false" ht="15" hidden="false" customHeight="true" outlineLevel="0" collapsed="false">
      <c r="A249" s="8"/>
      <c r="B249" s="8"/>
      <c r="C249" s="8"/>
      <c r="D249" s="8"/>
      <c r="E249" s="8"/>
    </row>
    <row r="250" customFormat="false" ht="15" hidden="false" customHeight="true" outlineLevel="0" collapsed="false">
      <c r="A250" s="8"/>
      <c r="B250" s="8"/>
      <c r="C250" s="8"/>
      <c r="D250" s="8"/>
      <c r="E250" s="8"/>
    </row>
    <row r="251" customFormat="false" ht="15" hidden="false" customHeight="true" outlineLevel="0" collapsed="false">
      <c r="A251" s="8"/>
      <c r="B251" s="8"/>
      <c r="C251" s="8"/>
      <c r="D251" s="8"/>
      <c r="E251" s="8"/>
    </row>
    <row r="252" customFormat="false" ht="15" hidden="false" customHeight="true" outlineLevel="0" collapsed="false">
      <c r="A252" s="8"/>
      <c r="B252" s="8"/>
      <c r="C252" s="8"/>
      <c r="D252" s="8"/>
      <c r="E252" s="8"/>
    </row>
    <row r="253" customFormat="false" ht="15" hidden="false" customHeight="true" outlineLevel="0" collapsed="false">
      <c r="A253" s="8"/>
      <c r="B253" s="8"/>
      <c r="C253" s="8"/>
      <c r="D253" s="8"/>
      <c r="E253" s="8"/>
    </row>
    <row r="254" customFormat="false" ht="15" hidden="false" customHeight="true" outlineLevel="0" collapsed="false">
      <c r="A254" s="8"/>
      <c r="B254" s="8"/>
      <c r="C254" s="8"/>
      <c r="D254" s="8"/>
      <c r="E254" s="8"/>
    </row>
    <row r="255" customFormat="false" ht="15" hidden="false" customHeight="true" outlineLevel="0" collapsed="false">
      <c r="A255" s="8"/>
      <c r="B255" s="8"/>
      <c r="C255" s="8"/>
      <c r="D255" s="8"/>
      <c r="E255" s="8"/>
    </row>
    <row r="256" customFormat="false" ht="15" hidden="false" customHeight="true" outlineLevel="0" collapsed="false">
      <c r="A256" s="8"/>
      <c r="B256" s="8"/>
      <c r="C256" s="8"/>
      <c r="D256" s="8"/>
      <c r="E256" s="8"/>
    </row>
    <row r="257" customFormat="false" ht="15" hidden="false" customHeight="true" outlineLevel="0" collapsed="false">
      <c r="A257" s="8"/>
      <c r="B257" s="8"/>
      <c r="C257" s="8"/>
      <c r="D257" s="8"/>
      <c r="E257" s="8"/>
    </row>
    <row r="258" customFormat="false" ht="15" hidden="false" customHeight="true" outlineLevel="0" collapsed="false">
      <c r="A258" s="8"/>
      <c r="B258" s="8"/>
      <c r="C258" s="8"/>
      <c r="D258" s="8"/>
      <c r="E258" s="8"/>
    </row>
    <row r="259" customFormat="false" ht="15" hidden="false" customHeight="true" outlineLevel="0" collapsed="false">
      <c r="A259" s="8"/>
      <c r="B259" s="8"/>
      <c r="C259" s="8"/>
      <c r="D259" s="8"/>
      <c r="E259" s="8"/>
    </row>
    <row r="260" customFormat="false" ht="15" hidden="false" customHeight="true" outlineLevel="0" collapsed="false">
      <c r="A260" s="8"/>
      <c r="B260" s="8"/>
      <c r="C260" s="8"/>
      <c r="D260" s="8"/>
      <c r="E260" s="8"/>
    </row>
    <row r="261" customFormat="false" ht="15" hidden="false" customHeight="true" outlineLevel="0" collapsed="false">
      <c r="A261" s="8"/>
      <c r="B261" s="8"/>
      <c r="C261" s="8"/>
      <c r="D261" s="8"/>
      <c r="E261" s="8"/>
    </row>
    <row r="262" customFormat="false" ht="15" hidden="false" customHeight="true" outlineLevel="0" collapsed="false">
      <c r="A262" s="8"/>
      <c r="B262" s="8"/>
      <c r="C262" s="8"/>
      <c r="D262" s="8"/>
      <c r="E262" s="8"/>
    </row>
    <row r="263" customFormat="false" ht="15" hidden="false" customHeight="true" outlineLevel="0" collapsed="false">
      <c r="A263" s="8"/>
      <c r="B263" s="8"/>
      <c r="C263" s="8"/>
      <c r="D263" s="8"/>
      <c r="E263" s="8"/>
    </row>
    <row r="264" customFormat="false" ht="15" hidden="false" customHeight="true" outlineLevel="0" collapsed="false">
      <c r="A264" s="8"/>
      <c r="B264" s="8"/>
      <c r="C264" s="8"/>
      <c r="D264" s="8"/>
      <c r="E264" s="8"/>
    </row>
    <row r="265" customFormat="false" ht="15" hidden="false" customHeight="true" outlineLevel="0" collapsed="false">
      <c r="A265" s="8"/>
      <c r="B265" s="8"/>
      <c r="C265" s="8"/>
      <c r="D265" s="8"/>
      <c r="E265" s="8"/>
    </row>
    <row r="266" customFormat="false" ht="15" hidden="false" customHeight="true" outlineLevel="0" collapsed="false">
      <c r="A266" s="8"/>
      <c r="B266" s="8"/>
      <c r="C266" s="8"/>
      <c r="D266" s="8"/>
      <c r="E266" s="8"/>
    </row>
    <row r="267" customFormat="false" ht="15" hidden="false" customHeight="true" outlineLevel="0" collapsed="false">
      <c r="A267" s="8"/>
      <c r="B267" s="8"/>
      <c r="C267" s="8"/>
      <c r="D267" s="8"/>
      <c r="E267" s="8"/>
    </row>
    <row r="268" customFormat="false" ht="15" hidden="false" customHeight="true" outlineLevel="0" collapsed="false">
      <c r="A268" s="8"/>
      <c r="B268" s="8"/>
      <c r="C268" s="8"/>
      <c r="D268" s="8"/>
      <c r="E268" s="8"/>
    </row>
    <row r="269" customFormat="false" ht="15" hidden="false" customHeight="true" outlineLevel="0" collapsed="false">
      <c r="A269" s="8"/>
      <c r="B269" s="8"/>
      <c r="C269" s="8"/>
      <c r="D269" s="8"/>
      <c r="E269" s="8"/>
    </row>
    <row r="270" customFormat="false" ht="15" hidden="false" customHeight="true" outlineLevel="0" collapsed="false">
      <c r="A270" s="8"/>
      <c r="B270" s="8"/>
      <c r="C270" s="8"/>
      <c r="D270" s="8"/>
      <c r="E270" s="8"/>
    </row>
    <row r="271" customFormat="false" ht="15" hidden="false" customHeight="true" outlineLevel="0" collapsed="false">
      <c r="A271" s="8"/>
      <c r="B271" s="8"/>
      <c r="C271" s="8"/>
      <c r="D271" s="8"/>
      <c r="E271" s="8"/>
    </row>
    <row r="272" customFormat="false" ht="15" hidden="false" customHeight="true" outlineLevel="0" collapsed="false">
      <c r="A272" s="8"/>
      <c r="B272" s="8"/>
      <c r="C272" s="8"/>
      <c r="D272" s="8"/>
      <c r="E272" s="8"/>
    </row>
    <row r="273" customFormat="false" ht="15" hidden="false" customHeight="true" outlineLevel="0" collapsed="false">
      <c r="A273" s="8"/>
      <c r="B273" s="8"/>
      <c r="C273" s="8"/>
      <c r="D273" s="8"/>
      <c r="E273" s="8"/>
    </row>
    <row r="274" customFormat="false" ht="15" hidden="false" customHeight="true" outlineLevel="0" collapsed="false">
      <c r="A274" s="8"/>
      <c r="B274" s="8"/>
      <c r="C274" s="8"/>
      <c r="D274" s="8"/>
      <c r="E274" s="8"/>
    </row>
    <row r="275" customFormat="false" ht="15" hidden="false" customHeight="true" outlineLevel="0" collapsed="false">
      <c r="A275" s="8"/>
      <c r="B275" s="8"/>
      <c r="C275" s="8"/>
      <c r="D275" s="8"/>
      <c r="E275" s="8"/>
    </row>
    <row r="276" customFormat="false" ht="15" hidden="false" customHeight="true" outlineLevel="0" collapsed="false">
      <c r="A276" s="8"/>
      <c r="B276" s="8"/>
      <c r="C276" s="8"/>
      <c r="D276" s="8"/>
      <c r="E276" s="8"/>
    </row>
    <row r="277" customFormat="false" ht="15" hidden="false" customHeight="true" outlineLevel="0" collapsed="false">
      <c r="A277" s="8"/>
      <c r="B277" s="8"/>
      <c r="C277" s="8"/>
      <c r="D277" s="8"/>
      <c r="E277" s="8"/>
    </row>
    <row r="278" customFormat="false" ht="15" hidden="false" customHeight="true" outlineLevel="0" collapsed="false">
      <c r="A278" s="8"/>
      <c r="B278" s="8"/>
      <c r="C278" s="8"/>
      <c r="D278" s="8"/>
      <c r="E278" s="8"/>
    </row>
    <row r="279" customFormat="false" ht="15" hidden="false" customHeight="true" outlineLevel="0" collapsed="false">
      <c r="A279" s="8"/>
      <c r="B279" s="8"/>
      <c r="C279" s="8"/>
      <c r="D279" s="8"/>
      <c r="E279" s="8"/>
    </row>
    <row r="280" customFormat="false" ht="15" hidden="false" customHeight="true" outlineLevel="0" collapsed="false">
      <c r="A280" s="8"/>
      <c r="B280" s="8"/>
      <c r="C280" s="8"/>
      <c r="D280" s="8"/>
      <c r="E280" s="8"/>
    </row>
    <row r="281" customFormat="false" ht="15" hidden="false" customHeight="true" outlineLevel="0" collapsed="false">
      <c r="A281" s="8"/>
      <c r="B281" s="8"/>
      <c r="C281" s="8"/>
      <c r="D281" s="8"/>
      <c r="E281" s="8"/>
    </row>
    <row r="282" customFormat="false" ht="15" hidden="false" customHeight="true" outlineLevel="0" collapsed="false">
      <c r="A282" s="8"/>
      <c r="B282" s="8"/>
      <c r="C282" s="8"/>
      <c r="D282" s="8"/>
      <c r="E282" s="8"/>
    </row>
    <row r="283" customFormat="false" ht="15" hidden="false" customHeight="true" outlineLevel="0" collapsed="false">
      <c r="A283" s="8"/>
      <c r="B283" s="8"/>
      <c r="C283" s="8"/>
      <c r="D283" s="8"/>
      <c r="E283" s="8"/>
    </row>
    <row r="284" customFormat="false" ht="15" hidden="false" customHeight="true" outlineLevel="0" collapsed="false">
      <c r="A284" s="8"/>
      <c r="B284" s="8"/>
      <c r="C284" s="8"/>
      <c r="D284" s="8"/>
      <c r="E284" s="8"/>
    </row>
    <row r="285" customFormat="false" ht="15" hidden="false" customHeight="true" outlineLevel="0" collapsed="false">
      <c r="A285" s="8"/>
      <c r="B285" s="8"/>
      <c r="C285" s="8"/>
      <c r="D285" s="8"/>
      <c r="E285" s="8"/>
    </row>
    <row r="286" customFormat="false" ht="15" hidden="false" customHeight="true" outlineLevel="0" collapsed="false">
      <c r="A286" s="8"/>
      <c r="B286" s="8"/>
      <c r="C286" s="8"/>
      <c r="D286" s="8"/>
      <c r="E286" s="8"/>
    </row>
    <row r="287" customFormat="false" ht="15" hidden="false" customHeight="true" outlineLevel="0" collapsed="false">
      <c r="A287" s="8"/>
      <c r="B287" s="8"/>
      <c r="C287" s="8"/>
      <c r="D287" s="8"/>
      <c r="E287" s="8"/>
    </row>
    <row r="288" customFormat="false" ht="15" hidden="false" customHeight="true" outlineLevel="0" collapsed="false">
      <c r="A288" s="8"/>
      <c r="B288" s="8"/>
      <c r="C288" s="8"/>
      <c r="D288" s="8"/>
      <c r="E288" s="8"/>
    </row>
    <row r="289" customFormat="false" ht="15" hidden="false" customHeight="true" outlineLevel="0" collapsed="false">
      <c r="A289" s="8"/>
      <c r="B289" s="8"/>
      <c r="C289" s="8"/>
      <c r="D289" s="8"/>
      <c r="E289" s="8"/>
    </row>
    <row r="290" customFormat="false" ht="15" hidden="false" customHeight="true" outlineLevel="0" collapsed="false">
      <c r="A290" s="8"/>
      <c r="B290" s="8"/>
      <c r="C290" s="8"/>
      <c r="D290" s="8"/>
      <c r="E290" s="8"/>
    </row>
    <row r="291" customFormat="false" ht="15" hidden="false" customHeight="true" outlineLevel="0" collapsed="false">
      <c r="A291" s="8"/>
      <c r="B291" s="8"/>
      <c r="C291" s="8"/>
      <c r="D291" s="8"/>
      <c r="E291" s="8"/>
    </row>
    <row r="292" customFormat="false" ht="15" hidden="false" customHeight="true" outlineLevel="0" collapsed="false">
      <c r="A292" s="8"/>
      <c r="B292" s="8"/>
      <c r="C292" s="8"/>
      <c r="D292" s="8"/>
      <c r="E292" s="8"/>
    </row>
    <row r="293" customFormat="false" ht="15" hidden="false" customHeight="true" outlineLevel="0" collapsed="false">
      <c r="A293" s="8"/>
      <c r="B293" s="8"/>
      <c r="C293" s="8"/>
      <c r="D293" s="8"/>
      <c r="E293" s="8"/>
    </row>
    <row r="294" customFormat="false" ht="15" hidden="false" customHeight="true" outlineLevel="0" collapsed="false">
      <c r="A294" s="8"/>
      <c r="B294" s="8"/>
      <c r="C294" s="8"/>
      <c r="D294" s="8"/>
      <c r="E294" s="8"/>
    </row>
    <row r="295" customFormat="false" ht="15" hidden="false" customHeight="true" outlineLevel="0" collapsed="false">
      <c r="A295" s="8"/>
      <c r="B295" s="8"/>
      <c r="C295" s="8"/>
      <c r="D295" s="8"/>
      <c r="E295" s="8"/>
    </row>
    <row r="296" customFormat="false" ht="15" hidden="false" customHeight="true" outlineLevel="0" collapsed="false">
      <c r="A296" s="8"/>
      <c r="B296" s="8"/>
      <c r="C296" s="8"/>
      <c r="D296" s="8"/>
      <c r="E296" s="8"/>
    </row>
    <row r="297" customFormat="false" ht="15" hidden="false" customHeight="true" outlineLevel="0" collapsed="false">
      <c r="A297" s="8"/>
      <c r="B297" s="8"/>
      <c r="C297" s="8"/>
      <c r="D297" s="8"/>
      <c r="E297" s="8"/>
    </row>
    <row r="298" customFormat="false" ht="15" hidden="false" customHeight="true" outlineLevel="0" collapsed="false">
      <c r="A298" s="8"/>
      <c r="B298" s="8"/>
      <c r="C298" s="8"/>
      <c r="D298" s="8"/>
      <c r="E298" s="8"/>
    </row>
    <row r="299" customFormat="false" ht="15" hidden="false" customHeight="true" outlineLevel="0" collapsed="false">
      <c r="A299" s="8"/>
      <c r="B299" s="8"/>
      <c r="C299" s="8"/>
      <c r="D299" s="8"/>
      <c r="E299" s="8"/>
    </row>
    <row r="300" customFormat="false" ht="15" hidden="false" customHeight="true" outlineLevel="0" collapsed="false">
      <c r="A300" s="8"/>
      <c r="B300" s="8"/>
      <c r="C300" s="8"/>
      <c r="D300" s="8"/>
      <c r="E300" s="8"/>
    </row>
  </sheetData>
  <autoFilter ref="A2:E300"/>
  <mergeCells count="1">
    <mergeCell ref="A1:E1"/>
  </mergeCells>
  <dataValidations count="1">
    <dataValidation allowBlank="true" errorStyle="stop" operator="between" showDropDown="false" showErrorMessage="false" showInputMessage="false" sqref="E3:E300" type="list">
      <formula1>"O,N"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5"/>
    <col collapsed="false" customWidth="true" hidden="false" outlineLevel="0" max="5" min="2" style="1" width="14"/>
    <col collapsed="false" customWidth="true" hidden="false" outlineLevel="0" max="7" min="6" style="1" width="18"/>
    <col collapsed="false" customWidth="true" hidden="false" outlineLevel="0" max="8" min="8" style="1" width="30"/>
    <col collapsed="false" customWidth="true" hidden="false" outlineLevel="0" max="10" min="9" style="1" width="14"/>
    <col collapsed="false" customWidth="true" hidden="false" outlineLevel="0" max="11" min="11" style="1" width="15"/>
    <col collapsed="false" customWidth="true" hidden="false" outlineLevel="0" max="12" min="12" style="1" width="19"/>
    <col collapsed="false" customWidth="true" hidden="false" outlineLevel="0" max="13" min="13" style="1" width="15"/>
    <col collapsed="false" customWidth="true" hidden="false" outlineLevel="0" max="14" min="14" style="1" width="20"/>
    <col collapsed="false" customWidth="true" hidden="false" outlineLevel="0" max="15" min="15" style="1" width="17"/>
  </cols>
  <sheetData>
    <row r="1" customFormat="false" ht="30" hidden="false" customHeight="true" outlineLevel="0" collapsed="false">
      <c r="A1" s="2" t="s">
        <v>115</v>
      </c>
      <c r="B1" s="2"/>
      <c r="C1" s="2"/>
      <c r="D1" s="2"/>
      <c r="E1" s="2"/>
      <c r="F1" s="2"/>
      <c r="G1" s="2"/>
      <c r="H1" s="2"/>
      <c r="I1" s="2"/>
      <c r="J1" s="2"/>
      <c r="K1" s="2"/>
      <c r="L1" s="2"/>
      <c r="M1" s="2"/>
      <c r="N1" s="2"/>
      <c r="O1" s="2"/>
    </row>
    <row r="2" customFormat="false" ht="31.5" hidden="false" customHeight="true" outlineLevel="0" collapsed="false">
      <c r="A2" s="7" t="s">
        <v>116</v>
      </c>
      <c r="B2" s="7" t="s">
        <v>117</v>
      </c>
      <c r="C2" s="7" t="s">
        <v>118</v>
      </c>
      <c r="D2" s="7" t="s">
        <v>119</v>
      </c>
      <c r="E2" s="7" t="s">
        <v>120</v>
      </c>
      <c r="F2" s="7" t="s">
        <v>121</v>
      </c>
      <c r="G2" s="7" t="s">
        <v>122</v>
      </c>
      <c r="H2" s="7" t="s">
        <v>123</v>
      </c>
      <c r="I2" s="7" t="s">
        <v>124</v>
      </c>
      <c r="J2" s="7" t="s">
        <v>125</v>
      </c>
      <c r="K2" s="7" t="s">
        <v>126</v>
      </c>
      <c r="L2" s="7" t="s">
        <v>127</v>
      </c>
      <c r="M2" s="7" t="s">
        <v>128</v>
      </c>
      <c r="N2" s="7" t="s">
        <v>129</v>
      </c>
      <c r="O2" s="7" t="s">
        <v>130</v>
      </c>
    </row>
    <row r="3" customFormat="false" ht="15" hidden="false" customHeight="true" outlineLevel="0" collapsed="false">
      <c r="A3" s="8"/>
      <c r="B3" s="8"/>
      <c r="C3" s="8"/>
      <c r="D3" s="8"/>
      <c r="E3" s="8"/>
      <c r="F3" s="10"/>
      <c r="G3" s="8"/>
      <c r="H3" s="8"/>
      <c r="I3" s="8"/>
      <c r="J3" s="8"/>
      <c r="K3" s="8"/>
      <c r="L3" s="8"/>
      <c r="M3" s="8"/>
      <c r="N3" s="10"/>
      <c r="O3" s="8"/>
    </row>
    <row r="4" customFormat="false" ht="15" hidden="false" customHeight="true" outlineLevel="0" collapsed="false">
      <c r="A4" s="8"/>
      <c r="B4" s="8"/>
      <c r="C4" s="8"/>
      <c r="D4" s="8"/>
      <c r="E4" s="8"/>
      <c r="F4" s="10"/>
      <c r="G4" s="8"/>
      <c r="H4" s="8"/>
      <c r="I4" s="8"/>
      <c r="J4" s="8"/>
      <c r="K4" s="8"/>
      <c r="L4" s="8"/>
      <c r="M4" s="8"/>
      <c r="N4" s="10"/>
      <c r="O4" s="8"/>
    </row>
    <row r="5" customFormat="false" ht="15" hidden="false" customHeight="true" outlineLevel="0" collapsed="false">
      <c r="A5" s="8"/>
      <c r="B5" s="8"/>
      <c r="C5" s="8"/>
      <c r="D5" s="8"/>
      <c r="E5" s="8"/>
      <c r="F5" s="10"/>
      <c r="G5" s="8"/>
      <c r="H5" s="8"/>
      <c r="I5" s="8"/>
      <c r="J5" s="8"/>
      <c r="K5" s="8"/>
      <c r="L5" s="8"/>
      <c r="M5" s="8"/>
      <c r="N5" s="10"/>
      <c r="O5" s="8"/>
    </row>
    <row r="6" customFormat="false" ht="15" hidden="false" customHeight="true" outlineLevel="0" collapsed="false">
      <c r="A6" s="8"/>
      <c r="B6" s="8"/>
      <c r="C6" s="8"/>
      <c r="D6" s="8"/>
      <c r="E6" s="8"/>
      <c r="F6" s="10"/>
      <c r="G6" s="8"/>
      <c r="H6" s="8"/>
      <c r="I6" s="8"/>
      <c r="J6" s="8"/>
      <c r="K6" s="8"/>
      <c r="L6" s="8"/>
      <c r="M6" s="8"/>
      <c r="N6" s="10"/>
      <c r="O6" s="8"/>
    </row>
    <row r="7" customFormat="false" ht="15" hidden="false" customHeight="true" outlineLevel="0" collapsed="false">
      <c r="A7" s="8"/>
      <c r="B7" s="8"/>
      <c r="C7" s="8"/>
      <c r="D7" s="8"/>
      <c r="E7" s="8"/>
      <c r="F7" s="10"/>
      <c r="G7" s="8"/>
      <c r="H7" s="8"/>
      <c r="I7" s="8"/>
      <c r="J7" s="8"/>
      <c r="K7" s="8"/>
      <c r="L7" s="8"/>
      <c r="M7" s="8"/>
      <c r="N7" s="10"/>
      <c r="O7" s="8"/>
    </row>
    <row r="8" customFormat="false" ht="15" hidden="false" customHeight="true" outlineLevel="0" collapsed="false">
      <c r="A8" s="8"/>
      <c r="B8" s="8"/>
      <c r="C8" s="8"/>
      <c r="D8" s="8"/>
      <c r="E8" s="8"/>
      <c r="F8" s="10"/>
      <c r="G8" s="8"/>
      <c r="H8" s="8"/>
      <c r="I8" s="8"/>
      <c r="J8" s="8"/>
      <c r="K8" s="8"/>
      <c r="L8" s="8"/>
      <c r="M8" s="8"/>
      <c r="N8" s="10"/>
      <c r="O8" s="8"/>
    </row>
    <row r="9" customFormat="false" ht="15" hidden="false" customHeight="true" outlineLevel="0" collapsed="false">
      <c r="A9" s="8"/>
      <c r="B9" s="8"/>
      <c r="C9" s="8"/>
      <c r="D9" s="8"/>
      <c r="E9" s="8"/>
      <c r="F9" s="10"/>
      <c r="G9" s="8"/>
      <c r="H9" s="8"/>
      <c r="I9" s="8"/>
      <c r="J9" s="8"/>
      <c r="K9" s="8"/>
      <c r="L9" s="8"/>
      <c r="M9" s="8"/>
      <c r="N9" s="10"/>
      <c r="O9" s="8"/>
    </row>
    <row r="10" customFormat="false" ht="15" hidden="false" customHeight="true" outlineLevel="0" collapsed="false">
      <c r="A10" s="8"/>
      <c r="B10" s="8"/>
      <c r="C10" s="8"/>
      <c r="D10" s="8"/>
      <c r="E10" s="8"/>
      <c r="F10" s="10"/>
      <c r="G10" s="8"/>
      <c r="H10" s="8"/>
      <c r="I10" s="8"/>
      <c r="J10" s="8"/>
      <c r="K10" s="8"/>
      <c r="L10" s="8"/>
      <c r="M10" s="8"/>
      <c r="N10" s="10"/>
      <c r="O10" s="8"/>
    </row>
    <row r="11" customFormat="false" ht="15" hidden="false" customHeight="true" outlineLevel="0" collapsed="false">
      <c r="A11" s="8"/>
      <c r="B11" s="8"/>
      <c r="C11" s="8"/>
      <c r="D11" s="8"/>
      <c r="E11" s="8"/>
      <c r="F11" s="10"/>
      <c r="G11" s="8"/>
      <c r="H11" s="8"/>
      <c r="I11" s="8"/>
      <c r="J11" s="8"/>
      <c r="K11" s="8"/>
      <c r="L11" s="8"/>
      <c r="M11" s="8"/>
      <c r="N11" s="10"/>
      <c r="O11" s="8"/>
    </row>
    <row r="12" customFormat="false" ht="15" hidden="false" customHeight="true" outlineLevel="0" collapsed="false">
      <c r="A12" s="8"/>
      <c r="B12" s="8"/>
      <c r="C12" s="8"/>
      <c r="D12" s="8"/>
      <c r="E12" s="8"/>
      <c r="F12" s="10"/>
      <c r="G12" s="8"/>
      <c r="H12" s="8"/>
      <c r="I12" s="8"/>
      <c r="J12" s="8"/>
      <c r="K12" s="8"/>
      <c r="L12" s="8"/>
      <c r="M12" s="8"/>
      <c r="N12" s="10"/>
      <c r="O12" s="8"/>
    </row>
    <row r="13" customFormat="false" ht="15" hidden="false" customHeight="true" outlineLevel="0" collapsed="false">
      <c r="A13" s="8"/>
      <c r="B13" s="8"/>
      <c r="C13" s="8"/>
      <c r="D13" s="8"/>
      <c r="E13" s="8"/>
      <c r="F13" s="10"/>
      <c r="G13" s="8"/>
      <c r="H13" s="8"/>
      <c r="I13" s="8"/>
      <c r="J13" s="8"/>
      <c r="K13" s="8"/>
      <c r="L13" s="8"/>
      <c r="M13" s="8"/>
      <c r="N13" s="10"/>
      <c r="O13" s="8"/>
    </row>
    <row r="14" customFormat="false" ht="15" hidden="false" customHeight="true" outlineLevel="0" collapsed="false">
      <c r="A14" s="8"/>
      <c r="B14" s="8"/>
      <c r="C14" s="8"/>
      <c r="D14" s="8"/>
      <c r="E14" s="8"/>
      <c r="F14" s="10"/>
      <c r="G14" s="8"/>
      <c r="H14" s="8"/>
      <c r="I14" s="8"/>
      <c r="J14" s="8"/>
      <c r="K14" s="8"/>
      <c r="L14" s="8"/>
      <c r="M14" s="8"/>
      <c r="N14" s="10"/>
      <c r="O14" s="8"/>
    </row>
    <row r="15" customFormat="false" ht="15" hidden="false" customHeight="true" outlineLevel="0" collapsed="false">
      <c r="A15" s="8"/>
      <c r="B15" s="8"/>
      <c r="C15" s="8"/>
      <c r="D15" s="8"/>
      <c r="E15" s="8"/>
      <c r="F15" s="10"/>
      <c r="G15" s="8"/>
      <c r="H15" s="8"/>
      <c r="I15" s="8"/>
      <c r="J15" s="8"/>
      <c r="K15" s="8"/>
      <c r="L15" s="8"/>
      <c r="M15" s="8"/>
      <c r="N15" s="10"/>
      <c r="O15" s="8"/>
    </row>
    <row r="16" customFormat="false" ht="15" hidden="false" customHeight="true" outlineLevel="0" collapsed="false">
      <c r="A16" s="8"/>
      <c r="B16" s="8"/>
      <c r="C16" s="8"/>
      <c r="D16" s="8"/>
      <c r="E16" s="8"/>
      <c r="F16" s="10"/>
      <c r="G16" s="8"/>
      <c r="H16" s="8"/>
      <c r="I16" s="8"/>
      <c r="J16" s="8"/>
      <c r="K16" s="8"/>
      <c r="L16" s="8"/>
      <c r="M16" s="8"/>
      <c r="N16" s="10"/>
      <c r="O16" s="8"/>
    </row>
    <row r="17" customFormat="false" ht="15" hidden="false" customHeight="true" outlineLevel="0" collapsed="false">
      <c r="A17" s="8"/>
      <c r="B17" s="8"/>
      <c r="C17" s="8"/>
      <c r="D17" s="8"/>
      <c r="E17" s="8"/>
      <c r="F17" s="10"/>
      <c r="G17" s="8"/>
      <c r="H17" s="8"/>
      <c r="I17" s="8"/>
      <c r="J17" s="8"/>
      <c r="K17" s="8"/>
      <c r="L17" s="8"/>
      <c r="M17" s="8"/>
      <c r="N17" s="10"/>
      <c r="O17" s="8"/>
    </row>
    <row r="18" customFormat="false" ht="15" hidden="false" customHeight="true" outlineLevel="0" collapsed="false">
      <c r="A18" s="8"/>
      <c r="B18" s="8"/>
      <c r="C18" s="8"/>
      <c r="D18" s="8"/>
      <c r="E18" s="8"/>
      <c r="F18" s="10"/>
      <c r="G18" s="8"/>
      <c r="H18" s="8"/>
      <c r="I18" s="8"/>
      <c r="J18" s="8"/>
      <c r="K18" s="8"/>
      <c r="L18" s="8"/>
      <c r="M18" s="8"/>
      <c r="N18" s="10"/>
      <c r="O18" s="8"/>
    </row>
    <row r="19" customFormat="false" ht="15" hidden="false" customHeight="true" outlineLevel="0" collapsed="false">
      <c r="A19" s="8"/>
      <c r="B19" s="8"/>
      <c r="C19" s="8"/>
      <c r="D19" s="8"/>
      <c r="E19" s="8"/>
      <c r="F19" s="10"/>
      <c r="G19" s="8"/>
      <c r="H19" s="8"/>
      <c r="I19" s="8"/>
      <c r="J19" s="8"/>
      <c r="K19" s="8"/>
      <c r="L19" s="8"/>
      <c r="M19" s="8"/>
      <c r="N19" s="10"/>
      <c r="O19" s="8"/>
    </row>
    <row r="20" customFormat="false" ht="15" hidden="false" customHeight="true" outlineLevel="0" collapsed="false">
      <c r="A20" s="8"/>
      <c r="B20" s="8"/>
      <c r="C20" s="8"/>
      <c r="D20" s="8"/>
      <c r="E20" s="8"/>
      <c r="F20" s="10"/>
      <c r="G20" s="8"/>
      <c r="H20" s="8"/>
      <c r="I20" s="8"/>
      <c r="J20" s="8"/>
      <c r="K20" s="8"/>
      <c r="L20" s="8"/>
      <c r="M20" s="8"/>
      <c r="N20" s="10"/>
      <c r="O20" s="8"/>
    </row>
    <row r="21" customFormat="false" ht="15" hidden="false" customHeight="true" outlineLevel="0" collapsed="false">
      <c r="A21" s="8"/>
      <c r="B21" s="8"/>
      <c r="C21" s="8"/>
      <c r="D21" s="8"/>
      <c r="E21" s="8"/>
      <c r="F21" s="10"/>
      <c r="G21" s="8"/>
      <c r="H21" s="8"/>
      <c r="I21" s="8"/>
      <c r="J21" s="8"/>
      <c r="K21" s="8"/>
      <c r="L21" s="8"/>
      <c r="M21" s="8"/>
      <c r="N21" s="10"/>
      <c r="O21" s="8"/>
    </row>
    <row r="22" customFormat="false" ht="15" hidden="false" customHeight="true" outlineLevel="0" collapsed="false">
      <c r="A22" s="8"/>
      <c r="B22" s="8"/>
      <c r="C22" s="8"/>
      <c r="D22" s="8"/>
      <c r="E22" s="8"/>
      <c r="F22" s="10"/>
      <c r="G22" s="8"/>
      <c r="H22" s="8"/>
      <c r="I22" s="8"/>
      <c r="J22" s="8"/>
      <c r="K22" s="8"/>
      <c r="L22" s="8"/>
      <c r="M22" s="8"/>
      <c r="N22" s="10"/>
      <c r="O22" s="8"/>
    </row>
    <row r="23" customFormat="false" ht="15" hidden="false" customHeight="true" outlineLevel="0" collapsed="false">
      <c r="A23" s="8"/>
      <c r="B23" s="8"/>
      <c r="C23" s="8"/>
      <c r="D23" s="8"/>
      <c r="E23" s="8"/>
      <c r="F23" s="10"/>
      <c r="G23" s="8"/>
      <c r="H23" s="8"/>
      <c r="I23" s="8"/>
      <c r="J23" s="8"/>
      <c r="K23" s="8"/>
      <c r="L23" s="8"/>
      <c r="M23" s="8"/>
      <c r="N23" s="10"/>
      <c r="O23" s="8"/>
    </row>
    <row r="24" customFormat="false" ht="15" hidden="false" customHeight="true" outlineLevel="0" collapsed="false">
      <c r="A24" s="8"/>
      <c r="B24" s="8"/>
      <c r="C24" s="8"/>
      <c r="D24" s="8"/>
      <c r="E24" s="8"/>
      <c r="F24" s="10"/>
      <c r="G24" s="8"/>
      <c r="H24" s="8"/>
      <c r="I24" s="8"/>
      <c r="J24" s="8"/>
      <c r="K24" s="8"/>
      <c r="L24" s="8"/>
      <c r="M24" s="8"/>
      <c r="N24" s="10"/>
      <c r="O24" s="8"/>
    </row>
    <row r="25" customFormat="false" ht="15" hidden="false" customHeight="true" outlineLevel="0" collapsed="false">
      <c r="A25" s="8"/>
      <c r="B25" s="8"/>
      <c r="C25" s="8"/>
      <c r="D25" s="8"/>
      <c r="E25" s="8"/>
      <c r="F25" s="10"/>
      <c r="G25" s="8"/>
      <c r="H25" s="8"/>
      <c r="I25" s="8"/>
      <c r="J25" s="8"/>
      <c r="K25" s="8"/>
      <c r="L25" s="8"/>
      <c r="M25" s="8"/>
      <c r="N25" s="10"/>
      <c r="O25" s="8"/>
    </row>
    <row r="26" customFormat="false" ht="15" hidden="false" customHeight="true" outlineLevel="0" collapsed="false">
      <c r="A26" s="8"/>
      <c r="B26" s="8"/>
      <c r="C26" s="8"/>
      <c r="D26" s="8"/>
      <c r="E26" s="8"/>
      <c r="F26" s="10"/>
      <c r="G26" s="8"/>
      <c r="H26" s="8"/>
      <c r="I26" s="8"/>
      <c r="J26" s="8"/>
      <c r="K26" s="8"/>
      <c r="L26" s="8"/>
      <c r="M26" s="8"/>
      <c r="N26" s="10"/>
      <c r="O26" s="8"/>
    </row>
    <row r="27" customFormat="false" ht="15" hidden="false" customHeight="true" outlineLevel="0" collapsed="false">
      <c r="A27" s="8"/>
      <c r="B27" s="8"/>
      <c r="C27" s="8"/>
      <c r="D27" s="8"/>
      <c r="E27" s="8"/>
      <c r="F27" s="10"/>
      <c r="G27" s="8"/>
      <c r="H27" s="8"/>
      <c r="I27" s="8"/>
      <c r="J27" s="8"/>
      <c r="K27" s="8"/>
      <c r="L27" s="8"/>
      <c r="M27" s="8"/>
      <c r="N27" s="10"/>
      <c r="O27" s="8"/>
    </row>
    <row r="28" customFormat="false" ht="15" hidden="false" customHeight="true" outlineLevel="0" collapsed="false">
      <c r="A28" s="8"/>
      <c r="B28" s="8"/>
      <c r="C28" s="8"/>
      <c r="D28" s="8"/>
      <c r="E28" s="8"/>
      <c r="F28" s="10"/>
      <c r="G28" s="8"/>
      <c r="H28" s="8"/>
      <c r="I28" s="8"/>
      <c r="J28" s="8"/>
      <c r="K28" s="8"/>
      <c r="L28" s="8"/>
      <c r="M28" s="8"/>
      <c r="N28" s="10"/>
      <c r="O28" s="8"/>
    </row>
    <row r="29" customFormat="false" ht="15" hidden="false" customHeight="true" outlineLevel="0" collapsed="false">
      <c r="A29" s="8"/>
      <c r="B29" s="8"/>
      <c r="C29" s="8"/>
      <c r="D29" s="8"/>
      <c r="E29" s="8"/>
      <c r="F29" s="10"/>
      <c r="G29" s="8"/>
      <c r="H29" s="8"/>
      <c r="I29" s="8"/>
      <c r="J29" s="8"/>
      <c r="K29" s="8"/>
      <c r="L29" s="8"/>
      <c r="M29" s="8"/>
      <c r="N29" s="10"/>
      <c r="O29" s="8"/>
    </row>
    <row r="30" customFormat="false" ht="15" hidden="false" customHeight="true" outlineLevel="0" collapsed="false">
      <c r="A30" s="8"/>
      <c r="B30" s="8"/>
      <c r="C30" s="8"/>
      <c r="D30" s="8"/>
      <c r="E30" s="8"/>
      <c r="F30" s="10"/>
      <c r="G30" s="8"/>
      <c r="H30" s="8"/>
      <c r="I30" s="8"/>
      <c r="J30" s="8"/>
      <c r="K30" s="8"/>
      <c r="L30" s="8"/>
      <c r="M30" s="8"/>
      <c r="N30" s="10"/>
      <c r="O30" s="8"/>
    </row>
    <row r="31" customFormat="false" ht="15" hidden="false" customHeight="true" outlineLevel="0" collapsed="false">
      <c r="A31" s="8"/>
      <c r="B31" s="8"/>
      <c r="C31" s="8"/>
      <c r="D31" s="8"/>
      <c r="E31" s="8"/>
      <c r="F31" s="10"/>
      <c r="G31" s="8"/>
      <c r="H31" s="8"/>
      <c r="I31" s="8"/>
      <c r="J31" s="8"/>
      <c r="K31" s="8"/>
      <c r="L31" s="8"/>
      <c r="M31" s="8"/>
      <c r="N31" s="10"/>
      <c r="O31" s="8"/>
    </row>
    <row r="32" customFormat="false" ht="15" hidden="false" customHeight="true" outlineLevel="0" collapsed="false">
      <c r="A32" s="8"/>
      <c r="B32" s="8"/>
      <c r="C32" s="8"/>
      <c r="D32" s="8"/>
      <c r="E32" s="8"/>
      <c r="F32" s="10"/>
      <c r="G32" s="8"/>
      <c r="H32" s="8"/>
      <c r="I32" s="8"/>
      <c r="J32" s="8"/>
      <c r="K32" s="8"/>
      <c r="L32" s="8"/>
      <c r="M32" s="8"/>
      <c r="N32" s="10"/>
      <c r="O32" s="8"/>
    </row>
    <row r="33" customFormat="false" ht="15" hidden="false" customHeight="true" outlineLevel="0" collapsed="false">
      <c r="A33" s="8"/>
      <c r="B33" s="8"/>
      <c r="C33" s="8"/>
      <c r="D33" s="8"/>
      <c r="E33" s="8"/>
      <c r="F33" s="10"/>
      <c r="G33" s="8"/>
      <c r="H33" s="8"/>
      <c r="I33" s="8"/>
      <c r="J33" s="8"/>
      <c r="K33" s="8"/>
      <c r="L33" s="8"/>
      <c r="M33" s="8"/>
      <c r="N33" s="10"/>
      <c r="O33" s="8"/>
    </row>
    <row r="34" customFormat="false" ht="15" hidden="false" customHeight="true" outlineLevel="0" collapsed="false">
      <c r="A34" s="8"/>
      <c r="B34" s="8"/>
      <c r="C34" s="8"/>
      <c r="D34" s="8"/>
      <c r="E34" s="8"/>
      <c r="F34" s="10"/>
      <c r="G34" s="8"/>
      <c r="H34" s="8"/>
      <c r="I34" s="8"/>
      <c r="J34" s="8"/>
      <c r="K34" s="8"/>
      <c r="L34" s="8"/>
      <c r="M34" s="8"/>
      <c r="N34" s="10"/>
      <c r="O34" s="8"/>
    </row>
    <row r="35" customFormat="false" ht="15" hidden="false" customHeight="true" outlineLevel="0" collapsed="false">
      <c r="A35" s="8"/>
      <c r="B35" s="8"/>
      <c r="C35" s="8"/>
      <c r="D35" s="8"/>
      <c r="E35" s="8"/>
      <c r="F35" s="10"/>
      <c r="G35" s="8"/>
      <c r="H35" s="8"/>
      <c r="I35" s="8"/>
      <c r="J35" s="8"/>
      <c r="K35" s="8"/>
      <c r="L35" s="8"/>
      <c r="M35" s="8"/>
      <c r="N35" s="10"/>
      <c r="O35" s="8"/>
    </row>
    <row r="36" customFormat="false" ht="15" hidden="false" customHeight="true" outlineLevel="0" collapsed="false">
      <c r="A36" s="8"/>
      <c r="B36" s="8"/>
      <c r="C36" s="8"/>
      <c r="D36" s="8"/>
      <c r="E36" s="8"/>
      <c r="F36" s="10"/>
      <c r="G36" s="8"/>
      <c r="H36" s="8"/>
      <c r="I36" s="8"/>
      <c r="J36" s="8"/>
      <c r="K36" s="8"/>
      <c r="L36" s="8"/>
      <c r="M36" s="8"/>
      <c r="N36" s="10"/>
      <c r="O36" s="8"/>
    </row>
    <row r="37" customFormat="false" ht="15" hidden="false" customHeight="true" outlineLevel="0" collapsed="false">
      <c r="A37" s="8"/>
      <c r="B37" s="8"/>
      <c r="C37" s="8"/>
      <c r="D37" s="8"/>
      <c r="E37" s="8"/>
      <c r="F37" s="10"/>
      <c r="G37" s="8"/>
      <c r="H37" s="8"/>
      <c r="I37" s="8"/>
      <c r="J37" s="8"/>
      <c r="K37" s="8"/>
      <c r="L37" s="8"/>
      <c r="M37" s="8"/>
      <c r="N37" s="10"/>
      <c r="O37" s="8"/>
    </row>
    <row r="38" customFormat="false" ht="15" hidden="false" customHeight="true" outlineLevel="0" collapsed="false">
      <c r="A38" s="8"/>
      <c r="B38" s="8"/>
      <c r="C38" s="8"/>
      <c r="D38" s="8"/>
      <c r="E38" s="8"/>
      <c r="F38" s="10"/>
      <c r="G38" s="8"/>
      <c r="H38" s="8"/>
      <c r="I38" s="8"/>
      <c r="J38" s="8"/>
      <c r="K38" s="8"/>
      <c r="L38" s="8"/>
      <c r="M38" s="8"/>
      <c r="N38" s="10"/>
      <c r="O38" s="8"/>
    </row>
    <row r="39" customFormat="false" ht="15" hidden="false" customHeight="true" outlineLevel="0" collapsed="false">
      <c r="A39" s="8"/>
      <c r="B39" s="8"/>
      <c r="C39" s="8"/>
      <c r="D39" s="8"/>
      <c r="E39" s="8"/>
      <c r="F39" s="10"/>
      <c r="G39" s="8"/>
      <c r="H39" s="8"/>
      <c r="I39" s="8"/>
      <c r="J39" s="8"/>
      <c r="K39" s="8"/>
      <c r="L39" s="8"/>
      <c r="M39" s="8"/>
      <c r="N39" s="10"/>
      <c r="O39" s="8"/>
    </row>
    <row r="40" customFormat="false" ht="15" hidden="false" customHeight="true" outlineLevel="0" collapsed="false">
      <c r="A40" s="8"/>
      <c r="B40" s="8"/>
      <c r="C40" s="8"/>
      <c r="D40" s="8"/>
      <c r="E40" s="8"/>
      <c r="F40" s="10"/>
      <c r="G40" s="8"/>
      <c r="H40" s="8"/>
      <c r="I40" s="8"/>
      <c r="J40" s="8"/>
      <c r="K40" s="8"/>
      <c r="L40" s="8"/>
      <c r="M40" s="8"/>
      <c r="N40" s="10"/>
      <c r="O40" s="8"/>
    </row>
    <row r="41" customFormat="false" ht="15" hidden="false" customHeight="true" outlineLevel="0" collapsed="false">
      <c r="A41" s="8"/>
      <c r="B41" s="8"/>
      <c r="C41" s="8"/>
      <c r="D41" s="8"/>
      <c r="E41" s="8"/>
      <c r="F41" s="10"/>
      <c r="G41" s="8"/>
      <c r="H41" s="8"/>
      <c r="I41" s="8"/>
      <c r="J41" s="8"/>
      <c r="K41" s="8"/>
      <c r="L41" s="8"/>
      <c r="M41" s="8"/>
      <c r="N41" s="10"/>
      <c r="O41" s="8"/>
    </row>
    <row r="42" customFormat="false" ht="15" hidden="false" customHeight="true" outlineLevel="0" collapsed="false">
      <c r="A42" s="8"/>
      <c r="B42" s="8"/>
      <c r="C42" s="8"/>
      <c r="D42" s="8"/>
      <c r="E42" s="8"/>
      <c r="F42" s="10"/>
      <c r="G42" s="8"/>
      <c r="H42" s="8"/>
      <c r="I42" s="8"/>
      <c r="J42" s="8"/>
      <c r="K42" s="8"/>
      <c r="L42" s="8"/>
      <c r="M42" s="8"/>
      <c r="N42" s="10"/>
      <c r="O42" s="8"/>
    </row>
    <row r="43" customFormat="false" ht="15" hidden="false" customHeight="true" outlineLevel="0" collapsed="false">
      <c r="A43" s="8"/>
      <c r="B43" s="8"/>
      <c r="C43" s="8"/>
      <c r="D43" s="8"/>
      <c r="E43" s="8"/>
      <c r="F43" s="10"/>
      <c r="G43" s="8"/>
      <c r="H43" s="8"/>
      <c r="I43" s="8"/>
      <c r="J43" s="8"/>
      <c r="K43" s="8"/>
      <c r="L43" s="8"/>
      <c r="M43" s="8"/>
      <c r="N43" s="10"/>
      <c r="O43" s="8"/>
    </row>
    <row r="44" customFormat="false" ht="15" hidden="false" customHeight="true" outlineLevel="0" collapsed="false">
      <c r="A44" s="8"/>
      <c r="B44" s="8"/>
      <c r="C44" s="8"/>
      <c r="D44" s="8"/>
      <c r="E44" s="8"/>
      <c r="F44" s="10"/>
      <c r="G44" s="8"/>
      <c r="H44" s="8"/>
      <c r="I44" s="8"/>
      <c r="J44" s="8"/>
      <c r="K44" s="8"/>
      <c r="L44" s="8"/>
      <c r="M44" s="8"/>
      <c r="N44" s="10"/>
      <c r="O44" s="8"/>
    </row>
    <row r="45" customFormat="false" ht="15" hidden="false" customHeight="true" outlineLevel="0" collapsed="false">
      <c r="A45" s="8"/>
      <c r="B45" s="8"/>
      <c r="C45" s="8"/>
      <c r="D45" s="8"/>
      <c r="E45" s="8"/>
      <c r="F45" s="10"/>
      <c r="G45" s="8"/>
      <c r="H45" s="8"/>
      <c r="I45" s="8"/>
      <c r="J45" s="8"/>
      <c r="K45" s="8"/>
      <c r="L45" s="8"/>
      <c r="M45" s="8"/>
      <c r="N45" s="10"/>
      <c r="O45" s="8"/>
    </row>
    <row r="46" customFormat="false" ht="15" hidden="false" customHeight="true" outlineLevel="0" collapsed="false">
      <c r="A46" s="8"/>
      <c r="B46" s="8"/>
      <c r="C46" s="8"/>
      <c r="D46" s="8"/>
      <c r="E46" s="8"/>
      <c r="F46" s="10"/>
      <c r="G46" s="8"/>
      <c r="H46" s="8"/>
      <c r="I46" s="8"/>
      <c r="J46" s="8"/>
      <c r="K46" s="8"/>
      <c r="L46" s="8"/>
      <c r="M46" s="8"/>
      <c r="N46" s="10"/>
      <c r="O46" s="8"/>
    </row>
    <row r="47" customFormat="false" ht="15" hidden="false" customHeight="true" outlineLevel="0" collapsed="false">
      <c r="A47" s="8"/>
      <c r="B47" s="8"/>
      <c r="C47" s="8"/>
      <c r="D47" s="8"/>
      <c r="E47" s="8"/>
      <c r="F47" s="10"/>
      <c r="G47" s="8"/>
      <c r="H47" s="8"/>
      <c r="I47" s="8"/>
      <c r="J47" s="8"/>
      <c r="K47" s="8"/>
      <c r="L47" s="8"/>
      <c r="M47" s="8"/>
      <c r="N47" s="10"/>
      <c r="O47" s="8"/>
    </row>
    <row r="48" customFormat="false" ht="15" hidden="false" customHeight="true" outlineLevel="0" collapsed="false">
      <c r="A48" s="8"/>
      <c r="B48" s="8"/>
      <c r="C48" s="8"/>
      <c r="D48" s="8"/>
      <c r="E48" s="8"/>
      <c r="F48" s="10"/>
      <c r="G48" s="8"/>
      <c r="H48" s="8"/>
      <c r="I48" s="8"/>
      <c r="J48" s="8"/>
      <c r="K48" s="8"/>
      <c r="L48" s="8"/>
      <c r="M48" s="8"/>
      <c r="N48" s="10"/>
      <c r="O48" s="8"/>
    </row>
    <row r="49" customFormat="false" ht="15" hidden="false" customHeight="true" outlineLevel="0" collapsed="false">
      <c r="A49" s="8"/>
      <c r="B49" s="8"/>
      <c r="C49" s="8"/>
      <c r="D49" s="8"/>
      <c r="E49" s="8"/>
      <c r="F49" s="10"/>
      <c r="G49" s="8"/>
      <c r="H49" s="8"/>
      <c r="I49" s="8"/>
      <c r="J49" s="8"/>
      <c r="K49" s="8"/>
      <c r="L49" s="8"/>
      <c r="M49" s="8"/>
      <c r="N49" s="10"/>
      <c r="O49" s="8"/>
    </row>
    <row r="50" customFormat="false" ht="15" hidden="false" customHeight="true" outlineLevel="0" collapsed="false">
      <c r="A50" s="8"/>
      <c r="B50" s="8"/>
      <c r="C50" s="8"/>
      <c r="D50" s="8"/>
      <c r="E50" s="8"/>
      <c r="F50" s="10"/>
      <c r="G50" s="8"/>
      <c r="H50" s="8"/>
      <c r="I50" s="8"/>
      <c r="J50" s="8"/>
      <c r="K50" s="8"/>
      <c r="L50" s="8"/>
      <c r="M50" s="8"/>
      <c r="N50" s="10"/>
      <c r="O50" s="8"/>
    </row>
    <row r="51" customFormat="false" ht="15" hidden="false" customHeight="true" outlineLevel="0" collapsed="false">
      <c r="A51" s="8"/>
      <c r="B51" s="8"/>
      <c r="C51" s="8"/>
      <c r="D51" s="8"/>
      <c r="E51" s="8"/>
      <c r="F51" s="10"/>
      <c r="G51" s="8"/>
      <c r="H51" s="8"/>
      <c r="I51" s="8"/>
      <c r="J51" s="8"/>
      <c r="K51" s="8"/>
      <c r="L51" s="8"/>
      <c r="M51" s="8"/>
      <c r="N51" s="10"/>
      <c r="O51" s="8"/>
    </row>
    <row r="52" customFormat="false" ht="15" hidden="false" customHeight="true" outlineLevel="0" collapsed="false">
      <c r="A52" s="8"/>
      <c r="B52" s="8"/>
      <c r="C52" s="8"/>
      <c r="D52" s="8"/>
      <c r="E52" s="8"/>
      <c r="F52" s="10"/>
      <c r="G52" s="8"/>
      <c r="H52" s="8"/>
      <c r="I52" s="8"/>
      <c r="J52" s="8"/>
      <c r="K52" s="8"/>
      <c r="L52" s="8"/>
      <c r="M52" s="8"/>
      <c r="N52" s="10"/>
      <c r="O52" s="8"/>
    </row>
    <row r="53" customFormat="false" ht="15" hidden="false" customHeight="true" outlineLevel="0" collapsed="false">
      <c r="A53" s="8"/>
      <c r="B53" s="8"/>
      <c r="C53" s="8"/>
      <c r="D53" s="8"/>
      <c r="E53" s="8"/>
      <c r="F53" s="10"/>
      <c r="G53" s="8"/>
      <c r="H53" s="8"/>
      <c r="I53" s="8"/>
      <c r="J53" s="8"/>
      <c r="K53" s="8"/>
      <c r="L53" s="8"/>
      <c r="M53" s="8"/>
      <c r="N53" s="10"/>
      <c r="O53" s="8"/>
    </row>
    <row r="54" customFormat="false" ht="15" hidden="false" customHeight="true" outlineLevel="0" collapsed="false">
      <c r="A54" s="8"/>
      <c r="B54" s="8"/>
      <c r="C54" s="8"/>
      <c r="D54" s="8"/>
      <c r="E54" s="8"/>
      <c r="F54" s="10"/>
      <c r="G54" s="8"/>
      <c r="H54" s="8"/>
      <c r="I54" s="8"/>
      <c r="J54" s="8"/>
      <c r="K54" s="8"/>
      <c r="L54" s="8"/>
      <c r="M54" s="8"/>
      <c r="N54" s="10"/>
      <c r="O54" s="8"/>
    </row>
    <row r="55" customFormat="false" ht="15" hidden="false" customHeight="true" outlineLevel="0" collapsed="false">
      <c r="A55" s="8"/>
      <c r="B55" s="8"/>
      <c r="C55" s="8"/>
      <c r="D55" s="8"/>
      <c r="E55" s="8"/>
      <c r="F55" s="10"/>
      <c r="G55" s="8"/>
      <c r="H55" s="8"/>
      <c r="I55" s="8"/>
      <c r="J55" s="8"/>
      <c r="K55" s="8"/>
      <c r="L55" s="8"/>
      <c r="M55" s="8"/>
      <c r="N55" s="10"/>
      <c r="O55" s="8"/>
    </row>
    <row r="56" customFormat="false" ht="15" hidden="false" customHeight="true" outlineLevel="0" collapsed="false">
      <c r="A56" s="8"/>
      <c r="B56" s="8"/>
      <c r="C56" s="8"/>
      <c r="D56" s="8"/>
      <c r="E56" s="8"/>
      <c r="F56" s="10"/>
      <c r="G56" s="8"/>
      <c r="H56" s="8"/>
      <c r="I56" s="8"/>
      <c r="J56" s="8"/>
      <c r="K56" s="8"/>
      <c r="L56" s="8"/>
      <c r="M56" s="8"/>
      <c r="N56" s="10"/>
      <c r="O56" s="8"/>
    </row>
    <row r="57" customFormat="false" ht="15" hidden="false" customHeight="true" outlineLevel="0" collapsed="false">
      <c r="A57" s="8"/>
      <c r="B57" s="8"/>
      <c r="C57" s="8"/>
      <c r="D57" s="8"/>
      <c r="E57" s="8"/>
      <c r="F57" s="10"/>
      <c r="G57" s="8"/>
      <c r="H57" s="8"/>
      <c r="I57" s="8"/>
      <c r="J57" s="8"/>
      <c r="K57" s="8"/>
      <c r="L57" s="8"/>
      <c r="M57" s="8"/>
      <c r="N57" s="10"/>
      <c r="O57" s="8"/>
    </row>
    <row r="58" customFormat="false" ht="15" hidden="false" customHeight="true" outlineLevel="0" collapsed="false">
      <c r="A58" s="8"/>
      <c r="B58" s="8"/>
      <c r="C58" s="8"/>
      <c r="D58" s="8"/>
      <c r="E58" s="8"/>
      <c r="F58" s="10"/>
      <c r="G58" s="8"/>
      <c r="H58" s="8"/>
      <c r="I58" s="8"/>
      <c r="J58" s="8"/>
      <c r="K58" s="8"/>
      <c r="L58" s="8"/>
      <c r="M58" s="8"/>
      <c r="N58" s="10"/>
      <c r="O58" s="8"/>
    </row>
    <row r="59" customFormat="false" ht="15" hidden="false" customHeight="true" outlineLevel="0" collapsed="false">
      <c r="A59" s="8"/>
      <c r="B59" s="8"/>
      <c r="C59" s="8"/>
      <c r="D59" s="8"/>
      <c r="E59" s="8"/>
      <c r="F59" s="10"/>
      <c r="G59" s="8"/>
      <c r="H59" s="8"/>
      <c r="I59" s="8"/>
      <c r="J59" s="8"/>
      <c r="K59" s="8"/>
      <c r="L59" s="8"/>
      <c r="M59" s="8"/>
      <c r="N59" s="10"/>
      <c r="O59" s="8"/>
    </row>
    <row r="60" customFormat="false" ht="15" hidden="false" customHeight="true" outlineLevel="0" collapsed="false">
      <c r="A60" s="8"/>
      <c r="B60" s="8"/>
      <c r="C60" s="8"/>
      <c r="D60" s="8"/>
      <c r="E60" s="8"/>
      <c r="F60" s="10"/>
      <c r="G60" s="8"/>
      <c r="H60" s="8"/>
      <c r="I60" s="8"/>
      <c r="J60" s="8"/>
      <c r="K60" s="8"/>
      <c r="L60" s="8"/>
      <c r="M60" s="8"/>
      <c r="N60" s="10"/>
      <c r="O60" s="8"/>
    </row>
    <row r="61" customFormat="false" ht="15" hidden="false" customHeight="true" outlineLevel="0" collapsed="false">
      <c r="A61" s="8"/>
      <c r="B61" s="8"/>
      <c r="C61" s="8"/>
      <c r="D61" s="8"/>
      <c r="E61" s="8"/>
      <c r="F61" s="10"/>
      <c r="G61" s="8"/>
      <c r="H61" s="8"/>
      <c r="I61" s="8"/>
      <c r="J61" s="8"/>
      <c r="K61" s="8"/>
      <c r="L61" s="8"/>
      <c r="M61" s="8"/>
      <c r="N61" s="10"/>
      <c r="O61" s="8"/>
    </row>
    <row r="62" customFormat="false" ht="15" hidden="false" customHeight="true" outlineLevel="0" collapsed="false">
      <c r="A62" s="8"/>
      <c r="B62" s="8"/>
      <c r="C62" s="8"/>
      <c r="D62" s="8"/>
      <c r="E62" s="8"/>
      <c r="F62" s="10"/>
      <c r="G62" s="8"/>
      <c r="H62" s="8"/>
      <c r="I62" s="8"/>
      <c r="J62" s="8"/>
      <c r="K62" s="8"/>
      <c r="L62" s="8"/>
      <c r="M62" s="8"/>
      <c r="N62" s="10"/>
      <c r="O62" s="8"/>
    </row>
    <row r="63" customFormat="false" ht="15" hidden="false" customHeight="true" outlineLevel="0" collapsed="false">
      <c r="A63" s="8"/>
      <c r="B63" s="8"/>
      <c r="C63" s="8"/>
      <c r="D63" s="8"/>
      <c r="E63" s="8"/>
      <c r="F63" s="10"/>
      <c r="G63" s="8"/>
      <c r="H63" s="8"/>
      <c r="I63" s="8"/>
      <c r="J63" s="8"/>
      <c r="K63" s="8"/>
      <c r="L63" s="8"/>
      <c r="M63" s="8"/>
      <c r="N63" s="10"/>
      <c r="O63" s="8"/>
    </row>
    <row r="64" customFormat="false" ht="15" hidden="false" customHeight="true" outlineLevel="0" collapsed="false">
      <c r="A64" s="8"/>
      <c r="B64" s="8"/>
      <c r="C64" s="8"/>
      <c r="D64" s="8"/>
      <c r="E64" s="8"/>
      <c r="F64" s="10"/>
      <c r="G64" s="8"/>
      <c r="H64" s="8"/>
      <c r="I64" s="8"/>
      <c r="J64" s="8"/>
      <c r="K64" s="8"/>
      <c r="L64" s="8"/>
      <c r="M64" s="8"/>
      <c r="N64" s="10"/>
      <c r="O64" s="8"/>
    </row>
    <row r="65" customFormat="false" ht="15" hidden="false" customHeight="true" outlineLevel="0" collapsed="false">
      <c r="A65" s="8"/>
      <c r="B65" s="8"/>
      <c r="C65" s="8"/>
      <c r="D65" s="8"/>
      <c r="E65" s="8"/>
      <c r="F65" s="10"/>
      <c r="G65" s="8"/>
      <c r="H65" s="8"/>
      <c r="I65" s="8"/>
      <c r="J65" s="8"/>
      <c r="K65" s="8"/>
      <c r="L65" s="8"/>
      <c r="M65" s="8"/>
      <c r="N65" s="10"/>
      <c r="O65" s="8"/>
    </row>
    <row r="66" customFormat="false" ht="15" hidden="false" customHeight="true" outlineLevel="0" collapsed="false">
      <c r="A66" s="8"/>
      <c r="B66" s="8"/>
      <c r="C66" s="8"/>
      <c r="D66" s="8"/>
      <c r="E66" s="8"/>
      <c r="F66" s="10"/>
      <c r="G66" s="8"/>
      <c r="H66" s="8"/>
      <c r="I66" s="8"/>
      <c r="J66" s="8"/>
      <c r="K66" s="8"/>
      <c r="L66" s="8"/>
      <c r="M66" s="8"/>
      <c r="N66" s="10"/>
      <c r="O66" s="8"/>
    </row>
    <row r="67" customFormat="false" ht="15" hidden="false" customHeight="true" outlineLevel="0" collapsed="false">
      <c r="A67" s="8"/>
      <c r="B67" s="8"/>
      <c r="C67" s="8"/>
      <c r="D67" s="8"/>
      <c r="E67" s="8"/>
      <c r="F67" s="10"/>
      <c r="G67" s="8"/>
      <c r="H67" s="8"/>
      <c r="I67" s="8"/>
      <c r="J67" s="8"/>
      <c r="K67" s="8"/>
      <c r="L67" s="8"/>
      <c r="M67" s="8"/>
      <c r="N67" s="10"/>
      <c r="O67" s="8"/>
    </row>
    <row r="68" customFormat="false" ht="15" hidden="false" customHeight="true" outlineLevel="0" collapsed="false">
      <c r="A68" s="8"/>
      <c r="B68" s="8"/>
      <c r="C68" s="8"/>
      <c r="D68" s="8"/>
      <c r="E68" s="8"/>
      <c r="F68" s="10"/>
      <c r="G68" s="8"/>
      <c r="H68" s="8"/>
      <c r="I68" s="8"/>
      <c r="J68" s="8"/>
      <c r="K68" s="8"/>
      <c r="L68" s="8"/>
      <c r="M68" s="8"/>
      <c r="N68" s="10"/>
      <c r="O68" s="8"/>
    </row>
    <row r="69" customFormat="false" ht="15" hidden="false" customHeight="true" outlineLevel="0" collapsed="false">
      <c r="A69" s="8"/>
      <c r="B69" s="8"/>
      <c r="C69" s="8"/>
      <c r="D69" s="8"/>
      <c r="E69" s="8"/>
      <c r="F69" s="10"/>
      <c r="G69" s="8"/>
      <c r="H69" s="8"/>
      <c r="I69" s="8"/>
      <c r="J69" s="8"/>
      <c r="K69" s="8"/>
      <c r="L69" s="8"/>
      <c r="M69" s="8"/>
      <c r="N69" s="10"/>
      <c r="O69" s="8"/>
    </row>
    <row r="70" customFormat="false" ht="15" hidden="false" customHeight="true" outlineLevel="0" collapsed="false">
      <c r="A70" s="8"/>
      <c r="B70" s="8"/>
      <c r="C70" s="8"/>
      <c r="D70" s="8"/>
      <c r="E70" s="8"/>
      <c r="F70" s="10"/>
      <c r="G70" s="8"/>
      <c r="H70" s="8"/>
      <c r="I70" s="8"/>
      <c r="J70" s="8"/>
      <c r="K70" s="8"/>
      <c r="L70" s="8"/>
      <c r="M70" s="8"/>
      <c r="N70" s="10"/>
      <c r="O70" s="8"/>
    </row>
    <row r="71" customFormat="false" ht="15" hidden="false" customHeight="true" outlineLevel="0" collapsed="false">
      <c r="A71" s="8"/>
      <c r="B71" s="8"/>
      <c r="C71" s="8"/>
      <c r="D71" s="8"/>
      <c r="E71" s="8"/>
      <c r="F71" s="10"/>
      <c r="G71" s="8"/>
      <c r="H71" s="8"/>
      <c r="I71" s="8"/>
      <c r="J71" s="8"/>
      <c r="K71" s="8"/>
      <c r="L71" s="8"/>
      <c r="M71" s="8"/>
      <c r="N71" s="10"/>
      <c r="O71" s="8"/>
    </row>
    <row r="72" customFormat="false" ht="15" hidden="false" customHeight="true" outlineLevel="0" collapsed="false">
      <c r="A72" s="8"/>
      <c r="B72" s="8"/>
      <c r="C72" s="8"/>
      <c r="D72" s="8"/>
      <c r="E72" s="8"/>
      <c r="F72" s="10"/>
      <c r="G72" s="8"/>
      <c r="H72" s="8"/>
      <c r="I72" s="8"/>
      <c r="J72" s="8"/>
      <c r="K72" s="8"/>
      <c r="L72" s="8"/>
      <c r="M72" s="8"/>
      <c r="N72" s="10"/>
      <c r="O72" s="8"/>
    </row>
    <row r="73" customFormat="false" ht="15" hidden="false" customHeight="true" outlineLevel="0" collapsed="false">
      <c r="A73" s="8"/>
      <c r="B73" s="8"/>
      <c r="C73" s="8"/>
      <c r="D73" s="8"/>
      <c r="E73" s="8"/>
      <c r="F73" s="10"/>
      <c r="G73" s="8"/>
      <c r="H73" s="8"/>
      <c r="I73" s="8"/>
      <c r="J73" s="8"/>
      <c r="K73" s="8"/>
      <c r="L73" s="8"/>
      <c r="M73" s="8"/>
      <c r="N73" s="10"/>
      <c r="O73" s="8"/>
    </row>
    <row r="74" customFormat="false" ht="15" hidden="false" customHeight="true" outlineLevel="0" collapsed="false">
      <c r="A74" s="8"/>
      <c r="B74" s="8"/>
      <c r="C74" s="8"/>
      <c r="D74" s="8"/>
      <c r="E74" s="8"/>
      <c r="F74" s="10"/>
      <c r="G74" s="8"/>
      <c r="H74" s="8"/>
      <c r="I74" s="8"/>
      <c r="J74" s="8"/>
      <c r="K74" s="8"/>
      <c r="L74" s="8"/>
      <c r="M74" s="8"/>
      <c r="N74" s="10"/>
      <c r="O74" s="8"/>
    </row>
    <row r="75" customFormat="false" ht="15" hidden="false" customHeight="true" outlineLevel="0" collapsed="false">
      <c r="A75" s="8"/>
      <c r="B75" s="8"/>
      <c r="C75" s="8"/>
      <c r="D75" s="8"/>
      <c r="E75" s="8"/>
      <c r="F75" s="10"/>
      <c r="G75" s="8"/>
      <c r="H75" s="8"/>
      <c r="I75" s="8"/>
      <c r="J75" s="8"/>
      <c r="K75" s="8"/>
      <c r="L75" s="8"/>
      <c r="M75" s="8"/>
      <c r="N75" s="10"/>
      <c r="O75" s="8"/>
    </row>
    <row r="76" customFormat="false" ht="15" hidden="false" customHeight="true" outlineLevel="0" collapsed="false">
      <c r="A76" s="8"/>
      <c r="B76" s="8"/>
      <c r="C76" s="8"/>
      <c r="D76" s="8"/>
      <c r="E76" s="8"/>
      <c r="F76" s="10"/>
      <c r="G76" s="8"/>
      <c r="H76" s="8"/>
      <c r="I76" s="8"/>
      <c r="J76" s="8"/>
      <c r="K76" s="8"/>
      <c r="L76" s="8"/>
      <c r="M76" s="8"/>
      <c r="N76" s="10"/>
      <c r="O76" s="8"/>
    </row>
    <row r="77" customFormat="false" ht="15" hidden="false" customHeight="true" outlineLevel="0" collapsed="false">
      <c r="A77" s="8"/>
      <c r="B77" s="8"/>
      <c r="C77" s="8"/>
      <c r="D77" s="8"/>
      <c r="E77" s="8"/>
      <c r="F77" s="10"/>
      <c r="G77" s="8"/>
      <c r="H77" s="8"/>
      <c r="I77" s="8"/>
      <c r="J77" s="8"/>
      <c r="K77" s="8"/>
      <c r="L77" s="8"/>
      <c r="M77" s="8"/>
      <c r="N77" s="10"/>
      <c r="O77" s="8"/>
    </row>
    <row r="78" customFormat="false" ht="15" hidden="false" customHeight="true" outlineLevel="0" collapsed="false">
      <c r="A78" s="8"/>
      <c r="B78" s="8"/>
      <c r="C78" s="8"/>
      <c r="D78" s="8"/>
      <c r="E78" s="8"/>
      <c r="F78" s="10"/>
      <c r="G78" s="8"/>
      <c r="H78" s="8"/>
      <c r="I78" s="8"/>
      <c r="J78" s="8"/>
      <c r="K78" s="8"/>
      <c r="L78" s="8"/>
      <c r="M78" s="8"/>
      <c r="N78" s="10"/>
      <c r="O78" s="8"/>
    </row>
    <row r="79" customFormat="false" ht="15" hidden="false" customHeight="true" outlineLevel="0" collapsed="false">
      <c r="A79" s="8"/>
      <c r="B79" s="8"/>
      <c r="C79" s="8"/>
      <c r="D79" s="8"/>
      <c r="E79" s="8"/>
      <c r="F79" s="10"/>
      <c r="G79" s="8"/>
      <c r="H79" s="8"/>
      <c r="I79" s="8"/>
      <c r="J79" s="8"/>
      <c r="K79" s="8"/>
      <c r="L79" s="8"/>
      <c r="M79" s="8"/>
      <c r="N79" s="10"/>
      <c r="O79" s="8"/>
    </row>
    <row r="80" customFormat="false" ht="15" hidden="false" customHeight="true" outlineLevel="0" collapsed="false">
      <c r="A80" s="8"/>
      <c r="B80" s="8"/>
      <c r="C80" s="8"/>
      <c r="D80" s="8"/>
      <c r="E80" s="8"/>
      <c r="F80" s="10"/>
      <c r="G80" s="8"/>
      <c r="H80" s="8"/>
      <c r="I80" s="8"/>
      <c r="J80" s="8"/>
      <c r="K80" s="8"/>
      <c r="L80" s="8"/>
      <c r="M80" s="8"/>
      <c r="N80" s="10"/>
      <c r="O80" s="8"/>
    </row>
    <row r="81" customFormat="false" ht="15" hidden="false" customHeight="true" outlineLevel="0" collapsed="false">
      <c r="A81" s="8"/>
      <c r="B81" s="8"/>
      <c r="C81" s="8"/>
      <c r="D81" s="8"/>
      <c r="E81" s="8"/>
      <c r="F81" s="10"/>
      <c r="G81" s="8"/>
      <c r="H81" s="8"/>
      <c r="I81" s="8"/>
      <c r="J81" s="8"/>
      <c r="K81" s="8"/>
      <c r="L81" s="8"/>
      <c r="M81" s="8"/>
      <c r="N81" s="10"/>
      <c r="O81" s="8"/>
    </row>
    <row r="82" customFormat="false" ht="15" hidden="false" customHeight="true" outlineLevel="0" collapsed="false">
      <c r="A82" s="8"/>
      <c r="B82" s="8"/>
      <c r="C82" s="8"/>
      <c r="D82" s="8"/>
      <c r="E82" s="8"/>
      <c r="F82" s="10"/>
      <c r="G82" s="8"/>
      <c r="H82" s="8"/>
      <c r="I82" s="8"/>
      <c r="J82" s="8"/>
      <c r="K82" s="8"/>
      <c r="L82" s="8"/>
      <c r="M82" s="8"/>
      <c r="N82" s="10"/>
      <c r="O82" s="8"/>
    </row>
    <row r="83" customFormat="false" ht="15" hidden="false" customHeight="true" outlineLevel="0" collapsed="false">
      <c r="A83" s="8"/>
      <c r="B83" s="8"/>
      <c r="C83" s="8"/>
      <c r="D83" s="8"/>
      <c r="E83" s="8"/>
      <c r="F83" s="10"/>
      <c r="G83" s="8"/>
      <c r="H83" s="8"/>
      <c r="I83" s="8"/>
      <c r="J83" s="8"/>
      <c r="K83" s="8"/>
      <c r="L83" s="8"/>
      <c r="M83" s="8"/>
      <c r="N83" s="10"/>
      <c r="O83" s="8"/>
    </row>
    <row r="84" customFormat="false" ht="15" hidden="false" customHeight="true" outlineLevel="0" collapsed="false">
      <c r="A84" s="8"/>
      <c r="B84" s="8"/>
      <c r="C84" s="8"/>
      <c r="D84" s="8"/>
      <c r="E84" s="8"/>
      <c r="F84" s="10"/>
      <c r="G84" s="8"/>
      <c r="H84" s="8"/>
      <c r="I84" s="8"/>
      <c r="J84" s="8"/>
      <c r="K84" s="8"/>
      <c r="L84" s="8"/>
      <c r="M84" s="8"/>
      <c r="N84" s="10"/>
      <c r="O84" s="8"/>
    </row>
    <row r="85" customFormat="false" ht="15" hidden="false" customHeight="true" outlineLevel="0" collapsed="false">
      <c r="A85" s="8"/>
      <c r="B85" s="8"/>
      <c r="C85" s="8"/>
      <c r="D85" s="8"/>
      <c r="E85" s="8"/>
      <c r="F85" s="10"/>
      <c r="G85" s="8"/>
      <c r="H85" s="8"/>
      <c r="I85" s="8"/>
      <c r="J85" s="8"/>
      <c r="K85" s="8"/>
      <c r="L85" s="8"/>
      <c r="M85" s="8"/>
      <c r="N85" s="10"/>
      <c r="O85" s="8"/>
    </row>
    <row r="86" customFormat="false" ht="15" hidden="false" customHeight="true" outlineLevel="0" collapsed="false">
      <c r="A86" s="8"/>
      <c r="B86" s="8"/>
      <c r="C86" s="8"/>
      <c r="D86" s="8"/>
      <c r="E86" s="8"/>
      <c r="F86" s="10"/>
      <c r="G86" s="8"/>
      <c r="H86" s="8"/>
      <c r="I86" s="8"/>
      <c r="J86" s="8"/>
      <c r="K86" s="8"/>
      <c r="L86" s="8"/>
      <c r="M86" s="8"/>
      <c r="N86" s="10"/>
      <c r="O86" s="8"/>
    </row>
    <row r="87" customFormat="false" ht="15" hidden="false" customHeight="true" outlineLevel="0" collapsed="false">
      <c r="A87" s="8"/>
      <c r="B87" s="8"/>
      <c r="C87" s="8"/>
      <c r="D87" s="8"/>
      <c r="E87" s="8"/>
      <c r="F87" s="10"/>
      <c r="G87" s="8"/>
      <c r="H87" s="8"/>
      <c r="I87" s="8"/>
      <c r="J87" s="8"/>
      <c r="K87" s="8"/>
      <c r="L87" s="8"/>
      <c r="M87" s="8"/>
      <c r="N87" s="10"/>
      <c r="O87" s="8"/>
    </row>
    <row r="88" customFormat="false" ht="15" hidden="false" customHeight="true" outlineLevel="0" collapsed="false">
      <c r="A88" s="8"/>
      <c r="B88" s="8"/>
      <c r="C88" s="8"/>
      <c r="D88" s="8"/>
      <c r="E88" s="8"/>
      <c r="F88" s="10"/>
      <c r="G88" s="8"/>
      <c r="H88" s="8"/>
      <c r="I88" s="8"/>
      <c r="J88" s="8"/>
      <c r="K88" s="8"/>
      <c r="L88" s="8"/>
      <c r="M88" s="8"/>
      <c r="N88" s="10"/>
      <c r="O88" s="8"/>
    </row>
    <row r="89" customFormat="false" ht="15" hidden="false" customHeight="true" outlineLevel="0" collapsed="false">
      <c r="A89" s="8"/>
      <c r="B89" s="8"/>
      <c r="C89" s="8"/>
      <c r="D89" s="8"/>
      <c r="E89" s="8"/>
      <c r="F89" s="10"/>
      <c r="G89" s="8"/>
      <c r="H89" s="8"/>
      <c r="I89" s="8"/>
      <c r="J89" s="8"/>
      <c r="K89" s="8"/>
      <c r="L89" s="8"/>
      <c r="M89" s="8"/>
      <c r="N89" s="10"/>
      <c r="O89" s="8"/>
    </row>
    <row r="90" customFormat="false" ht="15" hidden="false" customHeight="true" outlineLevel="0" collapsed="false">
      <c r="A90" s="8"/>
      <c r="B90" s="8"/>
      <c r="C90" s="8"/>
      <c r="D90" s="8"/>
      <c r="E90" s="8"/>
      <c r="F90" s="10"/>
      <c r="G90" s="8"/>
      <c r="H90" s="8"/>
      <c r="I90" s="8"/>
      <c r="J90" s="8"/>
      <c r="K90" s="8"/>
      <c r="L90" s="8"/>
      <c r="M90" s="8"/>
      <c r="N90" s="10"/>
      <c r="O90" s="8"/>
    </row>
    <row r="91" customFormat="false" ht="15" hidden="false" customHeight="true" outlineLevel="0" collapsed="false">
      <c r="A91" s="8"/>
      <c r="B91" s="8"/>
      <c r="C91" s="8"/>
      <c r="D91" s="8"/>
      <c r="E91" s="8"/>
      <c r="F91" s="10"/>
      <c r="G91" s="8"/>
      <c r="H91" s="8"/>
      <c r="I91" s="8"/>
      <c r="J91" s="8"/>
      <c r="K91" s="8"/>
      <c r="L91" s="8"/>
      <c r="M91" s="8"/>
      <c r="N91" s="10"/>
      <c r="O91" s="8"/>
    </row>
    <row r="92" customFormat="false" ht="15" hidden="false" customHeight="true" outlineLevel="0" collapsed="false">
      <c r="A92" s="8"/>
      <c r="B92" s="8"/>
      <c r="C92" s="8"/>
      <c r="D92" s="8"/>
      <c r="E92" s="8"/>
      <c r="F92" s="10"/>
      <c r="G92" s="8"/>
      <c r="H92" s="8"/>
      <c r="I92" s="8"/>
      <c r="J92" s="8"/>
      <c r="K92" s="8"/>
      <c r="L92" s="8"/>
      <c r="M92" s="8"/>
      <c r="N92" s="10"/>
      <c r="O92" s="8"/>
    </row>
    <row r="93" customFormat="false" ht="15" hidden="false" customHeight="true" outlineLevel="0" collapsed="false">
      <c r="A93" s="8"/>
      <c r="B93" s="8"/>
      <c r="C93" s="8"/>
      <c r="D93" s="8"/>
      <c r="E93" s="8"/>
      <c r="F93" s="10"/>
      <c r="G93" s="8"/>
      <c r="H93" s="8"/>
      <c r="I93" s="8"/>
      <c r="J93" s="8"/>
      <c r="K93" s="8"/>
      <c r="L93" s="8"/>
      <c r="M93" s="8"/>
      <c r="N93" s="10"/>
      <c r="O93" s="8"/>
    </row>
    <row r="94" customFormat="false" ht="15" hidden="false" customHeight="true" outlineLevel="0" collapsed="false">
      <c r="A94" s="8"/>
      <c r="B94" s="8"/>
      <c r="C94" s="8"/>
      <c r="D94" s="8"/>
      <c r="E94" s="8"/>
      <c r="F94" s="10"/>
      <c r="G94" s="8"/>
      <c r="H94" s="8"/>
      <c r="I94" s="8"/>
      <c r="J94" s="8"/>
      <c r="K94" s="8"/>
      <c r="L94" s="8"/>
      <c r="M94" s="8"/>
      <c r="N94" s="10"/>
      <c r="O94" s="8"/>
    </row>
    <row r="95" customFormat="false" ht="15" hidden="false" customHeight="true" outlineLevel="0" collapsed="false">
      <c r="A95" s="8"/>
      <c r="B95" s="8"/>
      <c r="C95" s="8"/>
      <c r="D95" s="8"/>
      <c r="E95" s="8"/>
      <c r="F95" s="10"/>
      <c r="G95" s="8"/>
      <c r="H95" s="8"/>
      <c r="I95" s="8"/>
      <c r="J95" s="8"/>
      <c r="K95" s="8"/>
      <c r="L95" s="8"/>
      <c r="M95" s="8"/>
      <c r="N95" s="10"/>
      <c r="O95" s="8"/>
    </row>
    <row r="96" customFormat="false" ht="15" hidden="false" customHeight="true" outlineLevel="0" collapsed="false">
      <c r="A96" s="8"/>
      <c r="B96" s="8"/>
      <c r="C96" s="8"/>
      <c r="D96" s="8"/>
      <c r="E96" s="8"/>
      <c r="F96" s="10"/>
      <c r="G96" s="8"/>
      <c r="H96" s="8"/>
      <c r="I96" s="8"/>
      <c r="J96" s="8"/>
      <c r="K96" s="8"/>
      <c r="L96" s="8"/>
      <c r="M96" s="8"/>
      <c r="N96" s="10"/>
      <c r="O96" s="8"/>
    </row>
    <row r="97" customFormat="false" ht="15" hidden="false" customHeight="true" outlineLevel="0" collapsed="false">
      <c r="A97" s="8"/>
      <c r="B97" s="8"/>
      <c r="C97" s="8"/>
      <c r="D97" s="8"/>
      <c r="E97" s="8"/>
      <c r="F97" s="10"/>
      <c r="G97" s="8"/>
      <c r="H97" s="8"/>
      <c r="I97" s="8"/>
      <c r="J97" s="8"/>
      <c r="K97" s="8"/>
      <c r="L97" s="8"/>
      <c r="M97" s="8"/>
      <c r="N97" s="10"/>
      <c r="O97" s="8"/>
    </row>
    <row r="98" customFormat="false" ht="15" hidden="false" customHeight="true" outlineLevel="0" collapsed="false">
      <c r="A98" s="8"/>
      <c r="B98" s="8"/>
      <c r="C98" s="8"/>
      <c r="D98" s="8"/>
      <c r="E98" s="8"/>
      <c r="F98" s="10"/>
      <c r="G98" s="8"/>
      <c r="H98" s="8"/>
      <c r="I98" s="8"/>
      <c r="J98" s="8"/>
      <c r="K98" s="8"/>
      <c r="L98" s="8"/>
      <c r="M98" s="8"/>
      <c r="N98" s="10"/>
      <c r="O98" s="8"/>
    </row>
    <row r="99" customFormat="false" ht="15" hidden="false" customHeight="true" outlineLevel="0" collapsed="false">
      <c r="A99" s="8"/>
      <c r="B99" s="8"/>
      <c r="C99" s="8"/>
      <c r="D99" s="8"/>
      <c r="E99" s="8"/>
      <c r="F99" s="10"/>
      <c r="G99" s="8"/>
      <c r="H99" s="8"/>
      <c r="I99" s="8"/>
      <c r="J99" s="8"/>
      <c r="K99" s="8"/>
      <c r="L99" s="8"/>
      <c r="M99" s="8"/>
      <c r="N99" s="10"/>
      <c r="O99" s="8"/>
    </row>
    <row r="100" customFormat="false" ht="15" hidden="false" customHeight="true" outlineLevel="0" collapsed="false">
      <c r="A100" s="8"/>
      <c r="B100" s="8"/>
      <c r="C100" s="8"/>
      <c r="D100" s="8"/>
      <c r="E100" s="8"/>
      <c r="F100" s="10"/>
      <c r="G100" s="8"/>
      <c r="H100" s="8"/>
      <c r="I100" s="8"/>
      <c r="J100" s="8"/>
      <c r="K100" s="8"/>
      <c r="L100" s="8"/>
      <c r="M100" s="8"/>
      <c r="N100" s="10"/>
      <c r="O100" s="8"/>
    </row>
    <row r="101" customFormat="false" ht="15" hidden="false" customHeight="true" outlineLevel="0" collapsed="false">
      <c r="A101" s="8"/>
      <c r="B101" s="8"/>
      <c r="C101" s="8"/>
      <c r="D101" s="8"/>
      <c r="E101" s="8"/>
      <c r="F101" s="10"/>
      <c r="G101" s="8"/>
      <c r="H101" s="8"/>
      <c r="I101" s="8"/>
      <c r="J101" s="8"/>
      <c r="K101" s="8"/>
      <c r="L101" s="8"/>
      <c r="M101" s="8"/>
      <c r="N101" s="10"/>
      <c r="O101" s="8"/>
    </row>
    <row r="102" customFormat="false" ht="15" hidden="false" customHeight="true" outlineLevel="0" collapsed="false">
      <c r="A102" s="8"/>
      <c r="B102" s="8"/>
      <c r="C102" s="8"/>
      <c r="D102" s="8"/>
      <c r="E102" s="8"/>
      <c r="F102" s="10"/>
      <c r="G102" s="8"/>
      <c r="H102" s="8"/>
      <c r="I102" s="8"/>
      <c r="J102" s="8"/>
      <c r="K102" s="8"/>
      <c r="L102" s="8"/>
      <c r="M102" s="8"/>
      <c r="N102" s="10"/>
      <c r="O102" s="8"/>
    </row>
    <row r="103" customFormat="false" ht="15" hidden="false" customHeight="true" outlineLevel="0" collapsed="false">
      <c r="A103" s="8"/>
      <c r="B103" s="8"/>
      <c r="C103" s="8"/>
      <c r="D103" s="8"/>
      <c r="E103" s="8"/>
      <c r="F103" s="10"/>
      <c r="G103" s="8"/>
      <c r="H103" s="8"/>
      <c r="I103" s="8"/>
      <c r="J103" s="8"/>
      <c r="K103" s="8"/>
      <c r="L103" s="8"/>
      <c r="M103" s="8"/>
      <c r="N103" s="10"/>
      <c r="O103" s="8"/>
    </row>
    <row r="104" customFormat="false" ht="15" hidden="false" customHeight="true" outlineLevel="0" collapsed="false">
      <c r="A104" s="8"/>
      <c r="B104" s="8"/>
      <c r="C104" s="8"/>
      <c r="D104" s="8"/>
      <c r="E104" s="8"/>
      <c r="F104" s="10"/>
      <c r="G104" s="8"/>
      <c r="H104" s="8"/>
      <c r="I104" s="8"/>
      <c r="J104" s="8"/>
      <c r="K104" s="8"/>
      <c r="L104" s="8"/>
      <c r="M104" s="8"/>
      <c r="N104" s="10"/>
      <c r="O104" s="8"/>
    </row>
    <row r="105" customFormat="false" ht="15" hidden="false" customHeight="true" outlineLevel="0" collapsed="false">
      <c r="A105" s="8"/>
      <c r="B105" s="8"/>
      <c r="C105" s="8"/>
      <c r="D105" s="8"/>
      <c r="E105" s="8"/>
      <c r="F105" s="10"/>
      <c r="G105" s="8"/>
      <c r="H105" s="8"/>
      <c r="I105" s="8"/>
      <c r="J105" s="8"/>
      <c r="K105" s="8"/>
      <c r="L105" s="8"/>
      <c r="M105" s="8"/>
      <c r="N105" s="10"/>
      <c r="O105" s="8"/>
    </row>
    <row r="106" customFormat="false" ht="15" hidden="false" customHeight="true" outlineLevel="0" collapsed="false">
      <c r="A106" s="8"/>
      <c r="B106" s="8"/>
      <c r="C106" s="8"/>
      <c r="D106" s="8"/>
      <c r="E106" s="8"/>
      <c r="F106" s="10"/>
      <c r="G106" s="8"/>
      <c r="H106" s="8"/>
      <c r="I106" s="8"/>
      <c r="J106" s="8"/>
      <c r="K106" s="8"/>
      <c r="L106" s="8"/>
      <c r="M106" s="8"/>
      <c r="N106" s="10"/>
      <c r="O106" s="8"/>
    </row>
    <row r="107" customFormat="false" ht="15" hidden="false" customHeight="true" outlineLevel="0" collapsed="false">
      <c r="A107" s="8"/>
      <c r="B107" s="8"/>
      <c r="C107" s="8"/>
      <c r="D107" s="8"/>
      <c r="E107" s="8"/>
      <c r="F107" s="10"/>
      <c r="G107" s="8"/>
      <c r="H107" s="8"/>
      <c r="I107" s="8"/>
      <c r="J107" s="8"/>
      <c r="K107" s="8"/>
      <c r="L107" s="8"/>
      <c r="M107" s="8"/>
      <c r="N107" s="10"/>
      <c r="O107" s="8"/>
    </row>
    <row r="108" customFormat="false" ht="15" hidden="false" customHeight="true" outlineLevel="0" collapsed="false">
      <c r="A108" s="8"/>
      <c r="B108" s="8"/>
      <c r="C108" s="8"/>
      <c r="D108" s="8"/>
      <c r="E108" s="8"/>
      <c r="F108" s="10"/>
      <c r="G108" s="8"/>
      <c r="H108" s="8"/>
      <c r="I108" s="8"/>
      <c r="J108" s="8"/>
      <c r="K108" s="8"/>
      <c r="L108" s="8"/>
      <c r="M108" s="8"/>
      <c r="N108" s="10"/>
      <c r="O108" s="8"/>
    </row>
    <row r="109" customFormat="false" ht="15" hidden="false" customHeight="true" outlineLevel="0" collapsed="false">
      <c r="A109" s="8"/>
      <c r="B109" s="8"/>
      <c r="C109" s="8"/>
      <c r="D109" s="8"/>
      <c r="E109" s="8"/>
      <c r="F109" s="10"/>
      <c r="G109" s="8"/>
      <c r="H109" s="8"/>
      <c r="I109" s="8"/>
      <c r="J109" s="8"/>
      <c r="K109" s="8"/>
      <c r="L109" s="8"/>
      <c r="M109" s="8"/>
      <c r="N109" s="10"/>
      <c r="O109" s="8"/>
    </row>
    <row r="110" customFormat="false" ht="15" hidden="false" customHeight="true" outlineLevel="0" collapsed="false">
      <c r="A110" s="8"/>
      <c r="B110" s="8"/>
      <c r="C110" s="8"/>
      <c r="D110" s="8"/>
      <c r="E110" s="8"/>
      <c r="F110" s="10"/>
      <c r="G110" s="8"/>
      <c r="H110" s="8"/>
      <c r="I110" s="8"/>
      <c r="J110" s="8"/>
      <c r="K110" s="8"/>
      <c r="L110" s="8"/>
      <c r="M110" s="8"/>
      <c r="N110" s="10"/>
      <c r="O110" s="8"/>
    </row>
    <row r="111" customFormat="false" ht="15" hidden="false" customHeight="true" outlineLevel="0" collapsed="false">
      <c r="A111" s="8"/>
      <c r="B111" s="8"/>
      <c r="C111" s="8"/>
      <c r="D111" s="8"/>
      <c r="E111" s="8"/>
      <c r="F111" s="10"/>
      <c r="G111" s="8"/>
      <c r="H111" s="8"/>
      <c r="I111" s="8"/>
      <c r="J111" s="8"/>
      <c r="K111" s="8"/>
      <c r="L111" s="8"/>
      <c r="M111" s="8"/>
      <c r="N111" s="10"/>
      <c r="O111" s="8"/>
    </row>
    <row r="112" customFormat="false" ht="15" hidden="false" customHeight="true" outlineLevel="0" collapsed="false">
      <c r="A112" s="8"/>
      <c r="B112" s="8"/>
      <c r="C112" s="8"/>
      <c r="D112" s="8"/>
      <c r="E112" s="8"/>
      <c r="F112" s="10"/>
      <c r="G112" s="8"/>
      <c r="H112" s="8"/>
      <c r="I112" s="8"/>
      <c r="J112" s="8"/>
      <c r="K112" s="8"/>
      <c r="L112" s="8"/>
      <c r="M112" s="8"/>
      <c r="N112" s="10"/>
      <c r="O112" s="8"/>
    </row>
    <row r="113" customFormat="false" ht="15" hidden="false" customHeight="true" outlineLevel="0" collapsed="false">
      <c r="A113" s="8"/>
      <c r="B113" s="8"/>
      <c r="C113" s="8"/>
      <c r="D113" s="8"/>
      <c r="E113" s="8"/>
      <c r="F113" s="10"/>
      <c r="G113" s="8"/>
      <c r="H113" s="8"/>
      <c r="I113" s="8"/>
      <c r="J113" s="8"/>
      <c r="K113" s="8"/>
      <c r="L113" s="8"/>
      <c r="M113" s="8"/>
      <c r="N113" s="10"/>
      <c r="O113" s="8"/>
    </row>
    <row r="114" customFormat="false" ht="15" hidden="false" customHeight="true" outlineLevel="0" collapsed="false">
      <c r="A114" s="8"/>
      <c r="B114" s="8"/>
      <c r="C114" s="8"/>
      <c r="D114" s="8"/>
      <c r="E114" s="8"/>
      <c r="F114" s="10"/>
      <c r="G114" s="8"/>
      <c r="H114" s="8"/>
      <c r="I114" s="8"/>
      <c r="J114" s="8"/>
      <c r="K114" s="8"/>
      <c r="L114" s="8"/>
      <c r="M114" s="8"/>
      <c r="N114" s="10"/>
      <c r="O114" s="8"/>
    </row>
    <row r="115" customFormat="false" ht="15" hidden="false" customHeight="true" outlineLevel="0" collapsed="false">
      <c r="A115" s="8"/>
      <c r="B115" s="8"/>
      <c r="C115" s="8"/>
      <c r="D115" s="8"/>
      <c r="E115" s="8"/>
      <c r="F115" s="10"/>
      <c r="G115" s="8"/>
      <c r="H115" s="8"/>
      <c r="I115" s="8"/>
      <c r="J115" s="8"/>
      <c r="K115" s="8"/>
      <c r="L115" s="8"/>
      <c r="M115" s="8"/>
      <c r="N115" s="10"/>
      <c r="O115" s="8"/>
    </row>
    <row r="116" customFormat="false" ht="15" hidden="false" customHeight="true" outlineLevel="0" collapsed="false">
      <c r="A116" s="8"/>
      <c r="B116" s="8"/>
      <c r="C116" s="8"/>
      <c r="D116" s="8"/>
      <c r="E116" s="8"/>
      <c r="F116" s="10"/>
      <c r="G116" s="8"/>
      <c r="H116" s="8"/>
      <c r="I116" s="8"/>
      <c r="J116" s="8"/>
      <c r="K116" s="8"/>
      <c r="L116" s="8"/>
      <c r="M116" s="8"/>
      <c r="N116" s="10"/>
      <c r="O116" s="8"/>
    </row>
    <row r="117" customFormat="false" ht="15" hidden="false" customHeight="true" outlineLevel="0" collapsed="false">
      <c r="A117" s="8"/>
      <c r="B117" s="8"/>
      <c r="C117" s="8"/>
      <c r="D117" s="8"/>
      <c r="E117" s="8"/>
      <c r="F117" s="10"/>
      <c r="G117" s="8"/>
      <c r="H117" s="8"/>
      <c r="I117" s="8"/>
      <c r="J117" s="8"/>
      <c r="K117" s="8"/>
      <c r="L117" s="8"/>
      <c r="M117" s="8"/>
      <c r="N117" s="10"/>
      <c r="O117" s="8"/>
    </row>
    <row r="118" customFormat="false" ht="15" hidden="false" customHeight="true" outlineLevel="0" collapsed="false">
      <c r="A118" s="8"/>
      <c r="B118" s="8"/>
      <c r="C118" s="8"/>
      <c r="D118" s="8"/>
      <c r="E118" s="8"/>
      <c r="F118" s="10"/>
      <c r="G118" s="8"/>
      <c r="H118" s="8"/>
      <c r="I118" s="8"/>
      <c r="J118" s="8"/>
      <c r="K118" s="8"/>
      <c r="L118" s="8"/>
      <c r="M118" s="8"/>
      <c r="N118" s="10"/>
      <c r="O118" s="8"/>
    </row>
    <row r="119" customFormat="false" ht="15" hidden="false" customHeight="true" outlineLevel="0" collapsed="false">
      <c r="A119" s="8"/>
      <c r="B119" s="8"/>
      <c r="C119" s="8"/>
      <c r="D119" s="8"/>
      <c r="E119" s="8"/>
      <c r="F119" s="10"/>
      <c r="G119" s="8"/>
      <c r="H119" s="8"/>
      <c r="I119" s="8"/>
      <c r="J119" s="8"/>
      <c r="K119" s="8"/>
      <c r="L119" s="8"/>
      <c r="M119" s="8"/>
      <c r="N119" s="10"/>
      <c r="O119" s="8"/>
    </row>
    <row r="120" customFormat="false" ht="15" hidden="false" customHeight="true" outlineLevel="0" collapsed="false">
      <c r="A120" s="8"/>
      <c r="B120" s="8"/>
      <c r="C120" s="8"/>
      <c r="D120" s="8"/>
      <c r="E120" s="8"/>
      <c r="F120" s="10"/>
      <c r="G120" s="8"/>
      <c r="H120" s="8"/>
      <c r="I120" s="8"/>
      <c r="J120" s="8"/>
      <c r="K120" s="8"/>
      <c r="L120" s="8"/>
      <c r="M120" s="8"/>
      <c r="N120" s="10"/>
      <c r="O120" s="8"/>
    </row>
    <row r="121" customFormat="false" ht="15" hidden="false" customHeight="true" outlineLevel="0" collapsed="false">
      <c r="A121" s="8"/>
      <c r="B121" s="8"/>
      <c r="C121" s="8"/>
      <c r="D121" s="8"/>
      <c r="E121" s="8"/>
      <c r="F121" s="10"/>
      <c r="G121" s="8"/>
      <c r="H121" s="8"/>
      <c r="I121" s="8"/>
      <c r="J121" s="8"/>
      <c r="K121" s="8"/>
      <c r="L121" s="8"/>
      <c r="M121" s="8"/>
      <c r="N121" s="10"/>
      <c r="O121" s="8"/>
    </row>
    <row r="122" customFormat="false" ht="15" hidden="false" customHeight="true" outlineLevel="0" collapsed="false">
      <c r="A122" s="8"/>
      <c r="B122" s="8"/>
      <c r="C122" s="8"/>
      <c r="D122" s="8"/>
      <c r="E122" s="8"/>
      <c r="F122" s="10"/>
      <c r="G122" s="8"/>
      <c r="H122" s="8"/>
      <c r="I122" s="8"/>
      <c r="J122" s="8"/>
      <c r="K122" s="8"/>
      <c r="L122" s="8"/>
      <c r="M122" s="8"/>
      <c r="N122" s="10"/>
      <c r="O122" s="8"/>
    </row>
    <row r="123" customFormat="false" ht="15" hidden="false" customHeight="true" outlineLevel="0" collapsed="false">
      <c r="A123" s="8"/>
      <c r="B123" s="8"/>
      <c r="C123" s="8"/>
      <c r="D123" s="8"/>
      <c r="E123" s="8"/>
      <c r="F123" s="10"/>
      <c r="G123" s="8"/>
      <c r="H123" s="8"/>
      <c r="I123" s="8"/>
      <c r="J123" s="8"/>
      <c r="K123" s="8"/>
      <c r="L123" s="8"/>
      <c r="M123" s="8"/>
      <c r="N123" s="10"/>
      <c r="O123" s="8"/>
    </row>
    <row r="124" customFormat="false" ht="15" hidden="false" customHeight="true" outlineLevel="0" collapsed="false">
      <c r="A124" s="8"/>
      <c r="B124" s="8"/>
      <c r="C124" s="8"/>
      <c r="D124" s="8"/>
      <c r="E124" s="8"/>
      <c r="F124" s="10"/>
      <c r="G124" s="8"/>
      <c r="H124" s="8"/>
      <c r="I124" s="8"/>
      <c r="J124" s="8"/>
      <c r="K124" s="8"/>
      <c r="L124" s="8"/>
      <c r="M124" s="8"/>
      <c r="N124" s="10"/>
      <c r="O124" s="8"/>
    </row>
    <row r="125" customFormat="false" ht="15" hidden="false" customHeight="true" outlineLevel="0" collapsed="false">
      <c r="A125" s="8"/>
      <c r="B125" s="8"/>
      <c r="C125" s="8"/>
      <c r="D125" s="8"/>
      <c r="E125" s="8"/>
      <c r="F125" s="10"/>
      <c r="G125" s="8"/>
      <c r="H125" s="8"/>
      <c r="I125" s="8"/>
      <c r="J125" s="8"/>
      <c r="K125" s="8"/>
      <c r="L125" s="8"/>
      <c r="M125" s="8"/>
      <c r="N125" s="10"/>
      <c r="O125" s="8"/>
    </row>
    <row r="126" customFormat="false" ht="15" hidden="false" customHeight="true" outlineLevel="0" collapsed="false">
      <c r="A126" s="8"/>
      <c r="B126" s="8"/>
      <c r="C126" s="8"/>
      <c r="D126" s="8"/>
      <c r="E126" s="8"/>
      <c r="F126" s="10"/>
      <c r="G126" s="8"/>
      <c r="H126" s="8"/>
      <c r="I126" s="8"/>
      <c r="J126" s="8"/>
      <c r="K126" s="8"/>
      <c r="L126" s="8"/>
      <c r="M126" s="8"/>
      <c r="N126" s="10"/>
      <c r="O126" s="8"/>
    </row>
    <row r="127" customFormat="false" ht="15" hidden="false" customHeight="true" outlineLevel="0" collapsed="false">
      <c r="A127" s="8"/>
      <c r="B127" s="8"/>
      <c r="C127" s="8"/>
      <c r="D127" s="8"/>
      <c r="E127" s="8"/>
      <c r="F127" s="10"/>
      <c r="G127" s="8"/>
      <c r="H127" s="8"/>
      <c r="I127" s="8"/>
      <c r="J127" s="8"/>
      <c r="K127" s="8"/>
      <c r="L127" s="8"/>
      <c r="M127" s="8"/>
      <c r="N127" s="10"/>
      <c r="O127" s="8"/>
    </row>
    <row r="128" customFormat="false" ht="15" hidden="false" customHeight="true" outlineLevel="0" collapsed="false">
      <c r="A128" s="8"/>
      <c r="B128" s="8"/>
      <c r="C128" s="8"/>
      <c r="D128" s="8"/>
      <c r="E128" s="8"/>
      <c r="F128" s="10"/>
      <c r="G128" s="8"/>
      <c r="H128" s="8"/>
      <c r="I128" s="8"/>
      <c r="J128" s="8"/>
      <c r="K128" s="8"/>
      <c r="L128" s="8"/>
      <c r="M128" s="8"/>
      <c r="N128" s="10"/>
      <c r="O128" s="8"/>
    </row>
    <row r="129" customFormat="false" ht="15" hidden="false" customHeight="true" outlineLevel="0" collapsed="false">
      <c r="A129" s="8"/>
      <c r="B129" s="8"/>
      <c r="C129" s="8"/>
      <c r="D129" s="8"/>
      <c r="E129" s="8"/>
      <c r="F129" s="10"/>
      <c r="G129" s="8"/>
      <c r="H129" s="8"/>
      <c r="I129" s="8"/>
      <c r="J129" s="8"/>
      <c r="K129" s="8"/>
      <c r="L129" s="8"/>
      <c r="M129" s="8"/>
      <c r="N129" s="10"/>
      <c r="O129" s="8"/>
    </row>
    <row r="130" customFormat="false" ht="15" hidden="false" customHeight="true" outlineLevel="0" collapsed="false">
      <c r="A130" s="8"/>
      <c r="B130" s="8"/>
      <c r="C130" s="8"/>
      <c r="D130" s="8"/>
      <c r="E130" s="8"/>
      <c r="F130" s="10"/>
      <c r="G130" s="8"/>
      <c r="H130" s="8"/>
      <c r="I130" s="8"/>
      <c r="J130" s="8"/>
      <c r="K130" s="8"/>
      <c r="L130" s="8"/>
      <c r="M130" s="8"/>
      <c r="N130" s="10"/>
      <c r="O130" s="8"/>
    </row>
    <row r="131" customFormat="false" ht="15" hidden="false" customHeight="true" outlineLevel="0" collapsed="false">
      <c r="A131" s="8"/>
      <c r="B131" s="8"/>
      <c r="C131" s="8"/>
      <c r="D131" s="8"/>
      <c r="E131" s="8"/>
      <c r="F131" s="10"/>
      <c r="G131" s="8"/>
      <c r="H131" s="8"/>
      <c r="I131" s="8"/>
      <c r="J131" s="8"/>
      <c r="K131" s="8"/>
      <c r="L131" s="8"/>
      <c r="M131" s="8"/>
      <c r="N131" s="10"/>
      <c r="O131" s="8"/>
    </row>
    <row r="132" customFormat="false" ht="15" hidden="false" customHeight="true" outlineLevel="0" collapsed="false">
      <c r="A132" s="8"/>
      <c r="B132" s="8"/>
      <c r="C132" s="8"/>
      <c r="D132" s="8"/>
      <c r="E132" s="8"/>
      <c r="F132" s="10"/>
      <c r="G132" s="8"/>
      <c r="H132" s="8"/>
      <c r="I132" s="8"/>
      <c r="J132" s="8"/>
      <c r="K132" s="8"/>
      <c r="L132" s="8"/>
      <c r="M132" s="8"/>
      <c r="N132" s="10"/>
      <c r="O132" s="8"/>
    </row>
    <row r="133" customFormat="false" ht="15" hidden="false" customHeight="true" outlineLevel="0" collapsed="false">
      <c r="A133" s="8"/>
      <c r="B133" s="8"/>
      <c r="C133" s="8"/>
      <c r="D133" s="8"/>
      <c r="E133" s="8"/>
      <c r="F133" s="10"/>
      <c r="G133" s="8"/>
      <c r="H133" s="8"/>
      <c r="I133" s="8"/>
      <c r="J133" s="8"/>
      <c r="K133" s="8"/>
      <c r="L133" s="8"/>
      <c r="M133" s="8"/>
      <c r="N133" s="10"/>
      <c r="O133" s="8"/>
    </row>
    <row r="134" customFormat="false" ht="15" hidden="false" customHeight="true" outlineLevel="0" collapsed="false">
      <c r="A134" s="8"/>
      <c r="B134" s="8"/>
      <c r="C134" s="8"/>
      <c r="D134" s="8"/>
      <c r="E134" s="8"/>
      <c r="F134" s="10"/>
      <c r="G134" s="8"/>
      <c r="H134" s="8"/>
      <c r="I134" s="8"/>
      <c r="J134" s="8"/>
      <c r="K134" s="8"/>
      <c r="L134" s="8"/>
      <c r="M134" s="8"/>
      <c r="N134" s="10"/>
      <c r="O134" s="8"/>
    </row>
    <row r="135" customFormat="false" ht="15" hidden="false" customHeight="true" outlineLevel="0" collapsed="false">
      <c r="A135" s="8"/>
      <c r="B135" s="8"/>
      <c r="C135" s="8"/>
      <c r="D135" s="8"/>
      <c r="E135" s="8"/>
      <c r="F135" s="10"/>
      <c r="G135" s="8"/>
      <c r="H135" s="8"/>
      <c r="I135" s="8"/>
      <c r="J135" s="8"/>
      <c r="K135" s="8"/>
      <c r="L135" s="8"/>
      <c r="M135" s="8"/>
      <c r="N135" s="10"/>
      <c r="O135" s="8"/>
    </row>
    <row r="136" customFormat="false" ht="15" hidden="false" customHeight="true" outlineLevel="0" collapsed="false">
      <c r="A136" s="8"/>
      <c r="B136" s="8"/>
      <c r="C136" s="8"/>
      <c r="D136" s="8"/>
      <c r="E136" s="8"/>
      <c r="F136" s="10"/>
      <c r="G136" s="8"/>
      <c r="H136" s="8"/>
      <c r="I136" s="8"/>
      <c r="J136" s="8"/>
      <c r="K136" s="8"/>
      <c r="L136" s="8"/>
      <c r="M136" s="8"/>
      <c r="N136" s="10"/>
      <c r="O136" s="8"/>
    </row>
    <row r="137" customFormat="false" ht="15" hidden="false" customHeight="true" outlineLevel="0" collapsed="false">
      <c r="A137" s="8"/>
      <c r="B137" s="8"/>
      <c r="C137" s="8"/>
      <c r="D137" s="8"/>
      <c r="E137" s="8"/>
      <c r="F137" s="10"/>
      <c r="G137" s="8"/>
      <c r="H137" s="8"/>
      <c r="I137" s="8"/>
      <c r="J137" s="8"/>
      <c r="K137" s="8"/>
      <c r="L137" s="8"/>
      <c r="M137" s="8"/>
      <c r="N137" s="10"/>
      <c r="O137" s="8"/>
    </row>
    <row r="138" customFormat="false" ht="15" hidden="false" customHeight="true" outlineLevel="0" collapsed="false">
      <c r="A138" s="8"/>
      <c r="B138" s="8"/>
      <c r="C138" s="8"/>
      <c r="D138" s="8"/>
      <c r="E138" s="8"/>
      <c r="F138" s="10"/>
      <c r="G138" s="8"/>
      <c r="H138" s="8"/>
      <c r="I138" s="8"/>
      <c r="J138" s="8"/>
      <c r="K138" s="8"/>
      <c r="L138" s="8"/>
      <c r="M138" s="8"/>
      <c r="N138" s="10"/>
      <c r="O138" s="8"/>
    </row>
    <row r="139" customFormat="false" ht="15" hidden="false" customHeight="true" outlineLevel="0" collapsed="false">
      <c r="A139" s="8"/>
      <c r="B139" s="8"/>
      <c r="C139" s="8"/>
      <c r="D139" s="8"/>
      <c r="E139" s="8"/>
      <c r="F139" s="10"/>
      <c r="G139" s="8"/>
      <c r="H139" s="8"/>
      <c r="I139" s="8"/>
      <c r="J139" s="8"/>
      <c r="K139" s="8"/>
      <c r="L139" s="8"/>
      <c r="M139" s="8"/>
      <c r="N139" s="10"/>
      <c r="O139" s="8"/>
    </row>
    <row r="140" customFormat="false" ht="15" hidden="false" customHeight="true" outlineLevel="0" collapsed="false">
      <c r="A140" s="8"/>
      <c r="B140" s="8"/>
      <c r="C140" s="8"/>
      <c r="D140" s="8"/>
      <c r="E140" s="8"/>
      <c r="F140" s="10"/>
      <c r="G140" s="8"/>
      <c r="H140" s="8"/>
      <c r="I140" s="8"/>
      <c r="J140" s="8"/>
      <c r="K140" s="8"/>
      <c r="L140" s="8"/>
      <c r="M140" s="8"/>
      <c r="N140" s="10"/>
      <c r="O140" s="8"/>
    </row>
    <row r="141" customFormat="false" ht="15" hidden="false" customHeight="true" outlineLevel="0" collapsed="false">
      <c r="A141" s="8"/>
      <c r="B141" s="8"/>
      <c r="C141" s="8"/>
      <c r="D141" s="8"/>
      <c r="E141" s="8"/>
      <c r="F141" s="10"/>
      <c r="G141" s="8"/>
      <c r="H141" s="8"/>
      <c r="I141" s="8"/>
      <c r="J141" s="8"/>
      <c r="K141" s="8"/>
      <c r="L141" s="8"/>
      <c r="M141" s="8"/>
      <c r="N141" s="10"/>
      <c r="O141" s="8"/>
    </row>
    <row r="142" customFormat="false" ht="15" hidden="false" customHeight="true" outlineLevel="0" collapsed="false">
      <c r="A142" s="8"/>
      <c r="B142" s="8"/>
      <c r="C142" s="8"/>
      <c r="D142" s="8"/>
      <c r="E142" s="8"/>
      <c r="F142" s="10"/>
      <c r="G142" s="8"/>
      <c r="H142" s="8"/>
      <c r="I142" s="8"/>
      <c r="J142" s="8"/>
      <c r="K142" s="8"/>
      <c r="L142" s="8"/>
      <c r="M142" s="8"/>
      <c r="N142" s="10"/>
      <c r="O142" s="8"/>
    </row>
    <row r="143" customFormat="false" ht="15" hidden="false" customHeight="true" outlineLevel="0" collapsed="false">
      <c r="A143" s="8"/>
      <c r="B143" s="8"/>
      <c r="C143" s="8"/>
      <c r="D143" s="8"/>
      <c r="E143" s="8"/>
      <c r="F143" s="10"/>
      <c r="G143" s="8"/>
      <c r="H143" s="8"/>
      <c r="I143" s="8"/>
      <c r="J143" s="8"/>
      <c r="K143" s="8"/>
      <c r="L143" s="8"/>
      <c r="M143" s="8"/>
      <c r="N143" s="10"/>
      <c r="O143" s="8"/>
    </row>
    <row r="144" customFormat="false" ht="15" hidden="false" customHeight="true" outlineLevel="0" collapsed="false">
      <c r="A144" s="8"/>
      <c r="B144" s="8"/>
      <c r="C144" s="8"/>
      <c r="D144" s="8"/>
      <c r="E144" s="8"/>
      <c r="F144" s="10"/>
      <c r="G144" s="8"/>
      <c r="H144" s="8"/>
      <c r="I144" s="8"/>
      <c r="J144" s="8"/>
      <c r="K144" s="8"/>
      <c r="L144" s="8"/>
      <c r="M144" s="8"/>
      <c r="N144" s="10"/>
      <c r="O144" s="8"/>
    </row>
    <row r="145" customFormat="false" ht="15" hidden="false" customHeight="true" outlineLevel="0" collapsed="false">
      <c r="A145" s="8"/>
      <c r="B145" s="8"/>
      <c r="C145" s="8"/>
      <c r="D145" s="8"/>
      <c r="E145" s="8"/>
      <c r="F145" s="10"/>
      <c r="G145" s="8"/>
      <c r="H145" s="8"/>
      <c r="I145" s="8"/>
      <c r="J145" s="8"/>
      <c r="K145" s="8"/>
      <c r="L145" s="8"/>
      <c r="M145" s="8"/>
      <c r="N145" s="10"/>
      <c r="O145" s="8"/>
    </row>
    <row r="146" customFormat="false" ht="15" hidden="false" customHeight="true" outlineLevel="0" collapsed="false">
      <c r="A146" s="8"/>
      <c r="B146" s="8"/>
      <c r="C146" s="8"/>
      <c r="D146" s="8"/>
      <c r="E146" s="8"/>
      <c r="F146" s="10"/>
      <c r="G146" s="8"/>
      <c r="H146" s="8"/>
      <c r="I146" s="8"/>
      <c r="J146" s="8"/>
      <c r="K146" s="8"/>
      <c r="L146" s="8"/>
      <c r="M146" s="8"/>
      <c r="N146" s="10"/>
      <c r="O146" s="8"/>
    </row>
    <row r="147" customFormat="false" ht="15" hidden="false" customHeight="true" outlineLevel="0" collapsed="false">
      <c r="A147" s="8"/>
      <c r="B147" s="8"/>
      <c r="C147" s="8"/>
      <c r="D147" s="8"/>
      <c r="E147" s="8"/>
      <c r="F147" s="10"/>
      <c r="G147" s="8"/>
      <c r="H147" s="8"/>
      <c r="I147" s="8"/>
      <c r="J147" s="8"/>
      <c r="K147" s="8"/>
      <c r="L147" s="8"/>
      <c r="M147" s="8"/>
      <c r="N147" s="10"/>
      <c r="O147" s="8"/>
    </row>
    <row r="148" customFormat="false" ht="15" hidden="false" customHeight="true" outlineLevel="0" collapsed="false">
      <c r="A148" s="8"/>
      <c r="B148" s="8"/>
      <c r="C148" s="8"/>
      <c r="D148" s="8"/>
      <c r="E148" s="8"/>
      <c r="F148" s="10"/>
      <c r="G148" s="8"/>
      <c r="H148" s="8"/>
      <c r="I148" s="8"/>
      <c r="J148" s="8"/>
      <c r="K148" s="8"/>
      <c r="L148" s="8"/>
      <c r="M148" s="8"/>
      <c r="N148" s="10"/>
      <c r="O148" s="8"/>
    </row>
    <row r="149" customFormat="false" ht="15" hidden="false" customHeight="true" outlineLevel="0" collapsed="false">
      <c r="A149" s="8"/>
      <c r="B149" s="8"/>
      <c r="C149" s="8"/>
      <c r="D149" s="8"/>
      <c r="E149" s="8"/>
      <c r="F149" s="10"/>
      <c r="G149" s="8"/>
      <c r="H149" s="8"/>
      <c r="I149" s="8"/>
      <c r="J149" s="8"/>
      <c r="K149" s="8"/>
      <c r="L149" s="8"/>
      <c r="M149" s="8"/>
      <c r="N149" s="10"/>
      <c r="O149" s="8"/>
    </row>
    <row r="150" customFormat="false" ht="15" hidden="false" customHeight="true" outlineLevel="0" collapsed="false">
      <c r="A150" s="8"/>
      <c r="B150" s="8"/>
      <c r="C150" s="8"/>
      <c r="D150" s="8"/>
      <c r="E150" s="8"/>
      <c r="F150" s="10"/>
      <c r="G150" s="8"/>
      <c r="H150" s="8"/>
      <c r="I150" s="8"/>
      <c r="J150" s="8"/>
      <c r="K150" s="8"/>
      <c r="L150" s="8"/>
      <c r="M150" s="8"/>
      <c r="N150" s="10"/>
      <c r="O150" s="8"/>
    </row>
    <row r="151" customFormat="false" ht="15" hidden="false" customHeight="true" outlineLevel="0" collapsed="false">
      <c r="A151" s="8"/>
      <c r="B151" s="8"/>
      <c r="C151" s="8"/>
      <c r="D151" s="8"/>
      <c r="E151" s="8"/>
      <c r="F151" s="10"/>
      <c r="G151" s="8"/>
      <c r="H151" s="8"/>
      <c r="I151" s="8"/>
      <c r="J151" s="8"/>
      <c r="K151" s="8"/>
      <c r="L151" s="8"/>
      <c r="M151" s="8"/>
      <c r="N151" s="10"/>
      <c r="O151" s="8"/>
    </row>
    <row r="152" customFormat="false" ht="15" hidden="false" customHeight="true" outlineLevel="0" collapsed="false">
      <c r="A152" s="8"/>
      <c r="B152" s="8"/>
      <c r="C152" s="8"/>
      <c r="D152" s="8"/>
      <c r="E152" s="8"/>
      <c r="F152" s="10"/>
      <c r="G152" s="8"/>
      <c r="H152" s="8"/>
      <c r="I152" s="8"/>
      <c r="J152" s="8"/>
      <c r="K152" s="8"/>
      <c r="L152" s="8"/>
      <c r="M152" s="8"/>
      <c r="N152" s="10"/>
      <c r="O152" s="8"/>
    </row>
    <row r="153" customFormat="false" ht="15" hidden="false" customHeight="true" outlineLevel="0" collapsed="false">
      <c r="A153" s="8"/>
      <c r="B153" s="8"/>
      <c r="C153" s="8"/>
      <c r="D153" s="8"/>
      <c r="E153" s="8"/>
      <c r="F153" s="10"/>
      <c r="G153" s="8"/>
      <c r="H153" s="8"/>
      <c r="I153" s="8"/>
      <c r="J153" s="8"/>
      <c r="K153" s="8"/>
      <c r="L153" s="8"/>
      <c r="M153" s="8"/>
      <c r="N153" s="10"/>
      <c r="O153" s="8"/>
    </row>
    <row r="154" customFormat="false" ht="15" hidden="false" customHeight="true" outlineLevel="0" collapsed="false">
      <c r="A154" s="8"/>
      <c r="B154" s="8"/>
      <c r="C154" s="8"/>
      <c r="D154" s="8"/>
      <c r="E154" s="8"/>
      <c r="F154" s="10"/>
      <c r="G154" s="8"/>
      <c r="H154" s="8"/>
      <c r="I154" s="8"/>
      <c r="J154" s="8"/>
      <c r="K154" s="8"/>
      <c r="L154" s="8"/>
      <c r="M154" s="8"/>
      <c r="N154" s="10"/>
      <c r="O154" s="8"/>
    </row>
    <row r="155" customFormat="false" ht="15" hidden="false" customHeight="true" outlineLevel="0" collapsed="false">
      <c r="A155" s="8"/>
      <c r="B155" s="8"/>
      <c r="C155" s="8"/>
      <c r="D155" s="8"/>
      <c r="E155" s="8"/>
      <c r="F155" s="10"/>
      <c r="G155" s="8"/>
      <c r="H155" s="8"/>
      <c r="I155" s="8"/>
      <c r="J155" s="8"/>
      <c r="K155" s="8"/>
      <c r="L155" s="8"/>
      <c r="M155" s="8"/>
      <c r="N155" s="10"/>
      <c r="O155" s="8"/>
    </row>
    <row r="156" customFormat="false" ht="15" hidden="false" customHeight="true" outlineLevel="0" collapsed="false">
      <c r="A156" s="8"/>
      <c r="B156" s="8"/>
      <c r="C156" s="8"/>
      <c r="D156" s="8"/>
      <c r="E156" s="8"/>
      <c r="F156" s="10"/>
      <c r="G156" s="8"/>
      <c r="H156" s="8"/>
      <c r="I156" s="8"/>
      <c r="J156" s="8"/>
      <c r="K156" s="8"/>
      <c r="L156" s="8"/>
      <c r="M156" s="8"/>
      <c r="N156" s="10"/>
      <c r="O156" s="8"/>
    </row>
    <row r="157" customFormat="false" ht="15" hidden="false" customHeight="true" outlineLevel="0" collapsed="false">
      <c r="A157" s="8"/>
      <c r="B157" s="8"/>
      <c r="C157" s="8"/>
      <c r="D157" s="8"/>
      <c r="E157" s="8"/>
      <c r="F157" s="10"/>
      <c r="G157" s="8"/>
      <c r="H157" s="8"/>
      <c r="I157" s="8"/>
      <c r="J157" s="8"/>
      <c r="K157" s="8"/>
      <c r="L157" s="8"/>
      <c r="M157" s="8"/>
      <c r="N157" s="10"/>
      <c r="O157" s="8"/>
    </row>
    <row r="158" customFormat="false" ht="15" hidden="false" customHeight="true" outlineLevel="0" collapsed="false">
      <c r="A158" s="8"/>
      <c r="B158" s="8"/>
      <c r="C158" s="8"/>
      <c r="D158" s="8"/>
      <c r="E158" s="8"/>
      <c r="F158" s="10"/>
      <c r="G158" s="8"/>
      <c r="H158" s="8"/>
      <c r="I158" s="8"/>
      <c r="J158" s="8"/>
      <c r="K158" s="8"/>
      <c r="L158" s="8"/>
      <c r="M158" s="8"/>
      <c r="N158" s="10"/>
      <c r="O158" s="8"/>
    </row>
    <row r="159" customFormat="false" ht="15" hidden="false" customHeight="true" outlineLevel="0" collapsed="false">
      <c r="A159" s="8"/>
      <c r="B159" s="8"/>
      <c r="C159" s="8"/>
      <c r="D159" s="8"/>
      <c r="E159" s="8"/>
      <c r="F159" s="10"/>
      <c r="G159" s="8"/>
      <c r="H159" s="8"/>
      <c r="I159" s="8"/>
      <c r="J159" s="8"/>
      <c r="K159" s="8"/>
      <c r="L159" s="8"/>
      <c r="M159" s="8"/>
      <c r="N159" s="10"/>
      <c r="O159" s="8"/>
    </row>
    <row r="160" customFormat="false" ht="15" hidden="false" customHeight="true" outlineLevel="0" collapsed="false">
      <c r="A160" s="8"/>
      <c r="B160" s="8"/>
      <c r="C160" s="8"/>
      <c r="D160" s="8"/>
      <c r="E160" s="8"/>
      <c r="F160" s="10"/>
      <c r="G160" s="8"/>
      <c r="H160" s="8"/>
      <c r="I160" s="8"/>
      <c r="J160" s="8"/>
      <c r="K160" s="8"/>
      <c r="L160" s="8"/>
      <c r="M160" s="8"/>
      <c r="N160" s="10"/>
      <c r="O160" s="8"/>
    </row>
    <row r="161" customFormat="false" ht="15" hidden="false" customHeight="true" outlineLevel="0" collapsed="false">
      <c r="A161" s="8"/>
      <c r="B161" s="8"/>
      <c r="C161" s="8"/>
      <c r="D161" s="8"/>
      <c r="E161" s="8"/>
      <c r="F161" s="10"/>
      <c r="G161" s="8"/>
      <c r="H161" s="8"/>
      <c r="I161" s="8"/>
      <c r="J161" s="8"/>
      <c r="K161" s="8"/>
      <c r="L161" s="8"/>
      <c r="M161" s="8"/>
      <c r="N161" s="10"/>
      <c r="O161" s="8"/>
    </row>
    <row r="162" customFormat="false" ht="15" hidden="false" customHeight="true" outlineLevel="0" collapsed="false">
      <c r="A162" s="8"/>
      <c r="B162" s="8"/>
      <c r="C162" s="8"/>
      <c r="D162" s="8"/>
      <c r="E162" s="8"/>
      <c r="F162" s="10"/>
      <c r="G162" s="8"/>
      <c r="H162" s="8"/>
      <c r="I162" s="8"/>
      <c r="J162" s="8"/>
      <c r="K162" s="8"/>
      <c r="L162" s="8"/>
      <c r="M162" s="8"/>
      <c r="N162" s="10"/>
      <c r="O162" s="8"/>
    </row>
    <row r="163" customFormat="false" ht="15" hidden="false" customHeight="true" outlineLevel="0" collapsed="false">
      <c r="A163" s="8"/>
      <c r="B163" s="8"/>
      <c r="C163" s="8"/>
      <c r="D163" s="8"/>
      <c r="E163" s="8"/>
      <c r="F163" s="10"/>
      <c r="G163" s="8"/>
      <c r="H163" s="8"/>
      <c r="I163" s="8"/>
      <c r="J163" s="8"/>
      <c r="K163" s="8"/>
      <c r="L163" s="8"/>
      <c r="M163" s="8"/>
      <c r="N163" s="10"/>
      <c r="O163" s="8"/>
    </row>
    <row r="164" customFormat="false" ht="15" hidden="false" customHeight="true" outlineLevel="0" collapsed="false">
      <c r="A164" s="8"/>
      <c r="B164" s="8"/>
      <c r="C164" s="8"/>
      <c r="D164" s="8"/>
      <c r="E164" s="8"/>
      <c r="F164" s="10"/>
      <c r="G164" s="8"/>
      <c r="H164" s="8"/>
      <c r="I164" s="8"/>
      <c r="J164" s="8"/>
      <c r="K164" s="8"/>
      <c r="L164" s="8"/>
      <c r="M164" s="8"/>
      <c r="N164" s="10"/>
      <c r="O164" s="8"/>
    </row>
    <row r="165" customFormat="false" ht="15" hidden="false" customHeight="true" outlineLevel="0" collapsed="false">
      <c r="A165" s="8"/>
      <c r="B165" s="8"/>
      <c r="C165" s="8"/>
      <c r="D165" s="8"/>
      <c r="E165" s="8"/>
      <c r="F165" s="10"/>
      <c r="G165" s="8"/>
      <c r="H165" s="8"/>
      <c r="I165" s="8"/>
      <c r="J165" s="8"/>
      <c r="K165" s="8"/>
      <c r="L165" s="8"/>
      <c r="M165" s="8"/>
      <c r="N165" s="10"/>
      <c r="O165" s="8"/>
    </row>
    <row r="166" customFormat="false" ht="15" hidden="false" customHeight="true" outlineLevel="0" collapsed="false">
      <c r="A166" s="8"/>
      <c r="B166" s="8"/>
      <c r="C166" s="8"/>
      <c r="D166" s="8"/>
      <c r="E166" s="8"/>
      <c r="F166" s="10"/>
      <c r="G166" s="8"/>
      <c r="H166" s="8"/>
      <c r="I166" s="8"/>
      <c r="J166" s="8"/>
      <c r="K166" s="8"/>
      <c r="L166" s="8"/>
      <c r="M166" s="8"/>
      <c r="N166" s="10"/>
      <c r="O166" s="8"/>
    </row>
    <row r="167" customFormat="false" ht="15" hidden="false" customHeight="true" outlineLevel="0" collapsed="false">
      <c r="A167" s="8"/>
      <c r="B167" s="8"/>
      <c r="C167" s="8"/>
      <c r="D167" s="8"/>
      <c r="E167" s="8"/>
      <c r="F167" s="10"/>
      <c r="G167" s="8"/>
      <c r="H167" s="8"/>
      <c r="I167" s="8"/>
      <c r="J167" s="8"/>
      <c r="K167" s="8"/>
      <c r="L167" s="8"/>
      <c r="M167" s="8"/>
      <c r="N167" s="10"/>
      <c r="O167" s="8"/>
    </row>
    <row r="168" customFormat="false" ht="15" hidden="false" customHeight="true" outlineLevel="0" collapsed="false">
      <c r="A168" s="8"/>
      <c r="B168" s="8"/>
      <c r="C168" s="8"/>
      <c r="D168" s="8"/>
      <c r="E168" s="8"/>
      <c r="F168" s="10"/>
      <c r="G168" s="8"/>
      <c r="H168" s="8"/>
      <c r="I168" s="8"/>
      <c r="J168" s="8"/>
      <c r="K168" s="8"/>
      <c r="L168" s="8"/>
      <c r="M168" s="8"/>
      <c r="N168" s="10"/>
      <c r="O168" s="8"/>
    </row>
    <row r="169" customFormat="false" ht="15" hidden="false" customHeight="true" outlineLevel="0" collapsed="false">
      <c r="A169" s="8"/>
      <c r="B169" s="8"/>
      <c r="C169" s="8"/>
      <c r="D169" s="8"/>
      <c r="E169" s="8"/>
      <c r="F169" s="10"/>
      <c r="G169" s="8"/>
      <c r="H169" s="8"/>
      <c r="I169" s="8"/>
      <c r="J169" s="8"/>
      <c r="K169" s="8"/>
      <c r="L169" s="8"/>
      <c r="M169" s="8"/>
      <c r="N169" s="10"/>
      <c r="O169" s="8"/>
    </row>
    <row r="170" customFormat="false" ht="15" hidden="false" customHeight="true" outlineLevel="0" collapsed="false">
      <c r="A170" s="8"/>
      <c r="B170" s="8"/>
      <c r="C170" s="8"/>
      <c r="D170" s="8"/>
      <c r="E170" s="8"/>
      <c r="F170" s="10"/>
      <c r="G170" s="8"/>
      <c r="H170" s="8"/>
      <c r="I170" s="8"/>
      <c r="J170" s="8"/>
      <c r="K170" s="8"/>
      <c r="L170" s="8"/>
      <c r="M170" s="8"/>
      <c r="N170" s="10"/>
      <c r="O170" s="8"/>
    </row>
    <row r="171" customFormat="false" ht="15" hidden="false" customHeight="true" outlineLevel="0" collapsed="false">
      <c r="A171" s="8"/>
      <c r="B171" s="8"/>
      <c r="C171" s="8"/>
      <c r="D171" s="8"/>
      <c r="E171" s="8"/>
      <c r="F171" s="10"/>
      <c r="G171" s="8"/>
      <c r="H171" s="8"/>
      <c r="I171" s="8"/>
      <c r="J171" s="8"/>
      <c r="K171" s="8"/>
      <c r="L171" s="8"/>
      <c r="M171" s="8"/>
      <c r="N171" s="10"/>
      <c r="O171" s="8"/>
    </row>
    <row r="172" customFormat="false" ht="15" hidden="false" customHeight="true" outlineLevel="0" collapsed="false">
      <c r="A172" s="8"/>
      <c r="B172" s="8"/>
      <c r="C172" s="8"/>
      <c r="D172" s="8"/>
      <c r="E172" s="8"/>
      <c r="F172" s="10"/>
      <c r="G172" s="8"/>
      <c r="H172" s="8"/>
      <c r="I172" s="8"/>
      <c r="J172" s="8"/>
      <c r="K172" s="8"/>
      <c r="L172" s="8"/>
      <c r="M172" s="8"/>
      <c r="N172" s="10"/>
      <c r="O172" s="8"/>
    </row>
    <row r="173" customFormat="false" ht="15" hidden="false" customHeight="true" outlineLevel="0" collapsed="false">
      <c r="A173" s="8"/>
      <c r="B173" s="8"/>
      <c r="C173" s="8"/>
      <c r="D173" s="8"/>
      <c r="E173" s="8"/>
      <c r="F173" s="10"/>
      <c r="G173" s="8"/>
      <c r="H173" s="8"/>
      <c r="I173" s="8"/>
      <c r="J173" s="8"/>
      <c r="K173" s="8"/>
      <c r="L173" s="8"/>
      <c r="M173" s="8"/>
      <c r="N173" s="10"/>
      <c r="O173" s="8"/>
    </row>
    <row r="174" customFormat="false" ht="15" hidden="false" customHeight="true" outlineLevel="0" collapsed="false">
      <c r="A174" s="8"/>
      <c r="B174" s="8"/>
      <c r="C174" s="8"/>
      <c r="D174" s="8"/>
      <c r="E174" s="8"/>
      <c r="F174" s="10"/>
      <c r="G174" s="8"/>
      <c r="H174" s="8"/>
      <c r="I174" s="8"/>
      <c r="J174" s="8"/>
      <c r="K174" s="8"/>
      <c r="L174" s="8"/>
      <c r="M174" s="8"/>
      <c r="N174" s="10"/>
      <c r="O174" s="8"/>
    </row>
    <row r="175" customFormat="false" ht="15" hidden="false" customHeight="true" outlineLevel="0" collapsed="false">
      <c r="A175" s="8"/>
      <c r="B175" s="8"/>
      <c r="C175" s="8"/>
      <c r="D175" s="8"/>
      <c r="E175" s="8"/>
      <c r="F175" s="10"/>
      <c r="G175" s="8"/>
      <c r="H175" s="8"/>
      <c r="I175" s="8"/>
      <c r="J175" s="8"/>
      <c r="K175" s="8"/>
      <c r="L175" s="8"/>
      <c r="M175" s="8"/>
      <c r="N175" s="10"/>
      <c r="O175" s="8"/>
    </row>
    <row r="176" customFormat="false" ht="15" hidden="false" customHeight="true" outlineLevel="0" collapsed="false">
      <c r="A176" s="8"/>
      <c r="B176" s="8"/>
      <c r="C176" s="8"/>
      <c r="D176" s="8"/>
      <c r="E176" s="8"/>
      <c r="F176" s="10"/>
      <c r="G176" s="8"/>
      <c r="H176" s="8"/>
      <c r="I176" s="8"/>
      <c r="J176" s="8"/>
      <c r="K176" s="8"/>
      <c r="L176" s="8"/>
      <c r="M176" s="8"/>
      <c r="N176" s="10"/>
      <c r="O176" s="8"/>
    </row>
    <row r="177" customFormat="false" ht="15" hidden="false" customHeight="true" outlineLevel="0" collapsed="false">
      <c r="A177" s="8"/>
      <c r="B177" s="8"/>
      <c r="C177" s="8"/>
      <c r="D177" s="8"/>
      <c r="E177" s="8"/>
      <c r="F177" s="10"/>
      <c r="G177" s="8"/>
      <c r="H177" s="8"/>
      <c r="I177" s="8"/>
      <c r="J177" s="8"/>
      <c r="K177" s="8"/>
      <c r="L177" s="8"/>
      <c r="M177" s="8"/>
      <c r="N177" s="10"/>
      <c r="O177" s="8"/>
    </row>
    <row r="178" customFormat="false" ht="15" hidden="false" customHeight="true" outlineLevel="0" collapsed="false">
      <c r="A178" s="8"/>
      <c r="B178" s="8"/>
      <c r="C178" s="8"/>
      <c r="D178" s="8"/>
      <c r="E178" s="8"/>
      <c r="F178" s="10"/>
      <c r="G178" s="8"/>
      <c r="H178" s="8"/>
      <c r="I178" s="8"/>
      <c r="J178" s="8"/>
      <c r="K178" s="8"/>
      <c r="L178" s="8"/>
      <c r="M178" s="8"/>
      <c r="N178" s="10"/>
      <c r="O178" s="8"/>
    </row>
    <row r="179" customFormat="false" ht="15" hidden="false" customHeight="true" outlineLevel="0" collapsed="false">
      <c r="A179" s="8"/>
      <c r="B179" s="8"/>
      <c r="C179" s="8"/>
      <c r="D179" s="8"/>
      <c r="E179" s="8"/>
      <c r="F179" s="10"/>
      <c r="G179" s="8"/>
      <c r="H179" s="8"/>
      <c r="I179" s="8"/>
      <c r="J179" s="8"/>
      <c r="K179" s="8"/>
      <c r="L179" s="8"/>
      <c r="M179" s="8"/>
      <c r="N179" s="10"/>
      <c r="O179" s="8"/>
    </row>
    <row r="180" customFormat="false" ht="15" hidden="false" customHeight="true" outlineLevel="0" collapsed="false">
      <c r="A180" s="8"/>
      <c r="B180" s="8"/>
      <c r="C180" s="8"/>
      <c r="D180" s="8"/>
      <c r="E180" s="8"/>
      <c r="F180" s="10"/>
      <c r="G180" s="8"/>
      <c r="H180" s="8"/>
      <c r="I180" s="8"/>
      <c r="J180" s="8"/>
      <c r="K180" s="8"/>
      <c r="L180" s="8"/>
      <c r="M180" s="8"/>
      <c r="N180" s="10"/>
      <c r="O180" s="8"/>
    </row>
    <row r="181" customFormat="false" ht="15" hidden="false" customHeight="true" outlineLevel="0" collapsed="false">
      <c r="A181" s="8"/>
      <c r="B181" s="8"/>
      <c r="C181" s="8"/>
      <c r="D181" s="8"/>
      <c r="E181" s="8"/>
      <c r="F181" s="10"/>
      <c r="G181" s="8"/>
      <c r="H181" s="8"/>
      <c r="I181" s="8"/>
      <c r="J181" s="8"/>
      <c r="K181" s="8"/>
      <c r="L181" s="8"/>
      <c r="M181" s="8"/>
      <c r="N181" s="10"/>
      <c r="O181" s="8"/>
    </row>
    <row r="182" customFormat="false" ht="15" hidden="false" customHeight="true" outlineLevel="0" collapsed="false">
      <c r="A182" s="8"/>
      <c r="B182" s="8"/>
      <c r="C182" s="8"/>
      <c r="D182" s="8"/>
      <c r="E182" s="8"/>
      <c r="F182" s="10"/>
      <c r="G182" s="8"/>
      <c r="H182" s="8"/>
      <c r="I182" s="8"/>
      <c r="J182" s="8"/>
      <c r="K182" s="8"/>
      <c r="L182" s="8"/>
      <c r="M182" s="8"/>
      <c r="N182" s="10"/>
      <c r="O182" s="8"/>
    </row>
    <row r="183" customFormat="false" ht="15" hidden="false" customHeight="true" outlineLevel="0" collapsed="false">
      <c r="A183" s="8"/>
      <c r="B183" s="8"/>
      <c r="C183" s="8"/>
      <c r="D183" s="8"/>
      <c r="E183" s="8"/>
      <c r="F183" s="10"/>
      <c r="G183" s="8"/>
      <c r="H183" s="8"/>
      <c r="I183" s="8"/>
      <c r="J183" s="8"/>
      <c r="K183" s="8"/>
      <c r="L183" s="8"/>
      <c r="M183" s="8"/>
      <c r="N183" s="10"/>
      <c r="O183" s="8"/>
    </row>
    <row r="184" customFormat="false" ht="15" hidden="false" customHeight="true" outlineLevel="0" collapsed="false">
      <c r="A184" s="8"/>
      <c r="B184" s="8"/>
      <c r="C184" s="8"/>
      <c r="D184" s="8"/>
      <c r="E184" s="8"/>
      <c r="F184" s="10"/>
      <c r="G184" s="8"/>
      <c r="H184" s="8"/>
      <c r="I184" s="8"/>
      <c r="J184" s="8"/>
      <c r="K184" s="8"/>
      <c r="L184" s="8"/>
      <c r="M184" s="8"/>
      <c r="N184" s="10"/>
      <c r="O184" s="8"/>
    </row>
    <row r="185" customFormat="false" ht="15" hidden="false" customHeight="true" outlineLevel="0" collapsed="false">
      <c r="A185" s="8"/>
      <c r="B185" s="8"/>
      <c r="C185" s="8"/>
      <c r="D185" s="8"/>
      <c r="E185" s="8"/>
      <c r="F185" s="10"/>
      <c r="G185" s="8"/>
      <c r="H185" s="8"/>
      <c r="I185" s="8"/>
      <c r="J185" s="8"/>
      <c r="K185" s="8"/>
      <c r="L185" s="8"/>
      <c r="M185" s="8"/>
      <c r="N185" s="10"/>
      <c r="O185" s="8"/>
    </row>
    <row r="186" customFormat="false" ht="15" hidden="false" customHeight="true" outlineLevel="0" collapsed="false">
      <c r="A186" s="8"/>
      <c r="B186" s="8"/>
      <c r="C186" s="8"/>
      <c r="D186" s="8"/>
      <c r="E186" s="8"/>
      <c r="F186" s="10"/>
      <c r="G186" s="8"/>
      <c r="H186" s="8"/>
      <c r="I186" s="8"/>
      <c r="J186" s="8"/>
      <c r="K186" s="8"/>
      <c r="L186" s="8"/>
      <c r="M186" s="8"/>
      <c r="N186" s="10"/>
      <c r="O186" s="8"/>
    </row>
    <row r="187" customFormat="false" ht="15" hidden="false" customHeight="true" outlineLevel="0" collapsed="false">
      <c r="A187" s="8"/>
      <c r="B187" s="8"/>
      <c r="C187" s="8"/>
      <c r="D187" s="8"/>
      <c r="E187" s="8"/>
      <c r="F187" s="10"/>
      <c r="G187" s="8"/>
      <c r="H187" s="8"/>
      <c r="I187" s="8"/>
      <c r="J187" s="8"/>
      <c r="K187" s="8"/>
      <c r="L187" s="8"/>
      <c r="M187" s="8"/>
      <c r="N187" s="10"/>
      <c r="O187" s="8"/>
    </row>
    <row r="188" customFormat="false" ht="15" hidden="false" customHeight="true" outlineLevel="0" collapsed="false">
      <c r="A188" s="8"/>
      <c r="B188" s="8"/>
      <c r="C188" s="8"/>
      <c r="D188" s="8"/>
      <c r="E188" s="8"/>
      <c r="F188" s="10"/>
      <c r="G188" s="8"/>
      <c r="H188" s="8"/>
      <c r="I188" s="8"/>
      <c r="J188" s="8"/>
      <c r="K188" s="8"/>
      <c r="L188" s="8"/>
      <c r="M188" s="8"/>
      <c r="N188" s="10"/>
      <c r="O188" s="8"/>
    </row>
    <row r="189" customFormat="false" ht="15" hidden="false" customHeight="true" outlineLevel="0" collapsed="false">
      <c r="A189" s="8"/>
      <c r="B189" s="8"/>
      <c r="C189" s="8"/>
      <c r="D189" s="8"/>
      <c r="E189" s="8"/>
      <c r="F189" s="10"/>
      <c r="G189" s="8"/>
      <c r="H189" s="8"/>
      <c r="I189" s="8"/>
      <c r="J189" s="8"/>
      <c r="K189" s="8"/>
      <c r="L189" s="8"/>
      <c r="M189" s="8"/>
      <c r="N189" s="10"/>
      <c r="O189" s="8"/>
    </row>
    <row r="190" customFormat="false" ht="15" hidden="false" customHeight="true" outlineLevel="0" collapsed="false">
      <c r="A190" s="8"/>
      <c r="B190" s="8"/>
      <c r="C190" s="8"/>
      <c r="D190" s="8"/>
      <c r="E190" s="8"/>
      <c r="F190" s="10"/>
      <c r="G190" s="8"/>
      <c r="H190" s="8"/>
      <c r="I190" s="8"/>
      <c r="J190" s="8"/>
      <c r="K190" s="8"/>
      <c r="L190" s="8"/>
      <c r="M190" s="8"/>
      <c r="N190" s="10"/>
      <c r="O190" s="8"/>
    </row>
    <row r="191" customFormat="false" ht="15" hidden="false" customHeight="true" outlineLevel="0" collapsed="false">
      <c r="A191" s="8"/>
      <c r="B191" s="8"/>
      <c r="C191" s="8"/>
      <c r="D191" s="8"/>
      <c r="E191" s="8"/>
      <c r="F191" s="10"/>
      <c r="G191" s="8"/>
      <c r="H191" s="8"/>
      <c r="I191" s="8"/>
      <c r="J191" s="8"/>
      <c r="K191" s="8"/>
      <c r="L191" s="8"/>
      <c r="M191" s="8"/>
      <c r="N191" s="10"/>
      <c r="O191" s="8"/>
    </row>
    <row r="192" customFormat="false" ht="15" hidden="false" customHeight="true" outlineLevel="0" collapsed="false">
      <c r="A192" s="8"/>
      <c r="B192" s="8"/>
      <c r="C192" s="8"/>
      <c r="D192" s="8"/>
      <c r="E192" s="8"/>
      <c r="F192" s="10"/>
      <c r="G192" s="8"/>
      <c r="H192" s="8"/>
      <c r="I192" s="8"/>
      <c r="J192" s="8"/>
      <c r="K192" s="8"/>
      <c r="L192" s="8"/>
      <c r="M192" s="8"/>
      <c r="N192" s="10"/>
      <c r="O192" s="8"/>
    </row>
    <row r="193" customFormat="false" ht="15" hidden="false" customHeight="true" outlineLevel="0" collapsed="false">
      <c r="A193" s="8"/>
      <c r="B193" s="8"/>
      <c r="C193" s="8"/>
      <c r="D193" s="8"/>
      <c r="E193" s="8"/>
      <c r="F193" s="10"/>
      <c r="G193" s="8"/>
      <c r="H193" s="8"/>
      <c r="I193" s="8"/>
      <c r="J193" s="8"/>
      <c r="K193" s="8"/>
      <c r="L193" s="8"/>
      <c r="M193" s="8"/>
      <c r="N193" s="10"/>
      <c r="O193" s="8"/>
    </row>
    <row r="194" customFormat="false" ht="15" hidden="false" customHeight="true" outlineLevel="0" collapsed="false">
      <c r="A194" s="8"/>
      <c r="B194" s="8"/>
      <c r="C194" s="8"/>
      <c r="D194" s="8"/>
      <c r="E194" s="8"/>
      <c r="F194" s="10"/>
      <c r="G194" s="8"/>
      <c r="H194" s="8"/>
      <c r="I194" s="8"/>
      <c r="J194" s="8"/>
      <c r="K194" s="8"/>
      <c r="L194" s="8"/>
      <c r="M194" s="8"/>
      <c r="N194" s="10"/>
      <c r="O194" s="8"/>
    </row>
    <row r="195" customFormat="false" ht="15" hidden="false" customHeight="true" outlineLevel="0" collapsed="false">
      <c r="A195" s="8"/>
      <c r="B195" s="8"/>
      <c r="C195" s="8"/>
      <c r="D195" s="8"/>
      <c r="E195" s="8"/>
      <c r="F195" s="10"/>
      <c r="G195" s="8"/>
      <c r="H195" s="8"/>
      <c r="I195" s="8"/>
      <c r="J195" s="8"/>
      <c r="K195" s="8"/>
      <c r="L195" s="8"/>
      <c r="M195" s="8"/>
      <c r="N195" s="10"/>
      <c r="O195" s="8"/>
    </row>
    <row r="196" customFormat="false" ht="15" hidden="false" customHeight="true" outlineLevel="0" collapsed="false">
      <c r="A196" s="8"/>
      <c r="B196" s="8"/>
      <c r="C196" s="8"/>
      <c r="D196" s="8"/>
      <c r="E196" s="8"/>
      <c r="F196" s="10"/>
      <c r="G196" s="8"/>
      <c r="H196" s="8"/>
      <c r="I196" s="8"/>
      <c r="J196" s="8"/>
      <c r="K196" s="8"/>
      <c r="L196" s="8"/>
      <c r="M196" s="8"/>
      <c r="N196" s="10"/>
      <c r="O196" s="8"/>
    </row>
    <row r="197" customFormat="false" ht="15" hidden="false" customHeight="true" outlineLevel="0" collapsed="false">
      <c r="A197" s="8"/>
      <c r="B197" s="8"/>
      <c r="C197" s="8"/>
      <c r="D197" s="8"/>
      <c r="E197" s="8"/>
      <c r="F197" s="10"/>
      <c r="G197" s="8"/>
      <c r="H197" s="8"/>
      <c r="I197" s="8"/>
      <c r="J197" s="8"/>
      <c r="K197" s="8"/>
      <c r="L197" s="8"/>
      <c r="M197" s="8"/>
      <c r="N197" s="10"/>
      <c r="O197" s="8"/>
    </row>
    <row r="198" customFormat="false" ht="15" hidden="false" customHeight="true" outlineLevel="0" collapsed="false">
      <c r="A198" s="8"/>
      <c r="B198" s="8"/>
      <c r="C198" s="8"/>
      <c r="D198" s="8"/>
      <c r="E198" s="8"/>
      <c r="F198" s="10"/>
      <c r="G198" s="8"/>
      <c r="H198" s="8"/>
      <c r="I198" s="8"/>
      <c r="J198" s="8"/>
      <c r="K198" s="8"/>
      <c r="L198" s="8"/>
      <c r="M198" s="8"/>
      <c r="N198" s="10"/>
      <c r="O198" s="8"/>
    </row>
    <row r="199" customFormat="false" ht="15" hidden="false" customHeight="true" outlineLevel="0" collapsed="false">
      <c r="A199" s="8"/>
      <c r="B199" s="8"/>
      <c r="C199" s="8"/>
      <c r="D199" s="8"/>
      <c r="E199" s="8"/>
      <c r="F199" s="10"/>
      <c r="G199" s="8"/>
      <c r="H199" s="8"/>
      <c r="I199" s="8"/>
      <c r="J199" s="8"/>
      <c r="K199" s="8"/>
      <c r="L199" s="8"/>
      <c r="M199" s="8"/>
      <c r="N199" s="10"/>
      <c r="O199" s="8"/>
    </row>
    <row r="200" customFormat="false" ht="15" hidden="false" customHeight="true" outlineLevel="0" collapsed="false">
      <c r="A200" s="8"/>
      <c r="B200" s="8"/>
      <c r="C200" s="8"/>
      <c r="D200" s="8"/>
      <c r="E200" s="8"/>
      <c r="F200" s="10"/>
      <c r="G200" s="8"/>
      <c r="H200" s="8"/>
      <c r="I200" s="8"/>
      <c r="J200" s="8"/>
      <c r="K200" s="8"/>
      <c r="L200" s="8"/>
      <c r="M200" s="8"/>
      <c r="N200" s="10"/>
      <c r="O200" s="8"/>
    </row>
    <row r="201" customFormat="false" ht="15" hidden="false" customHeight="true" outlineLevel="0" collapsed="false">
      <c r="A201" s="8"/>
      <c r="B201" s="8"/>
      <c r="C201" s="8"/>
      <c r="D201" s="8"/>
      <c r="E201" s="8"/>
      <c r="F201" s="10"/>
      <c r="G201" s="8"/>
      <c r="H201" s="8"/>
      <c r="I201" s="8"/>
      <c r="J201" s="8"/>
      <c r="K201" s="8"/>
      <c r="L201" s="8"/>
      <c r="M201" s="8"/>
      <c r="N201" s="10"/>
      <c r="O201" s="8"/>
    </row>
    <row r="202" customFormat="false" ht="15" hidden="false" customHeight="true" outlineLevel="0" collapsed="false">
      <c r="A202" s="8"/>
      <c r="B202" s="8"/>
      <c r="C202" s="8"/>
      <c r="D202" s="8"/>
      <c r="E202" s="8"/>
      <c r="F202" s="10"/>
      <c r="G202" s="8"/>
      <c r="H202" s="8"/>
      <c r="I202" s="8"/>
      <c r="J202" s="8"/>
      <c r="K202" s="8"/>
      <c r="L202" s="8"/>
      <c r="M202" s="8"/>
      <c r="N202" s="10"/>
      <c r="O202" s="8"/>
    </row>
    <row r="203" customFormat="false" ht="15" hidden="false" customHeight="true" outlineLevel="0" collapsed="false">
      <c r="A203" s="8"/>
      <c r="B203" s="8"/>
      <c r="C203" s="8"/>
      <c r="D203" s="8"/>
      <c r="E203" s="8"/>
      <c r="F203" s="10"/>
      <c r="G203" s="8"/>
      <c r="H203" s="8"/>
      <c r="I203" s="8"/>
      <c r="J203" s="8"/>
      <c r="K203" s="8"/>
      <c r="L203" s="8"/>
      <c r="M203" s="8"/>
      <c r="N203" s="10"/>
      <c r="O203" s="8"/>
    </row>
    <row r="204" customFormat="false" ht="15" hidden="false" customHeight="true" outlineLevel="0" collapsed="false">
      <c r="A204" s="8"/>
      <c r="B204" s="8"/>
      <c r="C204" s="8"/>
      <c r="D204" s="8"/>
      <c r="E204" s="8"/>
      <c r="F204" s="10"/>
      <c r="G204" s="8"/>
      <c r="H204" s="8"/>
      <c r="I204" s="8"/>
      <c r="J204" s="8"/>
      <c r="K204" s="8"/>
      <c r="L204" s="8"/>
      <c r="M204" s="8"/>
      <c r="N204" s="10"/>
      <c r="O204" s="8"/>
    </row>
    <row r="205" customFormat="false" ht="15" hidden="false" customHeight="true" outlineLevel="0" collapsed="false">
      <c r="A205" s="8"/>
      <c r="B205" s="8"/>
      <c r="C205" s="8"/>
      <c r="D205" s="8"/>
      <c r="E205" s="8"/>
      <c r="F205" s="10"/>
      <c r="G205" s="8"/>
      <c r="H205" s="8"/>
      <c r="I205" s="8"/>
      <c r="J205" s="8"/>
      <c r="K205" s="8"/>
      <c r="L205" s="8"/>
      <c r="M205" s="8"/>
      <c r="N205" s="10"/>
      <c r="O205" s="8"/>
    </row>
    <row r="206" customFormat="false" ht="15" hidden="false" customHeight="true" outlineLevel="0" collapsed="false">
      <c r="A206" s="8"/>
      <c r="B206" s="8"/>
      <c r="C206" s="8"/>
      <c r="D206" s="8"/>
      <c r="E206" s="8"/>
      <c r="F206" s="10"/>
      <c r="G206" s="8"/>
      <c r="H206" s="8"/>
      <c r="I206" s="8"/>
      <c r="J206" s="8"/>
      <c r="K206" s="8"/>
      <c r="L206" s="8"/>
      <c r="M206" s="8"/>
      <c r="N206" s="10"/>
      <c r="O206" s="8"/>
    </row>
    <row r="207" customFormat="false" ht="15" hidden="false" customHeight="true" outlineLevel="0" collapsed="false">
      <c r="A207" s="8"/>
      <c r="B207" s="8"/>
      <c r="C207" s="8"/>
      <c r="D207" s="8"/>
      <c r="E207" s="8"/>
      <c r="F207" s="10"/>
      <c r="G207" s="8"/>
      <c r="H207" s="8"/>
      <c r="I207" s="8"/>
      <c r="J207" s="8"/>
      <c r="K207" s="8"/>
      <c r="L207" s="8"/>
      <c r="M207" s="8"/>
      <c r="N207" s="10"/>
      <c r="O207" s="8"/>
    </row>
    <row r="208" customFormat="false" ht="15" hidden="false" customHeight="true" outlineLevel="0" collapsed="false">
      <c r="A208" s="8"/>
      <c r="B208" s="8"/>
      <c r="C208" s="8"/>
      <c r="D208" s="8"/>
      <c r="E208" s="8"/>
      <c r="F208" s="10"/>
      <c r="G208" s="8"/>
      <c r="H208" s="8"/>
      <c r="I208" s="8"/>
      <c r="J208" s="8"/>
      <c r="K208" s="8"/>
      <c r="L208" s="8"/>
      <c r="M208" s="8"/>
      <c r="N208" s="10"/>
      <c r="O208" s="8"/>
    </row>
    <row r="209" customFormat="false" ht="15" hidden="false" customHeight="true" outlineLevel="0" collapsed="false">
      <c r="A209" s="8"/>
      <c r="B209" s="8"/>
      <c r="C209" s="8"/>
      <c r="D209" s="8"/>
      <c r="E209" s="8"/>
      <c r="F209" s="10"/>
      <c r="G209" s="8"/>
      <c r="H209" s="8"/>
      <c r="I209" s="8"/>
      <c r="J209" s="8"/>
      <c r="K209" s="8"/>
      <c r="L209" s="8"/>
      <c r="M209" s="8"/>
      <c r="N209" s="10"/>
      <c r="O209" s="8"/>
    </row>
    <row r="210" customFormat="false" ht="15" hidden="false" customHeight="true" outlineLevel="0" collapsed="false">
      <c r="A210" s="8"/>
      <c r="B210" s="8"/>
      <c r="C210" s="8"/>
      <c r="D210" s="8"/>
      <c r="E210" s="8"/>
      <c r="F210" s="10"/>
      <c r="G210" s="8"/>
      <c r="H210" s="8"/>
      <c r="I210" s="8"/>
      <c r="J210" s="8"/>
      <c r="K210" s="8"/>
      <c r="L210" s="8"/>
      <c r="M210" s="8"/>
      <c r="N210" s="10"/>
      <c r="O210" s="8"/>
    </row>
    <row r="211" customFormat="false" ht="15" hidden="false" customHeight="true" outlineLevel="0" collapsed="false">
      <c r="A211" s="8"/>
      <c r="B211" s="8"/>
      <c r="C211" s="8"/>
      <c r="D211" s="8"/>
      <c r="E211" s="8"/>
      <c r="F211" s="10"/>
      <c r="G211" s="8"/>
      <c r="H211" s="8"/>
      <c r="I211" s="8"/>
      <c r="J211" s="8"/>
      <c r="K211" s="8"/>
      <c r="L211" s="8"/>
      <c r="M211" s="8"/>
      <c r="N211" s="10"/>
      <c r="O211" s="8"/>
    </row>
    <row r="212" customFormat="false" ht="15" hidden="false" customHeight="true" outlineLevel="0" collapsed="false">
      <c r="A212" s="8"/>
      <c r="B212" s="8"/>
      <c r="C212" s="8"/>
      <c r="D212" s="8"/>
      <c r="E212" s="8"/>
      <c r="F212" s="10"/>
      <c r="G212" s="8"/>
      <c r="H212" s="8"/>
      <c r="I212" s="8"/>
      <c r="J212" s="8"/>
      <c r="K212" s="8"/>
      <c r="L212" s="8"/>
      <c r="M212" s="8"/>
      <c r="N212" s="10"/>
      <c r="O212" s="8"/>
    </row>
    <row r="213" customFormat="false" ht="15" hidden="false" customHeight="true" outlineLevel="0" collapsed="false">
      <c r="A213" s="8"/>
      <c r="B213" s="8"/>
      <c r="C213" s="8"/>
      <c r="D213" s="8"/>
      <c r="E213" s="8"/>
      <c r="F213" s="10"/>
      <c r="G213" s="8"/>
      <c r="H213" s="8"/>
      <c r="I213" s="8"/>
      <c r="J213" s="8"/>
      <c r="K213" s="8"/>
      <c r="L213" s="8"/>
      <c r="M213" s="8"/>
      <c r="N213" s="10"/>
      <c r="O213" s="8"/>
    </row>
    <row r="214" customFormat="false" ht="15" hidden="false" customHeight="true" outlineLevel="0" collapsed="false">
      <c r="A214" s="8"/>
      <c r="B214" s="8"/>
      <c r="C214" s="8"/>
      <c r="D214" s="8"/>
      <c r="E214" s="8"/>
      <c r="F214" s="10"/>
      <c r="G214" s="8"/>
      <c r="H214" s="8"/>
      <c r="I214" s="8"/>
      <c r="J214" s="8"/>
      <c r="K214" s="8"/>
      <c r="L214" s="8"/>
      <c r="M214" s="8"/>
      <c r="N214" s="10"/>
      <c r="O214" s="8"/>
    </row>
    <row r="215" customFormat="false" ht="15" hidden="false" customHeight="true" outlineLevel="0" collapsed="false">
      <c r="A215" s="8"/>
      <c r="B215" s="8"/>
      <c r="C215" s="8"/>
      <c r="D215" s="8"/>
      <c r="E215" s="8"/>
      <c r="F215" s="10"/>
      <c r="G215" s="8"/>
      <c r="H215" s="8"/>
      <c r="I215" s="8"/>
      <c r="J215" s="8"/>
      <c r="K215" s="8"/>
      <c r="L215" s="8"/>
      <c r="M215" s="8"/>
      <c r="N215" s="10"/>
      <c r="O215" s="8"/>
    </row>
    <row r="216" customFormat="false" ht="15" hidden="false" customHeight="true" outlineLevel="0" collapsed="false">
      <c r="A216" s="8"/>
      <c r="B216" s="8"/>
      <c r="C216" s="8"/>
      <c r="D216" s="8"/>
      <c r="E216" s="8"/>
      <c r="F216" s="10"/>
      <c r="G216" s="8"/>
      <c r="H216" s="8"/>
      <c r="I216" s="8"/>
      <c r="J216" s="8"/>
      <c r="K216" s="8"/>
      <c r="L216" s="8"/>
      <c r="M216" s="8"/>
      <c r="N216" s="10"/>
      <c r="O216" s="8"/>
    </row>
    <row r="217" customFormat="false" ht="15" hidden="false" customHeight="true" outlineLevel="0" collapsed="false">
      <c r="A217" s="8"/>
      <c r="B217" s="8"/>
      <c r="C217" s="8"/>
      <c r="D217" s="8"/>
      <c r="E217" s="8"/>
      <c r="F217" s="10"/>
      <c r="G217" s="8"/>
      <c r="H217" s="8"/>
      <c r="I217" s="8"/>
      <c r="J217" s="8"/>
      <c r="K217" s="8"/>
      <c r="L217" s="8"/>
      <c r="M217" s="8"/>
      <c r="N217" s="10"/>
      <c r="O217" s="8"/>
    </row>
    <row r="218" customFormat="false" ht="15" hidden="false" customHeight="true" outlineLevel="0" collapsed="false">
      <c r="A218" s="8"/>
      <c r="B218" s="8"/>
      <c r="C218" s="8"/>
      <c r="D218" s="8"/>
      <c r="E218" s="8"/>
      <c r="F218" s="10"/>
      <c r="G218" s="8"/>
      <c r="H218" s="8"/>
      <c r="I218" s="8"/>
      <c r="J218" s="8"/>
      <c r="K218" s="8"/>
      <c r="L218" s="8"/>
      <c r="M218" s="8"/>
      <c r="N218" s="10"/>
      <c r="O218" s="8"/>
    </row>
    <row r="219" customFormat="false" ht="15" hidden="false" customHeight="true" outlineLevel="0" collapsed="false">
      <c r="A219" s="8"/>
      <c r="B219" s="8"/>
      <c r="C219" s="8"/>
      <c r="D219" s="8"/>
      <c r="E219" s="8"/>
      <c r="F219" s="10"/>
      <c r="G219" s="8"/>
      <c r="H219" s="8"/>
      <c r="I219" s="8"/>
      <c r="J219" s="8"/>
      <c r="K219" s="8"/>
      <c r="L219" s="8"/>
      <c r="M219" s="8"/>
      <c r="N219" s="10"/>
      <c r="O219" s="8"/>
    </row>
    <row r="220" customFormat="false" ht="15" hidden="false" customHeight="true" outlineLevel="0" collapsed="false">
      <c r="A220" s="8"/>
      <c r="B220" s="8"/>
      <c r="C220" s="8"/>
      <c r="D220" s="8"/>
      <c r="E220" s="8"/>
      <c r="F220" s="10"/>
      <c r="G220" s="8"/>
      <c r="H220" s="8"/>
      <c r="I220" s="8"/>
      <c r="J220" s="8"/>
      <c r="K220" s="8"/>
      <c r="L220" s="8"/>
      <c r="M220" s="8"/>
      <c r="N220" s="10"/>
      <c r="O220" s="8"/>
    </row>
    <row r="221" customFormat="false" ht="15" hidden="false" customHeight="true" outlineLevel="0" collapsed="false">
      <c r="A221" s="8"/>
      <c r="B221" s="8"/>
      <c r="C221" s="8"/>
      <c r="D221" s="8"/>
      <c r="E221" s="8"/>
      <c r="F221" s="10"/>
      <c r="G221" s="8"/>
      <c r="H221" s="8"/>
      <c r="I221" s="8"/>
      <c r="J221" s="8"/>
      <c r="K221" s="8"/>
      <c r="L221" s="8"/>
      <c r="M221" s="8"/>
      <c r="N221" s="10"/>
      <c r="O221" s="8"/>
    </row>
    <row r="222" customFormat="false" ht="15" hidden="false" customHeight="true" outlineLevel="0" collapsed="false">
      <c r="A222" s="8"/>
      <c r="B222" s="8"/>
      <c r="C222" s="8"/>
      <c r="D222" s="8"/>
      <c r="E222" s="8"/>
      <c r="F222" s="10"/>
      <c r="G222" s="8"/>
      <c r="H222" s="8"/>
      <c r="I222" s="8"/>
      <c r="J222" s="8"/>
      <c r="K222" s="8"/>
      <c r="L222" s="8"/>
      <c r="M222" s="8"/>
      <c r="N222" s="10"/>
      <c r="O222" s="8"/>
    </row>
    <row r="223" customFormat="false" ht="15" hidden="false" customHeight="true" outlineLevel="0" collapsed="false">
      <c r="A223" s="8"/>
      <c r="B223" s="8"/>
      <c r="C223" s="8"/>
      <c r="D223" s="8"/>
      <c r="E223" s="8"/>
      <c r="F223" s="10"/>
      <c r="G223" s="8"/>
      <c r="H223" s="8"/>
      <c r="I223" s="8"/>
      <c r="J223" s="8"/>
      <c r="K223" s="8"/>
      <c r="L223" s="8"/>
      <c r="M223" s="8"/>
      <c r="N223" s="10"/>
      <c r="O223" s="8"/>
    </row>
    <row r="224" customFormat="false" ht="15" hidden="false" customHeight="true" outlineLevel="0" collapsed="false">
      <c r="A224" s="8"/>
      <c r="B224" s="8"/>
      <c r="C224" s="8"/>
      <c r="D224" s="8"/>
      <c r="E224" s="8"/>
      <c r="F224" s="10"/>
      <c r="G224" s="8"/>
      <c r="H224" s="8"/>
      <c r="I224" s="8"/>
      <c r="J224" s="8"/>
      <c r="K224" s="8"/>
      <c r="L224" s="8"/>
      <c r="M224" s="8"/>
      <c r="N224" s="10"/>
      <c r="O224" s="8"/>
    </row>
    <row r="225" customFormat="false" ht="15" hidden="false" customHeight="true" outlineLevel="0" collapsed="false">
      <c r="A225" s="8"/>
      <c r="B225" s="8"/>
      <c r="C225" s="8"/>
      <c r="D225" s="8"/>
      <c r="E225" s="8"/>
      <c r="F225" s="10"/>
      <c r="G225" s="8"/>
      <c r="H225" s="8"/>
      <c r="I225" s="8"/>
      <c r="J225" s="8"/>
      <c r="K225" s="8"/>
      <c r="L225" s="8"/>
      <c r="M225" s="8"/>
      <c r="N225" s="10"/>
      <c r="O225" s="8"/>
    </row>
    <row r="226" customFormat="false" ht="15" hidden="false" customHeight="true" outlineLevel="0" collapsed="false">
      <c r="A226" s="8"/>
      <c r="B226" s="8"/>
      <c r="C226" s="8"/>
      <c r="D226" s="8"/>
      <c r="E226" s="8"/>
      <c r="F226" s="10"/>
      <c r="G226" s="8"/>
      <c r="H226" s="8"/>
      <c r="I226" s="8"/>
      <c r="J226" s="8"/>
      <c r="K226" s="8"/>
      <c r="L226" s="8"/>
      <c r="M226" s="8"/>
      <c r="N226" s="10"/>
      <c r="O226" s="8"/>
    </row>
    <row r="227" customFormat="false" ht="15" hidden="false" customHeight="true" outlineLevel="0" collapsed="false">
      <c r="A227" s="8"/>
      <c r="B227" s="8"/>
      <c r="C227" s="8"/>
      <c r="D227" s="8"/>
      <c r="E227" s="8"/>
      <c r="F227" s="10"/>
      <c r="G227" s="8"/>
      <c r="H227" s="8"/>
      <c r="I227" s="8"/>
      <c r="J227" s="8"/>
      <c r="K227" s="8"/>
      <c r="L227" s="8"/>
      <c r="M227" s="8"/>
      <c r="N227" s="10"/>
      <c r="O227" s="8"/>
    </row>
    <row r="228" customFormat="false" ht="15" hidden="false" customHeight="true" outlineLevel="0" collapsed="false">
      <c r="A228" s="8"/>
      <c r="B228" s="8"/>
      <c r="C228" s="8"/>
      <c r="D228" s="8"/>
      <c r="E228" s="8"/>
      <c r="F228" s="10"/>
      <c r="G228" s="8"/>
      <c r="H228" s="8"/>
      <c r="I228" s="8"/>
      <c r="J228" s="8"/>
      <c r="K228" s="8"/>
      <c r="L228" s="8"/>
      <c r="M228" s="8"/>
      <c r="N228" s="10"/>
      <c r="O228" s="8"/>
    </row>
    <row r="229" customFormat="false" ht="15" hidden="false" customHeight="true" outlineLevel="0" collapsed="false">
      <c r="A229" s="8"/>
      <c r="B229" s="8"/>
      <c r="C229" s="8"/>
      <c r="D229" s="8"/>
      <c r="E229" s="8"/>
      <c r="F229" s="10"/>
      <c r="G229" s="8"/>
      <c r="H229" s="8"/>
      <c r="I229" s="8"/>
      <c r="J229" s="8"/>
      <c r="K229" s="8"/>
      <c r="L229" s="8"/>
      <c r="M229" s="8"/>
      <c r="N229" s="10"/>
      <c r="O229" s="8"/>
    </row>
    <row r="230" customFormat="false" ht="15" hidden="false" customHeight="true" outlineLevel="0" collapsed="false">
      <c r="A230" s="8"/>
      <c r="B230" s="8"/>
      <c r="C230" s="8"/>
      <c r="D230" s="8"/>
      <c r="E230" s="8"/>
      <c r="F230" s="10"/>
      <c r="G230" s="8"/>
      <c r="H230" s="8"/>
      <c r="I230" s="8"/>
      <c r="J230" s="8"/>
      <c r="K230" s="8"/>
      <c r="L230" s="8"/>
      <c r="M230" s="8"/>
      <c r="N230" s="10"/>
      <c r="O230" s="8"/>
    </row>
    <row r="231" customFormat="false" ht="15" hidden="false" customHeight="true" outlineLevel="0" collapsed="false">
      <c r="A231" s="8"/>
      <c r="B231" s="8"/>
      <c r="C231" s="8"/>
      <c r="D231" s="8"/>
      <c r="E231" s="8"/>
      <c r="F231" s="10"/>
      <c r="G231" s="8"/>
      <c r="H231" s="8"/>
      <c r="I231" s="8"/>
      <c r="J231" s="8"/>
      <c r="K231" s="8"/>
      <c r="L231" s="8"/>
      <c r="M231" s="8"/>
      <c r="N231" s="10"/>
      <c r="O231" s="8"/>
    </row>
    <row r="232" customFormat="false" ht="15" hidden="false" customHeight="true" outlineLevel="0" collapsed="false">
      <c r="A232" s="8"/>
      <c r="B232" s="8"/>
      <c r="C232" s="8"/>
      <c r="D232" s="8"/>
      <c r="E232" s="8"/>
      <c r="F232" s="10"/>
      <c r="G232" s="8"/>
      <c r="H232" s="8"/>
      <c r="I232" s="8"/>
      <c r="J232" s="8"/>
      <c r="K232" s="8"/>
      <c r="L232" s="8"/>
      <c r="M232" s="8"/>
      <c r="N232" s="10"/>
      <c r="O232" s="8"/>
    </row>
    <row r="233" customFormat="false" ht="15" hidden="false" customHeight="true" outlineLevel="0" collapsed="false">
      <c r="A233" s="8"/>
      <c r="B233" s="8"/>
      <c r="C233" s="8"/>
      <c r="D233" s="8"/>
      <c r="E233" s="8"/>
      <c r="F233" s="10"/>
      <c r="G233" s="8"/>
      <c r="H233" s="8"/>
      <c r="I233" s="8"/>
      <c r="J233" s="8"/>
      <c r="K233" s="8"/>
      <c r="L233" s="8"/>
      <c r="M233" s="8"/>
      <c r="N233" s="10"/>
      <c r="O233" s="8"/>
    </row>
    <row r="234" customFormat="false" ht="15" hidden="false" customHeight="true" outlineLevel="0" collapsed="false">
      <c r="A234" s="8"/>
      <c r="B234" s="8"/>
      <c r="C234" s="8"/>
      <c r="D234" s="8"/>
      <c r="E234" s="8"/>
      <c r="F234" s="10"/>
      <c r="G234" s="8"/>
      <c r="H234" s="8"/>
      <c r="I234" s="8"/>
      <c r="J234" s="8"/>
      <c r="K234" s="8"/>
      <c r="L234" s="8"/>
      <c r="M234" s="8"/>
      <c r="N234" s="10"/>
      <c r="O234" s="8"/>
    </row>
    <row r="235" customFormat="false" ht="15" hidden="false" customHeight="true" outlineLevel="0" collapsed="false">
      <c r="A235" s="8"/>
      <c r="B235" s="8"/>
      <c r="C235" s="8"/>
      <c r="D235" s="8"/>
      <c r="E235" s="8"/>
      <c r="F235" s="10"/>
      <c r="G235" s="8"/>
      <c r="H235" s="8"/>
      <c r="I235" s="8"/>
      <c r="J235" s="8"/>
      <c r="K235" s="8"/>
      <c r="L235" s="8"/>
      <c r="M235" s="8"/>
      <c r="N235" s="10"/>
      <c r="O235" s="8"/>
    </row>
    <row r="236" customFormat="false" ht="15" hidden="false" customHeight="true" outlineLevel="0" collapsed="false">
      <c r="A236" s="8"/>
      <c r="B236" s="8"/>
      <c r="C236" s="8"/>
      <c r="D236" s="8"/>
      <c r="E236" s="8"/>
      <c r="F236" s="10"/>
      <c r="G236" s="8"/>
      <c r="H236" s="8"/>
      <c r="I236" s="8"/>
      <c r="J236" s="8"/>
      <c r="K236" s="8"/>
      <c r="L236" s="8"/>
      <c r="M236" s="8"/>
      <c r="N236" s="10"/>
      <c r="O236" s="8"/>
    </row>
    <row r="237" customFormat="false" ht="15" hidden="false" customHeight="true" outlineLevel="0" collapsed="false">
      <c r="A237" s="8"/>
      <c r="B237" s="8"/>
      <c r="C237" s="8"/>
      <c r="D237" s="8"/>
      <c r="E237" s="8"/>
      <c r="F237" s="10"/>
      <c r="G237" s="8"/>
      <c r="H237" s="8"/>
      <c r="I237" s="8"/>
      <c r="J237" s="8"/>
      <c r="K237" s="8"/>
      <c r="L237" s="8"/>
      <c r="M237" s="8"/>
      <c r="N237" s="10"/>
      <c r="O237" s="8"/>
    </row>
    <row r="238" customFormat="false" ht="15" hidden="false" customHeight="true" outlineLevel="0" collapsed="false">
      <c r="A238" s="8"/>
      <c r="B238" s="8"/>
      <c r="C238" s="8"/>
      <c r="D238" s="8"/>
      <c r="E238" s="8"/>
      <c r="F238" s="10"/>
      <c r="G238" s="8"/>
      <c r="H238" s="8"/>
      <c r="I238" s="8"/>
      <c r="J238" s="8"/>
      <c r="K238" s="8"/>
      <c r="L238" s="8"/>
      <c r="M238" s="8"/>
      <c r="N238" s="10"/>
      <c r="O238" s="8"/>
    </row>
    <row r="239" customFormat="false" ht="15" hidden="false" customHeight="true" outlineLevel="0" collapsed="false">
      <c r="A239" s="8"/>
      <c r="B239" s="8"/>
      <c r="C239" s="8"/>
      <c r="D239" s="8"/>
      <c r="E239" s="8"/>
      <c r="F239" s="10"/>
      <c r="G239" s="8"/>
      <c r="H239" s="8"/>
      <c r="I239" s="8"/>
      <c r="J239" s="8"/>
      <c r="K239" s="8"/>
      <c r="L239" s="8"/>
      <c r="M239" s="8"/>
      <c r="N239" s="10"/>
      <c r="O239" s="8"/>
    </row>
    <row r="240" customFormat="false" ht="15" hidden="false" customHeight="true" outlineLevel="0" collapsed="false">
      <c r="A240" s="8"/>
      <c r="B240" s="8"/>
      <c r="C240" s="8"/>
      <c r="D240" s="8"/>
      <c r="E240" s="8"/>
      <c r="F240" s="10"/>
      <c r="G240" s="8"/>
      <c r="H240" s="8"/>
      <c r="I240" s="8"/>
      <c r="J240" s="8"/>
      <c r="K240" s="8"/>
      <c r="L240" s="8"/>
      <c r="M240" s="8"/>
      <c r="N240" s="10"/>
      <c r="O240" s="8"/>
    </row>
    <row r="241" customFormat="false" ht="15" hidden="false" customHeight="true" outlineLevel="0" collapsed="false">
      <c r="A241" s="8"/>
      <c r="B241" s="8"/>
      <c r="C241" s="8"/>
      <c r="D241" s="8"/>
      <c r="E241" s="8"/>
      <c r="F241" s="10"/>
      <c r="G241" s="8"/>
      <c r="H241" s="8"/>
      <c r="I241" s="8"/>
      <c r="J241" s="8"/>
      <c r="K241" s="8"/>
      <c r="L241" s="8"/>
      <c r="M241" s="8"/>
      <c r="N241" s="10"/>
      <c r="O241" s="8"/>
    </row>
    <row r="242" customFormat="false" ht="15" hidden="false" customHeight="true" outlineLevel="0" collapsed="false">
      <c r="A242" s="8"/>
      <c r="B242" s="8"/>
      <c r="C242" s="8"/>
      <c r="D242" s="8"/>
      <c r="E242" s="8"/>
      <c r="F242" s="10"/>
      <c r="G242" s="8"/>
      <c r="H242" s="8"/>
      <c r="I242" s="8"/>
      <c r="J242" s="8"/>
      <c r="K242" s="8"/>
      <c r="L242" s="8"/>
      <c r="M242" s="8"/>
      <c r="N242" s="10"/>
      <c r="O242" s="8"/>
    </row>
    <row r="243" customFormat="false" ht="15" hidden="false" customHeight="true" outlineLevel="0" collapsed="false">
      <c r="A243" s="8"/>
      <c r="B243" s="8"/>
      <c r="C243" s="8"/>
      <c r="D243" s="8"/>
      <c r="E243" s="8"/>
      <c r="F243" s="10"/>
      <c r="G243" s="8"/>
      <c r="H243" s="8"/>
      <c r="I243" s="8"/>
      <c r="J243" s="8"/>
      <c r="K243" s="8"/>
      <c r="L243" s="8"/>
      <c r="M243" s="8"/>
      <c r="N243" s="10"/>
      <c r="O243" s="8"/>
    </row>
    <row r="244" customFormat="false" ht="15" hidden="false" customHeight="true" outlineLevel="0" collapsed="false">
      <c r="A244" s="8"/>
      <c r="B244" s="8"/>
      <c r="C244" s="8"/>
      <c r="D244" s="8"/>
      <c r="E244" s="8"/>
      <c r="F244" s="10"/>
      <c r="G244" s="8"/>
      <c r="H244" s="8"/>
      <c r="I244" s="8"/>
      <c r="J244" s="8"/>
      <c r="K244" s="8"/>
      <c r="L244" s="8"/>
      <c r="M244" s="8"/>
      <c r="N244" s="10"/>
      <c r="O244" s="8"/>
    </row>
    <row r="245" customFormat="false" ht="15" hidden="false" customHeight="true" outlineLevel="0" collapsed="false">
      <c r="A245" s="8"/>
      <c r="B245" s="8"/>
      <c r="C245" s="8"/>
      <c r="D245" s="8"/>
      <c r="E245" s="8"/>
      <c r="F245" s="10"/>
      <c r="G245" s="8"/>
      <c r="H245" s="8"/>
      <c r="I245" s="8"/>
      <c r="J245" s="8"/>
      <c r="K245" s="8"/>
      <c r="L245" s="8"/>
      <c r="M245" s="8"/>
      <c r="N245" s="10"/>
      <c r="O245" s="8"/>
    </row>
    <row r="246" customFormat="false" ht="15" hidden="false" customHeight="true" outlineLevel="0" collapsed="false">
      <c r="A246" s="8"/>
      <c r="B246" s="8"/>
      <c r="C246" s="8"/>
      <c r="D246" s="8"/>
      <c r="E246" s="8"/>
      <c r="F246" s="10"/>
      <c r="G246" s="8"/>
      <c r="H246" s="8"/>
      <c r="I246" s="8"/>
      <c r="J246" s="8"/>
      <c r="K246" s="8"/>
      <c r="L246" s="8"/>
      <c r="M246" s="8"/>
      <c r="N246" s="10"/>
      <c r="O246" s="8"/>
    </row>
    <row r="247" customFormat="false" ht="15" hidden="false" customHeight="true" outlineLevel="0" collapsed="false">
      <c r="A247" s="8"/>
      <c r="B247" s="8"/>
      <c r="C247" s="8"/>
      <c r="D247" s="8"/>
      <c r="E247" s="8"/>
      <c r="F247" s="10"/>
      <c r="G247" s="8"/>
      <c r="H247" s="8"/>
      <c r="I247" s="8"/>
      <c r="J247" s="8"/>
      <c r="K247" s="8"/>
      <c r="L247" s="8"/>
      <c r="M247" s="8"/>
      <c r="N247" s="10"/>
      <c r="O247" s="8"/>
    </row>
    <row r="248" customFormat="false" ht="15" hidden="false" customHeight="true" outlineLevel="0" collapsed="false">
      <c r="A248" s="8"/>
      <c r="B248" s="8"/>
      <c r="C248" s="8"/>
      <c r="D248" s="8"/>
      <c r="E248" s="8"/>
      <c r="F248" s="10"/>
      <c r="G248" s="8"/>
      <c r="H248" s="8"/>
      <c r="I248" s="8"/>
      <c r="J248" s="8"/>
      <c r="K248" s="8"/>
      <c r="L248" s="8"/>
      <c r="M248" s="8"/>
      <c r="N248" s="10"/>
      <c r="O248" s="8"/>
    </row>
    <row r="249" customFormat="false" ht="15" hidden="false" customHeight="true" outlineLevel="0" collapsed="false">
      <c r="A249" s="8"/>
      <c r="B249" s="8"/>
      <c r="C249" s="8"/>
      <c r="D249" s="8"/>
      <c r="E249" s="8"/>
      <c r="F249" s="10"/>
      <c r="G249" s="8"/>
      <c r="H249" s="8"/>
      <c r="I249" s="8"/>
      <c r="J249" s="8"/>
      <c r="K249" s="8"/>
      <c r="L249" s="8"/>
      <c r="M249" s="8"/>
      <c r="N249" s="10"/>
      <c r="O249" s="8"/>
    </row>
    <row r="250" customFormat="false" ht="15" hidden="false" customHeight="true" outlineLevel="0" collapsed="false">
      <c r="A250" s="8"/>
      <c r="B250" s="8"/>
      <c r="C250" s="8"/>
      <c r="D250" s="8"/>
      <c r="E250" s="8"/>
      <c r="F250" s="10"/>
      <c r="G250" s="8"/>
      <c r="H250" s="8"/>
      <c r="I250" s="8"/>
      <c r="J250" s="8"/>
      <c r="K250" s="8"/>
      <c r="L250" s="8"/>
      <c r="M250" s="8"/>
      <c r="N250" s="10"/>
      <c r="O250" s="8"/>
    </row>
    <row r="251" customFormat="false" ht="15" hidden="false" customHeight="true" outlineLevel="0" collapsed="false">
      <c r="A251" s="8"/>
      <c r="B251" s="8"/>
      <c r="C251" s="8"/>
      <c r="D251" s="8"/>
      <c r="E251" s="8"/>
      <c r="F251" s="10"/>
      <c r="G251" s="8"/>
      <c r="H251" s="8"/>
      <c r="I251" s="8"/>
      <c r="J251" s="8"/>
      <c r="K251" s="8"/>
      <c r="L251" s="8"/>
      <c r="M251" s="8"/>
      <c r="N251" s="10"/>
      <c r="O251" s="8"/>
    </row>
    <row r="252" customFormat="false" ht="15" hidden="false" customHeight="true" outlineLevel="0" collapsed="false">
      <c r="A252" s="8"/>
      <c r="B252" s="8"/>
      <c r="C252" s="8"/>
      <c r="D252" s="8"/>
      <c r="E252" s="8"/>
      <c r="F252" s="10"/>
      <c r="G252" s="8"/>
      <c r="H252" s="8"/>
      <c r="I252" s="8"/>
      <c r="J252" s="8"/>
      <c r="K252" s="8"/>
      <c r="L252" s="8"/>
      <c r="M252" s="8"/>
      <c r="N252" s="10"/>
      <c r="O252" s="8"/>
    </row>
    <row r="253" customFormat="false" ht="15" hidden="false" customHeight="true" outlineLevel="0" collapsed="false">
      <c r="A253" s="8"/>
      <c r="B253" s="8"/>
      <c r="C253" s="8"/>
      <c r="D253" s="8"/>
      <c r="E253" s="8"/>
      <c r="F253" s="10"/>
      <c r="G253" s="8"/>
      <c r="H253" s="8"/>
      <c r="I253" s="8"/>
      <c r="J253" s="8"/>
      <c r="K253" s="8"/>
      <c r="L253" s="8"/>
      <c r="M253" s="8"/>
      <c r="N253" s="10"/>
      <c r="O253" s="8"/>
    </row>
    <row r="254" customFormat="false" ht="15" hidden="false" customHeight="true" outlineLevel="0" collapsed="false">
      <c r="A254" s="8"/>
      <c r="B254" s="8"/>
      <c r="C254" s="8"/>
      <c r="D254" s="8"/>
      <c r="E254" s="8"/>
      <c r="F254" s="10"/>
      <c r="G254" s="8"/>
      <c r="H254" s="8"/>
      <c r="I254" s="8"/>
      <c r="J254" s="8"/>
      <c r="K254" s="8"/>
      <c r="L254" s="8"/>
      <c r="M254" s="8"/>
      <c r="N254" s="10"/>
      <c r="O254" s="8"/>
    </row>
    <row r="255" customFormat="false" ht="15" hidden="false" customHeight="true" outlineLevel="0" collapsed="false">
      <c r="A255" s="8"/>
      <c r="B255" s="8"/>
      <c r="C255" s="8"/>
      <c r="D255" s="8"/>
      <c r="E255" s="8"/>
      <c r="F255" s="10"/>
      <c r="G255" s="8"/>
      <c r="H255" s="8"/>
      <c r="I255" s="8"/>
      <c r="J255" s="8"/>
      <c r="K255" s="8"/>
      <c r="L255" s="8"/>
      <c r="M255" s="8"/>
      <c r="N255" s="10"/>
      <c r="O255" s="8"/>
    </row>
    <row r="256" customFormat="false" ht="15" hidden="false" customHeight="true" outlineLevel="0" collapsed="false">
      <c r="A256" s="8"/>
      <c r="B256" s="8"/>
      <c r="C256" s="8"/>
      <c r="D256" s="8"/>
      <c r="E256" s="8"/>
      <c r="F256" s="10"/>
      <c r="G256" s="8"/>
      <c r="H256" s="8"/>
      <c r="I256" s="8"/>
      <c r="J256" s="8"/>
      <c r="K256" s="8"/>
      <c r="L256" s="8"/>
      <c r="M256" s="8"/>
      <c r="N256" s="10"/>
      <c r="O256" s="8"/>
    </row>
    <row r="257" customFormat="false" ht="15" hidden="false" customHeight="true" outlineLevel="0" collapsed="false">
      <c r="A257" s="8"/>
      <c r="B257" s="8"/>
      <c r="C257" s="8"/>
      <c r="D257" s="8"/>
      <c r="E257" s="8"/>
      <c r="F257" s="10"/>
      <c r="G257" s="8"/>
      <c r="H257" s="8"/>
      <c r="I257" s="8"/>
      <c r="J257" s="8"/>
      <c r="K257" s="8"/>
      <c r="L257" s="8"/>
      <c r="M257" s="8"/>
      <c r="N257" s="10"/>
      <c r="O257" s="8"/>
    </row>
    <row r="258" customFormat="false" ht="15" hidden="false" customHeight="true" outlineLevel="0" collapsed="false">
      <c r="A258" s="8"/>
      <c r="B258" s="8"/>
      <c r="C258" s="8"/>
      <c r="D258" s="8"/>
      <c r="E258" s="8"/>
      <c r="F258" s="10"/>
      <c r="G258" s="8"/>
      <c r="H258" s="8"/>
      <c r="I258" s="8"/>
      <c r="J258" s="8"/>
      <c r="K258" s="8"/>
      <c r="L258" s="8"/>
      <c r="M258" s="8"/>
      <c r="N258" s="10"/>
      <c r="O258" s="8"/>
    </row>
    <row r="259" customFormat="false" ht="15" hidden="false" customHeight="true" outlineLevel="0" collapsed="false">
      <c r="A259" s="8"/>
      <c r="B259" s="8"/>
      <c r="C259" s="8"/>
      <c r="D259" s="8"/>
      <c r="E259" s="8"/>
      <c r="F259" s="10"/>
      <c r="G259" s="8"/>
      <c r="H259" s="8"/>
      <c r="I259" s="8"/>
      <c r="J259" s="8"/>
      <c r="K259" s="8"/>
      <c r="L259" s="8"/>
      <c r="M259" s="8"/>
      <c r="N259" s="10"/>
      <c r="O259" s="8"/>
    </row>
    <row r="260" customFormat="false" ht="15" hidden="false" customHeight="true" outlineLevel="0" collapsed="false">
      <c r="A260" s="8"/>
      <c r="B260" s="8"/>
      <c r="C260" s="8"/>
      <c r="D260" s="8"/>
      <c r="E260" s="8"/>
      <c r="F260" s="10"/>
      <c r="G260" s="8"/>
      <c r="H260" s="8"/>
      <c r="I260" s="8"/>
      <c r="J260" s="8"/>
      <c r="K260" s="8"/>
      <c r="L260" s="8"/>
      <c r="M260" s="8"/>
      <c r="N260" s="10"/>
      <c r="O260" s="8"/>
    </row>
    <row r="261" customFormat="false" ht="15" hidden="false" customHeight="true" outlineLevel="0" collapsed="false">
      <c r="A261" s="8"/>
      <c r="B261" s="8"/>
      <c r="C261" s="8"/>
      <c r="D261" s="8"/>
      <c r="E261" s="8"/>
      <c r="F261" s="10"/>
      <c r="G261" s="8"/>
      <c r="H261" s="8"/>
      <c r="I261" s="8"/>
      <c r="J261" s="8"/>
      <c r="K261" s="8"/>
      <c r="L261" s="8"/>
      <c r="M261" s="8"/>
      <c r="N261" s="10"/>
      <c r="O261" s="8"/>
    </row>
    <row r="262" customFormat="false" ht="15" hidden="false" customHeight="true" outlineLevel="0" collapsed="false">
      <c r="A262" s="8"/>
      <c r="B262" s="8"/>
      <c r="C262" s="8"/>
      <c r="D262" s="8"/>
      <c r="E262" s="8"/>
      <c r="F262" s="10"/>
      <c r="G262" s="8"/>
      <c r="H262" s="8"/>
      <c r="I262" s="8"/>
      <c r="J262" s="8"/>
      <c r="K262" s="8"/>
      <c r="L262" s="8"/>
      <c r="M262" s="8"/>
      <c r="N262" s="10"/>
      <c r="O262" s="8"/>
    </row>
    <row r="263" customFormat="false" ht="15" hidden="false" customHeight="true" outlineLevel="0" collapsed="false">
      <c r="A263" s="8"/>
      <c r="B263" s="8"/>
      <c r="C263" s="8"/>
      <c r="D263" s="8"/>
      <c r="E263" s="8"/>
      <c r="F263" s="10"/>
      <c r="G263" s="8"/>
      <c r="H263" s="8"/>
      <c r="I263" s="8"/>
      <c r="J263" s="8"/>
      <c r="K263" s="8"/>
      <c r="L263" s="8"/>
      <c r="M263" s="8"/>
      <c r="N263" s="10"/>
      <c r="O263" s="8"/>
    </row>
    <row r="264" customFormat="false" ht="15" hidden="false" customHeight="true" outlineLevel="0" collapsed="false">
      <c r="A264" s="8"/>
      <c r="B264" s="8"/>
      <c r="C264" s="8"/>
      <c r="D264" s="8"/>
      <c r="E264" s="8"/>
      <c r="F264" s="10"/>
      <c r="G264" s="8"/>
      <c r="H264" s="8"/>
      <c r="I264" s="8"/>
      <c r="J264" s="8"/>
      <c r="K264" s="8"/>
      <c r="L264" s="8"/>
      <c r="M264" s="8"/>
      <c r="N264" s="10"/>
      <c r="O264" s="8"/>
    </row>
    <row r="265" customFormat="false" ht="15" hidden="false" customHeight="true" outlineLevel="0" collapsed="false">
      <c r="A265" s="8"/>
      <c r="B265" s="8"/>
      <c r="C265" s="8"/>
      <c r="D265" s="8"/>
      <c r="E265" s="8"/>
      <c r="F265" s="10"/>
      <c r="G265" s="8"/>
      <c r="H265" s="8"/>
      <c r="I265" s="8"/>
      <c r="J265" s="8"/>
      <c r="K265" s="8"/>
      <c r="L265" s="8"/>
      <c r="M265" s="8"/>
      <c r="N265" s="10"/>
      <c r="O265" s="8"/>
    </row>
    <row r="266" customFormat="false" ht="15" hidden="false" customHeight="true" outlineLevel="0" collapsed="false">
      <c r="A266" s="8"/>
      <c r="B266" s="8"/>
      <c r="C266" s="8"/>
      <c r="D266" s="8"/>
      <c r="E266" s="8"/>
      <c r="F266" s="10"/>
      <c r="G266" s="8"/>
      <c r="H266" s="8"/>
      <c r="I266" s="8"/>
      <c r="J266" s="8"/>
      <c r="K266" s="8"/>
      <c r="L266" s="8"/>
      <c r="M266" s="8"/>
      <c r="N266" s="10"/>
      <c r="O266" s="8"/>
    </row>
    <row r="267" customFormat="false" ht="15" hidden="false" customHeight="true" outlineLevel="0" collapsed="false">
      <c r="A267" s="8"/>
      <c r="B267" s="8"/>
      <c r="C267" s="8"/>
      <c r="D267" s="8"/>
      <c r="E267" s="8"/>
      <c r="F267" s="10"/>
      <c r="G267" s="8"/>
      <c r="H267" s="8"/>
      <c r="I267" s="8"/>
      <c r="J267" s="8"/>
      <c r="K267" s="8"/>
      <c r="L267" s="8"/>
      <c r="M267" s="8"/>
      <c r="N267" s="10"/>
      <c r="O267" s="8"/>
    </row>
    <row r="268" customFormat="false" ht="15" hidden="false" customHeight="true" outlineLevel="0" collapsed="false">
      <c r="A268" s="8"/>
      <c r="B268" s="8"/>
      <c r="C268" s="8"/>
      <c r="D268" s="8"/>
      <c r="E268" s="8"/>
      <c r="F268" s="10"/>
      <c r="G268" s="8"/>
      <c r="H268" s="8"/>
      <c r="I268" s="8"/>
      <c r="J268" s="8"/>
      <c r="K268" s="8"/>
      <c r="L268" s="8"/>
      <c r="M268" s="8"/>
      <c r="N268" s="10"/>
      <c r="O268" s="8"/>
    </row>
    <row r="269" customFormat="false" ht="15" hidden="false" customHeight="true" outlineLevel="0" collapsed="false">
      <c r="A269" s="8"/>
      <c r="B269" s="8"/>
      <c r="C269" s="8"/>
      <c r="D269" s="8"/>
      <c r="E269" s="8"/>
      <c r="F269" s="10"/>
      <c r="G269" s="8"/>
      <c r="H269" s="8"/>
      <c r="I269" s="8"/>
      <c r="J269" s="8"/>
      <c r="K269" s="8"/>
      <c r="L269" s="8"/>
      <c r="M269" s="8"/>
      <c r="N269" s="10"/>
      <c r="O269" s="8"/>
    </row>
    <row r="270" customFormat="false" ht="15" hidden="false" customHeight="true" outlineLevel="0" collapsed="false">
      <c r="A270" s="8"/>
      <c r="B270" s="8"/>
      <c r="C270" s="8"/>
      <c r="D270" s="8"/>
      <c r="E270" s="8"/>
      <c r="F270" s="10"/>
      <c r="G270" s="8"/>
      <c r="H270" s="8"/>
      <c r="I270" s="8"/>
      <c r="J270" s="8"/>
      <c r="K270" s="8"/>
      <c r="L270" s="8"/>
      <c r="M270" s="8"/>
      <c r="N270" s="10"/>
      <c r="O270" s="8"/>
    </row>
    <row r="271" customFormat="false" ht="15" hidden="false" customHeight="true" outlineLevel="0" collapsed="false">
      <c r="A271" s="8"/>
      <c r="B271" s="8"/>
      <c r="C271" s="8"/>
      <c r="D271" s="8"/>
      <c r="E271" s="8"/>
      <c r="F271" s="10"/>
      <c r="G271" s="8"/>
      <c r="H271" s="8"/>
      <c r="I271" s="8"/>
      <c r="J271" s="8"/>
      <c r="K271" s="8"/>
      <c r="L271" s="8"/>
      <c r="M271" s="8"/>
      <c r="N271" s="10"/>
      <c r="O271" s="8"/>
    </row>
    <row r="272" customFormat="false" ht="15" hidden="false" customHeight="true" outlineLevel="0" collapsed="false">
      <c r="A272" s="8"/>
      <c r="B272" s="8"/>
      <c r="C272" s="8"/>
      <c r="D272" s="8"/>
      <c r="E272" s="8"/>
      <c r="F272" s="10"/>
      <c r="G272" s="8"/>
      <c r="H272" s="8"/>
      <c r="I272" s="8"/>
      <c r="J272" s="8"/>
      <c r="K272" s="8"/>
      <c r="L272" s="8"/>
      <c r="M272" s="8"/>
      <c r="N272" s="10"/>
      <c r="O272" s="8"/>
    </row>
    <row r="273" customFormat="false" ht="15" hidden="false" customHeight="true" outlineLevel="0" collapsed="false">
      <c r="A273" s="8"/>
      <c r="B273" s="8"/>
      <c r="C273" s="8"/>
      <c r="D273" s="8"/>
      <c r="E273" s="8"/>
      <c r="F273" s="10"/>
      <c r="G273" s="8"/>
      <c r="H273" s="8"/>
      <c r="I273" s="8"/>
      <c r="J273" s="8"/>
      <c r="K273" s="8"/>
      <c r="L273" s="8"/>
      <c r="M273" s="8"/>
      <c r="N273" s="10"/>
      <c r="O273" s="8"/>
    </row>
    <row r="274" customFormat="false" ht="15" hidden="false" customHeight="true" outlineLevel="0" collapsed="false">
      <c r="A274" s="8"/>
      <c r="B274" s="8"/>
      <c r="C274" s="8"/>
      <c r="D274" s="8"/>
      <c r="E274" s="8"/>
      <c r="F274" s="10"/>
      <c r="G274" s="8"/>
      <c r="H274" s="8"/>
      <c r="I274" s="8"/>
      <c r="J274" s="8"/>
      <c r="K274" s="8"/>
      <c r="L274" s="8"/>
      <c r="M274" s="8"/>
      <c r="N274" s="10"/>
      <c r="O274" s="8"/>
    </row>
    <row r="275" customFormat="false" ht="15" hidden="false" customHeight="true" outlineLevel="0" collapsed="false">
      <c r="A275" s="8"/>
      <c r="B275" s="8"/>
      <c r="C275" s="8"/>
      <c r="D275" s="8"/>
      <c r="E275" s="8"/>
      <c r="F275" s="10"/>
      <c r="G275" s="8"/>
      <c r="H275" s="8"/>
      <c r="I275" s="8"/>
      <c r="J275" s="8"/>
      <c r="K275" s="8"/>
      <c r="L275" s="8"/>
      <c r="M275" s="8"/>
      <c r="N275" s="10"/>
      <c r="O275" s="8"/>
    </row>
    <row r="276" customFormat="false" ht="15" hidden="false" customHeight="true" outlineLevel="0" collapsed="false">
      <c r="A276" s="8"/>
      <c r="B276" s="8"/>
      <c r="C276" s="8"/>
      <c r="D276" s="8"/>
      <c r="E276" s="8"/>
      <c r="F276" s="10"/>
      <c r="G276" s="8"/>
      <c r="H276" s="8"/>
      <c r="I276" s="8"/>
      <c r="J276" s="8"/>
      <c r="K276" s="8"/>
      <c r="L276" s="8"/>
      <c r="M276" s="8"/>
      <c r="N276" s="10"/>
      <c r="O276" s="8"/>
    </row>
    <row r="277" customFormat="false" ht="15" hidden="false" customHeight="true" outlineLevel="0" collapsed="false">
      <c r="A277" s="8"/>
      <c r="B277" s="8"/>
      <c r="C277" s="8"/>
      <c r="D277" s="8"/>
      <c r="E277" s="8"/>
      <c r="F277" s="10"/>
      <c r="G277" s="8"/>
      <c r="H277" s="8"/>
      <c r="I277" s="8"/>
      <c r="J277" s="8"/>
      <c r="K277" s="8"/>
      <c r="L277" s="8"/>
      <c r="M277" s="8"/>
      <c r="N277" s="10"/>
      <c r="O277" s="8"/>
    </row>
    <row r="278" customFormat="false" ht="15" hidden="false" customHeight="true" outlineLevel="0" collapsed="false">
      <c r="A278" s="8"/>
      <c r="B278" s="8"/>
      <c r="C278" s="8"/>
      <c r="D278" s="8"/>
      <c r="E278" s="8"/>
      <c r="F278" s="10"/>
      <c r="G278" s="8"/>
      <c r="H278" s="8"/>
      <c r="I278" s="8"/>
      <c r="J278" s="8"/>
      <c r="K278" s="8"/>
      <c r="L278" s="8"/>
      <c r="M278" s="8"/>
      <c r="N278" s="10"/>
      <c r="O278" s="8"/>
    </row>
    <row r="279" customFormat="false" ht="15" hidden="false" customHeight="true" outlineLevel="0" collapsed="false">
      <c r="A279" s="8"/>
      <c r="B279" s="8"/>
      <c r="C279" s="8"/>
      <c r="D279" s="8"/>
      <c r="E279" s="8"/>
      <c r="F279" s="10"/>
      <c r="G279" s="8"/>
      <c r="H279" s="8"/>
      <c r="I279" s="8"/>
      <c r="J279" s="8"/>
      <c r="K279" s="8"/>
      <c r="L279" s="8"/>
      <c r="M279" s="8"/>
      <c r="N279" s="10"/>
      <c r="O279" s="8"/>
    </row>
    <row r="280" customFormat="false" ht="15" hidden="false" customHeight="true" outlineLevel="0" collapsed="false">
      <c r="A280" s="8"/>
      <c r="B280" s="8"/>
      <c r="C280" s="8"/>
      <c r="D280" s="8"/>
      <c r="E280" s="8"/>
      <c r="F280" s="10"/>
      <c r="G280" s="8"/>
      <c r="H280" s="8"/>
      <c r="I280" s="8"/>
      <c r="J280" s="8"/>
      <c r="K280" s="8"/>
      <c r="L280" s="8"/>
      <c r="M280" s="8"/>
      <c r="N280" s="10"/>
      <c r="O280" s="8"/>
    </row>
    <row r="281" customFormat="false" ht="15" hidden="false" customHeight="true" outlineLevel="0" collapsed="false">
      <c r="A281" s="8"/>
      <c r="B281" s="8"/>
      <c r="C281" s="8"/>
      <c r="D281" s="8"/>
      <c r="E281" s="8"/>
      <c r="F281" s="10"/>
      <c r="G281" s="8"/>
      <c r="H281" s="8"/>
      <c r="I281" s="8"/>
      <c r="J281" s="8"/>
      <c r="K281" s="8"/>
      <c r="L281" s="8"/>
      <c r="M281" s="8"/>
      <c r="N281" s="10"/>
      <c r="O281" s="8"/>
    </row>
    <row r="282" customFormat="false" ht="15" hidden="false" customHeight="true" outlineLevel="0" collapsed="false">
      <c r="A282" s="8"/>
      <c r="B282" s="8"/>
      <c r="C282" s="8"/>
      <c r="D282" s="8"/>
      <c r="E282" s="8"/>
      <c r="F282" s="10"/>
      <c r="G282" s="8"/>
      <c r="H282" s="8"/>
      <c r="I282" s="8"/>
      <c r="J282" s="8"/>
      <c r="K282" s="8"/>
      <c r="L282" s="8"/>
      <c r="M282" s="8"/>
      <c r="N282" s="10"/>
      <c r="O282" s="8"/>
    </row>
    <row r="283" customFormat="false" ht="15" hidden="false" customHeight="true" outlineLevel="0" collapsed="false">
      <c r="A283" s="8"/>
      <c r="B283" s="8"/>
      <c r="C283" s="8"/>
      <c r="D283" s="8"/>
      <c r="E283" s="8"/>
      <c r="F283" s="10"/>
      <c r="G283" s="8"/>
      <c r="H283" s="8"/>
      <c r="I283" s="8"/>
      <c r="J283" s="8"/>
      <c r="K283" s="8"/>
      <c r="L283" s="8"/>
      <c r="M283" s="8"/>
      <c r="N283" s="10"/>
      <c r="O283" s="8"/>
    </row>
    <row r="284" customFormat="false" ht="15" hidden="false" customHeight="true" outlineLevel="0" collapsed="false">
      <c r="A284" s="8"/>
      <c r="B284" s="8"/>
      <c r="C284" s="8"/>
      <c r="D284" s="8"/>
      <c r="E284" s="8"/>
      <c r="F284" s="10"/>
      <c r="G284" s="8"/>
      <c r="H284" s="8"/>
      <c r="I284" s="8"/>
      <c r="J284" s="8"/>
      <c r="K284" s="8"/>
      <c r="L284" s="8"/>
      <c r="M284" s="8"/>
      <c r="N284" s="10"/>
      <c r="O284" s="8"/>
    </row>
    <row r="285" customFormat="false" ht="15" hidden="false" customHeight="true" outlineLevel="0" collapsed="false">
      <c r="A285" s="8"/>
      <c r="B285" s="8"/>
      <c r="C285" s="8"/>
      <c r="D285" s="8"/>
      <c r="E285" s="8"/>
      <c r="F285" s="10"/>
      <c r="G285" s="8"/>
      <c r="H285" s="8"/>
      <c r="I285" s="8"/>
      <c r="J285" s="8"/>
      <c r="K285" s="8"/>
      <c r="L285" s="8"/>
      <c r="M285" s="8"/>
      <c r="N285" s="10"/>
      <c r="O285" s="8"/>
    </row>
    <row r="286" customFormat="false" ht="15" hidden="false" customHeight="true" outlineLevel="0" collapsed="false">
      <c r="A286" s="8"/>
      <c r="B286" s="8"/>
      <c r="C286" s="8"/>
      <c r="D286" s="8"/>
      <c r="E286" s="8"/>
      <c r="F286" s="10"/>
      <c r="G286" s="8"/>
      <c r="H286" s="8"/>
      <c r="I286" s="8"/>
      <c r="J286" s="8"/>
      <c r="K286" s="8"/>
      <c r="L286" s="8"/>
      <c r="M286" s="8"/>
      <c r="N286" s="10"/>
      <c r="O286" s="8"/>
    </row>
    <row r="287" customFormat="false" ht="15" hidden="false" customHeight="true" outlineLevel="0" collapsed="false">
      <c r="A287" s="8"/>
      <c r="B287" s="8"/>
      <c r="C287" s="8"/>
      <c r="D287" s="8"/>
      <c r="E287" s="8"/>
      <c r="F287" s="10"/>
      <c r="G287" s="8"/>
      <c r="H287" s="8"/>
      <c r="I287" s="8"/>
      <c r="J287" s="8"/>
      <c r="K287" s="8"/>
      <c r="L287" s="8"/>
      <c r="M287" s="8"/>
      <c r="N287" s="10"/>
      <c r="O287" s="8"/>
    </row>
    <row r="288" customFormat="false" ht="15" hidden="false" customHeight="true" outlineLevel="0" collapsed="false">
      <c r="A288" s="8"/>
      <c r="B288" s="8"/>
      <c r="C288" s="8"/>
      <c r="D288" s="8"/>
      <c r="E288" s="8"/>
      <c r="F288" s="10"/>
      <c r="G288" s="8"/>
      <c r="H288" s="8"/>
      <c r="I288" s="8"/>
      <c r="J288" s="8"/>
      <c r="K288" s="8"/>
      <c r="L288" s="8"/>
      <c r="M288" s="8"/>
      <c r="N288" s="10"/>
      <c r="O288" s="8"/>
    </row>
    <row r="289" customFormat="false" ht="15" hidden="false" customHeight="true" outlineLevel="0" collapsed="false">
      <c r="A289" s="8"/>
      <c r="B289" s="8"/>
      <c r="C289" s="8"/>
      <c r="D289" s="8"/>
      <c r="E289" s="8"/>
      <c r="F289" s="10"/>
      <c r="G289" s="8"/>
      <c r="H289" s="8"/>
      <c r="I289" s="8"/>
      <c r="J289" s="8"/>
      <c r="K289" s="8"/>
      <c r="L289" s="8"/>
      <c r="M289" s="8"/>
      <c r="N289" s="10"/>
      <c r="O289" s="8"/>
    </row>
    <row r="290" customFormat="false" ht="15" hidden="false" customHeight="true" outlineLevel="0" collapsed="false">
      <c r="A290" s="8"/>
      <c r="B290" s="8"/>
      <c r="C290" s="8"/>
      <c r="D290" s="8"/>
      <c r="E290" s="8"/>
      <c r="F290" s="10"/>
      <c r="G290" s="8"/>
      <c r="H290" s="8"/>
      <c r="I290" s="8"/>
      <c r="J290" s="8"/>
      <c r="K290" s="8"/>
      <c r="L290" s="8"/>
      <c r="M290" s="8"/>
      <c r="N290" s="10"/>
      <c r="O290" s="8"/>
    </row>
    <row r="291" customFormat="false" ht="15" hidden="false" customHeight="true" outlineLevel="0" collapsed="false">
      <c r="A291" s="8"/>
      <c r="B291" s="8"/>
      <c r="C291" s="8"/>
      <c r="D291" s="8"/>
      <c r="E291" s="8"/>
      <c r="F291" s="10"/>
      <c r="G291" s="8"/>
      <c r="H291" s="8"/>
      <c r="I291" s="8"/>
      <c r="J291" s="8"/>
      <c r="K291" s="8"/>
      <c r="L291" s="8"/>
      <c r="M291" s="8"/>
      <c r="N291" s="10"/>
      <c r="O291" s="8"/>
    </row>
    <row r="292" customFormat="false" ht="15" hidden="false" customHeight="true" outlineLevel="0" collapsed="false">
      <c r="A292" s="8"/>
      <c r="B292" s="8"/>
      <c r="C292" s="8"/>
      <c r="D292" s="8"/>
      <c r="E292" s="8"/>
      <c r="F292" s="10"/>
      <c r="G292" s="8"/>
      <c r="H292" s="8"/>
      <c r="I292" s="8"/>
      <c r="J292" s="8"/>
      <c r="K292" s="8"/>
      <c r="L292" s="8"/>
      <c r="M292" s="8"/>
      <c r="N292" s="10"/>
      <c r="O292" s="8"/>
    </row>
    <row r="293" customFormat="false" ht="15" hidden="false" customHeight="true" outlineLevel="0" collapsed="false">
      <c r="A293" s="8"/>
      <c r="B293" s="8"/>
      <c r="C293" s="8"/>
      <c r="D293" s="8"/>
      <c r="E293" s="8"/>
      <c r="F293" s="10"/>
      <c r="G293" s="8"/>
      <c r="H293" s="8"/>
      <c r="I293" s="8"/>
      <c r="J293" s="8"/>
      <c r="K293" s="8"/>
      <c r="L293" s="8"/>
      <c r="M293" s="8"/>
      <c r="N293" s="10"/>
      <c r="O293" s="8"/>
    </row>
    <row r="294" customFormat="false" ht="15" hidden="false" customHeight="true" outlineLevel="0" collapsed="false">
      <c r="A294" s="8"/>
      <c r="B294" s="8"/>
      <c r="C294" s="8"/>
      <c r="D294" s="8"/>
      <c r="E294" s="8"/>
      <c r="F294" s="10"/>
      <c r="G294" s="8"/>
      <c r="H294" s="8"/>
      <c r="I294" s="8"/>
      <c r="J294" s="8"/>
      <c r="K294" s="8"/>
      <c r="L294" s="8"/>
      <c r="M294" s="8"/>
      <c r="N294" s="10"/>
      <c r="O294" s="8"/>
    </row>
    <row r="295" customFormat="false" ht="15" hidden="false" customHeight="true" outlineLevel="0" collapsed="false">
      <c r="A295" s="8"/>
      <c r="B295" s="8"/>
      <c r="C295" s="8"/>
      <c r="D295" s="8"/>
      <c r="E295" s="8"/>
      <c r="F295" s="10"/>
      <c r="G295" s="8"/>
      <c r="H295" s="8"/>
      <c r="I295" s="8"/>
      <c r="J295" s="8"/>
      <c r="K295" s="8"/>
      <c r="L295" s="8"/>
      <c r="M295" s="8"/>
      <c r="N295" s="10"/>
      <c r="O295" s="8"/>
    </row>
    <row r="296" customFormat="false" ht="15" hidden="false" customHeight="true" outlineLevel="0" collapsed="false">
      <c r="A296" s="8"/>
      <c r="B296" s="8"/>
      <c r="C296" s="8"/>
      <c r="D296" s="8"/>
      <c r="E296" s="8"/>
      <c r="F296" s="10"/>
      <c r="G296" s="8"/>
      <c r="H296" s="8"/>
      <c r="I296" s="8"/>
      <c r="J296" s="8"/>
      <c r="K296" s="8"/>
      <c r="L296" s="8"/>
      <c r="M296" s="8"/>
      <c r="N296" s="10"/>
      <c r="O296" s="8"/>
    </row>
    <row r="297" customFormat="false" ht="15" hidden="false" customHeight="true" outlineLevel="0" collapsed="false">
      <c r="A297" s="8"/>
      <c r="B297" s="8"/>
      <c r="C297" s="8"/>
      <c r="D297" s="8"/>
      <c r="E297" s="8"/>
      <c r="F297" s="10"/>
      <c r="G297" s="8"/>
      <c r="H297" s="8"/>
      <c r="I297" s="8"/>
      <c r="J297" s="8"/>
      <c r="K297" s="8"/>
      <c r="L297" s="8"/>
      <c r="M297" s="8"/>
      <c r="N297" s="10"/>
      <c r="O297" s="8"/>
    </row>
    <row r="298" customFormat="false" ht="15" hidden="false" customHeight="true" outlineLevel="0" collapsed="false">
      <c r="A298" s="8"/>
      <c r="B298" s="8"/>
      <c r="C298" s="8"/>
      <c r="D298" s="8"/>
      <c r="E298" s="8"/>
      <c r="F298" s="10"/>
      <c r="G298" s="8"/>
      <c r="H298" s="8"/>
      <c r="I298" s="8"/>
      <c r="J298" s="8"/>
      <c r="K298" s="8"/>
      <c r="L298" s="8"/>
      <c r="M298" s="8"/>
      <c r="N298" s="10"/>
      <c r="O298" s="8"/>
    </row>
    <row r="299" customFormat="false" ht="15" hidden="false" customHeight="true" outlineLevel="0" collapsed="false">
      <c r="A299" s="8"/>
      <c r="B299" s="8"/>
      <c r="C299" s="8"/>
      <c r="D299" s="8"/>
      <c r="E299" s="8"/>
      <c r="F299" s="10"/>
      <c r="G299" s="8"/>
      <c r="H299" s="8"/>
      <c r="I299" s="8"/>
      <c r="J299" s="8"/>
      <c r="K299" s="8"/>
      <c r="L299" s="8"/>
      <c r="M299" s="8"/>
      <c r="N299" s="10"/>
      <c r="O299" s="8"/>
    </row>
    <row r="300" customFormat="false" ht="15" hidden="false" customHeight="true" outlineLevel="0" collapsed="false">
      <c r="A300" s="8"/>
      <c r="B300" s="8"/>
      <c r="C300" s="8"/>
      <c r="D300" s="8"/>
      <c r="E300" s="8"/>
      <c r="F300" s="10"/>
      <c r="G300" s="8"/>
      <c r="H300" s="8"/>
      <c r="I300" s="8"/>
      <c r="J300" s="8"/>
      <c r="K300" s="8"/>
      <c r="L300" s="8"/>
      <c r="M300" s="8"/>
      <c r="N300" s="10"/>
      <c r="O300" s="8"/>
    </row>
  </sheetData>
  <autoFilter ref="A2:O300"/>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3" min="3" style="1" width="26"/>
    <col collapsed="false" customWidth="true" hidden="false" outlineLevel="0" max="4" min="4" style="1" width="16"/>
    <col collapsed="false" customWidth="true" hidden="false" outlineLevel="0" max="5" min="5" style="1" width="22"/>
    <col collapsed="false" customWidth="true" hidden="false" outlineLevel="0" max="6" min="6" style="1" width="17"/>
  </cols>
  <sheetData>
    <row r="1" customFormat="false" ht="30" hidden="false" customHeight="true" outlineLevel="0" collapsed="false">
      <c r="A1" s="2" t="s">
        <v>131</v>
      </c>
      <c r="B1" s="2"/>
      <c r="C1" s="2"/>
      <c r="D1" s="2"/>
      <c r="E1" s="2"/>
      <c r="F1" s="2"/>
    </row>
    <row r="2" customFormat="false" ht="31.5" hidden="false" customHeight="true" outlineLevel="0" collapsed="false">
      <c r="A2" s="7" t="s">
        <v>132</v>
      </c>
      <c r="B2" s="7" t="s">
        <v>133</v>
      </c>
      <c r="C2" s="7" t="s">
        <v>134</v>
      </c>
      <c r="D2" s="7" t="s">
        <v>135</v>
      </c>
      <c r="E2" s="7" t="s">
        <v>136</v>
      </c>
      <c r="F2" s="7" t="s">
        <v>130</v>
      </c>
    </row>
    <row r="3" customFormat="false" ht="15" hidden="false" customHeight="true" outlineLevel="0" collapsed="false">
      <c r="A3" s="10"/>
      <c r="B3" s="8"/>
      <c r="C3" s="8"/>
      <c r="D3" s="8"/>
      <c r="E3" s="8"/>
      <c r="F3" s="8"/>
    </row>
    <row r="4" customFormat="false" ht="15" hidden="false" customHeight="true" outlineLevel="0" collapsed="false">
      <c r="A4" s="10"/>
      <c r="B4" s="8"/>
      <c r="C4" s="8"/>
      <c r="D4" s="8"/>
      <c r="E4" s="8"/>
      <c r="F4" s="8"/>
    </row>
    <row r="5" customFormat="false" ht="15" hidden="false" customHeight="true" outlineLevel="0" collapsed="false">
      <c r="A5" s="10"/>
      <c r="B5" s="8"/>
      <c r="C5" s="8"/>
      <c r="D5" s="8"/>
      <c r="E5" s="8"/>
      <c r="F5" s="8"/>
    </row>
    <row r="6" customFormat="false" ht="15" hidden="false" customHeight="true" outlineLevel="0" collapsed="false">
      <c r="A6" s="10"/>
      <c r="B6" s="8"/>
      <c r="C6" s="8"/>
      <c r="D6" s="8"/>
      <c r="E6" s="8"/>
      <c r="F6" s="8"/>
    </row>
    <row r="7" customFormat="false" ht="15" hidden="false" customHeight="true" outlineLevel="0" collapsed="false">
      <c r="A7" s="10"/>
      <c r="B7" s="8"/>
      <c r="C7" s="8"/>
      <c r="D7" s="8"/>
      <c r="E7" s="8"/>
      <c r="F7" s="8"/>
    </row>
    <row r="8" customFormat="false" ht="15" hidden="false" customHeight="true" outlineLevel="0" collapsed="false">
      <c r="A8" s="10"/>
      <c r="B8" s="8"/>
      <c r="C8" s="8"/>
      <c r="D8" s="8"/>
      <c r="E8" s="8"/>
      <c r="F8" s="8"/>
    </row>
    <row r="9" customFormat="false" ht="15" hidden="false" customHeight="true" outlineLevel="0" collapsed="false">
      <c r="A9" s="10"/>
      <c r="B9" s="8"/>
      <c r="C9" s="8"/>
      <c r="D9" s="8"/>
      <c r="E9" s="8"/>
      <c r="F9" s="8"/>
    </row>
    <row r="10" customFormat="false" ht="15" hidden="false" customHeight="true" outlineLevel="0" collapsed="false">
      <c r="A10" s="10"/>
      <c r="B10" s="8"/>
      <c r="C10" s="8"/>
      <c r="D10" s="8"/>
      <c r="E10" s="8"/>
      <c r="F10" s="8"/>
    </row>
    <row r="11" customFormat="false" ht="15" hidden="false" customHeight="true" outlineLevel="0" collapsed="false">
      <c r="A11" s="10"/>
      <c r="B11" s="8"/>
      <c r="C11" s="8"/>
      <c r="D11" s="8"/>
      <c r="E11" s="8"/>
      <c r="F11" s="8"/>
    </row>
    <row r="12" customFormat="false" ht="15" hidden="false" customHeight="true" outlineLevel="0" collapsed="false">
      <c r="A12" s="10"/>
      <c r="B12" s="8"/>
      <c r="C12" s="8"/>
      <c r="D12" s="8"/>
      <c r="E12" s="8"/>
      <c r="F12" s="8"/>
    </row>
    <row r="13" customFormat="false" ht="15" hidden="false" customHeight="true" outlineLevel="0" collapsed="false">
      <c r="A13" s="10"/>
      <c r="B13" s="8"/>
      <c r="C13" s="8"/>
      <c r="D13" s="8"/>
      <c r="E13" s="8"/>
      <c r="F13" s="8"/>
    </row>
    <row r="14" customFormat="false" ht="15" hidden="false" customHeight="true" outlineLevel="0" collapsed="false">
      <c r="A14" s="10"/>
      <c r="B14" s="8"/>
      <c r="C14" s="8"/>
      <c r="D14" s="8"/>
      <c r="E14" s="8"/>
      <c r="F14" s="8"/>
    </row>
    <row r="15" customFormat="false" ht="15" hidden="false" customHeight="true" outlineLevel="0" collapsed="false">
      <c r="A15" s="10"/>
      <c r="B15" s="8"/>
      <c r="C15" s="8"/>
      <c r="D15" s="8"/>
      <c r="E15" s="8"/>
      <c r="F15" s="8"/>
    </row>
    <row r="16" customFormat="false" ht="15" hidden="false" customHeight="true" outlineLevel="0" collapsed="false">
      <c r="A16" s="10"/>
      <c r="B16" s="8"/>
      <c r="C16" s="8"/>
      <c r="D16" s="8"/>
      <c r="E16" s="8"/>
      <c r="F16" s="8"/>
    </row>
    <row r="17" customFormat="false" ht="15" hidden="false" customHeight="true" outlineLevel="0" collapsed="false">
      <c r="A17" s="10"/>
      <c r="B17" s="8"/>
      <c r="C17" s="8"/>
      <c r="D17" s="8"/>
      <c r="E17" s="8"/>
      <c r="F17" s="8"/>
    </row>
    <row r="18" customFormat="false" ht="15" hidden="false" customHeight="true" outlineLevel="0" collapsed="false">
      <c r="A18" s="10"/>
      <c r="B18" s="8"/>
      <c r="C18" s="8"/>
      <c r="D18" s="8"/>
      <c r="E18" s="8"/>
      <c r="F18" s="8"/>
    </row>
    <row r="19" customFormat="false" ht="15" hidden="false" customHeight="true" outlineLevel="0" collapsed="false">
      <c r="A19" s="10"/>
      <c r="B19" s="8"/>
      <c r="C19" s="8"/>
      <c r="D19" s="8"/>
      <c r="E19" s="8"/>
      <c r="F19" s="8"/>
    </row>
    <row r="20" customFormat="false" ht="15" hidden="false" customHeight="true" outlineLevel="0" collapsed="false">
      <c r="A20" s="10"/>
      <c r="B20" s="8"/>
      <c r="C20" s="8"/>
      <c r="D20" s="8"/>
      <c r="E20" s="8"/>
      <c r="F20" s="8"/>
    </row>
    <row r="21" customFormat="false" ht="15" hidden="false" customHeight="true" outlineLevel="0" collapsed="false">
      <c r="A21" s="10"/>
      <c r="B21" s="8"/>
      <c r="C21" s="8"/>
      <c r="D21" s="8"/>
      <c r="E21" s="8"/>
      <c r="F21" s="8"/>
    </row>
    <row r="22" customFormat="false" ht="15" hidden="false" customHeight="true" outlineLevel="0" collapsed="false">
      <c r="A22" s="10"/>
      <c r="B22" s="8"/>
      <c r="C22" s="8"/>
      <c r="D22" s="8"/>
      <c r="E22" s="8"/>
      <c r="F22" s="8"/>
    </row>
    <row r="23" customFormat="false" ht="15" hidden="false" customHeight="true" outlineLevel="0" collapsed="false">
      <c r="A23" s="10"/>
      <c r="B23" s="8"/>
      <c r="C23" s="8"/>
      <c r="D23" s="8"/>
      <c r="E23" s="8"/>
      <c r="F23" s="8"/>
    </row>
    <row r="24" customFormat="false" ht="15" hidden="false" customHeight="true" outlineLevel="0" collapsed="false">
      <c r="A24" s="10"/>
      <c r="B24" s="8"/>
      <c r="C24" s="8"/>
      <c r="D24" s="8"/>
      <c r="E24" s="8"/>
      <c r="F24" s="8"/>
    </row>
    <row r="25" customFormat="false" ht="15" hidden="false" customHeight="true" outlineLevel="0" collapsed="false">
      <c r="A25" s="10"/>
      <c r="B25" s="8"/>
      <c r="C25" s="8"/>
      <c r="D25" s="8"/>
      <c r="E25" s="8"/>
      <c r="F25" s="8"/>
    </row>
    <row r="26" customFormat="false" ht="15" hidden="false" customHeight="true" outlineLevel="0" collapsed="false">
      <c r="A26" s="10"/>
      <c r="B26" s="8"/>
      <c r="C26" s="8"/>
      <c r="D26" s="8"/>
      <c r="E26" s="8"/>
      <c r="F26" s="8"/>
    </row>
    <row r="27" customFormat="false" ht="15" hidden="false" customHeight="true" outlineLevel="0" collapsed="false">
      <c r="A27" s="10"/>
      <c r="B27" s="8"/>
      <c r="C27" s="8"/>
      <c r="D27" s="8"/>
      <c r="E27" s="8"/>
      <c r="F27" s="8"/>
    </row>
    <row r="28" customFormat="false" ht="15" hidden="false" customHeight="true" outlineLevel="0" collapsed="false">
      <c r="A28" s="10"/>
      <c r="B28" s="8"/>
      <c r="C28" s="8"/>
      <c r="D28" s="8"/>
      <c r="E28" s="8"/>
      <c r="F28" s="8"/>
    </row>
    <row r="29" customFormat="false" ht="15" hidden="false" customHeight="true" outlineLevel="0" collapsed="false">
      <c r="A29" s="10"/>
      <c r="B29" s="8"/>
      <c r="C29" s="8"/>
      <c r="D29" s="8"/>
      <c r="E29" s="8"/>
      <c r="F29" s="8"/>
    </row>
    <row r="30" customFormat="false" ht="15" hidden="false" customHeight="true" outlineLevel="0" collapsed="false">
      <c r="A30" s="10"/>
      <c r="B30" s="8"/>
      <c r="C30" s="8"/>
      <c r="D30" s="8"/>
      <c r="E30" s="8"/>
      <c r="F30" s="8"/>
    </row>
    <row r="31" customFormat="false" ht="15" hidden="false" customHeight="true" outlineLevel="0" collapsed="false">
      <c r="A31" s="10"/>
      <c r="B31" s="8"/>
      <c r="C31" s="8"/>
      <c r="D31" s="8"/>
      <c r="E31" s="8"/>
      <c r="F31" s="8"/>
    </row>
    <row r="32" customFormat="false" ht="15" hidden="false" customHeight="true" outlineLevel="0" collapsed="false">
      <c r="A32" s="10"/>
      <c r="B32" s="8"/>
      <c r="C32" s="8"/>
      <c r="D32" s="8"/>
      <c r="E32" s="8"/>
      <c r="F32" s="8"/>
    </row>
    <row r="33" customFormat="false" ht="15" hidden="false" customHeight="true" outlineLevel="0" collapsed="false">
      <c r="A33" s="10"/>
      <c r="B33" s="8"/>
      <c r="C33" s="8"/>
      <c r="D33" s="8"/>
      <c r="E33" s="8"/>
      <c r="F33" s="8"/>
    </row>
    <row r="34" customFormat="false" ht="15" hidden="false" customHeight="true" outlineLevel="0" collapsed="false">
      <c r="A34" s="10"/>
      <c r="B34" s="8"/>
      <c r="C34" s="8"/>
      <c r="D34" s="8"/>
      <c r="E34" s="8"/>
      <c r="F34" s="8"/>
    </row>
    <row r="35" customFormat="false" ht="15" hidden="false" customHeight="true" outlineLevel="0" collapsed="false">
      <c r="A35" s="10"/>
      <c r="B35" s="8"/>
      <c r="C35" s="8"/>
      <c r="D35" s="8"/>
      <c r="E35" s="8"/>
      <c r="F35" s="8"/>
    </row>
    <row r="36" customFormat="false" ht="15" hidden="false" customHeight="true" outlineLevel="0" collapsed="false">
      <c r="A36" s="10"/>
      <c r="B36" s="8"/>
      <c r="C36" s="8"/>
      <c r="D36" s="8"/>
      <c r="E36" s="8"/>
      <c r="F36" s="8"/>
    </row>
    <row r="37" customFormat="false" ht="15" hidden="false" customHeight="true" outlineLevel="0" collapsed="false">
      <c r="A37" s="10"/>
      <c r="B37" s="8"/>
      <c r="C37" s="8"/>
      <c r="D37" s="8"/>
      <c r="E37" s="8"/>
      <c r="F37" s="8"/>
    </row>
    <row r="38" customFormat="false" ht="15" hidden="false" customHeight="true" outlineLevel="0" collapsed="false">
      <c r="A38" s="10"/>
      <c r="B38" s="8"/>
      <c r="C38" s="8"/>
      <c r="D38" s="8"/>
      <c r="E38" s="8"/>
      <c r="F38" s="8"/>
    </row>
    <row r="39" customFormat="false" ht="15" hidden="false" customHeight="true" outlineLevel="0" collapsed="false">
      <c r="A39" s="10"/>
      <c r="B39" s="8"/>
      <c r="C39" s="8"/>
      <c r="D39" s="8"/>
      <c r="E39" s="8"/>
      <c r="F39" s="8"/>
    </row>
    <row r="40" customFormat="false" ht="15" hidden="false" customHeight="true" outlineLevel="0" collapsed="false">
      <c r="A40" s="10"/>
      <c r="B40" s="8"/>
      <c r="C40" s="8"/>
      <c r="D40" s="8"/>
      <c r="E40" s="8"/>
      <c r="F40" s="8"/>
    </row>
    <row r="41" customFormat="false" ht="15" hidden="false" customHeight="true" outlineLevel="0" collapsed="false">
      <c r="A41" s="10"/>
      <c r="B41" s="8"/>
      <c r="C41" s="8"/>
      <c r="D41" s="8"/>
      <c r="E41" s="8"/>
      <c r="F41" s="8"/>
    </row>
    <row r="42" customFormat="false" ht="15" hidden="false" customHeight="true" outlineLevel="0" collapsed="false">
      <c r="A42" s="10"/>
      <c r="B42" s="8"/>
      <c r="C42" s="8"/>
      <c r="D42" s="8"/>
      <c r="E42" s="8"/>
      <c r="F42" s="8"/>
    </row>
    <row r="43" customFormat="false" ht="15" hidden="false" customHeight="true" outlineLevel="0" collapsed="false">
      <c r="A43" s="10"/>
      <c r="B43" s="8"/>
      <c r="C43" s="8"/>
      <c r="D43" s="8"/>
      <c r="E43" s="8"/>
      <c r="F43" s="8"/>
    </row>
    <row r="44" customFormat="false" ht="15" hidden="false" customHeight="true" outlineLevel="0" collapsed="false">
      <c r="A44" s="10"/>
      <c r="B44" s="8"/>
      <c r="C44" s="8"/>
      <c r="D44" s="8"/>
      <c r="E44" s="8"/>
      <c r="F44" s="8"/>
    </row>
    <row r="45" customFormat="false" ht="15" hidden="false" customHeight="true" outlineLevel="0" collapsed="false">
      <c r="A45" s="10"/>
      <c r="B45" s="8"/>
      <c r="C45" s="8"/>
      <c r="D45" s="8"/>
      <c r="E45" s="8"/>
      <c r="F45" s="8"/>
    </row>
    <row r="46" customFormat="false" ht="15" hidden="false" customHeight="true" outlineLevel="0" collapsed="false">
      <c r="A46" s="10"/>
      <c r="B46" s="8"/>
      <c r="C46" s="8"/>
      <c r="D46" s="8"/>
      <c r="E46" s="8"/>
      <c r="F46" s="8"/>
    </row>
    <row r="47" customFormat="false" ht="15" hidden="false" customHeight="true" outlineLevel="0" collapsed="false">
      <c r="A47" s="10"/>
      <c r="B47" s="8"/>
      <c r="C47" s="8"/>
      <c r="D47" s="8"/>
      <c r="E47" s="8"/>
      <c r="F47" s="8"/>
    </row>
    <row r="48" customFormat="false" ht="15" hidden="false" customHeight="true" outlineLevel="0" collapsed="false">
      <c r="A48" s="10"/>
      <c r="B48" s="8"/>
      <c r="C48" s="8"/>
      <c r="D48" s="8"/>
      <c r="E48" s="8"/>
      <c r="F48" s="8"/>
    </row>
    <row r="49" customFormat="false" ht="15" hidden="false" customHeight="true" outlineLevel="0" collapsed="false">
      <c r="A49" s="10"/>
      <c r="B49" s="8"/>
      <c r="C49" s="8"/>
      <c r="D49" s="8"/>
      <c r="E49" s="8"/>
      <c r="F49" s="8"/>
    </row>
    <row r="50" customFormat="false" ht="15" hidden="false" customHeight="true" outlineLevel="0" collapsed="false">
      <c r="A50" s="10"/>
      <c r="B50" s="8"/>
      <c r="C50" s="8"/>
      <c r="D50" s="8"/>
      <c r="E50" s="8"/>
      <c r="F50" s="8"/>
    </row>
    <row r="51" customFormat="false" ht="15" hidden="false" customHeight="true" outlineLevel="0" collapsed="false">
      <c r="A51" s="10"/>
      <c r="B51" s="8"/>
      <c r="C51" s="8"/>
      <c r="D51" s="8"/>
      <c r="E51" s="8"/>
      <c r="F51" s="8"/>
    </row>
    <row r="52" customFormat="false" ht="15" hidden="false" customHeight="true" outlineLevel="0" collapsed="false">
      <c r="A52" s="10"/>
      <c r="B52" s="8"/>
      <c r="C52" s="8"/>
      <c r="D52" s="8"/>
      <c r="E52" s="8"/>
      <c r="F52" s="8"/>
    </row>
    <row r="53" customFormat="false" ht="15" hidden="false" customHeight="true" outlineLevel="0" collapsed="false">
      <c r="A53" s="10"/>
      <c r="B53" s="8"/>
      <c r="C53" s="8"/>
      <c r="D53" s="8"/>
      <c r="E53" s="8"/>
      <c r="F53" s="8"/>
    </row>
    <row r="54" customFormat="false" ht="15" hidden="false" customHeight="true" outlineLevel="0" collapsed="false">
      <c r="A54" s="10"/>
      <c r="B54" s="8"/>
      <c r="C54" s="8"/>
      <c r="D54" s="8"/>
      <c r="E54" s="8"/>
      <c r="F54" s="8"/>
    </row>
    <row r="55" customFormat="false" ht="15" hidden="false" customHeight="true" outlineLevel="0" collapsed="false">
      <c r="A55" s="10"/>
      <c r="B55" s="8"/>
      <c r="C55" s="8"/>
      <c r="D55" s="8"/>
      <c r="E55" s="8"/>
      <c r="F55" s="8"/>
    </row>
    <row r="56" customFormat="false" ht="15" hidden="false" customHeight="true" outlineLevel="0" collapsed="false">
      <c r="A56" s="10"/>
      <c r="B56" s="8"/>
      <c r="C56" s="8"/>
      <c r="D56" s="8"/>
      <c r="E56" s="8"/>
      <c r="F56" s="8"/>
    </row>
    <row r="57" customFormat="false" ht="15" hidden="false" customHeight="true" outlineLevel="0" collapsed="false">
      <c r="A57" s="10"/>
      <c r="B57" s="8"/>
      <c r="C57" s="8"/>
      <c r="D57" s="8"/>
      <c r="E57" s="8"/>
      <c r="F57" s="8"/>
    </row>
    <row r="58" customFormat="false" ht="15" hidden="false" customHeight="true" outlineLevel="0" collapsed="false">
      <c r="A58" s="10"/>
      <c r="B58" s="8"/>
      <c r="C58" s="8"/>
      <c r="D58" s="8"/>
      <c r="E58" s="8"/>
      <c r="F58" s="8"/>
    </row>
    <row r="59" customFormat="false" ht="15" hidden="false" customHeight="true" outlineLevel="0" collapsed="false">
      <c r="A59" s="10"/>
      <c r="B59" s="8"/>
      <c r="C59" s="8"/>
      <c r="D59" s="8"/>
      <c r="E59" s="8"/>
      <c r="F59" s="8"/>
    </row>
    <row r="60" customFormat="false" ht="15" hidden="false" customHeight="true" outlineLevel="0" collapsed="false">
      <c r="A60" s="10"/>
      <c r="B60" s="8"/>
      <c r="C60" s="8"/>
      <c r="D60" s="8"/>
      <c r="E60" s="8"/>
      <c r="F60" s="8"/>
    </row>
    <row r="61" customFormat="false" ht="15" hidden="false" customHeight="true" outlineLevel="0" collapsed="false">
      <c r="A61" s="10"/>
      <c r="B61" s="8"/>
      <c r="C61" s="8"/>
      <c r="D61" s="8"/>
      <c r="E61" s="8"/>
      <c r="F61" s="8"/>
    </row>
    <row r="62" customFormat="false" ht="15" hidden="false" customHeight="true" outlineLevel="0" collapsed="false">
      <c r="A62" s="10"/>
      <c r="B62" s="8"/>
      <c r="C62" s="8"/>
      <c r="D62" s="8"/>
      <c r="E62" s="8"/>
      <c r="F62" s="8"/>
    </row>
    <row r="63" customFormat="false" ht="15" hidden="false" customHeight="true" outlineLevel="0" collapsed="false">
      <c r="A63" s="10"/>
      <c r="B63" s="8"/>
      <c r="C63" s="8"/>
      <c r="D63" s="8"/>
      <c r="E63" s="8"/>
      <c r="F63" s="8"/>
    </row>
    <row r="64" customFormat="false" ht="15" hidden="false" customHeight="true" outlineLevel="0" collapsed="false">
      <c r="A64" s="10"/>
      <c r="B64" s="8"/>
      <c r="C64" s="8"/>
      <c r="D64" s="8"/>
      <c r="E64" s="8"/>
      <c r="F64" s="8"/>
    </row>
    <row r="65" customFormat="false" ht="15" hidden="false" customHeight="true" outlineLevel="0" collapsed="false">
      <c r="A65" s="10"/>
      <c r="B65" s="8"/>
      <c r="C65" s="8"/>
      <c r="D65" s="8"/>
      <c r="E65" s="8"/>
      <c r="F65" s="8"/>
    </row>
    <row r="66" customFormat="false" ht="15" hidden="false" customHeight="true" outlineLevel="0" collapsed="false">
      <c r="A66" s="10"/>
      <c r="B66" s="8"/>
      <c r="C66" s="8"/>
      <c r="D66" s="8"/>
      <c r="E66" s="8"/>
      <c r="F66" s="8"/>
    </row>
    <row r="67" customFormat="false" ht="15" hidden="false" customHeight="true" outlineLevel="0" collapsed="false">
      <c r="A67" s="10"/>
      <c r="B67" s="8"/>
      <c r="C67" s="8"/>
      <c r="D67" s="8"/>
      <c r="E67" s="8"/>
      <c r="F67" s="8"/>
    </row>
    <row r="68" customFormat="false" ht="15" hidden="false" customHeight="true" outlineLevel="0" collapsed="false">
      <c r="A68" s="10"/>
      <c r="B68" s="8"/>
      <c r="C68" s="8"/>
      <c r="D68" s="8"/>
      <c r="E68" s="8"/>
      <c r="F68" s="8"/>
    </row>
    <row r="69" customFormat="false" ht="15" hidden="false" customHeight="true" outlineLevel="0" collapsed="false">
      <c r="A69" s="10"/>
      <c r="B69" s="8"/>
      <c r="C69" s="8"/>
      <c r="D69" s="8"/>
      <c r="E69" s="8"/>
      <c r="F69" s="8"/>
    </row>
    <row r="70" customFormat="false" ht="15" hidden="false" customHeight="true" outlineLevel="0" collapsed="false">
      <c r="A70" s="10"/>
      <c r="B70" s="8"/>
      <c r="C70" s="8"/>
      <c r="D70" s="8"/>
      <c r="E70" s="8"/>
      <c r="F70" s="8"/>
    </row>
    <row r="71" customFormat="false" ht="15" hidden="false" customHeight="true" outlineLevel="0" collapsed="false">
      <c r="A71" s="10"/>
      <c r="B71" s="8"/>
      <c r="C71" s="8"/>
      <c r="D71" s="8"/>
      <c r="E71" s="8"/>
      <c r="F71" s="8"/>
    </row>
    <row r="72" customFormat="false" ht="15" hidden="false" customHeight="true" outlineLevel="0" collapsed="false">
      <c r="A72" s="10"/>
      <c r="B72" s="8"/>
      <c r="C72" s="8"/>
      <c r="D72" s="8"/>
      <c r="E72" s="8"/>
      <c r="F72" s="8"/>
    </row>
    <row r="73" customFormat="false" ht="15" hidden="false" customHeight="true" outlineLevel="0" collapsed="false">
      <c r="A73" s="10"/>
      <c r="B73" s="8"/>
      <c r="C73" s="8"/>
      <c r="D73" s="8"/>
      <c r="E73" s="8"/>
      <c r="F73" s="8"/>
    </row>
    <row r="74" customFormat="false" ht="15" hidden="false" customHeight="true" outlineLevel="0" collapsed="false">
      <c r="A74" s="10"/>
      <c r="B74" s="8"/>
      <c r="C74" s="8"/>
      <c r="D74" s="8"/>
      <c r="E74" s="8"/>
      <c r="F74" s="8"/>
    </row>
    <row r="75" customFormat="false" ht="15" hidden="false" customHeight="true" outlineLevel="0" collapsed="false">
      <c r="A75" s="10"/>
      <c r="B75" s="8"/>
      <c r="C75" s="8"/>
      <c r="D75" s="8"/>
      <c r="E75" s="8"/>
      <c r="F75" s="8"/>
    </row>
    <row r="76" customFormat="false" ht="15" hidden="false" customHeight="true" outlineLevel="0" collapsed="false">
      <c r="A76" s="10"/>
      <c r="B76" s="8"/>
      <c r="C76" s="8"/>
      <c r="D76" s="8"/>
      <c r="E76" s="8"/>
      <c r="F76" s="8"/>
    </row>
    <row r="77" customFormat="false" ht="15" hidden="false" customHeight="true" outlineLevel="0" collapsed="false">
      <c r="A77" s="10"/>
      <c r="B77" s="8"/>
      <c r="C77" s="8"/>
      <c r="D77" s="8"/>
      <c r="E77" s="8"/>
      <c r="F77" s="8"/>
    </row>
    <row r="78" customFormat="false" ht="15" hidden="false" customHeight="true" outlineLevel="0" collapsed="false">
      <c r="A78" s="10"/>
      <c r="B78" s="8"/>
      <c r="C78" s="8"/>
      <c r="D78" s="8"/>
      <c r="E78" s="8"/>
      <c r="F78" s="8"/>
    </row>
    <row r="79" customFormat="false" ht="15" hidden="false" customHeight="true" outlineLevel="0" collapsed="false">
      <c r="A79" s="10"/>
      <c r="B79" s="8"/>
      <c r="C79" s="8"/>
      <c r="D79" s="8"/>
      <c r="E79" s="8"/>
      <c r="F79" s="8"/>
    </row>
    <row r="80" customFormat="false" ht="15" hidden="false" customHeight="true" outlineLevel="0" collapsed="false">
      <c r="A80" s="10"/>
      <c r="B80" s="8"/>
      <c r="C80" s="8"/>
      <c r="D80" s="8"/>
      <c r="E80" s="8"/>
      <c r="F80" s="8"/>
    </row>
    <row r="81" customFormat="false" ht="15" hidden="false" customHeight="true" outlineLevel="0" collapsed="false">
      <c r="A81" s="10"/>
      <c r="B81" s="8"/>
      <c r="C81" s="8"/>
      <c r="D81" s="8"/>
      <c r="E81" s="8"/>
      <c r="F81" s="8"/>
    </row>
    <row r="82" customFormat="false" ht="15" hidden="false" customHeight="true" outlineLevel="0" collapsed="false">
      <c r="A82" s="10"/>
      <c r="B82" s="8"/>
      <c r="C82" s="8"/>
      <c r="D82" s="8"/>
      <c r="E82" s="8"/>
      <c r="F82" s="8"/>
    </row>
    <row r="83" customFormat="false" ht="15" hidden="false" customHeight="true" outlineLevel="0" collapsed="false">
      <c r="A83" s="10"/>
      <c r="B83" s="8"/>
      <c r="C83" s="8"/>
      <c r="D83" s="8"/>
      <c r="E83" s="8"/>
      <c r="F83" s="8"/>
    </row>
    <row r="84" customFormat="false" ht="15" hidden="false" customHeight="true" outlineLevel="0" collapsed="false">
      <c r="A84" s="10"/>
      <c r="B84" s="8"/>
      <c r="C84" s="8"/>
      <c r="D84" s="8"/>
      <c r="E84" s="8"/>
      <c r="F84" s="8"/>
    </row>
    <row r="85" customFormat="false" ht="15" hidden="false" customHeight="true" outlineLevel="0" collapsed="false">
      <c r="A85" s="10"/>
      <c r="B85" s="8"/>
      <c r="C85" s="8"/>
      <c r="D85" s="8"/>
      <c r="E85" s="8"/>
      <c r="F85" s="8"/>
    </row>
    <row r="86" customFormat="false" ht="15" hidden="false" customHeight="true" outlineLevel="0" collapsed="false">
      <c r="A86" s="10"/>
      <c r="B86" s="8"/>
      <c r="C86" s="8"/>
      <c r="D86" s="8"/>
      <c r="E86" s="8"/>
      <c r="F86" s="8"/>
    </row>
    <row r="87" customFormat="false" ht="15" hidden="false" customHeight="true" outlineLevel="0" collapsed="false">
      <c r="A87" s="10"/>
      <c r="B87" s="8"/>
      <c r="C87" s="8"/>
      <c r="D87" s="8"/>
      <c r="E87" s="8"/>
      <c r="F87" s="8"/>
    </row>
    <row r="88" customFormat="false" ht="15" hidden="false" customHeight="true" outlineLevel="0" collapsed="false">
      <c r="A88" s="10"/>
      <c r="B88" s="8"/>
      <c r="C88" s="8"/>
      <c r="D88" s="8"/>
      <c r="E88" s="8"/>
      <c r="F88" s="8"/>
    </row>
    <row r="89" customFormat="false" ht="15" hidden="false" customHeight="true" outlineLevel="0" collapsed="false">
      <c r="A89" s="10"/>
      <c r="B89" s="8"/>
      <c r="C89" s="8"/>
      <c r="D89" s="8"/>
      <c r="E89" s="8"/>
      <c r="F89" s="8"/>
    </row>
    <row r="90" customFormat="false" ht="15" hidden="false" customHeight="true" outlineLevel="0" collapsed="false">
      <c r="A90" s="10"/>
      <c r="B90" s="8"/>
      <c r="C90" s="8"/>
      <c r="D90" s="8"/>
      <c r="E90" s="8"/>
      <c r="F90" s="8"/>
    </row>
    <row r="91" customFormat="false" ht="15" hidden="false" customHeight="true" outlineLevel="0" collapsed="false">
      <c r="A91" s="10"/>
      <c r="B91" s="8"/>
      <c r="C91" s="8"/>
      <c r="D91" s="8"/>
      <c r="E91" s="8"/>
      <c r="F91" s="8"/>
    </row>
    <row r="92" customFormat="false" ht="15" hidden="false" customHeight="true" outlineLevel="0" collapsed="false">
      <c r="A92" s="10"/>
      <c r="B92" s="8"/>
      <c r="C92" s="8"/>
      <c r="D92" s="8"/>
      <c r="E92" s="8"/>
      <c r="F92" s="8"/>
    </row>
    <row r="93" customFormat="false" ht="15" hidden="false" customHeight="true" outlineLevel="0" collapsed="false">
      <c r="A93" s="10"/>
      <c r="B93" s="8"/>
      <c r="C93" s="8"/>
      <c r="D93" s="8"/>
      <c r="E93" s="8"/>
      <c r="F93" s="8"/>
    </row>
    <row r="94" customFormat="false" ht="15" hidden="false" customHeight="true" outlineLevel="0" collapsed="false">
      <c r="A94" s="10"/>
      <c r="B94" s="8"/>
      <c r="C94" s="8"/>
      <c r="D94" s="8"/>
      <c r="E94" s="8"/>
      <c r="F94" s="8"/>
    </row>
    <row r="95" customFormat="false" ht="15" hidden="false" customHeight="true" outlineLevel="0" collapsed="false">
      <c r="A95" s="10"/>
      <c r="B95" s="8"/>
      <c r="C95" s="8"/>
      <c r="D95" s="8"/>
      <c r="E95" s="8"/>
      <c r="F95" s="8"/>
    </row>
    <row r="96" customFormat="false" ht="15" hidden="false" customHeight="true" outlineLevel="0" collapsed="false">
      <c r="A96" s="10"/>
      <c r="B96" s="8"/>
      <c r="C96" s="8"/>
      <c r="D96" s="8"/>
      <c r="E96" s="8"/>
      <c r="F96" s="8"/>
    </row>
    <row r="97" customFormat="false" ht="15" hidden="false" customHeight="true" outlineLevel="0" collapsed="false">
      <c r="A97" s="10"/>
      <c r="B97" s="8"/>
      <c r="C97" s="8"/>
      <c r="D97" s="8"/>
      <c r="E97" s="8"/>
      <c r="F97" s="8"/>
    </row>
    <row r="98" customFormat="false" ht="15" hidden="false" customHeight="true" outlineLevel="0" collapsed="false">
      <c r="A98" s="10"/>
      <c r="B98" s="8"/>
      <c r="C98" s="8"/>
      <c r="D98" s="8"/>
      <c r="E98" s="8"/>
      <c r="F98" s="8"/>
    </row>
    <row r="99" customFormat="false" ht="15" hidden="false" customHeight="true" outlineLevel="0" collapsed="false">
      <c r="A99" s="10"/>
      <c r="B99" s="8"/>
      <c r="C99" s="8"/>
      <c r="D99" s="8"/>
      <c r="E99" s="8"/>
      <c r="F99" s="8"/>
    </row>
    <row r="100" customFormat="false" ht="15" hidden="false" customHeight="true" outlineLevel="0" collapsed="false">
      <c r="A100" s="10"/>
      <c r="B100" s="8"/>
      <c r="C100" s="8"/>
      <c r="D100" s="8"/>
      <c r="E100" s="8"/>
      <c r="F100" s="8"/>
    </row>
    <row r="101" customFormat="false" ht="15" hidden="false" customHeight="true" outlineLevel="0" collapsed="false">
      <c r="A101" s="10"/>
      <c r="B101" s="8"/>
      <c r="C101" s="8"/>
      <c r="D101" s="8"/>
      <c r="E101" s="8"/>
      <c r="F101" s="8"/>
    </row>
    <row r="102" customFormat="false" ht="15" hidden="false" customHeight="true" outlineLevel="0" collapsed="false">
      <c r="A102" s="10"/>
      <c r="B102" s="8"/>
      <c r="C102" s="8"/>
      <c r="D102" s="8"/>
      <c r="E102" s="8"/>
      <c r="F102" s="8"/>
    </row>
    <row r="103" customFormat="false" ht="15" hidden="false" customHeight="true" outlineLevel="0" collapsed="false">
      <c r="A103" s="10"/>
      <c r="B103" s="8"/>
      <c r="C103" s="8"/>
      <c r="D103" s="8"/>
      <c r="E103" s="8"/>
      <c r="F103" s="8"/>
    </row>
    <row r="104" customFormat="false" ht="15" hidden="false" customHeight="true" outlineLevel="0" collapsed="false">
      <c r="A104" s="10"/>
      <c r="B104" s="8"/>
      <c r="C104" s="8"/>
      <c r="D104" s="8"/>
      <c r="E104" s="8"/>
      <c r="F104" s="8"/>
    </row>
    <row r="105" customFormat="false" ht="15" hidden="false" customHeight="true" outlineLevel="0" collapsed="false">
      <c r="A105" s="10"/>
      <c r="B105" s="8"/>
      <c r="C105" s="8"/>
      <c r="D105" s="8"/>
      <c r="E105" s="8"/>
      <c r="F105" s="8"/>
    </row>
    <row r="106" customFormat="false" ht="15" hidden="false" customHeight="true" outlineLevel="0" collapsed="false">
      <c r="A106" s="10"/>
      <c r="B106" s="8"/>
      <c r="C106" s="8"/>
      <c r="D106" s="8"/>
      <c r="E106" s="8"/>
      <c r="F106" s="8"/>
    </row>
    <row r="107" customFormat="false" ht="15" hidden="false" customHeight="true" outlineLevel="0" collapsed="false">
      <c r="A107" s="10"/>
      <c r="B107" s="8"/>
      <c r="C107" s="8"/>
      <c r="D107" s="8"/>
      <c r="E107" s="8"/>
      <c r="F107" s="8"/>
    </row>
    <row r="108" customFormat="false" ht="15" hidden="false" customHeight="true" outlineLevel="0" collapsed="false">
      <c r="A108" s="10"/>
      <c r="B108" s="8"/>
      <c r="C108" s="8"/>
      <c r="D108" s="8"/>
      <c r="E108" s="8"/>
      <c r="F108" s="8"/>
    </row>
    <row r="109" customFormat="false" ht="15" hidden="false" customHeight="true" outlineLevel="0" collapsed="false">
      <c r="A109" s="10"/>
      <c r="B109" s="8"/>
      <c r="C109" s="8"/>
      <c r="D109" s="8"/>
      <c r="E109" s="8"/>
      <c r="F109" s="8"/>
    </row>
    <row r="110" customFormat="false" ht="15" hidden="false" customHeight="true" outlineLevel="0" collapsed="false">
      <c r="A110" s="10"/>
      <c r="B110" s="8"/>
      <c r="C110" s="8"/>
      <c r="D110" s="8"/>
      <c r="E110" s="8"/>
      <c r="F110" s="8"/>
    </row>
    <row r="111" customFormat="false" ht="15" hidden="false" customHeight="true" outlineLevel="0" collapsed="false">
      <c r="A111" s="10"/>
      <c r="B111" s="8"/>
      <c r="C111" s="8"/>
      <c r="D111" s="8"/>
      <c r="E111" s="8"/>
      <c r="F111" s="8"/>
    </row>
    <row r="112" customFormat="false" ht="15" hidden="false" customHeight="true" outlineLevel="0" collapsed="false">
      <c r="A112" s="10"/>
      <c r="B112" s="8"/>
      <c r="C112" s="8"/>
      <c r="D112" s="8"/>
      <c r="E112" s="8"/>
      <c r="F112" s="8"/>
    </row>
    <row r="113" customFormat="false" ht="15" hidden="false" customHeight="true" outlineLevel="0" collapsed="false">
      <c r="A113" s="10"/>
      <c r="B113" s="8"/>
      <c r="C113" s="8"/>
      <c r="D113" s="8"/>
      <c r="E113" s="8"/>
      <c r="F113" s="8"/>
    </row>
    <row r="114" customFormat="false" ht="15" hidden="false" customHeight="true" outlineLevel="0" collapsed="false">
      <c r="A114" s="10"/>
      <c r="B114" s="8"/>
      <c r="C114" s="8"/>
      <c r="D114" s="8"/>
      <c r="E114" s="8"/>
      <c r="F114" s="8"/>
    </row>
    <row r="115" customFormat="false" ht="15" hidden="false" customHeight="true" outlineLevel="0" collapsed="false">
      <c r="A115" s="10"/>
      <c r="B115" s="8"/>
      <c r="C115" s="8"/>
      <c r="D115" s="8"/>
      <c r="E115" s="8"/>
      <c r="F115" s="8"/>
    </row>
    <row r="116" customFormat="false" ht="15" hidden="false" customHeight="true" outlineLevel="0" collapsed="false">
      <c r="A116" s="10"/>
      <c r="B116" s="8"/>
      <c r="C116" s="8"/>
      <c r="D116" s="8"/>
      <c r="E116" s="8"/>
      <c r="F116" s="8"/>
    </row>
    <row r="117" customFormat="false" ht="15" hidden="false" customHeight="true" outlineLevel="0" collapsed="false">
      <c r="A117" s="10"/>
      <c r="B117" s="8"/>
      <c r="C117" s="8"/>
      <c r="D117" s="8"/>
      <c r="E117" s="8"/>
      <c r="F117" s="8"/>
    </row>
    <row r="118" customFormat="false" ht="15" hidden="false" customHeight="true" outlineLevel="0" collapsed="false">
      <c r="A118" s="10"/>
      <c r="B118" s="8"/>
      <c r="C118" s="8"/>
      <c r="D118" s="8"/>
      <c r="E118" s="8"/>
      <c r="F118" s="8"/>
    </row>
    <row r="119" customFormat="false" ht="15" hidden="false" customHeight="true" outlineLevel="0" collapsed="false">
      <c r="A119" s="10"/>
      <c r="B119" s="8"/>
      <c r="C119" s="8"/>
      <c r="D119" s="8"/>
      <c r="E119" s="8"/>
      <c r="F119" s="8"/>
    </row>
    <row r="120" customFormat="false" ht="15" hidden="false" customHeight="true" outlineLevel="0" collapsed="false">
      <c r="A120" s="10"/>
      <c r="B120" s="8"/>
      <c r="C120" s="8"/>
      <c r="D120" s="8"/>
      <c r="E120" s="8"/>
      <c r="F120" s="8"/>
    </row>
    <row r="121" customFormat="false" ht="15" hidden="false" customHeight="true" outlineLevel="0" collapsed="false">
      <c r="A121" s="10"/>
      <c r="B121" s="8"/>
      <c r="C121" s="8"/>
      <c r="D121" s="8"/>
      <c r="E121" s="8"/>
      <c r="F121" s="8"/>
    </row>
    <row r="122" customFormat="false" ht="15" hidden="false" customHeight="true" outlineLevel="0" collapsed="false">
      <c r="A122" s="10"/>
      <c r="B122" s="8"/>
      <c r="C122" s="8"/>
      <c r="D122" s="8"/>
      <c r="E122" s="8"/>
      <c r="F122" s="8"/>
    </row>
    <row r="123" customFormat="false" ht="15" hidden="false" customHeight="true" outlineLevel="0" collapsed="false">
      <c r="A123" s="10"/>
      <c r="B123" s="8"/>
      <c r="C123" s="8"/>
      <c r="D123" s="8"/>
      <c r="E123" s="8"/>
      <c r="F123" s="8"/>
    </row>
    <row r="124" customFormat="false" ht="15" hidden="false" customHeight="true" outlineLevel="0" collapsed="false">
      <c r="A124" s="10"/>
      <c r="B124" s="8"/>
      <c r="C124" s="8"/>
      <c r="D124" s="8"/>
      <c r="E124" s="8"/>
      <c r="F124" s="8"/>
    </row>
    <row r="125" customFormat="false" ht="15" hidden="false" customHeight="true" outlineLevel="0" collapsed="false">
      <c r="A125" s="10"/>
      <c r="B125" s="8"/>
      <c r="C125" s="8"/>
      <c r="D125" s="8"/>
      <c r="E125" s="8"/>
      <c r="F125" s="8"/>
    </row>
    <row r="126" customFormat="false" ht="15" hidden="false" customHeight="true" outlineLevel="0" collapsed="false">
      <c r="A126" s="10"/>
      <c r="B126" s="8"/>
      <c r="C126" s="8"/>
      <c r="D126" s="8"/>
      <c r="E126" s="8"/>
      <c r="F126" s="8"/>
    </row>
    <row r="127" customFormat="false" ht="15" hidden="false" customHeight="true" outlineLevel="0" collapsed="false">
      <c r="A127" s="10"/>
      <c r="B127" s="8"/>
      <c r="C127" s="8"/>
      <c r="D127" s="8"/>
      <c r="E127" s="8"/>
      <c r="F127" s="8"/>
    </row>
    <row r="128" customFormat="false" ht="15" hidden="false" customHeight="true" outlineLevel="0" collapsed="false">
      <c r="A128" s="10"/>
      <c r="B128" s="8"/>
      <c r="C128" s="8"/>
      <c r="D128" s="8"/>
      <c r="E128" s="8"/>
      <c r="F128" s="8"/>
    </row>
    <row r="129" customFormat="false" ht="15" hidden="false" customHeight="true" outlineLevel="0" collapsed="false">
      <c r="A129" s="10"/>
      <c r="B129" s="8"/>
      <c r="C129" s="8"/>
      <c r="D129" s="8"/>
      <c r="E129" s="8"/>
      <c r="F129" s="8"/>
    </row>
    <row r="130" customFormat="false" ht="15" hidden="false" customHeight="true" outlineLevel="0" collapsed="false">
      <c r="A130" s="10"/>
      <c r="B130" s="8"/>
      <c r="C130" s="8"/>
      <c r="D130" s="8"/>
      <c r="E130" s="8"/>
      <c r="F130" s="8"/>
    </row>
    <row r="131" customFormat="false" ht="15" hidden="false" customHeight="true" outlineLevel="0" collapsed="false">
      <c r="A131" s="10"/>
      <c r="B131" s="8"/>
      <c r="C131" s="8"/>
      <c r="D131" s="8"/>
      <c r="E131" s="8"/>
      <c r="F131" s="8"/>
    </row>
    <row r="132" customFormat="false" ht="15" hidden="false" customHeight="true" outlineLevel="0" collapsed="false">
      <c r="A132" s="10"/>
      <c r="B132" s="8"/>
      <c r="C132" s="8"/>
      <c r="D132" s="8"/>
      <c r="E132" s="8"/>
      <c r="F132" s="8"/>
    </row>
    <row r="133" customFormat="false" ht="15" hidden="false" customHeight="true" outlineLevel="0" collapsed="false">
      <c r="A133" s="10"/>
      <c r="B133" s="8"/>
      <c r="C133" s="8"/>
      <c r="D133" s="8"/>
      <c r="E133" s="8"/>
      <c r="F133" s="8"/>
    </row>
    <row r="134" customFormat="false" ht="15" hidden="false" customHeight="true" outlineLevel="0" collapsed="false">
      <c r="A134" s="10"/>
      <c r="B134" s="8"/>
      <c r="C134" s="8"/>
      <c r="D134" s="8"/>
      <c r="E134" s="8"/>
      <c r="F134" s="8"/>
    </row>
    <row r="135" customFormat="false" ht="15" hidden="false" customHeight="true" outlineLevel="0" collapsed="false">
      <c r="A135" s="10"/>
      <c r="B135" s="8"/>
      <c r="C135" s="8"/>
      <c r="D135" s="8"/>
      <c r="E135" s="8"/>
      <c r="F135" s="8"/>
    </row>
    <row r="136" customFormat="false" ht="15" hidden="false" customHeight="true" outlineLevel="0" collapsed="false">
      <c r="A136" s="10"/>
      <c r="B136" s="8"/>
      <c r="C136" s="8"/>
      <c r="D136" s="8"/>
      <c r="E136" s="8"/>
      <c r="F136" s="8"/>
    </row>
    <row r="137" customFormat="false" ht="15" hidden="false" customHeight="true" outlineLevel="0" collapsed="false">
      <c r="A137" s="10"/>
      <c r="B137" s="8"/>
      <c r="C137" s="8"/>
      <c r="D137" s="8"/>
      <c r="E137" s="8"/>
      <c r="F137" s="8"/>
    </row>
    <row r="138" customFormat="false" ht="15" hidden="false" customHeight="true" outlineLevel="0" collapsed="false">
      <c r="A138" s="10"/>
      <c r="B138" s="8"/>
      <c r="C138" s="8"/>
      <c r="D138" s="8"/>
      <c r="E138" s="8"/>
      <c r="F138" s="8"/>
    </row>
    <row r="139" customFormat="false" ht="15" hidden="false" customHeight="true" outlineLevel="0" collapsed="false">
      <c r="A139" s="10"/>
      <c r="B139" s="8"/>
      <c r="C139" s="8"/>
      <c r="D139" s="8"/>
      <c r="E139" s="8"/>
      <c r="F139" s="8"/>
    </row>
    <row r="140" customFormat="false" ht="15" hidden="false" customHeight="true" outlineLevel="0" collapsed="false">
      <c r="A140" s="10"/>
      <c r="B140" s="8"/>
      <c r="C140" s="8"/>
      <c r="D140" s="8"/>
      <c r="E140" s="8"/>
      <c r="F140" s="8"/>
    </row>
    <row r="141" customFormat="false" ht="15" hidden="false" customHeight="true" outlineLevel="0" collapsed="false">
      <c r="A141" s="10"/>
      <c r="B141" s="8"/>
      <c r="C141" s="8"/>
      <c r="D141" s="8"/>
      <c r="E141" s="8"/>
      <c r="F141" s="8"/>
    </row>
    <row r="142" customFormat="false" ht="15" hidden="false" customHeight="true" outlineLevel="0" collapsed="false">
      <c r="A142" s="10"/>
      <c r="B142" s="8"/>
      <c r="C142" s="8"/>
      <c r="D142" s="8"/>
      <c r="E142" s="8"/>
      <c r="F142" s="8"/>
    </row>
    <row r="143" customFormat="false" ht="15" hidden="false" customHeight="true" outlineLevel="0" collapsed="false">
      <c r="A143" s="10"/>
      <c r="B143" s="8"/>
      <c r="C143" s="8"/>
      <c r="D143" s="8"/>
      <c r="E143" s="8"/>
      <c r="F143" s="8"/>
    </row>
    <row r="144" customFormat="false" ht="15" hidden="false" customHeight="true" outlineLevel="0" collapsed="false">
      <c r="A144" s="10"/>
      <c r="B144" s="8"/>
      <c r="C144" s="8"/>
      <c r="D144" s="8"/>
      <c r="E144" s="8"/>
      <c r="F144" s="8"/>
    </row>
    <row r="145" customFormat="false" ht="15" hidden="false" customHeight="true" outlineLevel="0" collapsed="false">
      <c r="A145" s="10"/>
      <c r="B145" s="8"/>
      <c r="C145" s="8"/>
      <c r="D145" s="8"/>
      <c r="E145" s="8"/>
      <c r="F145" s="8"/>
    </row>
    <row r="146" customFormat="false" ht="15" hidden="false" customHeight="true" outlineLevel="0" collapsed="false">
      <c r="A146" s="10"/>
      <c r="B146" s="8"/>
      <c r="C146" s="8"/>
      <c r="D146" s="8"/>
      <c r="E146" s="8"/>
      <c r="F146" s="8"/>
    </row>
    <row r="147" customFormat="false" ht="15" hidden="false" customHeight="true" outlineLevel="0" collapsed="false">
      <c r="A147" s="10"/>
      <c r="B147" s="8"/>
      <c r="C147" s="8"/>
      <c r="D147" s="8"/>
      <c r="E147" s="8"/>
      <c r="F147" s="8"/>
    </row>
    <row r="148" customFormat="false" ht="15" hidden="false" customHeight="true" outlineLevel="0" collapsed="false">
      <c r="A148" s="10"/>
      <c r="B148" s="8"/>
      <c r="C148" s="8"/>
      <c r="D148" s="8"/>
      <c r="E148" s="8"/>
      <c r="F148" s="8"/>
    </row>
    <row r="149" customFormat="false" ht="15" hidden="false" customHeight="true" outlineLevel="0" collapsed="false">
      <c r="A149" s="10"/>
      <c r="B149" s="8"/>
      <c r="C149" s="8"/>
      <c r="D149" s="8"/>
      <c r="E149" s="8"/>
      <c r="F149" s="8"/>
    </row>
    <row r="150" customFormat="false" ht="15" hidden="false" customHeight="true" outlineLevel="0" collapsed="false">
      <c r="A150" s="10"/>
      <c r="B150" s="8"/>
      <c r="C150" s="8"/>
      <c r="D150" s="8"/>
      <c r="E150" s="8"/>
      <c r="F150" s="8"/>
    </row>
    <row r="151" customFormat="false" ht="15" hidden="false" customHeight="true" outlineLevel="0" collapsed="false">
      <c r="A151" s="10"/>
      <c r="B151" s="8"/>
      <c r="C151" s="8"/>
      <c r="D151" s="8"/>
      <c r="E151" s="8"/>
      <c r="F151" s="8"/>
    </row>
    <row r="152" customFormat="false" ht="15" hidden="false" customHeight="true" outlineLevel="0" collapsed="false">
      <c r="A152" s="10"/>
      <c r="B152" s="8"/>
      <c r="C152" s="8"/>
      <c r="D152" s="8"/>
      <c r="E152" s="8"/>
      <c r="F152" s="8"/>
    </row>
    <row r="153" customFormat="false" ht="15" hidden="false" customHeight="true" outlineLevel="0" collapsed="false">
      <c r="A153" s="10"/>
      <c r="B153" s="8"/>
      <c r="C153" s="8"/>
      <c r="D153" s="8"/>
      <c r="E153" s="8"/>
      <c r="F153" s="8"/>
    </row>
    <row r="154" customFormat="false" ht="15" hidden="false" customHeight="true" outlineLevel="0" collapsed="false">
      <c r="A154" s="10"/>
      <c r="B154" s="8"/>
      <c r="C154" s="8"/>
      <c r="D154" s="8"/>
      <c r="E154" s="8"/>
      <c r="F154" s="8"/>
    </row>
    <row r="155" customFormat="false" ht="15" hidden="false" customHeight="true" outlineLevel="0" collapsed="false">
      <c r="A155" s="10"/>
      <c r="B155" s="8"/>
      <c r="C155" s="8"/>
      <c r="D155" s="8"/>
      <c r="E155" s="8"/>
      <c r="F155" s="8"/>
    </row>
    <row r="156" customFormat="false" ht="15" hidden="false" customHeight="true" outlineLevel="0" collapsed="false">
      <c r="A156" s="10"/>
      <c r="B156" s="8"/>
      <c r="C156" s="8"/>
      <c r="D156" s="8"/>
      <c r="E156" s="8"/>
      <c r="F156" s="8"/>
    </row>
    <row r="157" customFormat="false" ht="15" hidden="false" customHeight="true" outlineLevel="0" collapsed="false">
      <c r="A157" s="10"/>
      <c r="B157" s="8"/>
      <c r="C157" s="8"/>
      <c r="D157" s="8"/>
      <c r="E157" s="8"/>
      <c r="F157" s="8"/>
    </row>
    <row r="158" customFormat="false" ht="15" hidden="false" customHeight="true" outlineLevel="0" collapsed="false">
      <c r="A158" s="10"/>
      <c r="B158" s="8"/>
      <c r="C158" s="8"/>
      <c r="D158" s="8"/>
      <c r="E158" s="8"/>
      <c r="F158" s="8"/>
    </row>
    <row r="159" customFormat="false" ht="15" hidden="false" customHeight="true" outlineLevel="0" collapsed="false">
      <c r="A159" s="10"/>
      <c r="B159" s="8"/>
      <c r="C159" s="8"/>
      <c r="D159" s="8"/>
      <c r="E159" s="8"/>
      <c r="F159" s="8"/>
    </row>
    <row r="160" customFormat="false" ht="15" hidden="false" customHeight="true" outlineLevel="0" collapsed="false">
      <c r="A160" s="10"/>
      <c r="B160" s="8"/>
      <c r="C160" s="8"/>
      <c r="D160" s="8"/>
      <c r="E160" s="8"/>
      <c r="F160" s="8"/>
    </row>
    <row r="161" customFormat="false" ht="15" hidden="false" customHeight="true" outlineLevel="0" collapsed="false">
      <c r="A161" s="10"/>
      <c r="B161" s="8"/>
      <c r="C161" s="8"/>
      <c r="D161" s="8"/>
      <c r="E161" s="8"/>
      <c r="F161" s="8"/>
    </row>
    <row r="162" customFormat="false" ht="15" hidden="false" customHeight="true" outlineLevel="0" collapsed="false">
      <c r="A162" s="10"/>
      <c r="B162" s="8"/>
      <c r="C162" s="8"/>
      <c r="D162" s="8"/>
      <c r="E162" s="8"/>
      <c r="F162" s="8"/>
    </row>
    <row r="163" customFormat="false" ht="15" hidden="false" customHeight="true" outlineLevel="0" collapsed="false">
      <c r="A163" s="10"/>
      <c r="B163" s="8"/>
      <c r="C163" s="8"/>
      <c r="D163" s="8"/>
      <c r="E163" s="8"/>
      <c r="F163" s="8"/>
    </row>
    <row r="164" customFormat="false" ht="15" hidden="false" customHeight="true" outlineLevel="0" collapsed="false">
      <c r="A164" s="10"/>
      <c r="B164" s="8"/>
      <c r="C164" s="8"/>
      <c r="D164" s="8"/>
      <c r="E164" s="8"/>
      <c r="F164" s="8"/>
    </row>
    <row r="165" customFormat="false" ht="15" hidden="false" customHeight="true" outlineLevel="0" collapsed="false">
      <c r="A165" s="10"/>
      <c r="B165" s="8"/>
      <c r="C165" s="8"/>
      <c r="D165" s="8"/>
      <c r="E165" s="8"/>
      <c r="F165" s="8"/>
    </row>
    <row r="166" customFormat="false" ht="15" hidden="false" customHeight="true" outlineLevel="0" collapsed="false">
      <c r="A166" s="10"/>
      <c r="B166" s="8"/>
      <c r="C166" s="8"/>
      <c r="D166" s="8"/>
      <c r="E166" s="8"/>
      <c r="F166" s="8"/>
    </row>
    <row r="167" customFormat="false" ht="15" hidden="false" customHeight="true" outlineLevel="0" collapsed="false">
      <c r="A167" s="10"/>
      <c r="B167" s="8"/>
      <c r="C167" s="8"/>
      <c r="D167" s="8"/>
      <c r="E167" s="8"/>
      <c r="F167" s="8"/>
    </row>
    <row r="168" customFormat="false" ht="15" hidden="false" customHeight="true" outlineLevel="0" collapsed="false">
      <c r="A168" s="10"/>
      <c r="B168" s="8"/>
      <c r="C168" s="8"/>
      <c r="D168" s="8"/>
      <c r="E168" s="8"/>
      <c r="F168" s="8"/>
    </row>
    <row r="169" customFormat="false" ht="15" hidden="false" customHeight="true" outlineLevel="0" collapsed="false">
      <c r="A169" s="10"/>
      <c r="B169" s="8"/>
      <c r="C169" s="8"/>
      <c r="D169" s="8"/>
      <c r="E169" s="8"/>
      <c r="F169" s="8"/>
    </row>
    <row r="170" customFormat="false" ht="15" hidden="false" customHeight="true" outlineLevel="0" collapsed="false">
      <c r="A170" s="10"/>
      <c r="B170" s="8"/>
      <c r="C170" s="8"/>
      <c r="D170" s="8"/>
      <c r="E170" s="8"/>
      <c r="F170" s="8"/>
    </row>
    <row r="171" customFormat="false" ht="15" hidden="false" customHeight="true" outlineLevel="0" collapsed="false">
      <c r="A171" s="10"/>
      <c r="B171" s="8"/>
      <c r="C171" s="8"/>
      <c r="D171" s="8"/>
      <c r="E171" s="8"/>
      <c r="F171" s="8"/>
    </row>
    <row r="172" customFormat="false" ht="15" hidden="false" customHeight="true" outlineLevel="0" collapsed="false">
      <c r="A172" s="10"/>
      <c r="B172" s="8"/>
      <c r="C172" s="8"/>
      <c r="D172" s="8"/>
      <c r="E172" s="8"/>
      <c r="F172" s="8"/>
    </row>
    <row r="173" customFormat="false" ht="15" hidden="false" customHeight="true" outlineLevel="0" collapsed="false">
      <c r="A173" s="10"/>
      <c r="B173" s="8"/>
      <c r="C173" s="8"/>
      <c r="D173" s="8"/>
      <c r="E173" s="8"/>
      <c r="F173" s="8"/>
    </row>
    <row r="174" customFormat="false" ht="15" hidden="false" customHeight="true" outlineLevel="0" collapsed="false">
      <c r="A174" s="10"/>
      <c r="B174" s="8"/>
      <c r="C174" s="8"/>
      <c r="D174" s="8"/>
      <c r="E174" s="8"/>
      <c r="F174" s="8"/>
    </row>
    <row r="175" customFormat="false" ht="15" hidden="false" customHeight="true" outlineLevel="0" collapsed="false">
      <c r="A175" s="10"/>
      <c r="B175" s="8"/>
      <c r="C175" s="8"/>
      <c r="D175" s="8"/>
      <c r="E175" s="8"/>
      <c r="F175" s="8"/>
    </row>
    <row r="176" customFormat="false" ht="15" hidden="false" customHeight="true" outlineLevel="0" collapsed="false">
      <c r="A176" s="10"/>
      <c r="B176" s="8"/>
      <c r="C176" s="8"/>
      <c r="D176" s="8"/>
      <c r="E176" s="8"/>
      <c r="F176" s="8"/>
    </row>
    <row r="177" customFormat="false" ht="15" hidden="false" customHeight="true" outlineLevel="0" collapsed="false">
      <c r="A177" s="10"/>
      <c r="B177" s="8"/>
      <c r="C177" s="8"/>
      <c r="D177" s="8"/>
      <c r="E177" s="8"/>
      <c r="F177" s="8"/>
    </row>
    <row r="178" customFormat="false" ht="15" hidden="false" customHeight="true" outlineLevel="0" collapsed="false">
      <c r="A178" s="10"/>
      <c r="B178" s="8"/>
      <c r="C178" s="8"/>
      <c r="D178" s="8"/>
      <c r="E178" s="8"/>
      <c r="F178" s="8"/>
    </row>
    <row r="179" customFormat="false" ht="15" hidden="false" customHeight="true" outlineLevel="0" collapsed="false">
      <c r="A179" s="10"/>
      <c r="B179" s="8"/>
      <c r="C179" s="8"/>
      <c r="D179" s="8"/>
      <c r="E179" s="8"/>
      <c r="F179" s="8"/>
    </row>
    <row r="180" customFormat="false" ht="15" hidden="false" customHeight="true" outlineLevel="0" collapsed="false">
      <c r="A180" s="10"/>
      <c r="B180" s="8"/>
      <c r="C180" s="8"/>
      <c r="D180" s="8"/>
      <c r="E180" s="8"/>
      <c r="F180" s="8"/>
    </row>
    <row r="181" customFormat="false" ht="15" hidden="false" customHeight="true" outlineLevel="0" collapsed="false">
      <c r="A181" s="10"/>
      <c r="B181" s="8"/>
      <c r="C181" s="8"/>
      <c r="D181" s="8"/>
      <c r="E181" s="8"/>
      <c r="F181" s="8"/>
    </row>
    <row r="182" customFormat="false" ht="15" hidden="false" customHeight="true" outlineLevel="0" collapsed="false">
      <c r="A182" s="10"/>
      <c r="B182" s="8"/>
      <c r="C182" s="8"/>
      <c r="D182" s="8"/>
      <c r="E182" s="8"/>
      <c r="F182" s="8"/>
    </row>
    <row r="183" customFormat="false" ht="15" hidden="false" customHeight="true" outlineLevel="0" collapsed="false">
      <c r="A183" s="10"/>
      <c r="B183" s="8"/>
      <c r="C183" s="8"/>
      <c r="D183" s="8"/>
      <c r="E183" s="8"/>
      <c r="F183" s="8"/>
    </row>
    <row r="184" customFormat="false" ht="15" hidden="false" customHeight="true" outlineLevel="0" collapsed="false">
      <c r="A184" s="10"/>
      <c r="B184" s="8"/>
      <c r="C184" s="8"/>
      <c r="D184" s="8"/>
      <c r="E184" s="8"/>
      <c r="F184" s="8"/>
    </row>
    <row r="185" customFormat="false" ht="15" hidden="false" customHeight="true" outlineLevel="0" collapsed="false">
      <c r="A185" s="10"/>
      <c r="B185" s="8"/>
      <c r="C185" s="8"/>
      <c r="D185" s="8"/>
      <c r="E185" s="8"/>
      <c r="F185" s="8"/>
    </row>
    <row r="186" customFormat="false" ht="15" hidden="false" customHeight="true" outlineLevel="0" collapsed="false">
      <c r="A186" s="10"/>
      <c r="B186" s="8"/>
      <c r="C186" s="8"/>
      <c r="D186" s="8"/>
      <c r="E186" s="8"/>
      <c r="F186" s="8"/>
    </row>
    <row r="187" customFormat="false" ht="15" hidden="false" customHeight="true" outlineLevel="0" collapsed="false">
      <c r="A187" s="10"/>
      <c r="B187" s="8"/>
      <c r="C187" s="8"/>
      <c r="D187" s="8"/>
      <c r="E187" s="8"/>
      <c r="F187" s="8"/>
    </row>
    <row r="188" customFormat="false" ht="15" hidden="false" customHeight="true" outlineLevel="0" collapsed="false">
      <c r="A188" s="10"/>
      <c r="B188" s="8"/>
      <c r="C188" s="8"/>
      <c r="D188" s="8"/>
      <c r="E188" s="8"/>
      <c r="F188" s="8"/>
    </row>
    <row r="189" customFormat="false" ht="15" hidden="false" customHeight="true" outlineLevel="0" collapsed="false">
      <c r="A189" s="10"/>
      <c r="B189" s="8"/>
      <c r="C189" s="8"/>
      <c r="D189" s="8"/>
      <c r="E189" s="8"/>
      <c r="F189" s="8"/>
    </row>
    <row r="190" customFormat="false" ht="15" hidden="false" customHeight="true" outlineLevel="0" collapsed="false">
      <c r="A190" s="10"/>
      <c r="B190" s="8"/>
      <c r="C190" s="8"/>
      <c r="D190" s="8"/>
      <c r="E190" s="8"/>
      <c r="F190" s="8"/>
    </row>
    <row r="191" customFormat="false" ht="15" hidden="false" customHeight="true" outlineLevel="0" collapsed="false">
      <c r="A191" s="10"/>
      <c r="B191" s="8"/>
      <c r="C191" s="8"/>
      <c r="D191" s="8"/>
      <c r="E191" s="8"/>
      <c r="F191" s="8"/>
    </row>
    <row r="192" customFormat="false" ht="15" hidden="false" customHeight="true" outlineLevel="0" collapsed="false">
      <c r="A192" s="10"/>
      <c r="B192" s="8"/>
      <c r="C192" s="8"/>
      <c r="D192" s="8"/>
      <c r="E192" s="8"/>
      <c r="F192" s="8"/>
    </row>
    <row r="193" customFormat="false" ht="15" hidden="false" customHeight="true" outlineLevel="0" collapsed="false">
      <c r="A193" s="10"/>
      <c r="B193" s="8"/>
      <c r="C193" s="8"/>
      <c r="D193" s="8"/>
      <c r="E193" s="8"/>
      <c r="F193" s="8"/>
    </row>
    <row r="194" customFormat="false" ht="15" hidden="false" customHeight="true" outlineLevel="0" collapsed="false">
      <c r="A194" s="10"/>
      <c r="B194" s="8"/>
      <c r="C194" s="8"/>
      <c r="D194" s="8"/>
      <c r="E194" s="8"/>
      <c r="F194" s="8"/>
    </row>
    <row r="195" customFormat="false" ht="15" hidden="false" customHeight="true" outlineLevel="0" collapsed="false">
      <c r="A195" s="10"/>
      <c r="B195" s="8"/>
      <c r="C195" s="8"/>
      <c r="D195" s="8"/>
      <c r="E195" s="8"/>
      <c r="F195" s="8"/>
    </row>
    <row r="196" customFormat="false" ht="15" hidden="false" customHeight="true" outlineLevel="0" collapsed="false">
      <c r="A196" s="10"/>
      <c r="B196" s="8"/>
      <c r="C196" s="8"/>
      <c r="D196" s="8"/>
      <c r="E196" s="8"/>
      <c r="F196" s="8"/>
    </row>
    <row r="197" customFormat="false" ht="15" hidden="false" customHeight="true" outlineLevel="0" collapsed="false">
      <c r="A197" s="10"/>
      <c r="B197" s="8"/>
      <c r="C197" s="8"/>
      <c r="D197" s="8"/>
      <c r="E197" s="8"/>
      <c r="F197" s="8"/>
    </row>
    <row r="198" customFormat="false" ht="15" hidden="false" customHeight="true" outlineLevel="0" collapsed="false">
      <c r="A198" s="10"/>
      <c r="B198" s="8"/>
      <c r="C198" s="8"/>
      <c r="D198" s="8"/>
      <c r="E198" s="8"/>
      <c r="F198" s="8"/>
    </row>
    <row r="199" customFormat="false" ht="15" hidden="false" customHeight="true" outlineLevel="0" collapsed="false">
      <c r="A199" s="10"/>
      <c r="B199" s="8"/>
      <c r="C199" s="8"/>
      <c r="D199" s="8"/>
      <c r="E199" s="8"/>
      <c r="F199" s="8"/>
    </row>
    <row r="200" customFormat="false" ht="15" hidden="false" customHeight="true" outlineLevel="0" collapsed="false">
      <c r="A200" s="10"/>
      <c r="B200" s="8"/>
      <c r="C200" s="8"/>
      <c r="D200" s="8"/>
      <c r="E200" s="8"/>
      <c r="F200" s="8"/>
    </row>
    <row r="201" customFormat="false" ht="15" hidden="false" customHeight="true" outlineLevel="0" collapsed="false">
      <c r="A201" s="10"/>
      <c r="B201" s="8"/>
      <c r="C201" s="8"/>
      <c r="D201" s="8"/>
      <c r="E201" s="8"/>
      <c r="F201" s="8"/>
    </row>
    <row r="202" customFormat="false" ht="15" hidden="false" customHeight="true" outlineLevel="0" collapsed="false">
      <c r="A202" s="10"/>
      <c r="B202" s="8"/>
      <c r="C202" s="8"/>
      <c r="D202" s="8"/>
      <c r="E202" s="8"/>
      <c r="F202" s="8"/>
    </row>
    <row r="203" customFormat="false" ht="15" hidden="false" customHeight="true" outlineLevel="0" collapsed="false">
      <c r="A203" s="10"/>
      <c r="B203" s="8"/>
      <c r="C203" s="8"/>
      <c r="D203" s="8"/>
      <c r="E203" s="8"/>
      <c r="F203" s="8"/>
    </row>
    <row r="204" customFormat="false" ht="15" hidden="false" customHeight="true" outlineLevel="0" collapsed="false">
      <c r="A204" s="10"/>
      <c r="B204" s="8"/>
      <c r="C204" s="8"/>
      <c r="D204" s="8"/>
      <c r="E204" s="8"/>
      <c r="F204" s="8"/>
    </row>
    <row r="205" customFormat="false" ht="15" hidden="false" customHeight="true" outlineLevel="0" collapsed="false">
      <c r="A205" s="10"/>
      <c r="B205" s="8"/>
      <c r="C205" s="8"/>
      <c r="D205" s="8"/>
      <c r="E205" s="8"/>
      <c r="F205" s="8"/>
    </row>
    <row r="206" customFormat="false" ht="15" hidden="false" customHeight="true" outlineLevel="0" collapsed="false">
      <c r="A206" s="10"/>
      <c r="B206" s="8"/>
      <c r="C206" s="8"/>
      <c r="D206" s="8"/>
      <c r="E206" s="8"/>
      <c r="F206" s="8"/>
    </row>
    <row r="207" customFormat="false" ht="15" hidden="false" customHeight="true" outlineLevel="0" collapsed="false">
      <c r="A207" s="10"/>
      <c r="B207" s="8"/>
      <c r="C207" s="8"/>
      <c r="D207" s="8"/>
      <c r="E207" s="8"/>
      <c r="F207" s="8"/>
    </row>
    <row r="208" customFormat="false" ht="15" hidden="false" customHeight="true" outlineLevel="0" collapsed="false">
      <c r="A208" s="10"/>
      <c r="B208" s="8"/>
      <c r="C208" s="8"/>
      <c r="D208" s="8"/>
      <c r="E208" s="8"/>
      <c r="F208" s="8"/>
    </row>
    <row r="209" customFormat="false" ht="15" hidden="false" customHeight="true" outlineLevel="0" collapsed="false">
      <c r="A209" s="10"/>
      <c r="B209" s="8"/>
      <c r="C209" s="8"/>
      <c r="D209" s="8"/>
      <c r="E209" s="8"/>
      <c r="F209" s="8"/>
    </row>
    <row r="210" customFormat="false" ht="15" hidden="false" customHeight="true" outlineLevel="0" collapsed="false">
      <c r="A210" s="10"/>
      <c r="B210" s="8"/>
      <c r="C210" s="8"/>
      <c r="D210" s="8"/>
      <c r="E210" s="8"/>
      <c r="F210" s="8"/>
    </row>
    <row r="211" customFormat="false" ht="15" hidden="false" customHeight="true" outlineLevel="0" collapsed="false">
      <c r="A211" s="10"/>
      <c r="B211" s="8"/>
      <c r="C211" s="8"/>
      <c r="D211" s="8"/>
      <c r="E211" s="8"/>
      <c r="F211" s="8"/>
    </row>
    <row r="212" customFormat="false" ht="15" hidden="false" customHeight="true" outlineLevel="0" collapsed="false">
      <c r="A212" s="10"/>
      <c r="B212" s="8"/>
      <c r="C212" s="8"/>
      <c r="D212" s="8"/>
      <c r="E212" s="8"/>
      <c r="F212" s="8"/>
    </row>
    <row r="213" customFormat="false" ht="15" hidden="false" customHeight="true" outlineLevel="0" collapsed="false">
      <c r="A213" s="10"/>
      <c r="B213" s="8"/>
      <c r="C213" s="8"/>
      <c r="D213" s="8"/>
      <c r="E213" s="8"/>
      <c r="F213" s="8"/>
    </row>
    <row r="214" customFormat="false" ht="15" hidden="false" customHeight="true" outlineLevel="0" collapsed="false">
      <c r="A214" s="10"/>
      <c r="B214" s="8"/>
      <c r="C214" s="8"/>
      <c r="D214" s="8"/>
      <c r="E214" s="8"/>
      <c r="F214" s="8"/>
    </row>
    <row r="215" customFormat="false" ht="15" hidden="false" customHeight="true" outlineLevel="0" collapsed="false">
      <c r="A215" s="10"/>
      <c r="B215" s="8"/>
      <c r="C215" s="8"/>
      <c r="D215" s="8"/>
      <c r="E215" s="8"/>
      <c r="F215" s="8"/>
    </row>
    <row r="216" customFormat="false" ht="15" hidden="false" customHeight="true" outlineLevel="0" collapsed="false">
      <c r="A216" s="10"/>
      <c r="B216" s="8"/>
      <c r="C216" s="8"/>
      <c r="D216" s="8"/>
      <c r="E216" s="8"/>
      <c r="F216" s="8"/>
    </row>
    <row r="217" customFormat="false" ht="15" hidden="false" customHeight="true" outlineLevel="0" collapsed="false">
      <c r="A217" s="10"/>
      <c r="B217" s="8"/>
      <c r="C217" s="8"/>
      <c r="D217" s="8"/>
      <c r="E217" s="8"/>
      <c r="F217" s="8"/>
    </row>
    <row r="218" customFormat="false" ht="15" hidden="false" customHeight="true" outlineLevel="0" collapsed="false">
      <c r="A218" s="10"/>
      <c r="B218" s="8"/>
      <c r="C218" s="8"/>
      <c r="D218" s="8"/>
      <c r="E218" s="8"/>
      <c r="F218" s="8"/>
    </row>
    <row r="219" customFormat="false" ht="15" hidden="false" customHeight="true" outlineLevel="0" collapsed="false">
      <c r="A219" s="10"/>
      <c r="B219" s="8"/>
      <c r="C219" s="8"/>
      <c r="D219" s="8"/>
      <c r="E219" s="8"/>
      <c r="F219" s="8"/>
    </row>
    <row r="220" customFormat="false" ht="15" hidden="false" customHeight="true" outlineLevel="0" collapsed="false">
      <c r="A220" s="10"/>
      <c r="B220" s="8"/>
      <c r="C220" s="8"/>
      <c r="D220" s="8"/>
      <c r="E220" s="8"/>
      <c r="F220" s="8"/>
    </row>
    <row r="221" customFormat="false" ht="15" hidden="false" customHeight="true" outlineLevel="0" collapsed="false">
      <c r="A221" s="10"/>
      <c r="B221" s="8"/>
      <c r="C221" s="8"/>
      <c r="D221" s="8"/>
      <c r="E221" s="8"/>
      <c r="F221" s="8"/>
    </row>
    <row r="222" customFormat="false" ht="15" hidden="false" customHeight="true" outlineLevel="0" collapsed="false">
      <c r="A222" s="10"/>
      <c r="B222" s="8"/>
      <c r="C222" s="8"/>
      <c r="D222" s="8"/>
      <c r="E222" s="8"/>
      <c r="F222" s="8"/>
    </row>
    <row r="223" customFormat="false" ht="15" hidden="false" customHeight="true" outlineLevel="0" collapsed="false">
      <c r="A223" s="10"/>
      <c r="B223" s="8"/>
      <c r="C223" s="8"/>
      <c r="D223" s="8"/>
      <c r="E223" s="8"/>
      <c r="F223" s="8"/>
    </row>
    <row r="224" customFormat="false" ht="15" hidden="false" customHeight="true" outlineLevel="0" collapsed="false">
      <c r="A224" s="10"/>
      <c r="B224" s="8"/>
      <c r="C224" s="8"/>
      <c r="D224" s="8"/>
      <c r="E224" s="8"/>
      <c r="F224" s="8"/>
    </row>
    <row r="225" customFormat="false" ht="15" hidden="false" customHeight="true" outlineLevel="0" collapsed="false">
      <c r="A225" s="10"/>
      <c r="B225" s="8"/>
      <c r="C225" s="8"/>
      <c r="D225" s="8"/>
      <c r="E225" s="8"/>
      <c r="F225" s="8"/>
    </row>
    <row r="226" customFormat="false" ht="15" hidden="false" customHeight="true" outlineLevel="0" collapsed="false">
      <c r="A226" s="10"/>
      <c r="B226" s="8"/>
      <c r="C226" s="8"/>
      <c r="D226" s="8"/>
      <c r="E226" s="8"/>
      <c r="F226" s="8"/>
    </row>
    <row r="227" customFormat="false" ht="15" hidden="false" customHeight="true" outlineLevel="0" collapsed="false">
      <c r="A227" s="10"/>
      <c r="B227" s="8"/>
      <c r="C227" s="8"/>
      <c r="D227" s="8"/>
      <c r="E227" s="8"/>
      <c r="F227" s="8"/>
    </row>
    <row r="228" customFormat="false" ht="15" hidden="false" customHeight="true" outlineLevel="0" collapsed="false">
      <c r="A228" s="10"/>
      <c r="B228" s="8"/>
      <c r="C228" s="8"/>
      <c r="D228" s="8"/>
      <c r="E228" s="8"/>
      <c r="F228" s="8"/>
    </row>
    <row r="229" customFormat="false" ht="15" hidden="false" customHeight="true" outlineLevel="0" collapsed="false">
      <c r="A229" s="10"/>
      <c r="B229" s="8"/>
      <c r="C229" s="8"/>
      <c r="D229" s="8"/>
      <c r="E229" s="8"/>
      <c r="F229" s="8"/>
    </row>
    <row r="230" customFormat="false" ht="15" hidden="false" customHeight="true" outlineLevel="0" collapsed="false">
      <c r="A230" s="10"/>
      <c r="B230" s="8"/>
      <c r="C230" s="8"/>
      <c r="D230" s="8"/>
      <c r="E230" s="8"/>
      <c r="F230" s="8"/>
    </row>
    <row r="231" customFormat="false" ht="15" hidden="false" customHeight="true" outlineLevel="0" collapsed="false">
      <c r="A231" s="10"/>
      <c r="B231" s="8"/>
      <c r="C231" s="8"/>
      <c r="D231" s="8"/>
      <c r="E231" s="8"/>
      <c r="F231" s="8"/>
    </row>
    <row r="232" customFormat="false" ht="15" hidden="false" customHeight="true" outlineLevel="0" collapsed="false">
      <c r="A232" s="10"/>
      <c r="B232" s="8"/>
      <c r="C232" s="8"/>
      <c r="D232" s="8"/>
      <c r="E232" s="8"/>
      <c r="F232" s="8"/>
    </row>
    <row r="233" customFormat="false" ht="15" hidden="false" customHeight="true" outlineLevel="0" collapsed="false">
      <c r="A233" s="10"/>
      <c r="B233" s="8"/>
      <c r="C233" s="8"/>
      <c r="D233" s="8"/>
      <c r="E233" s="8"/>
      <c r="F233" s="8"/>
    </row>
    <row r="234" customFormat="false" ht="15" hidden="false" customHeight="true" outlineLevel="0" collapsed="false">
      <c r="A234" s="10"/>
      <c r="B234" s="8"/>
      <c r="C234" s="8"/>
      <c r="D234" s="8"/>
      <c r="E234" s="8"/>
      <c r="F234" s="8"/>
    </row>
    <row r="235" customFormat="false" ht="15" hidden="false" customHeight="true" outlineLevel="0" collapsed="false">
      <c r="A235" s="10"/>
      <c r="B235" s="8"/>
      <c r="C235" s="8"/>
      <c r="D235" s="8"/>
      <c r="E235" s="8"/>
      <c r="F235" s="8"/>
    </row>
    <row r="236" customFormat="false" ht="15" hidden="false" customHeight="true" outlineLevel="0" collapsed="false">
      <c r="A236" s="10"/>
      <c r="B236" s="8"/>
      <c r="C236" s="8"/>
      <c r="D236" s="8"/>
      <c r="E236" s="8"/>
      <c r="F236" s="8"/>
    </row>
    <row r="237" customFormat="false" ht="15" hidden="false" customHeight="true" outlineLevel="0" collapsed="false">
      <c r="A237" s="10"/>
      <c r="B237" s="8"/>
      <c r="C237" s="8"/>
      <c r="D237" s="8"/>
      <c r="E237" s="8"/>
      <c r="F237" s="8"/>
    </row>
    <row r="238" customFormat="false" ht="15" hidden="false" customHeight="true" outlineLevel="0" collapsed="false">
      <c r="A238" s="10"/>
      <c r="B238" s="8"/>
      <c r="C238" s="8"/>
      <c r="D238" s="8"/>
      <c r="E238" s="8"/>
      <c r="F238" s="8"/>
    </row>
    <row r="239" customFormat="false" ht="15" hidden="false" customHeight="true" outlineLevel="0" collapsed="false">
      <c r="A239" s="10"/>
      <c r="B239" s="8"/>
      <c r="C239" s="8"/>
      <c r="D239" s="8"/>
      <c r="E239" s="8"/>
      <c r="F239" s="8"/>
    </row>
    <row r="240" customFormat="false" ht="15" hidden="false" customHeight="true" outlineLevel="0" collapsed="false">
      <c r="A240" s="10"/>
      <c r="B240" s="8"/>
      <c r="C240" s="8"/>
      <c r="D240" s="8"/>
      <c r="E240" s="8"/>
      <c r="F240" s="8"/>
    </row>
    <row r="241" customFormat="false" ht="15" hidden="false" customHeight="true" outlineLevel="0" collapsed="false">
      <c r="A241" s="10"/>
      <c r="B241" s="8"/>
      <c r="C241" s="8"/>
      <c r="D241" s="8"/>
      <c r="E241" s="8"/>
      <c r="F241" s="8"/>
    </row>
    <row r="242" customFormat="false" ht="15" hidden="false" customHeight="true" outlineLevel="0" collapsed="false">
      <c r="A242" s="10"/>
      <c r="B242" s="8"/>
      <c r="C242" s="8"/>
      <c r="D242" s="8"/>
      <c r="E242" s="8"/>
      <c r="F242" s="8"/>
    </row>
    <row r="243" customFormat="false" ht="15" hidden="false" customHeight="true" outlineLevel="0" collapsed="false">
      <c r="A243" s="10"/>
      <c r="B243" s="8"/>
      <c r="C243" s="8"/>
      <c r="D243" s="8"/>
      <c r="E243" s="8"/>
      <c r="F243" s="8"/>
    </row>
    <row r="244" customFormat="false" ht="15" hidden="false" customHeight="true" outlineLevel="0" collapsed="false">
      <c r="A244" s="10"/>
      <c r="B244" s="8"/>
      <c r="C244" s="8"/>
      <c r="D244" s="8"/>
      <c r="E244" s="8"/>
      <c r="F244" s="8"/>
    </row>
    <row r="245" customFormat="false" ht="15" hidden="false" customHeight="true" outlineLevel="0" collapsed="false">
      <c r="A245" s="10"/>
      <c r="B245" s="8"/>
      <c r="C245" s="8"/>
      <c r="D245" s="8"/>
      <c r="E245" s="8"/>
      <c r="F245" s="8"/>
    </row>
    <row r="246" customFormat="false" ht="15" hidden="false" customHeight="true" outlineLevel="0" collapsed="false">
      <c r="A246" s="10"/>
      <c r="B246" s="8"/>
      <c r="C246" s="8"/>
      <c r="D246" s="8"/>
      <c r="E246" s="8"/>
      <c r="F246" s="8"/>
    </row>
    <row r="247" customFormat="false" ht="15" hidden="false" customHeight="true" outlineLevel="0" collapsed="false">
      <c r="A247" s="10"/>
      <c r="B247" s="8"/>
      <c r="C247" s="8"/>
      <c r="D247" s="8"/>
      <c r="E247" s="8"/>
      <c r="F247" s="8"/>
    </row>
    <row r="248" customFormat="false" ht="15" hidden="false" customHeight="true" outlineLevel="0" collapsed="false">
      <c r="A248" s="10"/>
      <c r="B248" s="8"/>
      <c r="C248" s="8"/>
      <c r="D248" s="8"/>
      <c r="E248" s="8"/>
      <c r="F248" s="8"/>
    </row>
    <row r="249" customFormat="false" ht="15" hidden="false" customHeight="true" outlineLevel="0" collapsed="false">
      <c r="A249" s="10"/>
      <c r="B249" s="8"/>
      <c r="C249" s="8"/>
      <c r="D249" s="8"/>
      <c r="E249" s="8"/>
      <c r="F249" s="8"/>
    </row>
    <row r="250" customFormat="false" ht="15" hidden="false" customHeight="true" outlineLevel="0" collapsed="false">
      <c r="A250" s="10"/>
      <c r="B250" s="8"/>
      <c r="C250" s="8"/>
      <c r="D250" s="8"/>
      <c r="E250" s="8"/>
      <c r="F250" s="8"/>
    </row>
    <row r="251" customFormat="false" ht="15" hidden="false" customHeight="true" outlineLevel="0" collapsed="false">
      <c r="A251" s="10"/>
      <c r="B251" s="8"/>
      <c r="C251" s="8"/>
      <c r="D251" s="8"/>
      <c r="E251" s="8"/>
      <c r="F251" s="8"/>
    </row>
    <row r="252" customFormat="false" ht="15" hidden="false" customHeight="true" outlineLevel="0" collapsed="false">
      <c r="A252" s="10"/>
      <c r="B252" s="8"/>
      <c r="C252" s="8"/>
      <c r="D252" s="8"/>
      <c r="E252" s="8"/>
      <c r="F252" s="8"/>
    </row>
    <row r="253" customFormat="false" ht="15" hidden="false" customHeight="true" outlineLevel="0" collapsed="false">
      <c r="A253" s="10"/>
      <c r="B253" s="8"/>
      <c r="C253" s="8"/>
      <c r="D253" s="8"/>
      <c r="E253" s="8"/>
      <c r="F253" s="8"/>
    </row>
    <row r="254" customFormat="false" ht="15" hidden="false" customHeight="true" outlineLevel="0" collapsed="false">
      <c r="A254" s="10"/>
      <c r="B254" s="8"/>
      <c r="C254" s="8"/>
      <c r="D254" s="8"/>
      <c r="E254" s="8"/>
      <c r="F254" s="8"/>
    </row>
    <row r="255" customFormat="false" ht="15" hidden="false" customHeight="true" outlineLevel="0" collapsed="false">
      <c r="A255" s="10"/>
      <c r="B255" s="8"/>
      <c r="C255" s="8"/>
      <c r="D255" s="8"/>
      <c r="E255" s="8"/>
      <c r="F255" s="8"/>
    </row>
    <row r="256" customFormat="false" ht="15" hidden="false" customHeight="true" outlineLevel="0" collapsed="false">
      <c r="A256" s="10"/>
      <c r="B256" s="8"/>
      <c r="C256" s="8"/>
      <c r="D256" s="8"/>
      <c r="E256" s="8"/>
      <c r="F256" s="8"/>
    </row>
    <row r="257" customFormat="false" ht="15" hidden="false" customHeight="true" outlineLevel="0" collapsed="false">
      <c r="A257" s="10"/>
      <c r="B257" s="8"/>
      <c r="C257" s="8"/>
      <c r="D257" s="8"/>
      <c r="E257" s="8"/>
      <c r="F257" s="8"/>
    </row>
    <row r="258" customFormat="false" ht="15" hidden="false" customHeight="true" outlineLevel="0" collapsed="false">
      <c r="A258" s="10"/>
      <c r="B258" s="8"/>
      <c r="C258" s="8"/>
      <c r="D258" s="8"/>
      <c r="E258" s="8"/>
      <c r="F258" s="8"/>
    </row>
    <row r="259" customFormat="false" ht="15" hidden="false" customHeight="true" outlineLevel="0" collapsed="false">
      <c r="A259" s="10"/>
      <c r="B259" s="8"/>
      <c r="C259" s="8"/>
      <c r="D259" s="8"/>
      <c r="E259" s="8"/>
      <c r="F259" s="8"/>
    </row>
    <row r="260" customFormat="false" ht="15" hidden="false" customHeight="true" outlineLevel="0" collapsed="false">
      <c r="A260" s="10"/>
      <c r="B260" s="8"/>
      <c r="C260" s="8"/>
      <c r="D260" s="8"/>
      <c r="E260" s="8"/>
      <c r="F260" s="8"/>
    </row>
    <row r="261" customFormat="false" ht="15" hidden="false" customHeight="true" outlineLevel="0" collapsed="false">
      <c r="A261" s="10"/>
      <c r="B261" s="8"/>
      <c r="C261" s="8"/>
      <c r="D261" s="8"/>
      <c r="E261" s="8"/>
      <c r="F261" s="8"/>
    </row>
    <row r="262" customFormat="false" ht="15" hidden="false" customHeight="true" outlineLevel="0" collapsed="false">
      <c r="A262" s="10"/>
      <c r="B262" s="8"/>
      <c r="C262" s="8"/>
      <c r="D262" s="8"/>
      <c r="E262" s="8"/>
      <c r="F262" s="8"/>
    </row>
    <row r="263" customFormat="false" ht="15" hidden="false" customHeight="true" outlineLevel="0" collapsed="false">
      <c r="A263" s="10"/>
      <c r="B263" s="8"/>
      <c r="C263" s="8"/>
      <c r="D263" s="8"/>
      <c r="E263" s="8"/>
      <c r="F263" s="8"/>
    </row>
    <row r="264" customFormat="false" ht="15" hidden="false" customHeight="true" outlineLevel="0" collapsed="false">
      <c r="A264" s="10"/>
      <c r="B264" s="8"/>
      <c r="C264" s="8"/>
      <c r="D264" s="8"/>
      <c r="E264" s="8"/>
      <c r="F264" s="8"/>
    </row>
    <row r="265" customFormat="false" ht="15" hidden="false" customHeight="true" outlineLevel="0" collapsed="false">
      <c r="A265" s="10"/>
      <c r="B265" s="8"/>
      <c r="C265" s="8"/>
      <c r="D265" s="8"/>
      <c r="E265" s="8"/>
      <c r="F265" s="8"/>
    </row>
    <row r="266" customFormat="false" ht="15" hidden="false" customHeight="true" outlineLevel="0" collapsed="false">
      <c r="A266" s="10"/>
      <c r="B266" s="8"/>
      <c r="C266" s="8"/>
      <c r="D266" s="8"/>
      <c r="E266" s="8"/>
      <c r="F266" s="8"/>
    </row>
    <row r="267" customFormat="false" ht="15" hidden="false" customHeight="true" outlineLevel="0" collapsed="false">
      <c r="A267" s="10"/>
      <c r="B267" s="8"/>
      <c r="C267" s="8"/>
      <c r="D267" s="8"/>
      <c r="E267" s="8"/>
      <c r="F267" s="8"/>
    </row>
    <row r="268" customFormat="false" ht="15" hidden="false" customHeight="true" outlineLevel="0" collapsed="false">
      <c r="A268" s="10"/>
      <c r="B268" s="8"/>
      <c r="C268" s="8"/>
      <c r="D268" s="8"/>
      <c r="E268" s="8"/>
      <c r="F268" s="8"/>
    </row>
    <row r="269" customFormat="false" ht="15" hidden="false" customHeight="true" outlineLevel="0" collapsed="false">
      <c r="A269" s="10"/>
      <c r="B269" s="8"/>
      <c r="C269" s="8"/>
      <c r="D269" s="8"/>
      <c r="E269" s="8"/>
      <c r="F269" s="8"/>
    </row>
    <row r="270" customFormat="false" ht="15" hidden="false" customHeight="true" outlineLevel="0" collapsed="false">
      <c r="A270" s="10"/>
      <c r="B270" s="8"/>
      <c r="C270" s="8"/>
      <c r="D270" s="8"/>
      <c r="E270" s="8"/>
      <c r="F270" s="8"/>
    </row>
    <row r="271" customFormat="false" ht="15" hidden="false" customHeight="true" outlineLevel="0" collapsed="false">
      <c r="A271" s="10"/>
      <c r="B271" s="8"/>
      <c r="C271" s="8"/>
      <c r="D271" s="8"/>
      <c r="E271" s="8"/>
      <c r="F271" s="8"/>
    </row>
    <row r="272" customFormat="false" ht="15" hidden="false" customHeight="true" outlineLevel="0" collapsed="false">
      <c r="A272" s="10"/>
      <c r="B272" s="8"/>
      <c r="C272" s="8"/>
      <c r="D272" s="8"/>
      <c r="E272" s="8"/>
      <c r="F272" s="8"/>
    </row>
    <row r="273" customFormat="false" ht="15" hidden="false" customHeight="true" outlineLevel="0" collapsed="false">
      <c r="A273" s="10"/>
      <c r="B273" s="8"/>
      <c r="C273" s="8"/>
      <c r="D273" s="8"/>
      <c r="E273" s="8"/>
      <c r="F273" s="8"/>
    </row>
    <row r="274" customFormat="false" ht="15" hidden="false" customHeight="true" outlineLevel="0" collapsed="false">
      <c r="A274" s="10"/>
      <c r="B274" s="8"/>
      <c r="C274" s="8"/>
      <c r="D274" s="8"/>
      <c r="E274" s="8"/>
      <c r="F274" s="8"/>
    </row>
    <row r="275" customFormat="false" ht="15" hidden="false" customHeight="true" outlineLevel="0" collapsed="false">
      <c r="A275" s="10"/>
      <c r="B275" s="8"/>
      <c r="C275" s="8"/>
      <c r="D275" s="8"/>
      <c r="E275" s="8"/>
      <c r="F275" s="8"/>
    </row>
    <row r="276" customFormat="false" ht="15" hidden="false" customHeight="true" outlineLevel="0" collapsed="false">
      <c r="A276" s="10"/>
      <c r="B276" s="8"/>
      <c r="C276" s="8"/>
      <c r="D276" s="8"/>
      <c r="E276" s="8"/>
      <c r="F276" s="8"/>
    </row>
    <row r="277" customFormat="false" ht="15" hidden="false" customHeight="true" outlineLevel="0" collapsed="false">
      <c r="A277" s="10"/>
      <c r="B277" s="8"/>
      <c r="C277" s="8"/>
      <c r="D277" s="8"/>
      <c r="E277" s="8"/>
      <c r="F277" s="8"/>
    </row>
    <row r="278" customFormat="false" ht="15" hidden="false" customHeight="true" outlineLevel="0" collapsed="false">
      <c r="A278" s="10"/>
      <c r="B278" s="8"/>
      <c r="C278" s="8"/>
      <c r="D278" s="8"/>
      <c r="E278" s="8"/>
      <c r="F278" s="8"/>
    </row>
    <row r="279" customFormat="false" ht="15" hidden="false" customHeight="true" outlineLevel="0" collapsed="false">
      <c r="A279" s="10"/>
      <c r="B279" s="8"/>
      <c r="C279" s="8"/>
      <c r="D279" s="8"/>
      <c r="E279" s="8"/>
      <c r="F279" s="8"/>
    </row>
    <row r="280" customFormat="false" ht="15" hidden="false" customHeight="true" outlineLevel="0" collapsed="false">
      <c r="A280" s="10"/>
      <c r="B280" s="8"/>
      <c r="C280" s="8"/>
      <c r="D280" s="8"/>
      <c r="E280" s="8"/>
      <c r="F280" s="8"/>
    </row>
    <row r="281" customFormat="false" ht="15" hidden="false" customHeight="true" outlineLevel="0" collapsed="false">
      <c r="A281" s="10"/>
      <c r="B281" s="8"/>
      <c r="C281" s="8"/>
      <c r="D281" s="8"/>
      <c r="E281" s="8"/>
      <c r="F281" s="8"/>
    </row>
    <row r="282" customFormat="false" ht="15" hidden="false" customHeight="true" outlineLevel="0" collapsed="false">
      <c r="A282" s="10"/>
      <c r="B282" s="8"/>
      <c r="C282" s="8"/>
      <c r="D282" s="8"/>
      <c r="E282" s="8"/>
      <c r="F282" s="8"/>
    </row>
    <row r="283" customFormat="false" ht="15" hidden="false" customHeight="true" outlineLevel="0" collapsed="false">
      <c r="A283" s="10"/>
      <c r="B283" s="8"/>
      <c r="C283" s="8"/>
      <c r="D283" s="8"/>
      <c r="E283" s="8"/>
      <c r="F283" s="8"/>
    </row>
    <row r="284" customFormat="false" ht="15" hidden="false" customHeight="true" outlineLevel="0" collapsed="false">
      <c r="A284" s="10"/>
      <c r="B284" s="8"/>
      <c r="C284" s="8"/>
      <c r="D284" s="8"/>
      <c r="E284" s="8"/>
      <c r="F284" s="8"/>
    </row>
    <row r="285" customFormat="false" ht="15" hidden="false" customHeight="true" outlineLevel="0" collapsed="false">
      <c r="A285" s="10"/>
      <c r="B285" s="8"/>
      <c r="C285" s="8"/>
      <c r="D285" s="8"/>
      <c r="E285" s="8"/>
      <c r="F285" s="8"/>
    </row>
    <row r="286" customFormat="false" ht="15" hidden="false" customHeight="true" outlineLevel="0" collapsed="false">
      <c r="A286" s="10"/>
      <c r="B286" s="8"/>
      <c r="C286" s="8"/>
      <c r="D286" s="8"/>
      <c r="E286" s="8"/>
      <c r="F286" s="8"/>
    </row>
    <row r="287" customFormat="false" ht="15" hidden="false" customHeight="true" outlineLevel="0" collapsed="false">
      <c r="A287" s="10"/>
      <c r="B287" s="8"/>
      <c r="C287" s="8"/>
      <c r="D287" s="8"/>
      <c r="E287" s="8"/>
      <c r="F287" s="8"/>
    </row>
    <row r="288" customFormat="false" ht="15" hidden="false" customHeight="true" outlineLevel="0" collapsed="false">
      <c r="A288" s="10"/>
      <c r="B288" s="8"/>
      <c r="C288" s="8"/>
      <c r="D288" s="8"/>
      <c r="E288" s="8"/>
      <c r="F288" s="8"/>
    </row>
    <row r="289" customFormat="false" ht="15" hidden="false" customHeight="true" outlineLevel="0" collapsed="false">
      <c r="A289" s="10"/>
      <c r="B289" s="8"/>
      <c r="C289" s="8"/>
      <c r="D289" s="8"/>
      <c r="E289" s="8"/>
      <c r="F289" s="8"/>
    </row>
    <row r="290" customFormat="false" ht="15" hidden="false" customHeight="true" outlineLevel="0" collapsed="false">
      <c r="A290" s="10"/>
      <c r="B290" s="8"/>
      <c r="C290" s="8"/>
      <c r="D290" s="8"/>
      <c r="E290" s="8"/>
      <c r="F290" s="8"/>
    </row>
    <row r="291" customFormat="false" ht="15" hidden="false" customHeight="true" outlineLevel="0" collapsed="false">
      <c r="A291" s="10"/>
      <c r="B291" s="8"/>
      <c r="C291" s="8"/>
      <c r="D291" s="8"/>
      <c r="E291" s="8"/>
      <c r="F291" s="8"/>
    </row>
    <row r="292" customFormat="false" ht="15" hidden="false" customHeight="true" outlineLevel="0" collapsed="false">
      <c r="A292" s="10"/>
      <c r="B292" s="8"/>
      <c r="C292" s="8"/>
      <c r="D292" s="8"/>
      <c r="E292" s="8"/>
      <c r="F292" s="8"/>
    </row>
    <row r="293" customFormat="false" ht="15" hidden="false" customHeight="true" outlineLevel="0" collapsed="false">
      <c r="A293" s="10"/>
      <c r="B293" s="8"/>
      <c r="C293" s="8"/>
      <c r="D293" s="8"/>
      <c r="E293" s="8"/>
      <c r="F293" s="8"/>
    </row>
    <row r="294" customFormat="false" ht="15" hidden="false" customHeight="true" outlineLevel="0" collapsed="false">
      <c r="A294" s="10"/>
      <c r="B294" s="8"/>
      <c r="C294" s="8"/>
      <c r="D294" s="8"/>
      <c r="E294" s="8"/>
      <c r="F294" s="8"/>
    </row>
    <row r="295" customFormat="false" ht="15" hidden="false" customHeight="true" outlineLevel="0" collapsed="false">
      <c r="A295" s="10"/>
      <c r="B295" s="8"/>
      <c r="C295" s="8"/>
      <c r="D295" s="8"/>
      <c r="E295" s="8"/>
      <c r="F295" s="8"/>
    </row>
    <row r="296" customFormat="false" ht="15" hidden="false" customHeight="true" outlineLevel="0" collapsed="false">
      <c r="A296" s="10"/>
      <c r="B296" s="8"/>
      <c r="C296" s="8"/>
      <c r="D296" s="8"/>
      <c r="E296" s="8"/>
      <c r="F296" s="8"/>
    </row>
    <row r="297" customFormat="false" ht="15" hidden="false" customHeight="true" outlineLevel="0" collapsed="false">
      <c r="A297" s="10"/>
      <c r="B297" s="8"/>
      <c r="C297" s="8"/>
      <c r="D297" s="8"/>
      <c r="E297" s="8"/>
      <c r="F297" s="8"/>
    </row>
    <row r="298" customFormat="false" ht="15" hidden="false" customHeight="true" outlineLevel="0" collapsed="false">
      <c r="A298" s="10"/>
      <c r="B298" s="8"/>
      <c r="C298" s="8"/>
      <c r="D298" s="8"/>
      <c r="E298" s="8"/>
      <c r="F298" s="8"/>
    </row>
    <row r="299" customFormat="false" ht="15" hidden="false" customHeight="true" outlineLevel="0" collapsed="false">
      <c r="A299" s="10"/>
      <c r="B299" s="8"/>
      <c r="C299" s="8"/>
      <c r="D299" s="8"/>
      <c r="E299" s="8"/>
      <c r="F299" s="8"/>
    </row>
    <row r="300" customFormat="false" ht="15" hidden="false" customHeight="true" outlineLevel="0" collapsed="false">
      <c r="A300" s="10"/>
      <c r="B300" s="8"/>
      <c r="C300" s="8"/>
      <c r="D300" s="8"/>
      <c r="E300" s="8"/>
      <c r="F300" s="8"/>
    </row>
  </sheetData>
  <autoFilter ref="A2:F300"/>
  <mergeCells count="1">
    <mergeCell ref="A1:F1"/>
  </mergeCells>
  <dataValidations count="2">
    <dataValidation allowBlank="true" errorStyle="stop" operator="between" showDropDown="false" showErrorMessage="false" showInputMessage="false" sqref="D3:D300" type="list">
      <formula1>"10h,12h,15h,17h"</formula1>
      <formula2>0</formula2>
    </dataValidation>
    <dataValidation allowBlank="true" errorStyle="stop" operator="between" showDropDown="false" showErrorMessage="false" showInputMessage="false" sqref="E3:E300" type="list">
      <formula1>"O,N"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4"/>
    <col collapsed="false" customWidth="true" hidden="false" outlineLevel="0" max="2" min="2" style="1" width="19"/>
    <col collapsed="false" customWidth="true" hidden="false" outlineLevel="0" max="5" min="3" style="1" width="14"/>
    <col collapsed="false" customWidth="true" hidden="false" outlineLevel="0" max="6" min="6" style="1" width="15"/>
    <col collapsed="false" customWidth="true" hidden="false" outlineLevel="0" max="10" min="7" style="1" width="14"/>
    <col collapsed="false" customWidth="true" hidden="false" outlineLevel="0" max="11" min="11" style="1" width="15"/>
    <col collapsed="false" customWidth="true" hidden="false" outlineLevel="0" max="13" min="12" style="1" width="14"/>
    <col collapsed="false" customWidth="true" hidden="false" outlineLevel="0" max="14" min="14" style="1" width="26"/>
  </cols>
  <sheetData>
    <row r="1" customFormat="false" ht="30" hidden="false" customHeight="true" outlineLevel="0" collapsed="false">
      <c r="A1" s="2" t="s">
        <v>137</v>
      </c>
      <c r="B1" s="2"/>
      <c r="C1" s="2"/>
      <c r="D1" s="2"/>
      <c r="E1" s="2"/>
      <c r="F1" s="2"/>
      <c r="G1" s="2"/>
      <c r="H1" s="2"/>
      <c r="I1" s="2"/>
      <c r="J1" s="2"/>
      <c r="K1" s="2"/>
      <c r="L1" s="2"/>
      <c r="M1" s="2"/>
      <c r="N1" s="2"/>
    </row>
    <row r="2" customFormat="false" ht="31.5" hidden="false" customHeight="true" outlineLevel="0" collapsed="false">
      <c r="A2" s="7" t="s">
        <v>138</v>
      </c>
      <c r="B2" s="7" t="s">
        <v>127</v>
      </c>
      <c r="C2" s="7" t="s">
        <v>139</v>
      </c>
      <c r="D2" s="7" t="s">
        <v>125</v>
      </c>
      <c r="E2" s="7" t="s">
        <v>124</v>
      </c>
      <c r="F2" s="7" t="s">
        <v>126</v>
      </c>
      <c r="G2" s="7" t="s">
        <v>140</v>
      </c>
      <c r="H2" s="7" t="s">
        <v>141</v>
      </c>
      <c r="I2" s="7" t="s">
        <v>142</v>
      </c>
      <c r="J2" s="7" t="s">
        <v>143</v>
      </c>
      <c r="K2" s="7" t="s">
        <v>144</v>
      </c>
      <c r="L2" s="7" t="s">
        <v>145</v>
      </c>
      <c r="M2" s="7" t="s">
        <v>146</v>
      </c>
      <c r="N2" s="7" t="s">
        <v>147</v>
      </c>
    </row>
    <row r="3" customFormat="false" ht="15" hidden="false" customHeight="true" outlineLevel="0" collapsed="false">
      <c r="A3" s="8"/>
      <c r="B3" s="8"/>
      <c r="C3" s="8"/>
      <c r="D3" s="8"/>
      <c r="E3" s="8"/>
      <c r="F3" s="8"/>
      <c r="G3" s="8"/>
      <c r="H3" s="8"/>
      <c r="I3" s="8"/>
      <c r="J3" s="8"/>
      <c r="K3" s="8"/>
      <c r="L3" s="8"/>
      <c r="M3" s="8"/>
      <c r="N3" s="8"/>
    </row>
    <row r="4" customFormat="false" ht="15" hidden="false" customHeight="true" outlineLevel="0" collapsed="false">
      <c r="A4" s="8"/>
      <c r="B4" s="8"/>
      <c r="C4" s="8"/>
      <c r="D4" s="8"/>
      <c r="E4" s="8"/>
      <c r="F4" s="8"/>
      <c r="G4" s="8"/>
      <c r="H4" s="8"/>
      <c r="I4" s="8"/>
      <c r="J4" s="8"/>
      <c r="K4" s="8"/>
      <c r="L4" s="8"/>
      <c r="M4" s="8"/>
      <c r="N4" s="8"/>
    </row>
    <row r="5" customFormat="false" ht="15" hidden="false" customHeight="true" outlineLevel="0" collapsed="false">
      <c r="A5" s="8"/>
      <c r="B5" s="8"/>
      <c r="C5" s="8"/>
      <c r="D5" s="8"/>
      <c r="E5" s="8"/>
      <c r="F5" s="8"/>
      <c r="G5" s="8"/>
      <c r="H5" s="8"/>
      <c r="I5" s="8"/>
      <c r="J5" s="8"/>
      <c r="K5" s="8"/>
      <c r="L5" s="8"/>
      <c r="M5" s="8"/>
      <c r="N5" s="8"/>
    </row>
    <row r="6" customFormat="false" ht="15" hidden="false" customHeight="true" outlineLevel="0" collapsed="false">
      <c r="A6" s="8"/>
      <c r="B6" s="8"/>
      <c r="C6" s="8"/>
      <c r="D6" s="8"/>
      <c r="E6" s="8"/>
      <c r="F6" s="8"/>
      <c r="G6" s="8"/>
      <c r="H6" s="8"/>
      <c r="I6" s="8"/>
      <c r="J6" s="8"/>
      <c r="K6" s="8"/>
      <c r="L6" s="8"/>
      <c r="M6" s="8"/>
      <c r="N6" s="8"/>
    </row>
    <row r="7" customFormat="false" ht="15" hidden="false" customHeight="true" outlineLevel="0" collapsed="false">
      <c r="A7" s="8"/>
      <c r="B7" s="8"/>
      <c r="C7" s="8"/>
      <c r="D7" s="8"/>
      <c r="E7" s="8"/>
      <c r="F7" s="8"/>
      <c r="G7" s="8"/>
      <c r="H7" s="8"/>
      <c r="I7" s="8"/>
      <c r="J7" s="8"/>
      <c r="K7" s="8"/>
      <c r="L7" s="8"/>
      <c r="M7" s="8"/>
      <c r="N7" s="8"/>
    </row>
    <row r="8" customFormat="false" ht="15" hidden="false" customHeight="true" outlineLevel="0" collapsed="false">
      <c r="A8" s="8"/>
      <c r="B8" s="8"/>
      <c r="C8" s="8"/>
      <c r="D8" s="8"/>
      <c r="E8" s="8"/>
      <c r="F8" s="8"/>
      <c r="G8" s="8"/>
      <c r="H8" s="8"/>
      <c r="I8" s="8"/>
      <c r="J8" s="8"/>
      <c r="K8" s="8"/>
      <c r="L8" s="8"/>
      <c r="M8" s="8"/>
      <c r="N8" s="8"/>
    </row>
    <row r="9" customFormat="false" ht="15" hidden="false" customHeight="true" outlineLevel="0" collapsed="false">
      <c r="A9" s="8"/>
      <c r="B9" s="8"/>
      <c r="C9" s="8"/>
      <c r="D9" s="8"/>
      <c r="E9" s="8"/>
      <c r="F9" s="8"/>
      <c r="G9" s="8"/>
      <c r="H9" s="8"/>
      <c r="I9" s="8"/>
      <c r="J9" s="8"/>
      <c r="K9" s="8"/>
      <c r="L9" s="8"/>
      <c r="M9" s="8"/>
      <c r="N9" s="8"/>
    </row>
    <row r="10" customFormat="false" ht="15" hidden="false" customHeight="true" outlineLevel="0" collapsed="false">
      <c r="A10" s="8"/>
      <c r="B10" s="8"/>
      <c r="C10" s="8"/>
      <c r="D10" s="8"/>
      <c r="E10" s="8"/>
      <c r="F10" s="8"/>
      <c r="G10" s="8"/>
      <c r="H10" s="8"/>
      <c r="I10" s="8"/>
      <c r="J10" s="8"/>
      <c r="K10" s="8"/>
      <c r="L10" s="8"/>
      <c r="M10" s="8"/>
      <c r="N10" s="8"/>
    </row>
    <row r="11" customFormat="false" ht="15" hidden="false" customHeight="true" outlineLevel="0" collapsed="false">
      <c r="A11" s="8"/>
      <c r="B11" s="8"/>
      <c r="C11" s="8"/>
      <c r="D11" s="8"/>
      <c r="E11" s="8"/>
      <c r="F11" s="8"/>
      <c r="G11" s="8"/>
      <c r="H11" s="8"/>
      <c r="I11" s="8"/>
      <c r="J11" s="8"/>
      <c r="K11" s="8"/>
      <c r="L11" s="8"/>
      <c r="M11" s="8"/>
      <c r="N11" s="8"/>
    </row>
    <row r="12" customFormat="false" ht="15" hidden="false" customHeight="true" outlineLevel="0" collapsed="false">
      <c r="A12" s="8"/>
      <c r="B12" s="8"/>
      <c r="C12" s="8"/>
      <c r="D12" s="8"/>
      <c r="E12" s="8"/>
      <c r="F12" s="8"/>
      <c r="G12" s="8"/>
      <c r="H12" s="8"/>
      <c r="I12" s="8"/>
      <c r="J12" s="8"/>
      <c r="K12" s="8"/>
      <c r="L12" s="8"/>
      <c r="M12" s="8"/>
      <c r="N12" s="8"/>
    </row>
    <row r="13" customFormat="false" ht="15" hidden="false" customHeight="true" outlineLevel="0" collapsed="false">
      <c r="A13" s="8"/>
      <c r="B13" s="8"/>
      <c r="C13" s="8"/>
      <c r="D13" s="8"/>
      <c r="E13" s="8"/>
      <c r="F13" s="8"/>
      <c r="G13" s="8"/>
      <c r="H13" s="8"/>
      <c r="I13" s="8"/>
      <c r="J13" s="8"/>
      <c r="K13" s="8"/>
      <c r="L13" s="8"/>
      <c r="M13" s="8"/>
      <c r="N13" s="8"/>
    </row>
    <row r="14" customFormat="false" ht="15" hidden="false" customHeight="true" outlineLevel="0" collapsed="false">
      <c r="A14" s="8"/>
      <c r="B14" s="8"/>
      <c r="C14" s="8"/>
      <c r="D14" s="8"/>
      <c r="E14" s="8"/>
      <c r="F14" s="8"/>
      <c r="G14" s="8"/>
      <c r="H14" s="8"/>
      <c r="I14" s="8"/>
      <c r="J14" s="8"/>
      <c r="K14" s="8"/>
      <c r="L14" s="8"/>
      <c r="M14" s="8"/>
      <c r="N14" s="8"/>
    </row>
    <row r="15" customFormat="false" ht="15" hidden="false" customHeight="true" outlineLevel="0" collapsed="false">
      <c r="A15" s="8"/>
      <c r="B15" s="8"/>
      <c r="C15" s="8"/>
      <c r="D15" s="8"/>
      <c r="E15" s="8"/>
      <c r="F15" s="8"/>
      <c r="G15" s="8"/>
      <c r="H15" s="8"/>
      <c r="I15" s="8"/>
      <c r="J15" s="8"/>
      <c r="K15" s="8"/>
      <c r="L15" s="8"/>
      <c r="M15" s="8"/>
      <c r="N15" s="8"/>
    </row>
    <row r="16" customFormat="false" ht="15" hidden="false" customHeight="true" outlineLevel="0" collapsed="false">
      <c r="A16" s="8"/>
      <c r="B16" s="8"/>
      <c r="C16" s="8"/>
      <c r="D16" s="8"/>
      <c r="E16" s="8"/>
      <c r="F16" s="8"/>
      <c r="G16" s="8"/>
      <c r="H16" s="8"/>
      <c r="I16" s="8"/>
      <c r="J16" s="8"/>
      <c r="K16" s="8"/>
      <c r="L16" s="8"/>
      <c r="M16" s="8"/>
      <c r="N16" s="8"/>
    </row>
    <row r="17" customFormat="false" ht="15" hidden="false" customHeight="true" outlineLevel="0" collapsed="false">
      <c r="A17" s="8"/>
      <c r="B17" s="8"/>
      <c r="C17" s="8"/>
      <c r="D17" s="8"/>
      <c r="E17" s="8"/>
      <c r="F17" s="8"/>
      <c r="G17" s="8"/>
      <c r="H17" s="8"/>
      <c r="I17" s="8"/>
      <c r="J17" s="8"/>
      <c r="K17" s="8"/>
      <c r="L17" s="8"/>
      <c r="M17" s="8"/>
      <c r="N17" s="8"/>
    </row>
    <row r="18" customFormat="false" ht="15" hidden="false" customHeight="true" outlineLevel="0" collapsed="false">
      <c r="A18" s="8"/>
      <c r="B18" s="8"/>
      <c r="C18" s="8"/>
      <c r="D18" s="8"/>
      <c r="E18" s="8"/>
      <c r="F18" s="8"/>
      <c r="G18" s="8"/>
      <c r="H18" s="8"/>
      <c r="I18" s="8"/>
      <c r="J18" s="8"/>
      <c r="K18" s="8"/>
      <c r="L18" s="8"/>
      <c r="M18" s="8"/>
      <c r="N18" s="8"/>
    </row>
    <row r="19" customFormat="false" ht="15" hidden="false" customHeight="true" outlineLevel="0" collapsed="false">
      <c r="A19" s="8"/>
      <c r="B19" s="8"/>
      <c r="C19" s="8"/>
      <c r="D19" s="8"/>
      <c r="E19" s="8"/>
      <c r="F19" s="8"/>
      <c r="G19" s="8"/>
      <c r="H19" s="8"/>
      <c r="I19" s="8"/>
      <c r="J19" s="8"/>
      <c r="K19" s="8"/>
      <c r="L19" s="8"/>
      <c r="M19" s="8"/>
      <c r="N19" s="8"/>
    </row>
    <row r="20" customFormat="false" ht="15" hidden="false" customHeight="true" outlineLevel="0" collapsed="false">
      <c r="A20" s="8"/>
      <c r="B20" s="8"/>
      <c r="C20" s="8"/>
      <c r="D20" s="8"/>
      <c r="E20" s="8"/>
      <c r="F20" s="8"/>
      <c r="G20" s="8"/>
      <c r="H20" s="8"/>
      <c r="I20" s="8"/>
      <c r="J20" s="8"/>
      <c r="K20" s="8"/>
      <c r="L20" s="8"/>
      <c r="M20" s="8"/>
      <c r="N20" s="8"/>
    </row>
    <row r="21" customFormat="false" ht="15" hidden="false" customHeight="true" outlineLevel="0" collapsed="false">
      <c r="A21" s="8"/>
      <c r="B21" s="8"/>
      <c r="C21" s="8"/>
      <c r="D21" s="8"/>
      <c r="E21" s="8"/>
      <c r="F21" s="8"/>
      <c r="G21" s="8"/>
      <c r="H21" s="8"/>
      <c r="I21" s="8"/>
      <c r="J21" s="8"/>
      <c r="K21" s="8"/>
      <c r="L21" s="8"/>
      <c r="M21" s="8"/>
      <c r="N21" s="8"/>
    </row>
    <row r="22" customFormat="false" ht="15" hidden="false" customHeight="true" outlineLevel="0" collapsed="false">
      <c r="A22" s="8"/>
      <c r="B22" s="8"/>
      <c r="C22" s="8"/>
      <c r="D22" s="8"/>
      <c r="E22" s="8"/>
      <c r="F22" s="8"/>
      <c r="G22" s="8"/>
      <c r="H22" s="8"/>
      <c r="I22" s="8"/>
      <c r="J22" s="8"/>
      <c r="K22" s="8"/>
      <c r="L22" s="8"/>
      <c r="M22" s="8"/>
      <c r="N22" s="8"/>
    </row>
    <row r="23" customFormat="false" ht="15" hidden="false" customHeight="true" outlineLevel="0" collapsed="false">
      <c r="A23" s="8"/>
      <c r="B23" s="8"/>
      <c r="C23" s="8"/>
      <c r="D23" s="8"/>
      <c r="E23" s="8"/>
      <c r="F23" s="8"/>
      <c r="G23" s="8"/>
      <c r="H23" s="8"/>
      <c r="I23" s="8"/>
      <c r="J23" s="8"/>
      <c r="K23" s="8"/>
      <c r="L23" s="8"/>
      <c r="M23" s="8"/>
      <c r="N23" s="8"/>
    </row>
    <row r="24" customFormat="false" ht="15" hidden="false" customHeight="true" outlineLevel="0" collapsed="false">
      <c r="A24" s="8"/>
      <c r="B24" s="8"/>
      <c r="C24" s="8"/>
      <c r="D24" s="8"/>
      <c r="E24" s="8"/>
      <c r="F24" s="8"/>
      <c r="G24" s="8"/>
      <c r="H24" s="8"/>
      <c r="I24" s="8"/>
      <c r="J24" s="8"/>
      <c r="K24" s="8"/>
      <c r="L24" s="8"/>
      <c r="M24" s="8"/>
      <c r="N24" s="8"/>
    </row>
    <row r="25" customFormat="false" ht="15" hidden="false" customHeight="true" outlineLevel="0" collapsed="false">
      <c r="A25" s="8"/>
      <c r="B25" s="8"/>
      <c r="C25" s="8"/>
      <c r="D25" s="8"/>
      <c r="E25" s="8"/>
      <c r="F25" s="8"/>
      <c r="G25" s="8"/>
      <c r="H25" s="8"/>
      <c r="I25" s="8"/>
      <c r="J25" s="8"/>
      <c r="K25" s="8"/>
      <c r="L25" s="8"/>
      <c r="M25" s="8"/>
      <c r="N25" s="8"/>
    </row>
    <row r="26" customFormat="false" ht="15" hidden="false" customHeight="true" outlineLevel="0" collapsed="false">
      <c r="A26" s="8"/>
      <c r="B26" s="8"/>
      <c r="C26" s="8"/>
      <c r="D26" s="8"/>
      <c r="E26" s="8"/>
      <c r="F26" s="8"/>
      <c r="G26" s="8"/>
      <c r="H26" s="8"/>
      <c r="I26" s="8"/>
      <c r="J26" s="8"/>
      <c r="K26" s="8"/>
      <c r="L26" s="8"/>
      <c r="M26" s="8"/>
      <c r="N26" s="8"/>
    </row>
    <row r="27" customFormat="false" ht="15" hidden="false" customHeight="true" outlineLevel="0" collapsed="false">
      <c r="A27" s="8"/>
      <c r="B27" s="8"/>
      <c r="C27" s="8"/>
      <c r="D27" s="8"/>
      <c r="E27" s="8"/>
      <c r="F27" s="8"/>
      <c r="G27" s="8"/>
      <c r="H27" s="8"/>
      <c r="I27" s="8"/>
      <c r="J27" s="8"/>
      <c r="K27" s="8"/>
      <c r="L27" s="8"/>
      <c r="M27" s="8"/>
      <c r="N27" s="8"/>
    </row>
    <row r="28" customFormat="false" ht="15" hidden="false" customHeight="true" outlineLevel="0" collapsed="false">
      <c r="A28" s="8"/>
      <c r="B28" s="8"/>
      <c r="C28" s="8"/>
      <c r="D28" s="8"/>
      <c r="E28" s="8"/>
      <c r="F28" s="8"/>
      <c r="G28" s="8"/>
      <c r="H28" s="8"/>
      <c r="I28" s="8"/>
      <c r="J28" s="8"/>
      <c r="K28" s="8"/>
      <c r="L28" s="8"/>
      <c r="M28" s="8"/>
      <c r="N28" s="8"/>
    </row>
    <row r="29" customFormat="false" ht="15" hidden="false" customHeight="true" outlineLevel="0" collapsed="false">
      <c r="A29" s="8"/>
      <c r="B29" s="8"/>
      <c r="C29" s="8"/>
      <c r="D29" s="8"/>
      <c r="E29" s="8"/>
      <c r="F29" s="8"/>
      <c r="G29" s="8"/>
      <c r="H29" s="8"/>
      <c r="I29" s="8"/>
      <c r="J29" s="8"/>
      <c r="K29" s="8"/>
      <c r="L29" s="8"/>
      <c r="M29" s="8"/>
      <c r="N29" s="8"/>
    </row>
    <row r="30" customFormat="false" ht="15" hidden="false" customHeight="true" outlineLevel="0" collapsed="false">
      <c r="A30" s="8"/>
      <c r="B30" s="8"/>
      <c r="C30" s="8"/>
      <c r="D30" s="8"/>
      <c r="E30" s="8"/>
      <c r="F30" s="8"/>
      <c r="G30" s="8"/>
      <c r="H30" s="8"/>
      <c r="I30" s="8"/>
      <c r="J30" s="8"/>
      <c r="K30" s="8"/>
      <c r="L30" s="8"/>
      <c r="M30" s="8"/>
      <c r="N30" s="8"/>
    </row>
    <row r="31" customFormat="false" ht="15" hidden="false" customHeight="true" outlineLevel="0" collapsed="false">
      <c r="A31" s="8"/>
      <c r="B31" s="8"/>
      <c r="C31" s="8"/>
      <c r="D31" s="8"/>
      <c r="E31" s="8"/>
      <c r="F31" s="8"/>
      <c r="G31" s="8"/>
      <c r="H31" s="8"/>
      <c r="I31" s="8"/>
      <c r="J31" s="8"/>
      <c r="K31" s="8"/>
      <c r="L31" s="8"/>
      <c r="M31" s="8"/>
      <c r="N31" s="8"/>
    </row>
    <row r="32" customFormat="false" ht="15" hidden="false" customHeight="true" outlineLevel="0" collapsed="false">
      <c r="A32" s="8"/>
      <c r="B32" s="8"/>
      <c r="C32" s="8"/>
      <c r="D32" s="8"/>
      <c r="E32" s="8"/>
      <c r="F32" s="8"/>
      <c r="G32" s="8"/>
      <c r="H32" s="8"/>
      <c r="I32" s="8"/>
      <c r="J32" s="8"/>
      <c r="K32" s="8"/>
      <c r="L32" s="8"/>
      <c r="M32" s="8"/>
      <c r="N32" s="8"/>
    </row>
    <row r="33" customFormat="false" ht="15" hidden="false" customHeight="true" outlineLevel="0" collapsed="false">
      <c r="A33" s="8"/>
      <c r="B33" s="8"/>
      <c r="C33" s="8"/>
      <c r="D33" s="8"/>
      <c r="E33" s="8"/>
      <c r="F33" s="8"/>
      <c r="G33" s="8"/>
      <c r="H33" s="8"/>
      <c r="I33" s="8"/>
      <c r="J33" s="8"/>
      <c r="K33" s="8"/>
      <c r="L33" s="8"/>
      <c r="M33" s="8"/>
      <c r="N33" s="8"/>
    </row>
    <row r="34" customFormat="false" ht="15" hidden="false" customHeight="true" outlineLevel="0" collapsed="false">
      <c r="A34" s="8"/>
      <c r="B34" s="8"/>
      <c r="C34" s="8"/>
      <c r="D34" s="8"/>
      <c r="E34" s="8"/>
      <c r="F34" s="8"/>
      <c r="G34" s="8"/>
      <c r="H34" s="8"/>
      <c r="I34" s="8"/>
      <c r="J34" s="8"/>
      <c r="K34" s="8"/>
      <c r="L34" s="8"/>
      <c r="M34" s="8"/>
      <c r="N34" s="8"/>
    </row>
    <row r="35" customFormat="false" ht="15" hidden="false" customHeight="true" outlineLevel="0" collapsed="false">
      <c r="A35" s="8"/>
      <c r="B35" s="8"/>
      <c r="C35" s="8"/>
      <c r="D35" s="8"/>
      <c r="E35" s="8"/>
      <c r="F35" s="8"/>
      <c r="G35" s="8"/>
      <c r="H35" s="8"/>
      <c r="I35" s="8"/>
      <c r="J35" s="8"/>
      <c r="K35" s="8"/>
      <c r="L35" s="8"/>
      <c r="M35" s="8"/>
      <c r="N35" s="8"/>
    </row>
    <row r="36" customFormat="false" ht="15" hidden="false" customHeight="true" outlineLevel="0" collapsed="false">
      <c r="A36" s="8"/>
      <c r="B36" s="8"/>
      <c r="C36" s="8"/>
      <c r="D36" s="8"/>
      <c r="E36" s="8"/>
      <c r="F36" s="8"/>
      <c r="G36" s="8"/>
      <c r="H36" s="8"/>
      <c r="I36" s="8"/>
      <c r="J36" s="8"/>
      <c r="K36" s="8"/>
      <c r="L36" s="8"/>
      <c r="M36" s="8"/>
      <c r="N36" s="8"/>
    </row>
    <row r="37" customFormat="false" ht="15" hidden="false" customHeight="true" outlineLevel="0" collapsed="false">
      <c r="A37" s="8"/>
      <c r="B37" s="8"/>
      <c r="C37" s="8"/>
      <c r="D37" s="8"/>
      <c r="E37" s="8"/>
      <c r="F37" s="8"/>
      <c r="G37" s="8"/>
      <c r="H37" s="8"/>
      <c r="I37" s="8"/>
      <c r="J37" s="8"/>
      <c r="K37" s="8"/>
      <c r="L37" s="8"/>
      <c r="M37" s="8"/>
      <c r="N37" s="8"/>
    </row>
    <row r="38" customFormat="false" ht="15" hidden="false" customHeight="true" outlineLevel="0" collapsed="false">
      <c r="A38" s="8"/>
      <c r="B38" s="8"/>
      <c r="C38" s="8"/>
      <c r="D38" s="8"/>
      <c r="E38" s="8"/>
      <c r="F38" s="8"/>
      <c r="G38" s="8"/>
      <c r="H38" s="8"/>
      <c r="I38" s="8"/>
      <c r="J38" s="8"/>
      <c r="K38" s="8"/>
      <c r="L38" s="8"/>
      <c r="M38" s="8"/>
      <c r="N38" s="8"/>
    </row>
    <row r="39" customFormat="false" ht="15" hidden="false" customHeight="true" outlineLevel="0" collapsed="false">
      <c r="A39" s="8"/>
      <c r="B39" s="8"/>
      <c r="C39" s="8"/>
      <c r="D39" s="8"/>
      <c r="E39" s="8"/>
      <c r="F39" s="8"/>
      <c r="G39" s="8"/>
      <c r="H39" s="8"/>
      <c r="I39" s="8"/>
      <c r="J39" s="8"/>
      <c r="K39" s="8"/>
      <c r="L39" s="8"/>
      <c r="M39" s="8"/>
      <c r="N39" s="8"/>
    </row>
    <row r="40" customFormat="false" ht="15" hidden="false" customHeight="true" outlineLevel="0" collapsed="false">
      <c r="A40" s="8"/>
      <c r="B40" s="8"/>
      <c r="C40" s="8"/>
      <c r="D40" s="8"/>
      <c r="E40" s="8"/>
      <c r="F40" s="8"/>
      <c r="G40" s="8"/>
      <c r="H40" s="8"/>
      <c r="I40" s="8"/>
      <c r="J40" s="8"/>
      <c r="K40" s="8"/>
      <c r="L40" s="8"/>
      <c r="M40" s="8"/>
      <c r="N40" s="8"/>
    </row>
    <row r="41" customFormat="false" ht="15" hidden="false" customHeight="true" outlineLevel="0" collapsed="false">
      <c r="A41" s="8"/>
      <c r="B41" s="8"/>
      <c r="C41" s="8"/>
      <c r="D41" s="8"/>
      <c r="E41" s="8"/>
      <c r="F41" s="8"/>
      <c r="G41" s="8"/>
      <c r="H41" s="8"/>
      <c r="I41" s="8"/>
      <c r="J41" s="8"/>
      <c r="K41" s="8"/>
      <c r="L41" s="8"/>
      <c r="M41" s="8"/>
      <c r="N41" s="8"/>
    </row>
    <row r="42" customFormat="false" ht="15" hidden="false" customHeight="true" outlineLevel="0" collapsed="false">
      <c r="A42" s="8"/>
      <c r="B42" s="8"/>
      <c r="C42" s="8"/>
      <c r="D42" s="8"/>
      <c r="E42" s="8"/>
      <c r="F42" s="8"/>
      <c r="G42" s="8"/>
      <c r="H42" s="8"/>
      <c r="I42" s="8"/>
      <c r="J42" s="8"/>
      <c r="K42" s="8"/>
      <c r="L42" s="8"/>
      <c r="M42" s="8"/>
      <c r="N42" s="8"/>
    </row>
    <row r="43" customFormat="false" ht="15" hidden="false" customHeight="true" outlineLevel="0" collapsed="false">
      <c r="A43" s="8"/>
      <c r="B43" s="8"/>
      <c r="C43" s="8"/>
      <c r="D43" s="8"/>
      <c r="E43" s="8"/>
      <c r="F43" s="8"/>
      <c r="G43" s="8"/>
      <c r="H43" s="8"/>
      <c r="I43" s="8"/>
      <c r="J43" s="8"/>
      <c r="K43" s="8"/>
      <c r="L43" s="8"/>
      <c r="M43" s="8"/>
      <c r="N43" s="8"/>
    </row>
    <row r="44" customFormat="false" ht="15" hidden="false" customHeight="true" outlineLevel="0" collapsed="false">
      <c r="A44" s="8"/>
      <c r="B44" s="8"/>
      <c r="C44" s="8"/>
      <c r="D44" s="8"/>
      <c r="E44" s="8"/>
      <c r="F44" s="8"/>
      <c r="G44" s="8"/>
      <c r="H44" s="8"/>
      <c r="I44" s="8"/>
      <c r="J44" s="8"/>
      <c r="K44" s="8"/>
      <c r="L44" s="8"/>
      <c r="M44" s="8"/>
      <c r="N44" s="8"/>
    </row>
    <row r="45" customFormat="false" ht="15" hidden="false" customHeight="true" outlineLevel="0" collapsed="false">
      <c r="A45" s="8"/>
      <c r="B45" s="8"/>
      <c r="C45" s="8"/>
      <c r="D45" s="8"/>
      <c r="E45" s="8"/>
      <c r="F45" s="8"/>
      <c r="G45" s="8"/>
      <c r="H45" s="8"/>
      <c r="I45" s="8"/>
      <c r="J45" s="8"/>
      <c r="K45" s="8"/>
      <c r="L45" s="8"/>
      <c r="M45" s="8"/>
      <c r="N45" s="8"/>
    </row>
    <row r="46" customFormat="false" ht="15" hidden="false" customHeight="true" outlineLevel="0" collapsed="false">
      <c r="A46" s="8"/>
      <c r="B46" s="8"/>
      <c r="C46" s="8"/>
      <c r="D46" s="8"/>
      <c r="E46" s="8"/>
      <c r="F46" s="8"/>
      <c r="G46" s="8"/>
      <c r="H46" s="8"/>
      <c r="I46" s="8"/>
      <c r="J46" s="8"/>
      <c r="K46" s="8"/>
      <c r="L46" s="8"/>
      <c r="M46" s="8"/>
      <c r="N46" s="8"/>
    </row>
    <row r="47" customFormat="false" ht="15" hidden="false" customHeight="true" outlineLevel="0" collapsed="false">
      <c r="A47" s="8"/>
      <c r="B47" s="8"/>
      <c r="C47" s="8"/>
      <c r="D47" s="8"/>
      <c r="E47" s="8"/>
      <c r="F47" s="8"/>
      <c r="G47" s="8"/>
      <c r="H47" s="8"/>
      <c r="I47" s="8"/>
      <c r="J47" s="8"/>
      <c r="K47" s="8"/>
      <c r="L47" s="8"/>
      <c r="M47" s="8"/>
      <c r="N47" s="8"/>
    </row>
    <row r="48" customFormat="false" ht="15" hidden="false" customHeight="true" outlineLevel="0" collapsed="false">
      <c r="A48" s="8"/>
      <c r="B48" s="8"/>
      <c r="C48" s="8"/>
      <c r="D48" s="8"/>
      <c r="E48" s="8"/>
      <c r="F48" s="8"/>
      <c r="G48" s="8"/>
      <c r="H48" s="8"/>
      <c r="I48" s="8"/>
      <c r="J48" s="8"/>
      <c r="K48" s="8"/>
      <c r="L48" s="8"/>
      <c r="M48" s="8"/>
      <c r="N48" s="8"/>
    </row>
    <row r="49" customFormat="false" ht="15" hidden="false" customHeight="true" outlineLevel="0" collapsed="false">
      <c r="A49" s="8"/>
      <c r="B49" s="8"/>
      <c r="C49" s="8"/>
      <c r="D49" s="8"/>
      <c r="E49" s="8"/>
      <c r="F49" s="8"/>
      <c r="G49" s="8"/>
      <c r="H49" s="8"/>
      <c r="I49" s="8"/>
      <c r="J49" s="8"/>
      <c r="K49" s="8"/>
      <c r="L49" s="8"/>
      <c r="M49" s="8"/>
      <c r="N49" s="8"/>
    </row>
    <row r="50" customFormat="false" ht="15" hidden="false" customHeight="true" outlineLevel="0" collapsed="false">
      <c r="A50" s="8"/>
      <c r="B50" s="8"/>
      <c r="C50" s="8"/>
      <c r="D50" s="8"/>
      <c r="E50" s="8"/>
      <c r="F50" s="8"/>
      <c r="G50" s="8"/>
      <c r="H50" s="8"/>
      <c r="I50" s="8"/>
      <c r="J50" s="8"/>
      <c r="K50" s="8"/>
      <c r="L50" s="8"/>
      <c r="M50" s="8"/>
      <c r="N50" s="8"/>
    </row>
    <row r="51" customFormat="false" ht="15" hidden="false" customHeight="true" outlineLevel="0" collapsed="false">
      <c r="A51" s="8"/>
      <c r="B51" s="8"/>
      <c r="C51" s="8"/>
      <c r="D51" s="8"/>
      <c r="E51" s="8"/>
      <c r="F51" s="8"/>
      <c r="G51" s="8"/>
      <c r="H51" s="8"/>
      <c r="I51" s="8"/>
      <c r="J51" s="8"/>
      <c r="K51" s="8"/>
      <c r="L51" s="8"/>
      <c r="M51" s="8"/>
      <c r="N51" s="8"/>
    </row>
    <row r="52" customFormat="false" ht="15" hidden="false" customHeight="true" outlineLevel="0" collapsed="false">
      <c r="A52" s="8"/>
      <c r="B52" s="8"/>
      <c r="C52" s="8"/>
      <c r="D52" s="8"/>
      <c r="E52" s="8"/>
      <c r="F52" s="8"/>
      <c r="G52" s="8"/>
      <c r="H52" s="8"/>
      <c r="I52" s="8"/>
      <c r="J52" s="8"/>
      <c r="K52" s="8"/>
      <c r="L52" s="8"/>
      <c r="M52" s="8"/>
      <c r="N52" s="8"/>
    </row>
    <row r="53" customFormat="false" ht="15" hidden="false" customHeight="true" outlineLevel="0" collapsed="false">
      <c r="A53" s="8"/>
      <c r="B53" s="8"/>
      <c r="C53" s="8"/>
      <c r="D53" s="8"/>
      <c r="E53" s="8"/>
      <c r="F53" s="8"/>
      <c r="G53" s="8"/>
      <c r="H53" s="8"/>
      <c r="I53" s="8"/>
      <c r="J53" s="8"/>
      <c r="K53" s="8"/>
      <c r="L53" s="8"/>
      <c r="M53" s="8"/>
      <c r="N53" s="8"/>
    </row>
    <row r="54" customFormat="false" ht="15" hidden="false" customHeight="true" outlineLevel="0" collapsed="false">
      <c r="A54" s="8"/>
      <c r="B54" s="8"/>
      <c r="C54" s="8"/>
      <c r="D54" s="8"/>
      <c r="E54" s="8"/>
      <c r="F54" s="8"/>
      <c r="G54" s="8"/>
      <c r="H54" s="8"/>
      <c r="I54" s="8"/>
      <c r="J54" s="8"/>
      <c r="K54" s="8"/>
      <c r="L54" s="8"/>
      <c r="M54" s="8"/>
      <c r="N54" s="8"/>
    </row>
    <row r="55" customFormat="false" ht="15" hidden="false" customHeight="true" outlineLevel="0" collapsed="false">
      <c r="A55" s="8"/>
      <c r="B55" s="8"/>
      <c r="C55" s="8"/>
      <c r="D55" s="8"/>
      <c r="E55" s="8"/>
      <c r="F55" s="8"/>
      <c r="G55" s="8"/>
      <c r="H55" s="8"/>
      <c r="I55" s="8"/>
      <c r="J55" s="8"/>
      <c r="K55" s="8"/>
      <c r="L55" s="8"/>
      <c r="M55" s="8"/>
      <c r="N55" s="8"/>
    </row>
    <row r="56" customFormat="false" ht="15" hidden="false" customHeight="true" outlineLevel="0" collapsed="false">
      <c r="A56" s="8"/>
      <c r="B56" s="8"/>
      <c r="C56" s="8"/>
      <c r="D56" s="8"/>
      <c r="E56" s="8"/>
      <c r="F56" s="8"/>
      <c r="G56" s="8"/>
      <c r="H56" s="8"/>
      <c r="I56" s="8"/>
      <c r="J56" s="8"/>
      <c r="K56" s="8"/>
      <c r="L56" s="8"/>
      <c r="M56" s="8"/>
      <c r="N56" s="8"/>
    </row>
    <row r="57" customFormat="false" ht="15" hidden="false" customHeight="true" outlineLevel="0" collapsed="false">
      <c r="A57" s="8"/>
      <c r="B57" s="8"/>
      <c r="C57" s="8"/>
      <c r="D57" s="8"/>
      <c r="E57" s="8"/>
      <c r="F57" s="8"/>
      <c r="G57" s="8"/>
      <c r="H57" s="8"/>
      <c r="I57" s="8"/>
      <c r="J57" s="8"/>
      <c r="K57" s="8"/>
      <c r="L57" s="8"/>
      <c r="M57" s="8"/>
      <c r="N57" s="8"/>
    </row>
    <row r="58" customFormat="false" ht="15" hidden="false" customHeight="true" outlineLevel="0" collapsed="false">
      <c r="A58" s="8"/>
      <c r="B58" s="8"/>
      <c r="C58" s="8"/>
      <c r="D58" s="8"/>
      <c r="E58" s="8"/>
      <c r="F58" s="8"/>
      <c r="G58" s="8"/>
      <c r="H58" s="8"/>
      <c r="I58" s="8"/>
      <c r="J58" s="8"/>
      <c r="K58" s="8"/>
      <c r="L58" s="8"/>
      <c r="M58" s="8"/>
      <c r="N58" s="8"/>
    </row>
    <row r="59" customFormat="false" ht="15" hidden="false" customHeight="true" outlineLevel="0" collapsed="false">
      <c r="A59" s="8"/>
      <c r="B59" s="8"/>
      <c r="C59" s="8"/>
      <c r="D59" s="8"/>
      <c r="E59" s="8"/>
      <c r="F59" s="8"/>
      <c r="G59" s="8"/>
      <c r="H59" s="8"/>
      <c r="I59" s="8"/>
      <c r="J59" s="8"/>
      <c r="K59" s="8"/>
      <c r="L59" s="8"/>
      <c r="M59" s="8"/>
      <c r="N59" s="8"/>
    </row>
    <row r="60" customFormat="false" ht="15" hidden="false" customHeight="true" outlineLevel="0" collapsed="false">
      <c r="A60" s="8"/>
      <c r="B60" s="8"/>
      <c r="C60" s="8"/>
      <c r="D60" s="8"/>
      <c r="E60" s="8"/>
      <c r="F60" s="8"/>
      <c r="G60" s="8"/>
      <c r="H60" s="8"/>
      <c r="I60" s="8"/>
      <c r="J60" s="8"/>
      <c r="K60" s="8"/>
      <c r="L60" s="8"/>
      <c r="M60" s="8"/>
      <c r="N60" s="8"/>
    </row>
    <row r="61" customFormat="false" ht="15" hidden="false" customHeight="true" outlineLevel="0" collapsed="false">
      <c r="A61" s="8"/>
      <c r="B61" s="8"/>
      <c r="C61" s="8"/>
      <c r="D61" s="8"/>
      <c r="E61" s="8"/>
      <c r="F61" s="8"/>
      <c r="G61" s="8"/>
      <c r="H61" s="8"/>
      <c r="I61" s="8"/>
      <c r="J61" s="8"/>
      <c r="K61" s="8"/>
      <c r="L61" s="8"/>
      <c r="M61" s="8"/>
      <c r="N61" s="8"/>
    </row>
    <row r="62" customFormat="false" ht="15" hidden="false" customHeight="true" outlineLevel="0" collapsed="false">
      <c r="A62" s="8"/>
      <c r="B62" s="8"/>
      <c r="C62" s="8"/>
      <c r="D62" s="8"/>
      <c r="E62" s="8"/>
      <c r="F62" s="8"/>
      <c r="G62" s="8"/>
      <c r="H62" s="8"/>
      <c r="I62" s="8"/>
      <c r="J62" s="8"/>
      <c r="K62" s="8"/>
      <c r="L62" s="8"/>
      <c r="M62" s="8"/>
      <c r="N62" s="8"/>
    </row>
    <row r="63" customFormat="false" ht="15" hidden="false" customHeight="true" outlineLevel="0" collapsed="false">
      <c r="A63" s="8"/>
      <c r="B63" s="8"/>
      <c r="C63" s="8"/>
      <c r="D63" s="8"/>
      <c r="E63" s="8"/>
      <c r="F63" s="8"/>
      <c r="G63" s="8"/>
      <c r="H63" s="8"/>
      <c r="I63" s="8"/>
      <c r="J63" s="8"/>
      <c r="K63" s="8"/>
      <c r="L63" s="8"/>
      <c r="M63" s="8"/>
      <c r="N63" s="8"/>
    </row>
    <row r="64" customFormat="false" ht="15" hidden="false" customHeight="true" outlineLevel="0" collapsed="false">
      <c r="A64" s="8"/>
      <c r="B64" s="8"/>
      <c r="C64" s="8"/>
      <c r="D64" s="8"/>
      <c r="E64" s="8"/>
      <c r="F64" s="8"/>
      <c r="G64" s="8"/>
      <c r="H64" s="8"/>
      <c r="I64" s="8"/>
      <c r="J64" s="8"/>
      <c r="K64" s="8"/>
      <c r="L64" s="8"/>
      <c r="M64" s="8"/>
      <c r="N64" s="8"/>
    </row>
    <row r="65" customFormat="false" ht="15" hidden="false" customHeight="true" outlineLevel="0" collapsed="false">
      <c r="A65" s="8"/>
      <c r="B65" s="8"/>
      <c r="C65" s="8"/>
      <c r="D65" s="8"/>
      <c r="E65" s="8"/>
      <c r="F65" s="8"/>
      <c r="G65" s="8"/>
      <c r="H65" s="8"/>
      <c r="I65" s="8"/>
      <c r="J65" s="8"/>
      <c r="K65" s="8"/>
      <c r="L65" s="8"/>
      <c r="M65" s="8"/>
      <c r="N65" s="8"/>
    </row>
    <row r="66" customFormat="false" ht="15" hidden="false" customHeight="true" outlineLevel="0" collapsed="false">
      <c r="A66" s="8"/>
      <c r="B66" s="8"/>
      <c r="C66" s="8"/>
      <c r="D66" s="8"/>
      <c r="E66" s="8"/>
      <c r="F66" s="8"/>
      <c r="G66" s="8"/>
      <c r="H66" s="8"/>
      <c r="I66" s="8"/>
      <c r="J66" s="8"/>
      <c r="K66" s="8"/>
      <c r="L66" s="8"/>
      <c r="M66" s="8"/>
      <c r="N66" s="8"/>
    </row>
    <row r="67" customFormat="false" ht="15" hidden="false" customHeight="true" outlineLevel="0" collapsed="false">
      <c r="A67" s="8"/>
      <c r="B67" s="8"/>
      <c r="C67" s="8"/>
      <c r="D67" s="8"/>
      <c r="E67" s="8"/>
      <c r="F67" s="8"/>
      <c r="G67" s="8"/>
      <c r="H67" s="8"/>
      <c r="I67" s="8"/>
      <c r="J67" s="8"/>
      <c r="K67" s="8"/>
      <c r="L67" s="8"/>
      <c r="M67" s="8"/>
      <c r="N67" s="8"/>
    </row>
    <row r="68" customFormat="false" ht="15" hidden="false" customHeight="true" outlineLevel="0" collapsed="false">
      <c r="A68" s="8"/>
      <c r="B68" s="8"/>
      <c r="C68" s="8"/>
      <c r="D68" s="8"/>
      <c r="E68" s="8"/>
      <c r="F68" s="8"/>
      <c r="G68" s="8"/>
      <c r="H68" s="8"/>
      <c r="I68" s="8"/>
      <c r="J68" s="8"/>
      <c r="K68" s="8"/>
      <c r="L68" s="8"/>
      <c r="M68" s="8"/>
      <c r="N68" s="8"/>
    </row>
    <row r="69" customFormat="false" ht="15" hidden="false" customHeight="true" outlineLevel="0" collapsed="false">
      <c r="A69" s="8"/>
      <c r="B69" s="8"/>
      <c r="C69" s="8"/>
      <c r="D69" s="8"/>
      <c r="E69" s="8"/>
      <c r="F69" s="8"/>
      <c r="G69" s="8"/>
      <c r="H69" s="8"/>
      <c r="I69" s="8"/>
      <c r="J69" s="8"/>
      <c r="K69" s="8"/>
      <c r="L69" s="8"/>
      <c r="M69" s="8"/>
      <c r="N69" s="8"/>
    </row>
    <row r="70" customFormat="false" ht="15" hidden="false" customHeight="true" outlineLevel="0" collapsed="false">
      <c r="A70" s="8"/>
      <c r="B70" s="8"/>
      <c r="C70" s="8"/>
      <c r="D70" s="8"/>
      <c r="E70" s="8"/>
      <c r="F70" s="8"/>
      <c r="G70" s="8"/>
      <c r="H70" s="8"/>
      <c r="I70" s="8"/>
      <c r="J70" s="8"/>
      <c r="K70" s="8"/>
      <c r="L70" s="8"/>
      <c r="M70" s="8"/>
      <c r="N70" s="8"/>
    </row>
    <row r="71" customFormat="false" ht="15" hidden="false" customHeight="true" outlineLevel="0" collapsed="false">
      <c r="A71" s="8"/>
      <c r="B71" s="8"/>
      <c r="C71" s="8"/>
      <c r="D71" s="8"/>
      <c r="E71" s="8"/>
      <c r="F71" s="8"/>
      <c r="G71" s="8"/>
      <c r="H71" s="8"/>
      <c r="I71" s="8"/>
      <c r="J71" s="8"/>
      <c r="K71" s="8"/>
      <c r="L71" s="8"/>
      <c r="M71" s="8"/>
      <c r="N71" s="8"/>
    </row>
    <row r="72" customFormat="false" ht="15" hidden="false" customHeight="true" outlineLevel="0" collapsed="false">
      <c r="A72" s="8"/>
      <c r="B72" s="8"/>
      <c r="C72" s="8"/>
      <c r="D72" s="8"/>
      <c r="E72" s="8"/>
      <c r="F72" s="8"/>
      <c r="G72" s="8"/>
      <c r="H72" s="8"/>
      <c r="I72" s="8"/>
      <c r="J72" s="8"/>
      <c r="K72" s="8"/>
      <c r="L72" s="8"/>
      <c r="M72" s="8"/>
      <c r="N72" s="8"/>
    </row>
    <row r="73" customFormat="false" ht="15" hidden="false" customHeight="true" outlineLevel="0" collapsed="false">
      <c r="A73" s="8"/>
      <c r="B73" s="8"/>
      <c r="C73" s="8"/>
      <c r="D73" s="8"/>
      <c r="E73" s="8"/>
      <c r="F73" s="8"/>
      <c r="G73" s="8"/>
      <c r="H73" s="8"/>
      <c r="I73" s="8"/>
      <c r="J73" s="8"/>
      <c r="K73" s="8"/>
      <c r="L73" s="8"/>
      <c r="M73" s="8"/>
      <c r="N73" s="8"/>
    </row>
    <row r="74" customFormat="false" ht="15" hidden="false" customHeight="true" outlineLevel="0" collapsed="false">
      <c r="A74" s="8"/>
      <c r="B74" s="8"/>
      <c r="C74" s="8"/>
      <c r="D74" s="8"/>
      <c r="E74" s="8"/>
      <c r="F74" s="8"/>
      <c r="G74" s="8"/>
      <c r="H74" s="8"/>
      <c r="I74" s="8"/>
      <c r="J74" s="8"/>
      <c r="K74" s="8"/>
      <c r="L74" s="8"/>
      <c r="M74" s="8"/>
      <c r="N74" s="8"/>
    </row>
    <row r="75" customFormat="false" ht="15" hidden="false" customHeight="true" outlineLevel="0" collapsed="false">
      <c r="A75" s="8"/>
      <c r="B75" s="8"/>
      <c r="C75" s="8"/>
      <c r="D75" s="8"/>
      <c r="E75" s="8"/>
      <c r="F75" s="8"/>
      <c r="G75" s="8"/>
      <c r="H75" s="8"/>
      <c r="I75" s="8"/>
      <c r="J75" s="8"/>
      <c r="K75" s="8"/>
      <c r="L75" s="8"/>
      <c r="M75" s="8"/>
      <c r="N75" s="8"/>
    </row>
    <row r="76" customFormat="false" ht="15" hidden="false" customHeight="true" outlineLevel="0" collapsed="false">
      <c r="A76" s="8"/>
      <c r="B76" s="8"/>
      <c r="C76" s="8"/>
      <c r="D76" s="8"/>
      <c r="E76" s="8"/>
      <c r="F76" s="8"/>
      <c r="G76" s="8"/>
      <c r="H76" s="8"/>
      <c r="I76" s="8"/>
      <c r="J76" s="8"/>
      <c r="K76" s="8"/>
      <c r="L76" s="8"/>
      <c r="M76" s="8"/>
      <c r="N76" s="8"/>
    </row>
    <row r="77" customFormat="false" ht="15" hidden="false" customHeight="true" outlineLevel="0" collapsed="false">
      <c r="A77" s="8"/>
      <c r="B77" s="8"/>
      <c r="C77" s="8"/>
      <c r="D77" s="8"/>
      <c r="E77" s="8"/>
      <c r="F77" s="8"/>
      <c r="G77" s="8"/>
      <c r="H77" s="8"/>
      <c r="I77" s="8"/>
      <c r="J77" s="8"/>
      <c r="K77" s="8"/>
      <c r="L77" s="8"/>
      <c r="M77" s="8"/>
      <c r="N77" s="8"/>
    </row>
    <row r="78" customFormat="false" ht="15" hidden="false" customHeight="true" outlineLevel="0" collapsed="false">
      <c r="A78" s="8"/>
      <c r="B78" s="8"/>
      <c r="C78" s="8"/>
      <c r="D78" s="8"/>
      <c r="E78" s="8"/>
      <c r="F78" s="8"/>
      <c r="G78" s="8"/>
      <c r="H78" s="8"/>
      <c r="I78" s="8"/>
      <c r="J78" s="8"/>
      <c r="K78" s="8"/>
      <c r="L78" s="8"/>
      <c r="M78" s="8"/>
      <c r="N78" s="8"/>
    </row>
    <row r="79" customFormat="false" ht="15" hidden="false" customHeight="true" outlineLevel="0" collapsed="false">
      <c r="A79" s="8"/>
      <c r="B79" s="8"/>
      <c r="C79" s="8"/>
      <c r="D79" s="8"/>
      <c r="E79" s="8"/>
      <c r="F79" s="8"/>
      <c r="G79" s="8"/>
      <c r="H79" s="8"/>
      <c r="I79" s="8"/>
      <c r="J79" s="8"/>
      <c r="K79" s="8"/>
      <c r="L79" s="8"/>
      <c r="M79" s="8"/>
      <c r="N79" s="8"/>
    </row>
    <row r="80" customFormat="false" ht="15" hidden="false" customHeight="true" outlineLevel="0" collapsed="false">
      <c r="A80" s="8"/>
      <c r="B80" s="8"/>
      <c r="C80" s="8"/>
      <c r="D80" s="8"/>
      <c r="E80" s="8"/>
      <c r="F80" s="8"/>
      <c r="G80" s="8"/>
      <c r="H80" s="8"/>
      <c r="I80" s="8"/>
      <c r="J80" s="8"/>
      <c r="K80" s="8"/>
      <c r="L80" s="8"/>
      <c r="M80" s="8"/>
      <c r="N80" s="8"/>
    </row>
    <row r="81" customFormat="false" ht="15" hidden="false" customHeight="true" outlineLevel="0" collapsed="false">
      <c r="A81" s="8"/>
      <c r="B81" s="8"/>
      <c r="C81" s="8"/>
      <c r="D81" s="8"/>
      <c r="E81" s="8"/>
      <c r="F81" s="8"/>
      <c r="G81" s="8"/>
      <c r="H81" s="8"/>
      <c r="I81" s="8"/>
      <c r="J81" s="8"/>
      <c r="K81" s="8"/>
      <c r="L81" s="8"/>
      <c r="M81" s="8"/>
      <c r="N81" s="8"/>
    </row>
    <row r="82" customFormat="false" ht="15" hidden="false" customHeight="true" outlineLevel="0" collapsed="false">
      <c r="A82" s="8"/>
      <c r="B82" s="8"/>
      <c r="C82" s="8"/>
      <c r="D82" s="8"/>
      <c r="E82" s="8"/>
      <c r="F82" s="8"/>
      <c r="G82" s="8"/>
      <c r="H82" s="8"/>
      <c r="I82" s="8"/>
      <c r="J82" s="8"/>
      <c r="K82" s="8"/>
      <c r="L82" s="8"/>
      <c r="M82" s="8"/>
      <c r="N82" s="8"/>
    </row>
    <row r="83" customFormat="false" ht="15" hidden="false" customHeight="true" outlineLevel="0" collapsed="false">
      <c r="A83" s="8"/>
      <c r="B83" s="8"/>
      <c r="C83" s="8"/>
      <c r="D83" s="8"/>
      <c r="E83" s="8"/>
      <c r="F83" s="8"/>
      <c r="G83" s="8"/>
      <c r="H83" s="8"/>
      <c r="I83" s="8"/>
      <c r="J83" s="8"/>
      <c r="K83" s="8"/>
      <c r="L83" s="8"/>
      <c r="M83" s="8"/>
      <c r="N83" s="8"/>
    </row>
    <row r="84" customFormat="false" ht="15" hidden="false" customHeight="true" outlineLevel="0" collapsed="false">
      <c r="A84" s="8"/>
      <c r="B84" s="8"/>
      <c r="C84" s="8"/>
      <c r="D84" s="8"/>
      <c r="E84" s="8"/>
      <c r="F84" s="8"/>
      <c r="G84" s="8"/>
      <c r="H84" s="8"/>
      <c r="I84" s="8"/>
      <c r="J84" s="8"/>
      <c r="K84" s="8"/>
      <c r="L84" s="8"/>
      <c r="M84" s="8"/>
      <c r="N84" s="8"/>
    </row>
    <row r="85" customFormat="false" ht="15" hidden="false" customHeight="true" outlineLevel="0" collapsed="false">
      <c r="A85" s="8"/>
      <c r="B85" s="8"/>
      <c r="C85" s="8"/>
      <c r="D85" s="8"/>
      <c r="E85" s="8"/>
      <c r="F85" s="8"/>
      <c r="G85" s="8"/>
      <c r="H85" s="8"/>
      <c r="I85" s="8"/>
      <c r="J85" s="8"/>
      <c r="K85" s="8"/>
      <c r="L85" s="8"/>
      <c r="M85" s="8"/>
      <c r="N85" s="8"/>
    </row>
    <row r="86" customFormat="false" ht="15" hidden="false" customHeight="true" outlineLevel="0" collapsed="false">
      <c r="A86" s="8"/>
      <c r="B86" s="8"/>
      <c r="C86" s="8"/>
      <c r="D86" s="8"/>
      <c r="E86" s="8"/>
      <c r="F86" s="8"/>
      <c r="G86" s="8"/>
      <c r="H86" s="8"/>
      <c r="I86" s="8"/>
      <c r="J86" s="8"/>
      <c r="K86" s="8"/>
      <c r="L86" s="8"/>
      <c r="M86" s="8"/>
      <c r="N86" s="8"/>
    </row>
    <row r="87" customFormat="false" ht="15" hidden="false" customHeight="true" outlineLevel="0" collapsed="false">
      <c r="A87" s="8"/>
      <c r="B87" s="8"/>
      <c r="C87" s="8"/>
      <c r="D87" s="8"/>
      <c r="E87" s="8"/>
      <c r="F87" s="8"/>
      <c r="G87" s="8"/>
      <c r="H87" s="8"/>
      <c r="I87" s="8"/>
      <c r="J87" s="8"/>
      <c r="K87" s="8"/>
      <c r="L87" s="8"/>
      <c r="M87" s="8"/>
      <c r="N87" s="8"/>
    </row>
    <row r="88" customFormat="false" ht="15" hidden="false" customHeight="true" outlineLevel="0" collapsed="false">
      <c r="A88" s="8"/>
      <c r="B88" s="8"/>
      <c r="C88" s="8"/>
      <c r="D88" s="8"/>
      <c r="E88" s="8"/>
      <c r="F88" s="8"/>
      <c r="G88" s="8"/>
      <c r="H88" s="8"/>
      <c r="I88" s="8"/>
      <c r="J88" s="8"/>
      <c r="K88" s="8"/>
      <c r="L88" s="8"/>
      <c r="M88" s="8"/>
      <c r="N88" s="8"/>
    </row>
    <row r="89" customFormat="false" ht="15" hidden="false" customHeight="true" outlineLevel="0" collapsed="false">
      <c r="A89" s="8"/>
      <c r="B89" s="8"/>
      <c r="C89" s="8"/>
      <c r="D89" s="8"/>
      <c r="E89" s="8"/>
      <c r="F89" s="8"/>
      <c r="G89" s="8"/>
      <c r="H89" s="8"/>
      <c r="I89" s="8"/>
      <c r="J89" s="8"/>
      <c r="K89" s="8"/>
      <c r="L89" s="8"/>
      <c r="M89" s="8"/>
      <c r="N89" s="8"/>
    </row>
    <row r="90" customFormat="false" ht="15" hidden="false" customHeight="true" outlineLevel="0" collapsed="false">
      <c r="A90" s="8"/>
      <c r="B90" s="8"/>
      <c r="C90" s="8"/>
      <c r="D90" s="8"/>
      <c r="E90" s="8"/>
      <c r="F90" s="8"/>
      <c r="G90" s="8"/>
      <c r="H90" s="8"/>
      <c r="I90" s="8"/>
      <c r="J90" s="8"/>
      <c r="K90" s="8"/>
      <c r="L90" s="8"/>
      <c r="M90" s="8"/>
      <c r="N90" s="8"/>
    </row>
    <row r="91" customFormat="false" ht="15" hidden="false" customHeight="true" outlineLevel="0" collapsed="false">
      <c r="A91" s="8"/>
      <c r="B91" s="8"/>
      <c r="C91" s="8"/>
      <c r="D91" s="8"/>
      <c r="E91" s="8"/>
      <c r="F91" s="8"/>
      <c r="G91" s="8"/>
      <c r="H91" s="8"/>
      <c r="I91" s="8"/>
      <c r="J91" s="8"/>
      <c r="K91" s="8"/>
      <c r="L91" s="8"/>
      <c r="M91" s="8"/>
      <c r="N91" s="8"/>
    </row>
    <row r="92" customFormat="false" ht="15" hidden="false" customHeight="true" outlineLevel="0" collapsed="false">
      <c r="A92" s="8"/>
      <c r="B92" s="8"/>
      <c r="C92" s="8"/>
      <c r="D92" s="8"/>
      <c r="E92" s="8"/>
      <c r="F92" s="8"/>
      <c r="G92" s="8"/>
      <c r="H92" s="8"/>
      <c r="I92" s="8"/>
      <c r="J92" s="8"/>
      <c r="K92" s="8"/>
      <c r="L92" s="8"/>
      <c r="M92" s="8"/>
      <c r="N92" s="8"/>
    </row>
    <row r="93" customFormat="false" ht="15" hidden="false" customHeight="true" outlineLevel="0" collapsed="false">
      <c r="A93" s="8"/>
      <c r="B93" s="8"/>
      <c r="C93" s="8"/>
      <c r="D93" s="8"/>
      <c r="E93" s="8"/>
      <c r="F93" s="8"/>
      <c r="G93" s="8"/>
      <c r="H93" s="8"/>
      <c r="I93" s="8"/>
      <c r="J93" s="8"/>
      <c r="K93" s="8"/>
      <c r="L93" s="8"/>
      <c r="M93" s="8"/>
      <c r="N93" s="8"/>
    </row>
    <row r="94" customFormat="false" ht="15" hidden="false" customHeight="true" outlineLevel="0" collapsed="false">
      <c r="A94" s="8"/>
      <c r="B94" s="8"/>
      <c r="C94" s="8"/>
      <c r="D94" s="8"/>
      <c r="E94" s="8"/>
      <c r="F94" s="8"/>
      <c r="G94" s="8"/>
      <c r="H94" s="8"/>
      <c r="I94" s="8"/>
      <c r="J94" s="8"/>
      <c r="K94" s="8"/>
      <c r="L94" s="8"/>
      <c r="M94" s="8"/>
      <c r="N94" s="8"/>
    </row>
    <row r="95" customFormat="false" ht="15" hidden="false" customHeight="true" outlineLevel="0" collapsed="false">
      <c r="A95" s="8"/>
      <c r="B95" s="8"/>
      <c r="C95" s="8"/>
      <c r="D95" s="8"/>
      <c r="E95" s="8"/>
      <c r="F95" s="8"/>
      <c r="G95" s="8"/>
      <c r="H95" s="8"/>
      <c r="I95" s="8"/>
      <c r="J95" s="8"/>
      <c r="K95" s="8"/>
      <c r="L95" s="8"/>
      <c r="M95" s="8"/>
      <c r="N95" s="8"/>
    </row>
    <row r="96" customFormat="false" ht="15" hidden="false" customHeight="true" outlineLevel="0" collapsed="false">
      <c r="A96" s="8"/>
      <c r="B96" s="8"/>
      <c r="C96" s="8"/>
      <c r="D96" s="8"/>
      <c r="E96" s="8"/>
      <c r="F96" s="8"/>
      <c r="G96" s="8"/>
      <c r="H96" s="8"/>
      <c r="I96" s="8"/>
      <c r="J96" s="8"/>
      <c r="K96" s="8"/>
      <c r="L96" s="8"/>
      <c r="M96" s="8"/>
      <c r="N96" s="8"/>
    </row>
    <row r="97" customFormat="false" ht="15" hidden="false" customHeight="true" outlineLevel="0" collapsed="false">
      <c r="A97" s="8"/>
      <c r="B97" s="8"/>
      <c r="C97" s="8"/>
      <c r="D97" s="8"/>
      <c r="E97" s="8"/>
      <c r="F97" s="8"/>
      <c r="G97" s="8"/>
      <c r="H97" s="8"/>
      <c r="I97" s="8"/>
      <c r="J97" s="8"/>
      <c r="K97" s="8"/>
      <c r="L97" s="8"/>
      <c r="M97" s="8"/>
      <c r="N97" s="8"/>
    </row>
    <row r="98" customFormat="false" ht="15" hidden="false" customHeight="true" outlineLevel="0" collapsed="false">
      <c r="A98" s="8"/>
      <c r="B98" s="8"/>
      <c r="C98" s="8"/>
      <c r="D98" s="8"/>
      <c r="E98" s="8"/>
      <c r="F98" s="8"/>
      <c r="G98" s="8"/>
      <c r="H98" s="8"/>
      <c r="I98" s="8"/>
      <c r="J98" s="8"/>
      <c r="K98" s="8"/>
      <c r="L98" s="8"/>
      <c r="M98" s="8"/>
      <c r="N98" s="8"/>
    </row>
    <row r="99" customFormat="false" ht="15" hidden="false" customHeight="true" outlineLevel="0" collapsed="false">
      <c r="A99" s="8"/>
      <c r="B99" s="8"/>
      <c r="C99" s="8"/>
      <c r="D99" s="8"/>
      <c r="E99" s="8"/>
      <c r="F99" s="8"/>
      <c r="G99" s="8"/>
      <c r="H99" s="8"/>
      <c r="I99" s="8"/>
      <c r="J99" s="8"/>
      <c r="K99" s="8"/>
      <c r="L99" s="8"/>
      <c r="M99" s="8"/>
      <c r="N99" s="8"/>
    </row>
    <row r="100" customFormat="false" ht="15" hidden="false" customHeight="true" outlineLevel="0" collapsed="false">
      <c r="A100" s="8"/>
      <c r="B100" s="8"/>
      <c r="C100" s="8"/>
      <c r="D100" s="8"/>
      <c r="E100" s="8"/>
      <c r="F100" s="8"/>
      <c r="G100" s="8"/>
      <c r="H100" s="8"/>
      <c r="I100" s="8"/>
      <c r="J100" s="8"/>
      <c r="K100" s="8"/>
      <c r="L100" s="8"/>
      <c r="M100" s="8"/>
      <c r="N100" s="8"/>
    </row>
    <row r="101" customFormat="false" ht="15" hidden="false" customHeight="true" outlineLevel="0" collapsed="false">
      <c r="A101" s="8"/>
      <c r="B101" s="8"/>
      <c r="C101" s="8"/>
      <c r="D101" s="8"/>
      <c r="E101" s="8"/>
      <c r="F101" s="8"/>
      <c r="G101" s="8"/>
      <c r="H101" s="8"/>
      <c r="I101" s="8"/>
      <c r="J101" s="8"/>
      <c r="K101" s="8"/>
      <c r="L101" s="8"/>
      <c r="M101" s="8"/>
      <c r="N101" s="8"/>
    </row>
    <row r="102" customFormat="false" ht="15" hidden="false" customHeight="true" outlineLevel="0" collapsed="false">
      <c r="A102" s="8"/>
      <c r="B102" s="8"/>
      <c r="C102" s="8"/>
      <c r="D102" s="8"/>
      <c r="E102" s="8"/>
      <c r="F102" s="8"/>
      <c r="G102" s="8"/>
      <c r="H102" s="8"/>
      <c r="I102" s="8"/>
      <c r="J102" s="8"/>
      <c r="K102" s="8"/>
      <c r="L102" s="8"/>
      <c r="M102" s="8"/>
      <c r="N102" s="8"/>
    </row>
    <row r="103" customFormat="false" ht="15" hidden="false" customHeight="true" outlineLevel="0" collapsed="false">
      <c r="A103" s="8"/>
      <c r="B103" s="8"/>
      <c r="C103" s="8"/>
      <c r="D103" s="8"/>
      <c r="E103" s="8"/>
      <c r="F103" s="8"/>
      <c r="G103" s="8"/>
      <c r="H103" s="8"/>
      <c r="I103" s="8"/>
      <c r="J103" s="8"/>
      <c r="K103" s="8"/>
      <c r="L103" s="8"/>
      <c r="M103" s="8"/>
      <c r="N103" s="8"/>
    </row>
    <row r="104" customFormat="false" ht="15" hidden="false" customHeight="true" outlineLevel="0" collapsed="false">
      <c r="A104" s="8"/>
      <c r="B104" s="8"/>
      <c r="C104" s="8"/>
      <c r="D104" s="8"/>
      <c r="E104" s="8"/>
      <c r="F104" s="8"/>
      <c r="G104" s="8"/>
      <c r="H104" s="8"/>
      <c r="I104" s="8"/>
      <c r="J104" s="8"/>
      <c r="K104" s="8"/>
      <c r="L104" s="8"/>
      <c r="M104" s="8"/>
      <c r="N104" s="8"/>
    </row>
    <row r="105" customFormat="false" ht="15" hidden="false" customHeight="true" outlineLevel="0" collapsed="false">
      <c r="A105" s="8"/>
      <c r="B105" s="8"/>
      <c r="C105" s="8"/>
      <c r="D105" s="8"/>
      <c r="E105" s="8"/>
      <c r="F105" s="8"/>
      <c r="G105" s="8"/>
      <c r="H105" s="8"/>
      <c r="I105" s="8"/>
      <c r="J105" s="8"/>
      <c r="K105" s="8"/>
      <c r="L105" s="8"/>
      <c r="M105" s="8"/>
      <c r="N105" s="8"/>
    </row>
    <row r="106" customFormat="false" ht="15" hidden="false" customHeight="true" outlineLevel="0" collapsed="false">
      <c r="A106" s="8"/>
      <c r="B106" s="8"/>
      <c r="C106" s="8"/>
      <c r="D106" s="8"/>
      <c r="E106" s="8"/>
      <c r="F106" s="8"/>
      <c r="G106" s="8"/>
      <c r="H106" s="8"/>
      <c r="I106" s="8"/>
      <c r="J106" s="8"/>
      <c r="K106" s="8"/>
      <c r="L106" s="8"/>
      <c r="M106" s="8"/>
      <c r="N106" s="8"/>
    </row>
    <row r="107" customFormat="false" ht="15" hidden="false" customHeight="true" outlineLevel="0" collapsed="false">
      <c r="A107" s="8"/>
      <c r="B107" s="8"/>
      <c r="C107" s="8"/>
      <c r="D107" s="8"/>
      <c r="E107" s="8"/>
      <c r="F107" s="8"/>
      <c r="G107" s="8"/>
      <c r="H107" s="8"/>
      <c r="I107" s="8"/>
      <c r="J107" s="8"/>
      <c r="K107" s="8"/>
      <c r="L107" s="8"/>
      <c r="M107" s="8"/>
      <c r="N107" s="8"/>
    </row>
    <row r="108" customFormat="false" ht="15" hidden="false" customHeight="true" outlineLevel="0" collapsed="false">
      <c r="A108" s="8"/>
      <c r="B108" s="8"/>
      <c r="C108" s="8"/>
      <c r="D108" s="8"/>
      <c r="E108" s="8"/>
      <c r="F108" s="8"/>
      <c r="G108" s="8"/>
      <c r="H108" s="8"/>
      <c r="I108" s="8"/>
      <c r="J108" s="8"/>
      <c r="K108" s="8"/>
      <c r="L108" s="8"/>
      <c r="M108" s="8"/>
      <c r="N108" s="8"/>
    </row>
    <row r="109" customFormat="false" ht="15" hidden="false" customHeight="true" outlineLevel="0" collapsed="false">
      <c r="A109" s="8"/>
      <c r="B109" s="8"/>
      <c r="C109" s="8"/>
      <c r="D109" s="8"/>
      <c r="E109" s="8"/>
      <c r="F109" s="8"/>
      <c r="G109" s="8"/>
      <c r="H109" s="8"/>
      <c r="I109" s="8"/>
      <c r="J109" s="8"/>
      <c r="K109" s="8"/>
      <c r="L109" s="8"/>
      <c r="M109" s="8"/>
      <c r="N109" s="8"/>
    </row>
    <row r="110" customFormat="false" ht="15" hidden="false" customHeight="true" outlineLevel="0" collapsed="false">
      <c r="A110" s="8"/>
      <c r="B110" s="8"/>
      <c r="C110" s="8"/>
      <c r="D110" s="8"/>
      <c r="E110" s="8"/>
      <c r="F110" s="8"/>
      <c r="G110" s="8"/>
      <c r="H110" s="8"/>
      <c r="I110" s="8"/>
      <c r="J110" s="8"/>
      <c r="K110" s="8"/>
      <c r="L110" s="8"/>
      <c r="M110" s="8"/>
      <c r="N110" s="8"/>
    </row>
    <row r="111" customFormat="false" ht="15" hidden="false" customHeight="true" outlineLevel="0" collapsed="false">
      <c r="A111" s="8"/>
      <c r="B111" s="8"/>
      <c r="C111" s="8"/>
      <c r="D111" s="8"/>
      <c r="E111" s="8"/>
      <c r="F111" s="8"/>
      <c r="G111" s="8"/>
      <c r="H111" s="8"/>
      <c r="I111" s="8"/>
      <c r="J111" s="8"/>
      <c r="K111" s="8"/>
      <c r="L111" s="8"/>
      <c r="M111" s="8"/>
      <c r="N111" s="8"/>
    </row>
    <row r="112" customFormat="false" ht="15" hidden="false" customHeight="true" outlineLevel="0" collapsed="false">
      <c r="A112" s="8"/>
      <c r="B112" s="8"/>
      <c r="C112" s="8"/>
      <c r="D112" s="8"/>
      <c r="E112" s="8"/>
      <c r="F112" s="8"/>
      <c r="G112" s="8"/>
      <c r="H112" s="8"/>
      <c r="I112" s="8"/>
      <c r="J112" s="8"/>
      <c r="K112" s="8"/>
      <c r="L112" s="8"/>
      <c r="M112" s="8"/>
      <c r="N112" s="8"/>
    </row>
    <row r="113" customFormat="false" ht="15" hidden="false" customHeight="true" outlineLevel="0" collapsed="false">
      <c r="A113" s="8"/>
      <c r="B113" s="8"/>
      <c r="C113" s="8"/>
      <c r="D113" s="8"/>
      <c r="E113" s="8"/>
      <c r="F113" s="8"/>
      <c r="G113" s="8"/>
      <c r="H113" s="8"/>
      <c r="I113" s="8"/>
      <c r="J113" s="8"/>
      <c r="K113" s="8"/>
      <c r="L113" s="8"/>
      <c r="M113" s="8"/>
      <c r="N113" s="8"/>
    </row>
    <row r="114" customFormat="false" ht="15" hidden="false" customHeight="true" outlineLevel="0" collapsed="false">
      <c r="A114" s="8"/>
      <c r="B114" s="8"/>
      <c r="C114" s="8"/>
      <c r="D114" s="8"/>
      <c r="E114" s="8"/>
      <c r="F114" s="8"/>
      <c r="G114" s="8"/>
      <c r="H114" s="8"/>
      <c r="I114" s="8"/>
      <c r="J114" s="8"/>
      <c r="K114" s="8"/>
      <c r="L114" s="8"/>
      <c r="M114" s="8"/>
      <c r="N114" s="8"/>
    </row>
    <row r="115" customFormat="false" ht="15" hidden="false" customHeight="true" outlineLevel="0" collapsed="false">
      <c r="A115" s="8"/>
      <c r="B115" s="8"/>
      <c r="C115" s="8"/>
      <c r="D115" s="8"/>
      <c r="E115" s="8"/>
      <c r="F115" s="8"/>
      <c r="G115" s="8"/>
      <c r="H115" s="8"/>
      <c r="I115" s="8"/>
      <c r="J115" s="8"/>
      <c r="K115" s="8"/>
      <c r="L115" s="8"/>
      <c r="M115" s="8"/>
      <c r="N115" s="8"/>
    </row>
    <row r="116" customFormat="false" ht="15" hidden="false" customHeight="true" outlineLevel="0" collapsed="false">
      <c r="A116" s="8"/>
      <c r="B116" s="8"/>
      <c r="C116" s="8"/>
      <c r="D116" s="8"/>
      <c r="E116" s="8"/>
      <c r="F116" s="8"/>
      <c r="G116" s="8"/>
      <c r="H116" s="8"/>
      <c r="I116" s="8"/>
      <c r="J116" s="8"/>
      <c r="K116" s="8"/>
      <c r="L116" s="8"/>
      <c r="M116" s="8"/>
      <c r="N116" s="8"/>
    </row>
    <row r="117" customFormat="false" ht="15" hidden="false" customHeight="true" outlineLevel="0" collapsed="false">
      <c r="A117" s="8"/>
      <c r="B117" s="8"/>
      <c r="C117" s="8"/>
      <c r="D117" s="8"/>
      <c r="E117" s="8"/>
      <c r="F117" s="8"/>
      <c r="G117" s="8"/>
      <c r="H117" s="8"/>
      <c r="I117" s="8"/>
      <c r="J117" s="8"/>
      <c r="K117" s="8"/>
      <c r="L117" s="8"/>
      <c r="M117" s="8"/>
      <c r="N117" s="8"/>
    </row>
    <row r="118" customFormat="false" ht="15" hidden="false" customHeight="true" outlineLevel="0" collapsed="false">
      <c r="A118" s="8"/>
      <c r="B118" s="8"/>
      <c r="C118" s="8"/>
      <c r="D118" s="8"/>
      <c r="E118" s="8"/>
      <c r="F118" s="8"/>
      <c r="G118" s="8"/>
      <c r="H118" s="8"/>
      <c r="I118" s="8"/>
      <c r="J118" s="8"/>
      <c r="K118" s="8"/>
      <c r="L118" s="8"/>
      <c r="M118" s="8"/>
      <c r="N118" s="8"/>
    </row>
    <row r="119" customFormat="false" ht="15" hidden="false" customHeight="true" outlineLevel="0" collapsed="false">
      <c r="A119" s="8"/>
      <c r="B119" s="8"/>
      <c r="C119" s="8"/>
      <c r="D119" s="8"/>
      <c r="E119" s="8"/>
      <c r="F119" s="8"/>
      <c r="G119" s="8"/>
      <c r="H119" s="8"/>
      <c r="I119" s="8"/>
      <c r="J119" s="8"/>
      <c r="K119" s="8"/>
      <c r="L119" s="8"/>
      <c r="M119" s="8"/>
      <c r="N119" s="8"/>
    </row>
    <row r="120" customFormat="false" ht="15" hidden="false" customHeight="true" outlineLevel="0" collapsed="false">
      <c r="A120" s="8"/>
      <c r="B120" s="8"/>
      <c r="C120" s="8"/>
      <c r="D120" s="8"/>
      <c r="E120" s="8"/>
      <c r="F120" s="8"/>
      <c r="G120" s="8"/>
      <c r="H120" s="8"/>
      <c r="I120" s="8"/>
      <c r="J120" s="8"/>
      <c r="K120" s="8"/>
      <c r="L120" s="8"/>
      <c r="M120" s="8"/>
      <c r="N120" s="8"/>
    </row>
    <row r="121" customFormat="false" ht="15" hidden="false" customHeight="true" outlineLevel="0" collapsed="false">
      <c r="A121" s="8"/>
      <c r="B121" s="8"/>
      <c r="C121" s="8"/>
      <c r="D121" s="8"/>
      <c r="E121" s="8"/>
      <c r="F121" s="8"/>
      <c r="G121" s="8"/>
      <c r="H121" s="8"/>
      <c r="I121" s="8"/>
      <c r="J121" s="8"/>
      <c r="K121" s="8"/>
      <c r="L121" s="8"/>
      <c r="M121" s="8"/>
      <c r="N121" s="8"/>
    </row>
    <row r="122" customFormat="false" ht="15" hidden="false" customHeight="true" outlineLevel="0" collapsed="false">
      <c r="A122" s="8"/>
      <c r="B122" s="8"/>
      <c r="C122" s="8"/>
      <c r="D122" s="8"/>
      <c r="E122" s="8"/>
      <c r="F122" s="8"/>
      <c r="G122" s="8"/>
      <c r="H122" s="8"/>
      <c r="I122" s="8"/>
      <c r="J122" s="8"/>
      <c r="K122" s="8"/>
      <c r="L122" s="8"/>
      <c r="M122" s="8"/>
      <c r="N122" s="8"/>
    </row>
    <row r="123" customFormat="false" ht="15" hidden="false" customHeight="true" outlineLevel="0" collapsed="false">
      <c r="A123" s="8"/>
      <c r="B123" s="8"/>
      <c r="C123" s="8"/>
      <c r="D123" s="8"/>
      <c r="E123" s="8"/>
      <c r="F123" s="8"/>
      <c r="G123" s="8"/>
      <c r="H123" s="8"/>
      <c r="I123" s="8"/>
      <c r="J123" s="8"/>
      <c r="K123" s="8"/>
      <c r="L123" s="8"/>
      <c r="M123" s="8"/>
      <c r="N123" s="8"/>
    </row>
    <row r="124" customFormat="false" ht="15" hidden="false" customHeight="true" outlineLevel="0" collapsed="false">
      <c r="A124" s="8"/>
      <c r="B124" s="8"/>
      <c r="C124" s="8"/>
      <c r="D124" s="8"/>
      <c r="E124" s="8"/>
      <c r="F124" s="8"/>
      <c r="G124" s="8"/>
      <c r="H124" s="8"/>
      <c r="I124" s="8"/>
      <c r="J124" s="8"/>
      <c r="K124" s="8"/>
      <c r="L124" s="8"/>
      <c r="M124" s="8"/>
      <c r="N124" s="8"/>
    </row>
    <row r="125" customFormat="false" ht="15" hidden="false" customHeight="true" outlineLevel="0" collapsed="false">
      <c r="A125" s="8"/>
      <c r="B125" s="8"/>
      <c r="C125" s="8"/>
      <c r="D125" s="8"/>
      <c r="E125" s="8"/>
      <c r="F125" s="8"/>
      <c r="G125" s="8"/>
      <c r="H125" s="8"/>
      <c r="I125" s="8"/>
      <c r="J125" s="8"/>
      <c r="K125" s="8"/>
      <c r="L125" s="8"/>
      <c r="M125" s="8"/>
      <c r="N125" s="8"/>
    </row>
    <row r="126" customFormat="false" ht="15" hidden="false" customHeight="true" outlineLevel="0" collapsed="false">
      <c r="A126" s="8"/>
      <c r="B126" s="8"/>
      <c r="C126" s="8"/>
      <c r="D126" s="8"/>
      <c r="E126" s="8"/>
      <c r="F126" s="8"/>
      <c r="G126" s="8"/>
      <c r="H126" s="8"/>
      <c r="I126" s="8"/>
      <c r="J126" s="8"/>
      <c r="K126" s="8"/>
      <c r="L126" s="8"/>
      <c r="M126" s="8"/>
      <c r="N126" s="8"/>
    </row>
    <row r="127" customFormat="false" ht="15" hidden="false" customHeight="true" outlineLevel="0" collapsed="false">
      <c r="A127" s="8"/>
      <c r="B127" s="8"/>
      <c r="C127" s="8"/>
      <c r="D127" s="8"/>
      <c r="E127" s="8"/>
      <c r="F127" s="8"/>
      <c r="G127" s="8"/>
      <c r="H127" s="8"/>
      <c r="I127" s="8"/>
      <c r="J127" s="8"/>
      <c r="K127" s="8"/>
      <c r="L127" s="8"/>
      <c r="M127" s="8"/>
      <c r="N127" s="8"/>
    </row>
    <row r="128" customFormat="false" ht="15" hidden="false" customHeight="true" outlineLevel="0" collapsed="false">
      <c r="A128" s="8"/>
      <c r="B128" s="8"/>
      <c r="C128" s="8"/>
      <c r="D128" s="8"/>
      <c r="E128" s="8"/>
      <c r="F128" s="8"/>
      <c r="G128" s="8"/>
      <c r="H128" s="8"/>
      <c r="I128" s="8"/>
      <c r="J128" s="8"/>
      <c r="K128" s="8"/>
      <c r="L128" s="8"/>
      <c r="M128" s="8"/>
      <c r="N128" s="8"/>
    </row>
    <row r="129" customFormat="false" ht="15" hidden="false" customHeight="true" outlineLevel="0" collapsed="false">
      <c r="A129" s="8"/>
      <c r="B129" s="8"/>
      <c r="C129" s="8"/>
      <c r="D129" s="8"/>
      <c r="E129" s="8"/>
      <c r="F129" s="8"/>
      <c r="G129" s="8"/>
      <c r="H129" s="8"/>
      <c r="I129" s="8"/>
      <c r="J129" s="8"/>
      <c r="K129" s="8"/>
      <c r="L129" s="8"/>
      <c r="M129" s="8"/>
      <c r="N129" s="8"/>
    </row>
    <row r="130" customFormat="false" ht="15" hidden="false" customHeight="true" outlineLevel="0" collapsed="false">
      <c r="A130" s="8"/>
      <c r="B130" s="8"/>
      <c r="C130" s="8"/>
      <c r="D130" s="8"/>
      <c r="E130" s="8"/>
      <c r="F130" s="8"/>
      <c r="G130" s="8"/>
      <c r="H130" s="8"/>
      <c r="I130" s="8"/>
      <c r="J130" s="8"/>
      <c r="K130" s="8"/>
      <c r="L130" s="8"/>
      <c r="M130" s="8"/>
      <c r="N130" s="8"/>
    </row>
    <row r="131" customFormat="false" ht="15" hidden="false" customHeight="true" outlineLevel="0" collapsed="false">
      <c r="A131" s="8"/>
      <c r="B131" s="8"/>
      <c r="C131" s="8"/>
      <c r="D131" s="8"/>
      <c r="E131" s="8"/>
      <c r="F131" s="8"/>
      <c r="G131" s="8"/>
      <c r="H131" s="8"/>
      <c r="I131" s="8"/>
      <c r="J131" s="8"/>
      <c r="K131" s="8"/>
      <c r="L131" s="8"/>
      <c r="M131" s="8"/>
      <c r="N131" s="8"/>
    </row>
    <row r="132" customFormat="false" ht="15" hidden="false" customHeight="true" outlineLevel="0" collapsed="false">
      <c r="A132" s="8"/>
      <c r="B132" s="8"/>
      <c r="C132" s="8"/>
      <c r="D132" s="8"/>
      <c r="E132" s="8"/>
      <c r="F132" s="8"/>
      <c r="G132" s="8"/>
      <c r="H132" s="8"/>
      <c r="I132" s="8"/>
      <c r="J132" s="8"/>
      <c r="K132" s="8"/>
      <c r="L132" s="8"/>
      <c r="M132" s="8"/>
      <c r="N132" s="8"/>
    </row>
    <row r="133" customFormat="false" ht="15" hidden="false" customHeight="true" outlineLevel="0" collapsed="false">
      <c r="A133" s="8"/>
      <c r="B133" s="8"/>
      <c r="C133" s="8"/>
      <c r="D133" s="8"/>
      <c r="E133" s="8"/>
      <c r="F133" s="8"/>
      <c r="G133" s="8"/>
      <c r="H133" s="8"/>
      <c r="I133" s="8"/>
      <c r="J133" s="8"/>
      <c r="K133" s="8"/>
      <c r="L133" s="8"/>
      <c r="M133" s="8"/>
      <c r="N133" s="8"/>
    </row>
    <row r="134" customFormat="false" ht="15" hidden="false" customHeight="true" outlineLevel="0" collapsed="false">
      <c r="A134" s="8"/>
      <c r="B134" s="8"/>
      <c r="C134" s="8"/>
      <c r="D134" s="8"/>
      <c r="E134" s="8"/>
      <c r="F134" s="8"/>
      <c r="G134" s="8"/>
      <c r="H134" s="8"/>
      <c r="I134" s="8"/>
      <c r="J134" s="8"/>
      <c r="K134" s="8"/>
      <c r="L134" s="8"/>
      <c r="M134" s="8"/>
      <c r="N134" s="8"/>
    </row>
    <row r="135" customFormat="false" ht="15" hidden="false" customHeight="true" outlineLevel="0" collapsed="false">
      <c r="A135" s="8"/>
      <c r="B135" s="8"/>
      <c r="C135" s="8"/>
      <c r="D135" s="8"/>
      <c r="E135" s="8"/>
      <c r="F135" s="8"/>
      <c r="G135" s="8"/>
      <c r="H135" s="8"/>
      <c r="I135" s="8"/>
      <c r="J135" s="8"/>
      <c r="K135" s="8"/>
      <c r="L135" s="8"/>
      <c r="M135" s="8"/>
      <c r="N135" s="8"/>
    </row>
    <row r="136" customFormat="false" ht="15" hidden="false" customHeight="true" outlineLevel="0" collapsed="false">
      <c r="A136" s="8"/>
      <c r="B136" s="8"/>
      <c r="C136" s="8"/>
      <c r="D136" s="8"/>
      <c r="E136" s="8"/>
      <c r="F136" s="8"/>
      <c r="G136" s="8"/>
      <c r="H136" s="8"/>
      <c r="I136" s="8"/>
      <c r="J136" s="8"/>
      <c r="K136" s="8"/>
      <c r="L136" s="8"/>
      <c r="M136" s="8"/>
      <c r="N136" s="8"/>
    </row>
    <row r="137" customFormat="false" ht="15" hidden="false" customHeight="true" outlineLevel="0" collapsed="false">
      <c r="A137" s="8"/>
      <c r="B137" s="8"/>
      <c r="C137" s="8"/>
      <c r="D137" s="8"/>
      <c r="E137" s="8"/>
      <c r="F137" s="8"/>
      <c r="G137" s="8"/>
      <c r="H137" s="8"/>
      <c r="I137" s="8"/>
      <c r="J137" s="8"/>
      <c r="K137" s="8"/>
      <c r="L137" s="8"/>
      <c r="M137" s="8"/>
      <c r="N137" s="8"/>
    </row>
    <row r="138" customFormat="false" ht="15" hidden="false" customHeight="true" outlineLevel="0" collapsed="false">
      <c r="A138" s="8"/>
      <c r="B138" s="8"/>
      <c r="C138" s="8"/>
      <c r="D138" s="8"/>
      <c r="E138" s="8"/>
      <c r="F138" s="8"/>
      <c r="G138" s="8"/>
      <c r="H138" s="8"/>
      <c r="I138" s="8"/>
      <c r="J138" s="8"/>
      <c r="K138" s="8"/>
      <c r="L138" s="8"/>
      <c r="M138" s="8"/>
      <c r="N138" s="8"/>
    </row>
    <row r="139" customFormat="false" ht="15" hidden="false" customHeight="true" outlineLevel="0" collapsed="false">
      <c r="A139" s="8"/>
      <c r="B139" s="8"/>
      <c r="C139" s="8"/>
      <c r="D139" s="8"/>
      <c r="E139" s="8"/>
      <c r="F139" s="8"/>
      <c r="G139" s="8"/>
      <c r="H139" s="8"/>
      <c r="I139" s="8"/>
      <c r="J139" s="8"/>
      <c r="K139" s="8"/>
      <c r="L139" s="8"/>
      <c r="M139" s="8"/>
      <c r="N139" s="8"/>
    </row>
    <row r="140" customFormat="false" ht="15" hidden="false" customHeight="true" outlineLevel="0" collapsed="false">
      <c r="A140" s="8"/>
      <c r="B140" s="8"/>
      <c r="C140" s="8"/>
      <c r="D140" s="8"/>
      <c r="E140" s="8"/>
      <c r="F140" s="8"/>
      <c r="G140" s="8"/>
      <c r="H140" s="8"/>
      <c r="I140" s="8"/>
      <c r="J140" s="8"/>
      <c r="K140" s="8"/>
      <c r="L140" s="8"/>
      <c r="M140" s="8"/>
      <c r="N140" s="8"/>
    </row>
    <row r="141" customFormat="false" ht="15" hidden="false" customHeight="true" outlineLevel="0" collapsed="false">
      <c r="A141" s="8"/>
      <c r="B141" s="8"/>
      <c r="C141" s="8"/>
      <c r="D141" s="8"/>
      <c r="E141" s="8"/>
      <c r="F141" s="8"/>
      <c r="G141" s="8"/>
      <c r="H141" s="8"/>
      <c r="I141" s="8"/>
      <c r="J141" s="8"/>
      <c r="K141" s="8"/>
      <c r="L141" s="8"/>
      <c r="M141" s="8"/>
      <c r="N141" s="8"/>
    </row>
    <row r="142" customFormat="false" ht="15" hidden="false" customHeight="true" outlineLevel="0" collapsed="false">
      <c r="A142" s="8"/>
      <c r="B142" s="8"/>
      <c r="C142" s="8"/>
      <c r="D142" s="8"/>
      <c r="E142" s="8"/>
      <c r="F142" s="8"/>
      <c r="G142" s="8"/>
      <c r="H142" s="8"/>
      <c r="I142" s="8"/>
      <c r="J142" s="8"/>
      <c r="K142" s="8"/>
      <c r="L142" s="8"/>
      <c r="M142" s="8"/>
      <c r="N142" s="8"/>
    </row>
    <row r="143" customFormat="false" ht="15" hidden="false" customHeight="true" outlineLevel="0" collapsed="false">
      <c r="A143" s="8"/>
      <c r="B143" s="8"/>
      <c r="C143" s="8"/>
      <c r="D143" s="8"/>
      <c r="E143" s="8"/>
      <c r="F143" s="8"/>
      <c r="G143" s="8"/>
      <c r="H143" s="8"/>
      <c r="I143" s="8"/>
      <c r="J143" s="8"/>
      <c r="K143" s="8"/>
      <c r="L143" s="8"/>
      <c r="M143" s="8"/>
      <c r="N143" s="8"/>
    </row>
    <row r="144" customFormat="false" ht="15" hidden="false" customHeight="true" outlineLevel="0" collapsed="false">
      <c r="A144" s="8"/>
      <c r="B144" s="8"/>
      <c r="C144" s="8"/>
      <c r="D144" s="8"/>
      <c r="E144" s="8"/>
      <c r="F144" s="8"/>
      <c r="G144" s="8"/>
      <c r="H144" s="8"/>
      <c r="I144" s="8"/>
      <c r="J144" s="8"/>
      <c r="K144" s="8"/>
      <c r="L144" s="8"/>
      <c r="M144" s="8"/>
      <c r="N144" s="8"/>
    </row>
    <row r="145" customFormat="false" ht="15" hidden="false" customHeight="true" outlineLevel="0" collapsed="false">
      <c r="A145" s="8"/>
      <c r="B145" s="8"/>
      <c r="C145" s="8"/>
      <c r="D145" s="8"/>
      <c r="E145" s="8"/>
      <c r="F145" s="8"/>
      <c r="G145" s="8"/>
      <c r="H145" s="8"/>
      <c r="I145" s="8"/>
      <c r="J145" s="8"/>
      <c r="K145" s="8"/>
      <c r="L145" s="8"/>
      <c r="M145" s="8"/>
      <c r="N145" s="8"/>
    </row>
    <row r="146" customFormat="false" ht="15" hidden="false" customHeight="true" outlineLevel="0" collapsed="false">
      <c r="A146" s="8"/>
      <c r="B146" s="8"/>
      <c r="C146" s="8"/>
      <c r="D146" s="8"/>
      <c r="E146" s="8"/>
      <c r="F146" s="8"/>
      <c r="G146" s="8"/>
      <c r="H146" s="8"/>
      <c r="I146" s="8"/>
      <c r="J146" s="8"/>
      <c r="K146" s="8"/>
      <c r="L146" s="8"/>
      <c r="M146" s="8"/>
      <c r="N146" s="8"/>
    </row>
    <row r="147" customFormat="false" ht="15" hidden="false" customHeight="true" outlineLevel="0" collapsed="false">
      <c r="A147" s="8"/>
      <c r="B147" s="8"/>
      <c r="C147" s="8"/>
      <c r="D147" s="8"/>
      <c r="E147" s="8"/>
      <c r="F147" s="8"/>
      <c r="G147" s="8"/>
      <c r="H147" s="8"/>
      <c r="I147" s="8"/>
      <c r="J147" s="8"/>
      <c r="K147" s="8"/>
      <c r="L147" s="8"/>
      <c r="M147" s="8"/>
      <c r="N147" s="8"/>
    </row>
    <row r="148" customFormat="false" ht="15" hidden="false" customHeight="true" outlineLevel="0" collapsed="false">
      <c r="A148" s="8"/>
      <c r="B148" s="8"/>
      <c r="C148" s="8"/>
      <c r="D148" s="8"/>
      <c r="E148" s="8"/>
      <c r="F148" s="8"/>
      <c r="G148" s="8"/>
      <c r="H148" s="8"/>
      <c r="I148" s="8"/>
      <c r="J148" s="8"/>
      <c r="K148" s="8"/>
      <c r="L148" s="8"/>
      <c r="M148" s="8"/>
      <c r="N148" s="8"/>
    </row>
    <row r="149" customFormat="false" ht="15" hidden="false" customHeight="true" outlineLevel="0" collapsed="false">
      <c r="A149" s="8"/>
      <c r="B149" s="8"/>
      <c r="C149" s="8"/>
      <c r="D149" s="8"/>
      <c r="E149" s="8"/>
      <c r="F149" s="8"/>
      <c r="G149" s="8"/>
      <c r="H149" s="8"/>
      <c r="I149" s="8"/>
      <c r="J149" s="8"/>
      <c r="K149" s="8"/>
      <c r="L149" s="8"/>
      <c r="M149" s="8"/>
      <c r="N149" s="8"/>
    </row>
    <row r="150" customFormat="false" ht="15" hidden="false" customHeight="true" outlineLevel="0" collapsed="false">
      <c r="A150" s="8"/>
      <c r="B150" s="8"/>
      <c r="C150" s="8"/>
      <c r="D150" s="8"/>
      <c r="E150" s="8"/>
      <c r="F150" s="8"/>
      <c r="G150" s="8"/>
      <c r="H150" s="8"/>
      <c r="I150" s="8"/>
      <c r="J150" s="8"/>
      <c r="K150" s="8"/>
      <c r="L150" s="8"/>
      <c r="M150" s="8"/>
      <c r="N150" s="8"/>
    </row>
    <row r="151" customFormat="false" ht="15" hidden="false" customHeight="true" outlineLevel="0" collapsed="false">
      <c r="A151" s="8"/>
      <c r="B151" s="8"/>
      <c r="C151" s="8"/>
      <c r="D151" s="8"/>
      <c r="E151" s="8"/>
      <c r="F151" s="8"/>
      <c r="G151" s="8"/>
      <c r="H151" s="8"/>
      <c r="I151" s="8"/>
      <c r="J151" s="8"/>
      <c r="K151" s="8"/>
      <c r="L151" s="8"/>
      <c r="M151" s="8"/>
      <c r="N151" s="8"/>
    </row>
    <row r="152" customFormat="false" ht="15" hidden="false" customHeight="true" outlineLevel="0" collapsed="false">
      <c r="A152" s="8"/>
      <c r="B152" s="8"/>
      <c r="C152" s="8"/>
      <c r="D152" s="8"/>
      <c r="E152" s="8"/>
      <c r="F152" s="8"/>
      <c r="G152" s="8"/>
      <c r="H152" s="8"/>
      <c r="I152" s="8"/>
      <c r="J152" s="8"/>
      <c r="K152" s="8"/>
      <c r="L152" s="8"/>
      <c r="M152" s="8"/>
      <c r="N152" s="8"/>
    </row>
    <row r="153" customFormat="false" ht="15" hidden="false" customHeight="true" outlineLevel="0" collapsed="false">
      <c r="A153" s="8"/>
      <c r="B153" s="8"/>
      <c r="C153" s="8"/>
      <c r="D153" s="8"/>
      <c r="E153" s="8"/>
      <c r="F153" s="8"/>
      <c r="G153" s="8"/>
      <c r="H153" s="8"/>
      <c r="I153" s="8"/>
      <c r="J153" s="8"/>
      <c r="K153" s="8"/>
      <c r="L153" s="8"/>
      <c r="M153" s="8"/>
      <c r="N153" s="8"/>
    </row>
    <row r="154" customFormat="false" ht="15" hidden="false" customHeight="true" outlineLevel="0" collapsed="false">
      <c r="A154" s="8"/>
      <c r="B154" s="8"/>
      <c r="C154" s="8"/>
      <c r="D154" s="8"/>
      <c r="E154" s="8"/>
      <c r="F154" s="8"/>
      <c r="G154" s="8"/>
      <c r="H154" s="8"/>
      <c r="I154" s="8"/>
      <c r="J154" s="8"/>
      <c r="K154" s="8"/>
      <c r="L154" s="8"/>
      <c r="M154" s="8"/>
      <c r="N154" s="8"/>
    </row>
    <row r="155" customFormat="false" ht="15" hidden="false" customHeight="true" outlineLevel="0" collapsed="false">
      <c r="A155" s="8"/>
      <c r="B155" s="8"/>
      <c r="C155" s="8"/>
      <c r="D155" s="8"/>
      <c r="E155" s="8"/>
      <c r="F155" s="8"/>
      <c r="G155" s="8"/>
      <c r="H155" s="8"/>
      <c r="I155" s="8"/>
      <c r="J155" s="8"/>
      <c r="K155" s="8"/>
      <c r="L155" s="8"/>
      <c r="M155" s="8"/>
      <c r="N155" s="8"/>
    </row>
    <row r="156" customFormat="false" ht="15" hidden="false" customHeight="true" outlineLevel="0" collapsed="false">
      <c r="A156" s="8"/>
      <c r="B156" s="8"/>
      <c r="C156" s="8"/>
      <c r="D156" s="8"/>
      <c r="E156" s="8"/>
      <c r="F156" s="8"/>
      <c r="G156" s="8"/>
      <c r="H156" s="8"/>
      <c r="I156" s="8"/>
      <c r="J156" s="8"/>
      <c r="K156" s="8"/>
      <c r="L156" s="8"/>
      <c r="M156" s="8"/>
      <c r="N156" s="8"/>
    </row>
    <row r="157" customFormat="false" ht="15" hidden="false" customHeight="true" outlineLevel="0" collapsed="false">
      <c r="A157" s="8"/>
      <c r="B157" s="8"/>
      <c r="C157" s="8"/>
      <c r="D157" s="8"/>
      <c r="E157" s="8"/>
      <c r="F157" s="8"/>
      <c r="G157" s="8"/>
      <c r="H157" s="8"/>
      <c r="I157" s="8"/>
      <c r="J157" s="8"/>
      <c r="K157" s="8"/>
      <c r="L157" s="8"/>
      <c r="M157" s="8"/>
      <c r="N157" s="8"/>
    </row>
    <row r="158" customFormat="false" ht="15" hidden="false" customHeight="true" outlineLevel="0" collapsed="false">
      <c r="A158" s="8"/>
      <c r="B158" s="8"/>
      <c r="C158" s="8"/>
      <c r="D158" s="8"/>
      <c r="E158" s="8"/>
      <c r="F158" s="8"/>
      <c r="G158" s="8"/>
      <c r="H158" s="8"/>
      <c r="I158" s="8"/>
      <c r="J158" s="8"/>
      <c r="K158" s="8"/>
      <c r="L158" s="8"/>
      <c r="M158" s="8"/>
      <c r="N158" s="8"/>
    </row>
    <row r="159" customFormat="false" ht="15" hidden="false" customHeight="true" outlineLevel="0" collapsed="false">
      <c r="A159" s="8"/>
      <c r="B159" s="8"/>
      <c r="C159" s="8"/>
      <c r="D159" s="8"/>
      <c r="E159" s="8"/>
      <c r="F159" s="8"/>
      <c r="G159" s="8"/>
      <c r="H159" s="8"/>
      <c r="I159" s="8"/>
      <c r="J159" s="8"/>
      <c r="K159" s="8"/>
      <c r="L159" s="8"/>
      <c r="M159" s="8"/>
      <c r="N159" s="8"/>
    </row>
    <row r="160" customFormat="false" ht="15" hidden="false" customHeight="true" outlineLevel="0" collapsed="false">
      <c r="A160" s="8"/>
      <c r="B160" s="8"/>
      <c r="C160" s="8"/>
      <c r="D160" s="8"/>
      <c r="E160" s="8"/>
      <c r="F160" s="8"/>
      <c r="G160" s="8"/>
      <c r="H160" s="8"/>
      <c r="I160" s="8"/>
      <c r="J160" s="8"/>
      <c r="K160" s="8"/>
      <c r="L160" s="8"/>
      <c r="M160" s="8"/>
      <c r="N160" s="8"/>
    </row>
    <row r="161" customFormat="false" ht="15" hidden="false" customHeight="true" outlineLevel="0" collapsed="false">
      <c r="A161" s="8"/>
      <c r="B161" s="8"/>
      <c r="C161" s="8"/>
      <c r="D161" s="8"/>
      <c r="E161" s="8"/>
      <c r="F161" s="8"/>
      <c r="G161" s="8"/>
      <c r="H161" s="8"/>
      <c r="I161" s="8"/>
      <c r="J161" s="8"/>
      <c r="K161" s="8"/>
      <c r="L161" s="8"/>
      <c r="M161" s="8"/>
      <c r="N161" s="8"/>
    </row>
    <row r="162" customFormat="false" ht="15" hidden="false" customHeight="true" outlineLevel="0" collapsed="false">
      <c r="A162" s="8"/>
      <c r="B162" s="8"/>
      <c r="C162" s="8"/>
      <c r="D162" s="8"/>
      <c r="E162" s="8"/>
      <c r="F162" s="8"/>
      <c r="G162" s="8"/>
      <c r="H162" s="8"/>
      <c r="I162" s="8"/>
      <c r="J162" s="8"/>
      <c r="K162" s="8"/>
      <c r="L162" s="8"/>
      <c r="M162" s="8"/>
      <c r="N162" s="8"/>
    </row>
    <row r="163" customFormat="false" ht="15" hidden="false" customHeight="true" outlineLevel="0" collapsed="false">
      <c r="A163" s="8"/>
      <c r="B163" s="8"/>
      <c r="C163" s="8"/>
      <c r="D163" s="8"/>
      <c r="E163" s="8"/>
      <c r="F163" s="8"/>
      <c r="G163" s="8"/>
      <c r="H163" s="8"/>
      <c r="I163" s="8"/>
      <c r="J163" s="8"/>
      <c r="K163" s="8"/>
      <c r="L163" s="8"/>
      <c r="M163" s="8"/>
      <c r="N163" s="8"/>
    </row>
    <row r="164" customFormat="false" ht="15" hidden="false" customHeight="true" outlineLevel="0" collapsed="false">
      <c r="A164" s="8"/>
      <c r="B164" s="8"/>
      <c r="C164" s="8"/>
      <c r="D164" s="8"/>
      <c r="E164" s="8"/>
      <c r="F164" s="8"/>
      <c r="G164" s="8"/>
      <c r="H164" s="8"/>
      <c r="I164" s="8"/>
      <c r="J164" s="8"/>
      <c r="K164" s="8"/>
      <c r="L164" s="8"/>
      <c r="M164" s="8"/>
      <c r="N164" s="8"/>
    </row>
    <row r="165" customFormat="false" ht="15" hidden="false" customHeight="true" outlineLevel="0" collapsed="false">
      <c r="A165" s="8"/>
      <c r="B165" s="8"/>
      <c r="C165" s="8"/>
      <c r="D165" s="8"/>
      <c r="E165" s="8"/>
      <c r="F165" s="8"/>
      <c r="G165" s="8"/>
      <c r="H165" s="8"/>
      <c r="I165" s="8"/>
      <c r="J165" s="8"/>
      <c r="K165" s="8"/>
      <c r="L165" s="8"/>
      <c r="M165" s="8"/>
      <c r="N165" s="8"/>
    </row>
    <row r="166" customFormat="false" ht="15" hidden="false" customHeight="true" outlineLevel="0" collapsed="false">
      <c r="A166" s="8"/>
      <c r="B166" s="8"/>
      <c r="C166" s="8"/>
      <c r="D166" s="8"/>
      <c r="E166" s="8"/>
      <c r="F166" s="8"/>
      <c r="G166" s="8"/>
      <c r="H166" s="8"/>
      <c r="I166" s="8"/>
      <c r="J166" s="8"/>
      <c r="K166" s="8"/>
      <c r="L166" s="8"/>
      <c r="M166" s="8"/>
      <c r="N166" s="8"/>
    </row>
    <row r="167" customFormat="false" ht="15" hidden="false" customHeight="true" outlineLevel="0" collapsed="false">
      <c r="A167" s="8"/>
      <c r="B167" s="8"/>
      <c r="C167" s="8"/>
      <c r="D167" s="8"/>
      <c r="E167" s="8"/>
      <c r="F167" s="8"/>
      <c r="G167" s="8"/>
      <c r="H167" s="8"/>
      <c r="I167" s="8"/>
      <c r="J167" s="8"/>
      <c r="K167" s="8"/>
      <c r="L167" s="8"/>
      <c r="M167" s="8"/>
      <c r="N167" s="8"/>
    </row>
    <row r="168" customFormat="false" ht="15" hidden="false" customHeight="true" outlineLevel="0" collapsed="false">
      <c r="A168" s="8"/>
      <c r="B168" s="8"/>
      <c r="C168" s="8"/>
      <c r="D168" s="8"/>
      <c r="E168" s="8"/>
      <c r="F168" s="8"/>
      <c r="G168" s="8"/>
      <c r="H168" s="8"/>
      <c r="I168" s="8"/>
      <c r="J168" s="8"/>
      <c r="K168" s="8"/>
      <c r="L168" s="8"/>
      <c r="M168" s="8"/>
      <c r="N168" s="8"/>
    </row>
    <row r="169" customFormat="false" ht="15" hidden="false" customHeight="true" outlineLevel="0" collapsed="false">
      <c r="A169" s="8"/>
      <c r="B169" s="8"/>
      <c r="C169" s="8"/>
      <c r="D169" s="8"/>
      <c r="E169" s="8"/>
      <c r="F169" s="8"/>
      <c r="G169" s="8"/>
      <c r="H169" s="8"/>
      <c r="I169" s="8"/>
      <c r="J169" s="8"/>
      <c r="K169" s="8"/>
      <c r="L169" s="8"/>
      <c r="M169" s="8"/>
      <c r="N169" s="8"/>
    </row>
    <row r="170" customFormat="false" ht="15" hidden="false" customHeight="true" outlineLevel="0" collapsed="false">
      <c r="A170" s="8"/>
      <c r="B170" s="8"/>
      <c r="C170" s="8"/>
      <c r="D170" s="8"/>
      <c r="E170" s="8"/>
      <c r="F170" s="8"/>
      <c r="G170" s="8"/>
      <c r="H170" s="8"/>
      <c r="I170" s="8"/>
      <c r="J170" s="8"/>
      <c r="K170" s="8"/>
      <c r="L170" s="8"/>
      <c r="M170" s="8"/>
      <c r="N170" s="8"/>
    </row>
    <row r="171" customFormat="false" ht="15" hidden="false" customHeight="true" outlineLevel="0" collapsed="false">
      <c r="A171" s="8"/>
      <c r="B171" s="8"/>
      <c r="C171" s="8"/>
      <c r="D171" s="8"/>
      <c r="E171" s="8"/>
      <c r="F171" s="8"/>
      <c r="G171" s="8"/>
      <c r="H171" s="8"/>
      <c r="I171" s="8"/>
      <c r="J171" s="8"/>
      <c r="K171" s="8"/>
      <c r="L171" s="8"/>
      <c r="M171" s="8"/>
      <c r="N171" s="8"/>
    </row>
    <row r="172" customFormat="false" ht="15" hidden="false" customHeight="true" outlineLevel="0" collapsed="false">
      <c r="A172" s="8"/>
      <c r="B172" s="8"/>
      <c r="C172" s="8"/>
      <c r="D172" s="8"/>
      <c r="E172" s="8"/>
      <c r="F172" s="8"/>
      <c r="G172" s="8"/>
      <c r="H172" s="8"/>
      <c r="I172" s="8"/>
      <c r="J172" s="8"/>
      <c r="K172" s="8"/>
      <c r="L172" s="8"/>
      <c r="M172" s="8"/>
      <c r="N172" s="8"/>
    </row>
    <row r="173" customFormat="false" ht="15" hidden="false" customHeight="true" outlineLevel="0" collapsed="false">
      <c r="A173" s="8"/>
      <c r="B173" s="8"/>
      <c r="C173" s="8"/>
      <c r="D173" s="8"/>
      <c r="E173" s="8"/>
      <c r="F173" s="8"/>
      <c r="G173" s="8"/>
      <c r="H173" s="8"/>
      <c r="I173" s="8"/>
      <c r="J173" s="8"/>
      <c r="K173" s="8"/>
      <c r="L173" s="8"/>
      <c r="M173" s="8"/>
      <c r="N173" s="8"/>
    </row>
    <row r="174" customFormat="false" ht="15" hidden="false" customHeight="true" outlineLevel="0" collapsed="false">
      <c r="A174" s="8"/>
      <c r="B174" s="8"/>
      <c r="C174" s="8"/>
      <c r="D174" s="8"/>
      <c r="E174" s="8"/>
      <c r="F174" s="8"/>
      <c r="G174" s="8"/>
      <c r="H174" s="8"/>
      <c r="I174" s="8"/>
      <c r="J174" s="8"/>
      <c r="K174" s="8"/>
      <c r="L174" s="8"/>
      <c r="M174" s="8"/>
      <c r="N174" s="8"/>
    </row>
    <row r="175" customFormat="false" ht="15" hidden="false" customHeight="true" outlineLevel="0" collapsed="false">
      <c r="A175" s="8"/>
      <c r="B175" s="8"/>
      <c r="C175" s="8"/>
      <c r="D175" s="8"/>
      <c r="E175" s="8"/>
      <c r="F175" s="8"/>
      <c r="G175" s="8"/>
      <c r="H175" s="8"/>
      <c r="I175" s="8"/>
      <c r="J175" s="8"/>
      <c r="K175" s="8"/>
      <c r="L175" s="8"/>
      <c r="M175" s="8"/>
      <c r="N175" s="8"/>
    </row>
    <row r="176" customFormat="false" ht="15" hidden="false" customHeight="true" outlineLevel="0" collapsed="false">
      <c r="A176" s="8"/>
      <c r="B176" s="8"/>
      <c r="C176" s="8"/>
      <c r="D176" s="8"/>
      <c r="E176" s="8"/>
      <c r="F176" s="8"/>
      <c r="G176" s="8"/>
      <c r="H176" s="8"/>
      <c r="I176" s="8"/>
      <c r="J176" s="8"/>
      <c r="K176" s="8"/>
      <c r="L176" s="8"/>
      <c r="M176" s="8"/>
      <c r="N176" s="8"/>
    </row>
    <row r="177" customFormat="false" ht="15" hidden="false" customHeight="true" outlineLevel="0" collapsed="false">
      <c r="A177" s="8"/>
      <c r="B177" s="8"/>
      <c r="C177" s="8"/>
      <c r="D177" s="8"/>
      <c r="E177" s="8"/>
      <c r="F177" s="8"/>
      <c r="G177" s="8"/>
      <c r="H177" s="8"/>
      <c r="I177" s="8"/>
      <c r="J177" s="8"/>
      <c r="K177" s="8"/>
      <c r="L177" s="8"/>
      <c r="M177" s="8"/>
      <c r="N177" s="8"/>
    </row>
    <row r="178" customFormat="false" ht="15" hidden="false" customHeight="true" outlineLevel="0" collapsed="false">
      <c r="A178" s="8"/>
      <c r="B178" s="8"/>
      <c r="C178" s="8"/>
      <c r="D178" s="8"/>
      <c r="E178" s="8"/>
      <c r="F178" s="8"/>
      <c r="G178" s="8"/>
      <c r="H178" s="8"/>
      <c r="I178" s="8"/>
      <c r="J178" s="8"/>
      <c r="K178" s="8"/>
      <c r="L178" s="8"/>
      <c r="M178" s="8"/>
      <c r="N178" s="8"/>
    </row>
    <row r="179" customFormat="false" ht="15" hidden="false" customHeight="true" outlineLevel="0" collapsed="false">
      <c r="A179" s="8"/>
      <c r="B179" s="8"/>
      <c r="C179" s="8"/>
      <c r="D179" s="8"/>
      <c r="E179" s="8"/>
      <c r="F179" s="8"/>
      <c r="G179" s="8"/>
      <c r="H179" s="8"/>
      <c r="I179" s="8"/>
      <c r="J179" s="8"/>
      <c r="K179" s="8"/>
      <c r="L179" s="8"/>
      <c r="M179" s="8"/>
      <c r="N179" s="8"/>
    </row>
    <row r="180" customFormat="false" ht="15" hidden="false" customHeight="true" outlineLevel="0" collapsed="false">
      <c r="A180" s="8"/>
      <c r="B180" s="8"/>
      <c r="C180" s="8"/>
      <c r="D180" s="8"/>
      <c r="E180" s="8"/>
      <c r="F180" s="8"/>
      <c r="G180" s="8"/>
      <c r="H180" s="8"/>
      <c r="I180" s="8"/>
      <c r="J180" s="8"/>
      <c r="K180" s="8"/>
      <c r="L180" s="8"/>
      <c r="M180" s="8"/>
      <c r="N180" s="8"/>
    </row>
    <row r="181" customFormat="false" ht="15" hidden="false" customHeight="true" outlineLevel="0" collapsed="false">
      <c r="A181" s="8"/>
      <c r="B181" s="8"/>
      <c r="C181" s="8"/>
      <c r="D181" s="8"/>
      <c r="E181" s="8"/>
      <c r="F181" s="8"/>
      <c r="G181" s="8"/>
      <c r="H181" s="8"/>
      <c r="I181" s="8"/>
      <c r="J181" s="8"/>
      <c r="K181" s="8"/>
      <c r="L181" s="8"/>
      <c r="M181" s="8"/>
      <c r="N181" s="8"/>
    </row>
    <row r="182" customFormat="false" ht="15" hidden="false" customHeight="true" outlineLevel="0" collapsed="false">
      <c r="A182" s="8"/>
      <c r="B182" s="8"/>
      <c r="C182" s="8"/>
      <c r="D182" s="8"/>
      <c r="E182" s="8"/>
      <c r="F182" s="8"/>
      <c r="G182" s="8"/>
      <c r="H182" s="8"/>
      <c r="I182" s="8"/>
      <c r="J182" s="8"/>
      <c r="K182" s="8"/>
      <c r="L182" s="8"/>
      <c r="M182" s="8"/>
      <c r="N182" s="8"/>
    </row>
    <row r="183" customFormat="false" ht="15" hidden="false" customHeight="true" outlineLevel="0" collapsed="false">
      <c r="A183" s="8"/>
      <c r="B183" s="8"/>
      <c r="C183" s="8"/>
      <c r="D183" s="8"/>
      <c r="E183" s="8"/>
      <c r="F183" s="8"/>
      <c r="G183" s="8"/>
      <c r="H183" s="8"/>
      <c r="I183" s="8"/>
      <c r="J183" s="8"/>
      <c r="K183" s="8"/>
      <c r="L183" s="8"/>
      <c r="M183" s="8"/>
      <c r="N183" s="8"/>
    </row>
    <row r="184" customFormat="false" ht="15" hidden="false" customHeight="true" outlineLevel="0" collapsed="false">
      <c r="A184" s="8"/>
      <c r="B184" s="8"/>
      <c r="C184" s="8"/>
      <c r="D184" s="8"/>
      <c r="E184" s="8"/>
      <c r="F184" s="8"/>
      <c r="G184" s="8"/>
      <c r="H184" s="8"/>
      <c r="I184" s="8"/>
      <c r="J184" s="8"/>
      <c r="K184" s="8"/>
      <c r="L184" s="8"/>
      <c r="M184" s="8"/>
      <c r="N184" s="8"/>
    </row>
    <row r="185" customFormat="false" ht="15" hidden="false" customHeight="true" outlineLevel="0" collapsed="false">
      <c r="A185" s="8"/>
      <c r="B185" s="8"/>
      <c r="C185" s="8"/>
      <c r="D185" s="8"/>
      <c r="E185" s="8"/>
      <c r="F185" s="8"/>
      <c r="G185" s="8"/>
      <c r="H185" s="8"/>
      <c r="I185" s="8"/>
      <c r="J185" s="8"/>
      <c r="K185" s="8"/>
      <c r="L185" s="8"/>
      <c r="M185" s="8"/>
      <c r="N185" s="8"/>
    </row>
    <row r="186" customFormat="false" ht="15" hidden="false" customHeight="true" outlineLevel="0" collapsed="false">
      <c r="A186" s="8"/>
      <c r="B186" s="8"/>
      <c r="C186" s="8"/>
      <c r="D186" s="8"/>
      <c r="E186" s="8"/>
      <c r="F186" s="8"/>
      <c r="G186" s="8"/>
      <c r="H186" s="8"/>
      <c r="I186" s="8"/>
      <c r="J186" s="8"/>
      <c r="K186" s="8"/>
      <c r="L186" s="8"/>
      <c r="M186" s="8"/>
      <c r="N186" s="8"/>
    </row>
    <row r="187" customFormat="false" ht="15" hidden="false" customHeight="true" outlineLevel="0" collapsed="false">
      <c r="A187" s="8"/>
      <c r="B187" s="8"/>
      <c r="C187" s="8"/>
      <c r="D187" s="8"/>
      <c r="E187" s="8"/>
      <c r="F187" s="8"/>
      <c r="G187" s="8"/>
      <c r="H187" s="8"/>
      <c r="I187" s="8"/>
      <c r="J187" s="8"/>
      <c r="K187" s="8"/>
      <c r="L187" s="8"/>
      <c r="M187" s="8"/>
      <c r="N187" s="8"/>
    </row>
    <row r="188" customFormat="false" ht="15" hidden="false" customHeight="true" outlineLevel="0" collapsed="false">
      <c r="A188" s="8"/>
      <c r="B188" s="8"/>
      <c r="C188" s="8"/>
      <c r="D188" s="8"/>
      <c r="E188" s="8"/>
      <c r="F188" s="8"/>
      <c r="G188" s="8"/>
      <c r="H188" s="8"/>
      <c r="I188" s="8"/>
      <c r="J188" s="8"/>
      <c r="K188" s="8"/>
      <c r="L188" s="8"/>
      <c r="M188" s="8"/>
      <c r="N188" s="8"/>
    </row>
    <row r="189" customFormat="false" ht="15" hidden="false" customHeight="true" outlineLevel="0" collapsed="false">
      <c r="A189" s="8"/>
      <c r="B189" s="8"/>
      <c r="C189" s="8"/>
      <c r="D189" s="8"/>
      <c r="E189" s="8"/>
      <c r="F189" s="8"/>
      <c r="G189" s="8"/>
      <c r="H189" s="8"/>
      <c r="I189" s="8"/>
      <c r="J189" s="8"/>
      <c r="K189" s="8"/>
      <c r="L189" s="8"/>
      <c r="M189" s="8"/>
      <c r="N189" s="8"/>
    </row>
    <row r="190" customFormat="false" ht="15" hidden="false" customHeight="true" outlineLevel="0" collapsed="false">
      <c r="A190" s="8"/>
      <c r="B190" s="8"/>
      <c r="C190" s="8"/>
      <c r="D190" s="8"/>
      <c r="E190" s="8"/>
      <c r="F190" s="8"/>
      <c r="G190" s="8"/>
      <c r="H190" s="8"/>
      <c r="I190" s="8"/>
      <c r="J190" s="8"/>
      <c r="K190" s="8"/>
      <c r="L190" s="8"/>
      <c r="M190" s="8"/>
      <c r="N190" s="8"/>
    </row>
    <row r="191" customFormat="false" ht="15" hidden="false" customHeight="true" outlineLevel="0" collapsed="false">
      <c r="A191" s="8"/>
      <c r="B191" s="8"/>
      <c r="C191" s="8"/>
      <c r="D191" s="8"/>
      <c r="E191" s="8"/>
      <c r="F191" s="8"/>
      <c r="G191" s="8"/>
      <c r="H191" s="8"/>
      <c r="I191" s="8"/>
      <c r="J191" s="8"/>
      <c r="K191" s="8"/>
      <c r="L191" s="8"/>
      <c r="M191" s="8"/>
      <c r="N191" s="8"/>
    </row>
    <row r="192" customFormat="false" ht="15" hidden="false" customHeight="true" outlineLevel="0" collapsed="false">
      <c r="A192" s="8"/>
      <c r="B192" s="8"/>
      <c r="C192" s="8"/>
      <c r="D192" s="8"/>
      <c r="E192" s="8"/>
      <c r="F192" s="8"/>
      <c r="G192" s="8"/>
      <c r="H192" s="8"/>
      <c r="I192" s="8"/>
      <c r="J192" s="8"/>
      <c r="K192" s="8"/>
      <c r="L192" s="8"/>
      <c r="M192" s="8"/>
      <c r="N192" s="8"/>
    </row>
    <row r="193" customFormat="false" ht="15" hidden="false" customHeight="true" outlineLevel="0" collapsed="false">
      <c r="A193" s="8"/>
      <c r="B193" s="8"/>
      <c r="C193" s="8"/>
      <c r="D193" s="8"/>
      <c r="E193" s="8"/>
      <c r="F193" s="8"/>
      <c r="G193" s="8"/>
      <c r="H193" s="8"/>
      <c r="I193" s="8"/>
      <c r="J193" s="8"/>
      <c r="K193" s="8"/>
      <c r="L193" s="8"/>
      <c r="M193" s="8"/>
      <c r="N193" s="8"/>
    </row>
    <row r="194" customFormat="false" ht="15" hidden="false" customHeight="true" outlineLevel="0" collapsed="false">
      <c r="A194" s="8"/>
      <c r="B194" s="8"/>
      <c r="C194" s="8"/>
      <c r="D194" s="8"/>
      <c r="E194" s="8"/>
      <c r="F194" s="8"/>
      <c r="G194" s="8"/>
      <c r="H194" s="8"/>
      <c r="I194" s="8"/>
      <c r="J194" s="8"/>
      <c r="K194" s="8"/>
      <c r="L194" s="8"/>
      <c r="M194" s="8"/>
      <c r="N194" s="8"/>
    </row>
    <row r="195" customFormat="false" ht="15" hidden="false" customHeight="true" outlineLevel="0" collapsed="false">
      <c r="A195" s="8"/>
      <c r="B195" s="8"/>
      <c r="C195" s="8"/>
      <c r="D195" s="8"/>
      <c r="E195" s="8"/>
      <c r="F195" s="8"/>
      <c r="G195" s="8"/>
      <c r="H195" s="8"/>
      <c r="I195" s="8"/>
      <c r="J195" s="8"/>
      <c r="K195" s="8"/>
      <c r="L195" s="8"/>
      <c r="M195" s="8"/>
      <c r="N195" s="8"/>
    </row>
    <row r="196" customFormat="false" ht="15" hidden="false" customHeight="true" outlineLevel="0" collapsed="false">
      <c r="A196" s="8"/>
      <c r="B196" s="8"/>
      <c r="C196" s="8"/>
      <c r="D196" s="8"/>
      <c r="E196" s="8"/>
      <c r="F196" s="8"/>
      <c r="G196" s="8"/>
      <c r="H196" s="8"/>
      <c r="I196" s="8"/>
      <c r="J196" s="8"/>
      <c r="K196" s="8"/>
      <c r="L196" s="8"/>
      <c r="M196" s="8"/>
      <c r="N196" s="8"/>
    </row>
    <row r="197" customFormat="false" ht="15" hidden="false" customHeight="true" outlineLevel="0" collapsed="false">
      <c r="A197" s="8"/>
      <c r="B197" s="8"/>
      <c r="C197" s="8"/>
      <c r="D197" s="8"/>
      <c r="E197" s="8"/>
      <c r="F197" s="8"/>
      <c r="G197" s="8"/>
      <c r="H197" s="8"/>
      <c r="I197" s="8"/>
      <c r="J197" s="8"/>
      <c r="K197" s="8"/>
      <c r="L197" s="8"/>
      <c r="M197" s="8"/>
      <c r="N197" s="8"/>
    </row>
    <row r="198" customFormat="false" ht="15" hidden="false" customHeight="true" outlineLevel="0" collapsed="false">
      <c r="A198" s="8"/>
      <c r="B198" s="8"/>
      <c r="C198" s="8"/>
      <c r="D198" s="8"/>
      <c r="E198" s="8"/>
      <c r="F198" s="8"/>
      <c r="G198" s="8"/>
      <c r="H198" s="8"/>
      <c r="I198" s="8"/>
      <c r="J198" s="8"/>
      <c r="K198" s="8"/>
      <c r="L198" s="8"/>
      <c r="M198" s="8"/>
      <c r="N198" s="8"/>
    </row>
    <row r="199" customFormat="false" ht="15" hidden="false" customHeight="true" outlineLevel="0" collapsed="false">
      <c r="A199" s="8"/>
      <c r="B199" s="8"/>
      <c r="C199" s="8"/>
      <c r="D199" s="8"/>
      <c r="E199" s="8"/>
      <c r="F199" s="8"/>
      <c r="G199" s="8"/>
      <c r="H199" s="8"/>
      <c r="I199" s="8"/>
      <c r="J199" s="8"/>
      <c r="K199" s="8"/>
      <c r="L199" s="8"/>
      <c r="M199" s="8"/>
      <c r="N199" s="8"/>
    </row>
    <row r="200" customFormat="false" ht="15" hidden="false" customHeight="true" outlineLevel="0" collapsed="false">
      <c r="A200" s="8"/>
      <c r="B200" s="8"/>
      <c r="C200" s="8"/>
      <c r="D200" s="8"/>
      <c r="E200" s="8"/>
      <c r="F200" s="8"/>
      <c r="G200" s="8"/>
      <c r="H200" s="8"/>
      <c r="I200" s="8"/>
      <c r="J200" s="8"/>
      <c r="K200" s="8"/>
      <c r="L200" s="8"/>
      <c r="M200" s="8"/>
      <c r="N200" s="8"/>
    </row>
    <row r="201" customFormat="false" ht="15" hidden="false" customHeight="true" outlineLevel="0" collapsed="false">
      <c r="A201" s="8"/>
      <c r="B201" s="8"/>
      <c r="C201" s="8"/>
      <c r="D201" s="8"/>
      <c r="E201" s="8"/>
      <c r="F201" s="8"/>
      <c r="G201" s="8"/>
      <c r="H201" s="8"/>
      <c r="I201" s="8"/>
      <c r="J201" s="8"/>
      <c r="K201" s="8"/>
      <c r="L201" s="8"/>
      <c r="M201" s="8"/>
      <c r="N201" s="8"/>
    </row>
    <row r="202" customFormat="false" ht="15" hidden="false" customHeight="true" outlineLevel="0" collapsed="false">
      <c r="A202" s="8"/>
      <c r="B202" s="8"/>
      <c r="C202" s="8"/>
      <c r="D202" s="8"/>
      <c r="E202" s="8"/>
      <c r="F202" s="8"/>
      <c r="G202" s="8"/>
      <c r="H202" s="8"/>
      <c r="I202" s="8"/>
      <c r="J202" s="8"/>
      <c r="K202" s="8"/>
      <c r="L202" s="8"/>
      <c r="M202" s="8"/>
      <c r="N202" s="8"/>
    </row>
    <row r="203" customFormat="false" ht="15" hidden="false" customHeight="true" outlineLevel="0" collapsed="false">
      <c r="A203" s="8"/>
      <c r="B203" s="8"/>
      <c r="C203" s="8"/>
      <c r="D203" s="8"/>
      <c r="E203" s="8"/>
      <c r="F203" s="8"/>
      <c r="G203" s="8"/>
      <c r="H203" s="8"/>
      <c r="I203" s="8"/>
      <c r="J203" s="8"/>
      <c r="K203" s="8"/>
      <c r="L203" s="8"/>
      <c r="M203" s="8"/>
      <c r="N203" s="8"/>
    </row>
    <row r="204" customFormat="false" ht="15" hidden="false" customHeight="true" outlineLevel="0" collapsed="false">
      <c r="A204" s="8"/>
      <c r="B204" s="8"/>
      <c r="C204" s="8"/>
      <c r="D204" s="8"/>
      <c r="E204" s="8"/>
      <c r="F204" s="8"/>
      <c r="G204" s="8"/>
      <c r="H204" s="8"/>
      <c r="I204" s="8"/>
      <c r="J204" s="8"/>
      <c r="K204" s="8"/>
      <c r="L204" s="8"/>
      <c r="M204" s="8"/>
      <c r="N204" s="8"/>
    </row>
    <row r="205" customFormat="false" ht="15" hidden="false" customHeight="true" outlineLevel="0" collapsed="false">
      <c r="A205" s="8"/>
      <c r="B205" s="8"/>
      <c r="C205" s="8"/>
      <c r="D205" s="8"/>
      <c r="E205" s="8"/>
      <c r="F205" s="8"/>
      <c r="G205" s="8"/>
      <c r="H205" s="8"/>
      <c r="I205" s="8"/>
      <c r="J205" s="8"/>
      <c r="K205" s="8"/>
      <c r="L205" s="8"/>
      <c r="M205" s="8"/>
      <c r="N205" s="8"/>
    </row>
    <row r="206" customFormat="false" ht="15" hidden="false" customHeight="true" outlineLevel="0" collapsed="false">
      <c r="A206" s="8"/>
      <c r="B206" s="8"/>
      <c r="C206" s="8"/>
      <c r="D206" s="8"/>
      <c r="E206" s="8"/>
      <c r="F206" s="8"/>
      <c r="G206" s="8"/>
      <c r="H206" s="8"/>
      <c r="I206" s="8"/>
      <c r="J206" s="8"/>
      <c r="K206" s="8"/>
      <c r="L206" s="8"/>
      <c r="M206" s="8"/>
      <c r="N206" s="8"/>
    </row>
    <row r="207" customFormat="false" ht="15" hidden="false" customHeight="true" outlineLevel="0" collapsed="false">
      <c r="A207" s="8"/>
      <c r="B207" s="8"/>
      <c r="C207" s="8"/>
      <c r="D207" s="8"/>
      <c r="E207" s="8"/>
      <c r="F207" s="8"/>
      <c r="G207" s="8"/>
      <c r="H207" s="8"/>
      <c r="I207" s="8"/>
      <c r="J207" s="8"/>
      <c r="K207" s="8"/>
      <c r="L207" s="8"/>
      <c r="M207" s="8"/>
      <c r="N207" s="8"/>
    </row>
    <row r="208" customFormat="false" ht="15" hidden="false" customHeight="true" outlineLevel="0" collapsed="false">
      <c r="A208" s="8"/>
      <c r="B208" s="8"/>
      <c r="C208" s="8"/>
      <c r="D208" s="8"/>
      <c r="E208" s="8"/>
      <c r="F208" s="8"/>
      <c r="G208" s="8"/>
      <c r="H208" s="8"/>
      <c r="I208" s="8"/>
      <c r="J208" s="8"/>
      <c r="K208" s="8"/>
      <c r="L208" s="8"/>
      <c r="M208" s="8"/>
      <c r="N208" s="8"/>
    </row>
    <row r="209" customFormat="false" ht="15" hidden="false" customHeight="true" outlineLevel="0" collapsed="false">
      <c r="A209" s="8"/>
      <c r="B209" s="8"/>
      <c r="C209" s="8"/>
      <c r="D209" s="8"/>
      <c r="E209" s="8"/>
      <c r="F209" s="8"/>
      <c r="G209" s="8"/>
      <c r="H209" s="8"/>
      <c r="I209" s="8"/>
      <c r="J209" s="8"/>
      <c r="K209" s="8"/>
      <c r="L209" s="8"/>
      <c r="M209" s="8"/>
      <c r="N209" s="8"/>
    </row>
    <row r="210" customFormat="false" ht="15" hidden="false" customHeight="true" outlineLevel="0" collapsed="false">
      <c r="A210" s="8"/>
      <c r="B210" s="8"/>
      <c r="C210" s="8"/>
      <c r="D210" s="8"/>
      <c r="E210" s="8"/>
      <c r="F210" s="8"/>
      <c r="G210" s="8"/>
      <c r="H210" s="8"/>
      <c r="I210" s="8"/>
      <c r="J210" s="8"/>
      <c r="K210" s="8"/>
      <c r="L210" s="8"/>
      <c r="M210" s="8"/>
      <c r="N210" s="8"/>
    </row>
    <row r="211" customFormat="false" ht="15" hidden="false" customHeight="true" outlineLevel="0" collapsed="false">
      <c r="A211" s="8"/>
      <c r="B211" s="8"/>
      <c r="C211" s="8"/>
      <c r="D211" s="8"/>
      <c r="E211" s="8"/>
      <c r="F211" s="8"/>
      <c r="G211" s="8"/>
      <c r="H211" s="8"/>
      <c r="I211" s="8"/>
      <c r="J211" s="8"/>
      <c r="K211" s="8"/>
      <c r="L211" s="8"/>
      <c r="M211" s="8"/>
      <c r="N211" s="8"/>
    </row>
    <row r="212" customFormat="false" ht="15" hidden="false" customHeight="true" outlineLevel="0" collapsed="false">
      <c r="A212" s="8"/>
      <c r="B212" s="8"/>
      <c r="C212" s="8"/>
      <c r="D212" s="8"/>
      <c r="E212" s="8"/>
      <c r="F212" s="8"/>
      <c r="G212" s="8"/>
      <c r="H212" s="8"/>
      <c r="I212" s="8"/>
      <c r="J212" s="8"/>
      <c r="K212" s="8"/>
      <c r="L212" s="8"/>
      <c r="M212" s="8"/>
      <c r="N212" s="8"/>
    </row>
    <row r="213" customFormat="false" ht="15" hidden="false" customHeight="true" outlineLevel="0" collapsed="false">
      <c r="A213" s="8"/>
      <c r="B213" s="8"/>
      <c r="C213" s="8"/>
      <c r="D213" s="8"/>
      <c r="E213" s="8"/>
      <c r="F213" s="8"/>
      <c r="G213" s="8"/>
      <c r="H213" s="8"/>
      <c r="I213" s="8"/>
      <c r="J213" s="8"/>
      <c r="K213" s="8"/>
      <c r="L213" s="8"/>
      <c r="M213" s="8"/>
      <c r="N213" s="8"/>
    </row>
    <row r="214" customFormat="false" ht="15" hidden="false" customHeight="true" outlineLevel="0" collapsed="false">
      <c r="A214" s="8"/>
      <c r="B214" s="8"/>
      <c r="C214" s="8"/>
      <c r="D214" s="8"/>
      <c r="E214" s="8"/>
      <c r="F214" s="8"/>
      <c r="G214" s="8"/>
      <c r="H214" s="8"/>
      <c r="I214" s="8"/>
      <c r="J214" s="8"/>
      <c r="K214" s="8"/>
      <c r="L214" s="8"/>
      <c r="M214" s="8"/>
      <c r="N214" s="8"/>
    </row>
    <row r="215" customFormat="false" ht="15" hidden="false" customHeight="true" outlineLevel="0" collapsed="false">
      <c r="A215" s="8"/>
      <c r="B215" s="8"/>
      <c r="C215" s="8"/>
      <c r="D215" s="8"/>
      <c r="E215" s="8"/>
      <c r="F215" s="8"/>
      <c r="G215" s="8"/>
      <c r="H215" s="8"/>
      <c r="I215" s="8"/>
      <c r="J215" s="8"/>
      <c r="K215" s="8"/>
      <c r="L215" s="8"/>
      <c r="M215" s="8"/>
      <c r="N215" s="8"/>
    </row>
    <row r="216" customFormat="false" ht="15" hidden="false" customHeight="true" outlineLevel="0" collapsed="false">
      <c r="A216" s="8"/>
      <c r="B216" s="8"/>
      <c r="C216" s="8"/>
      <c r="D216" s="8"/>
      <c r="E216" s="8"/>
      <c r="F216" s="8"/>
      <c r="G216" s="8"/>
      <c r="H216" s="8"/>
      <c r="I216" s="8"/>
      <c r="J216" s="8"/>
      <c r="K216" s="8"/>
      <c r="L216" s="8"/>
      <c r="M216" s="8"/>
      <c r="N216" s="8"/>
    </row>
    <row r="217" customFormat="false" ht="15" hidden="false" customHeight="true" outlineLevel="0" collapsed="false">
      <c r="A217" s="8"/>
      <c r="B217" s="8"/>
      <c r="C217" s="8"/>
      <c r="D217" s="8"/>
      <c r="E217" s="8"/>
      <c r="F217" s="8"/>
      <c r="G217" s="8"/>
      <c r="H217" s="8"/>
      <c r="I217" s="8"/>
      <c r="J217" s="8"/>
      <c r="K217" s="8"/>
      <c r="L217" s="8"/>
      <c r="M217" s="8"/>
      <c r="N217" s="8"/>
    </row>
    <row r="218" customFormat="false" ht="15" hidden="false" customHeight="true" outlineLevel="0" collapsed="false">
      <c r="A218" s="8"/>
      <c r="B218" s="8"/>
      <c r="C218" s="8"/>
      <c r="D218" s="8"/>
      <c r="E218" s="8"/>
      <c r="F218" s="8"/>
      <c r="G218" s="8"/>
      <c r="H218" s="8"/>
      <c r="I218" s="8"/>
      <c r="J218" s="8"/>
      <c r="K218" s="8"/>
      <c r="L218" s="8"/>
      <c r="M218" s="8"/>
      <c r="N218" s="8"/>
    </row>
    <row r="219" customFormat="false" ht="15" hidden="false" customHeight="true" outlineLevel="0" collapsed="false">
      <c r="A219" s="8"/>
      <c r="B219" s="8"/>
      <c r="C219" s="8"/>
      <c r="D219" s="8"/>
      <c r="E219" s="8"/>
      <c r="F219" s="8"/>
      <c r="G219" s="8"/>
      <c r="H219" s="8"/>
      <c r="I219" s="8"/>
      <c r="J219" s="8"/>
      <c r="K219" s="8"/>
      <c r="L219" s="8"/>
      <c r="M219" s="8"/>
      <c r="N219" s="8"/>
    </row>
    <row r="220" customFormat="false" ht="15" hidden="false" customHeight="true" outlineLevel="0" collapsed="false">
      <c r="A220" s="8"/>
      <c r="B220" s="8"/>
      <c r="C220" s="8"/>
      <c r="D220" s="8"/>
      <c r="E220" s="8"/>
      <c r="F220" s="8"/>
      <c r="G220" s="8"/>
      <c r="H220" s="8"/>
      <c r="I220" s="8"/>
      <c r="J220" s="8"/>
      <c r="K220" s="8"/>
      <c r="L220" s="8"/>
      <c r="M220" s="8"/>
      <c r="N220" s="8"/>
    </row>
    <row r="221" customFormat="false" ht="15" hidden="false" customHeight="true" outlineLevel="0" collapsed="false">
      <c r="A221" s="8"/>
      <c r="B221" s="8"/>
      <c r="C221" s="8"/>
      <c r="D221" s="8"/>
      <c r="E221" s="8"/>
      <c r="F221" s="8"/>
      <c r="G221" s="8"/>
      <c r="H221" s="8"/>
      <c r="I221" s="8"/>
      <c r="J221" s="8"/>
      <c r="K221" s="8"/>
      <c r="L221" s="8"/>
      <c r="M221" s="8"/>
      <c r="N221" s="8"/>
    </row>
    <row r="222" customFormat="false" ht="15" hidden="false" customHeight="true" outlineLevel="0" collapsed="false">
      <c r="A222" s="8"/>
      <c r="B222" s="8"/>
      <c r="C222" s="8"/>
      <c r="D222" s="8"/>
      <c r="E222" s="8"/>
      <c r="F222" s="8"/>
      <c r="G222" s="8"/>
      <c r="H222" s="8"/>
      <c r="I222" s="8"/>
      <c r="J222" s="8"/>
      <c r="K222" s="8"/>
      <c r="L222" s="8"/>
      <c r="M222" s="8"/>
      <c r="N222" s="8"/>
    </row>
    <row r="223" customFormat="false" ht="15" hidden="false" customHeight="true" outlineLevel="0" collapsed="false">
      <c r="A223" s="8"/>
      <c r="B223" s="8"/>
      <c r="C223" s="8"/>
      <c r="D223" s="8"/>
      <c r="E223" s="8"/>
      <c r="F223" s="8"/>
      <c r="G223" s="8"/>
      <c r="H223" s="8"/>
      <c r="I223" s="8"/>
      <c r="J223" s="8"/>
      <c r="K223" s="8"/>
      <c r="L223" s="8"/>
      <c r="M223" s="8"/>
      <c r="N223" s="8"/>
    </row>
    <row r="224" customFormat="false" ht="15" hidden="false" customHeight="true" outlineLevel="0" collapsed="false">
      <c r="A224" s="8"/>
      <c r="B224" s="8"/>
      <c r="C224" s="8"/>
      <c r="D224" s="8"/>
      <c r="E224" s="8"/>
      <c r="F224" s="8"/>
      <c r="G224" s="8"/>
      <c r="H224" s="8"/>
      <c r="I224" s="8"/>
      <c r="J224" s="8"/>
      <c r="K224" s="8"/>
      <c r="L224" s="8"/>
      <c r="M224" s="8"/>
      <c r="N224" s="8"/>
    </row>
    <row r="225" customFormat="false" ht="15" hidden="false" customHeight="true" outlineLevel="0" collapsed="false">
      <c r="A225" s="8"/>
      <c r="B225" s="8"/>
      <c r="C225" s="8"/>
      <c r="D225" s="8"/>
      <c r="E225" s="8"/>
      <c r="F225" s="8"/>
      <c r="G225" s="8"/>
      <c r="H225" s="8"/>
      <c r="I225" s="8"/>
      <c r="J225" s="8"/>
      <c r="K225" s="8"/>
      <c r="L225" s="8"/>
      <c r="M225" s="8"/>
      <c r="N225" s="8"/>
    </row>
    <row r="226" customFormat="false" ht="15" hidden="false" customHeight="true" outlineLevel="0" collapsed="false">
      <c r="A226" s="8"/>
      <c r="B226" s="8"/>
      <c r="C226" s="8"/>
      <c r="D226" s="8"/>
      <c r="E226" s="8"/>
      <c r="F226" s="8"/>
      <c r="G226" s="8"/>
      <c r="H226" s="8"/>
      <c r="I226" s="8"/>
      <c r="J226" s="8"/>
      <c r="K226" s="8"/>
      <c r="L226" s="8"/>
      <c r="M226" s="8"/>
      <c r="N226" s="8"/>
    </row>
    <row r="227" customFormat="false" ht="15" hidden="false" customHeight="true" outlineLevel="0" collapsed="false">
      <c r="A227" s="8"/>
      <c r="B227" s="8"/>
      <c r="C227" s="8"/>
      <c r="D227" s="8"/>
      <c r="E227" s="8"/>
      <c r="F227" s="8"/>
      <c r="G227" s="8"/>
      <c r="H227" s="8"/>
      <c r="I227" s="8"/>
      <c r="J227" s="8"/>
      <c r="K227" s="8"/>
      <c r="L227" s="8"/>
      <c r="M227" s="8"/>
      <c r="N227" s="8"/>
    </row>
    <row r="228" customFormat="false" ht="15" hidden="false" customHeight="true" outlineLevel="0" collapsed="false">
      <c r="A228" s="8"/>
      <c r="B228" s="8"/>
      <c r="C228" s="8"/>
      <c r="D228" s="8"/>
      <c r="E228" s="8"/>
      <c r="F228" s="8"/>
      <c r="G228" s="8"/>
      <c r="H228" s="8"/>
      <c r="I228" s="8"/>
      <c r="J228" s="8"/>
      <c r="K228" s="8"/>
      <c r="L228" s="8"/>
      <c r="M228" s="8"/>
      <c r="N228" s="8"/>
    </row>
    <row r="229" customFormat="false" ht="15" hidden="false" customHeight="true" outlineLevel="0" collapsed="false">
      <c r="A229" s="8"/>
      <c r="B229" s="8"/>
      <c r="C229" s="8"/>
      <c r="D229" s="8"/>
      <c r="E229" s="8"/>
      <c r="F229" s="8"/>
      <c r="G229" s="8"/>
      <c r="H229" s="8"/>
      <c r="I229" s="8"/>
      <c r="J229" s="8"/>
      <c r="K229" s="8"/>
      <c r="L229" s="8"/>
      <c r="M229" s="8"/>
      <c r="N229" s="8"/>
    </row>
    <row r="230" customFormat="false" ht="15" hidden="false" customHeight="true" outlineLevel="0" collapsed="false">
      <c r="A230" s="8"/>
      <c r="B230" s="8"/>
      <c r="C230" s="8"/>
      <c r="D230" s="8"/>
      <c r="E230" s="8"/>
      <c r="F230" s="8"/>
      <c r="G230" s="8"/>
      <c r="H230" s="8"/>
      <c r="I230" s="8"/>
      <c r="J230" s="8"/>
      <c r="K230" s="8"/>
      <c r="L230" s="8"/>
      <c r="M230" s="8"/>
      <c r="N230" s="8"/>
    </row>
    <row r="231" customFormat="false" ht="15" hidden="false" customHeight="true" outlineLevel="0" collapsed="false">
      <c r="A231" s="8"/>
      <c r="B231" s="8"/>
      <c r="C231" s="8"/>
      <c r="D231" s="8"/>
      <c r="E231" s="8"/>
      <c r="F231" s="8"/>
      <c r="G231" s="8"/>
      <c r="H231" s="8"/>
      <c r="I231" s="8"/>
      <c r="J231" s="8"/>
      <c r="K231" s="8"/>
      <c r="L231" s="8"/>
      <c r="M231" s="8"/>
      <c r="N231" s="8"/>
    </row>
    <row r="232" customFormat="false" ht="15" hidden="false" customHeight="true" outlineLevel="0" collapsed="false">
      <c r="A232" s="8"/>
      <c r="B232" s="8"/>
      <c r="C232" s="8"/>
      <c r="D232" s="8"/>
      <c r="E232" s="8"/>
      <c r="F232" s="8"/>
      <c r="G232" s="8"/>
      <c r="H232" s="8"/>
      <c r="I232" s="8"/>
      <c r="J232" s="8"/>
      <c r="K232" s="8"/>
      <c r="L232" s="8"/>
      <c r="M232" s="8"/>
      <c r="N232" s="8"/>
    </row>
    <row r="233" customFormat="false" ht="15" hidden="false" customHeight="true" outlineLevel="0" collapsed="false">
      <c r="A233" s="8"/>
      <c r="B233" s="8"/>
      <c r="C233" s="8"/>
      <c r="D233" s="8"/>
      <c r="E233" s="8"/>
      <c r="F233" s="8"/>
      <c r="G233" s="8"/>
      <c r="H233" s="8"/>
      <c r="I233" s="8"/>
      <c r="J233" s="8"/>
      <c r="K233" s="8"/>
      <c r="L233" s="8"/>
      <c r="M233" s="8"/>
      <c r="N233" s="8"/>
    </row>
    <row r="234" customFormat="false" ht="15" hidden="false" customHeight="true" outlineLevel="0" collapsed="false">
      <c r="A234" s="8"/>
      <c r="B234" s="8"/>
      <c r="C234" s="8"/>
      <c r="D234" s="8"/>
      <c r="E234" s="8"/>
      <c r="F234" s="8"/>
      <c r="G234" s="8"/>
      <c r="H234" s="8"/>
      <c r="I234" s="8"/>
      <c r="J234" s="8"/>
      <c r="K234" s="8"/>
      <c r="L234" s="8"/>
      <c r="M234" s="8"/>
      <c r="N234" s="8"/>
    </row>
    <row r="235" customFormat="false" ht="15" hidden="false" customHeight="true" outlineLevel="0" collapsed="false">
      <c r="A235" s="8"/>
      <c r="B235" s="8"/>
      <c r="C235" s="8"/>
      <c r="D235" s="8"/>
      <c r="E235" s="8"/>
      <c r="F235" s="8"/>
      <c r="G235" s="8"/>
      <c r="H235" s="8"/>
      <c r="I235" s="8"/>
      <c r="J235" s="8"/>
      <c r="K235" s="8"/>
      <c r="L235" s="8"/>
      <c r="M235" s="8"/>
      <c r="N235" s="8"/>
    </row>
    <row r="236" customFormat="false" ht="15" hidden="false" customHeight="true" outlineLevel="0" collapsed="false">
      <c r="A236" s="8"/>
      <c r="B236" s="8"/>
      <c r="C236" s="8"/>
      <c r="D236" s="8"/>
      <c r="E236" s="8"/>
      <c r="F236" s="8"/>
      <c r="G236" s="8"/>
      <c r="H236" s="8"/>
      <c r="I236" s="8"/>
      <c r="J236" s="8"/>
      <c r="K236" s="8"/>
      <c r="L236" s="8"/>
      <c r="M236" s="8"/>
      <c r="N236" s="8"/>
    </row>
    <row r="237" customFormat="false" ht="15" hidden="false" customHeight="true" outlineLevel="0" collapsed="false">
      <c r="A237" s="8"/>
      <c r="B237" s="8"/>
      <c r="C237" s="8"/>
      <c r="D237" s="8"/>
      <c r="E237" s="8"/>
      <c r="F237" s="8"/>
      <c r="G237" s="8"/>
      <c r="H237" s="8"/>
      <c r="I237" s="8"/>
      <c r="J237" s="8"/>
      <c r="K237" s="8"/>
      <c r="L237" s="8"/>
      <c r="M237" s="8"/>
      <c r="N237" s="8"/>
    </row>
    <row r="238" customFormat="false" ht="15" hidden="false" customHeight="true" outlineLevel="0" collapsed="false">
      <c r="A238" s="8"/>
      <c r="B238" s="8"/>
      <c r="C238" s="8"/>
      <c r="D238" s="8"/>
      <c r="E238" s="8"/>
      <c r="F238" s="8"/>
      <c r="G238" s="8"/>
      <c r="H238" s="8"/>
      <c r="I238" s="8"/>
      <c r="J238" s="8"/>
      <c r="K238" s="8"/>
      <c r="L238" s="8"/>
      <c r="M238" s="8"/>
      <c r="N238" s="8"/>
    </row>
    <row r="239" customFormat="false" ht="15" hidden="false" customHeight="true" outlineLevel="0" collapsed="false">
      <c r="A239" s="8"/>
      <c r="B239" s="8"/>
      <c r="C239" s="8"/>
      <c r="D239" s="8"/>
      <c r="E239" s="8"/>
      <c r="F239" s="8"/>
      <c r="G239" s="8"/>
      <c r="H239" s="8"/>
      <c r="I239" s="8"/>
      <c r="J239" s="8"/>
      <c r="K239" s="8"/>
      <c r="L239" s="8"/>
      <c r="M239" s="8"/>
      <c r="N239" s="8"/>
    </row>
    <row r="240" customFormat="false" ht="15" hidden="false" customHeight="true" outlineLevel="0" collapsed="false">
      <c r="A240" s="8"/>
      <c r="B240" s="8"/>
      <c r="C240" s="8"/>
      <c r="D240" s="8"/>
      <c r="E240" s="8"/>
      <c r="F240" s="8"/>
      <c r="G240" s="8"/>
      <c r="H240" s="8"/>
      <c r="I240" s="8"/>
      <c r="J240" s="8"/>
      <c r="K240" s="8"/>
      <c r="L240" s="8"/>
      <c r="M240" s="8"/>
      <c r="N240" s="8"/>
    </row>
    <row r="241" customFormat="false" ht="15" hidden="false" customHeight="true" outlineLevel="0" collapsed="false">
      <c r="A241" s="8"/>
      <c r="B241" s="8"/>
      <c r="C241" s="8"/>
      <c r="D241" s="8"/>
      <c r="E241" s="8"/>
      <c r="F241" s="8"/>
      <c r="G241" s="8"/>
      <c r="H241" s="8"/>
      <c r="I241" s="8"/>
      <c r="J241" s="8"/>
      <c r="K241" s="8"/>
      <c r="L241" s="8"/>
      <c r="M241" s="8"/>
      <c r="N241" s="8"/>
    </row>
    <row r="242" customFormat="false" ht="15" hidden="false" customHeight="true" outlineLevel="0" collapsed="false">
      <c r="A242" s="8"/>
      <c r="B242" s="8"/>
      <c r="C242" s="8"/>
      <c r="D242" s="8"/>
      <c r="E242" s="8"/>
      <c r="F242" s="8"/>
      <c r="G242" s="8"/>
      <c r="H242" s="8"/>
      <c r="I242" s="8"/>
      <c r="J242" s="8"/>
      <c r="K242" s="8"/>
      <c r="L242" s="8"/>
      <c r="M242" s="8"/>
      <c r="N242" s="8"/>
    </row>
    <row r="243" customFormat="false" ht="15" hidden="false" customHeight="true" outlineLevel="0" collapsed="false">
      <c r="A243" s="8"/>
      <c r="B243" s="8"/>
      <c r="C243" s="8"/>
      <c r="D243" s="8"/>
      <c r="E243" s="8"/>
      <c r="F243" s="8"/>
      <c r="G243" s="8"/>
      <c r="H243" s="8"/>
      <c r="I243" s="8"/>
      <c r="J243" s="8"/>
      <c r="K243" s="8"/>
      <c r="L243" s="8"/>
      <c r="M243" s="8"/>
      <c r="N243" s="8"/>
    </row>
    <row r="244" customFormat="false" ht="15" hidden="false" customHeight="true" outlineLevel="0" collapsed="false">
      <c r="A244" s="8"/>
      <c r="B244" s="8"/>
      <c r="C244" s="8"/>
      <c r="D244" s="8"/>
      <c r="E244" s="8"/>
      <c r="F244" s="8"/>
      <c r="G244" s="8"/>
      <c r="H244" s="8"/>
      <c r="I244" s="8"/>
      <c r="J244" s="8"/>
      <c r="K244" s="8"/>
      <c r="L244" s="8"/>
      <c r="M244" s="8"/>
      <c r="N244" s="8"/>
    </row>
    <row r="245" customFormat="false" ht="15" hidden="false" customHeight="true" outlineLevel="0" collapsed="false">
      <c r="A245" s="8"/>
      <c r="B245" s="8"/>
      <c r="C245" s="8"/>
      <c r="D245" s="8"/>
      <c r="E245" s="8"/>
      <c r="F245" s="8"/>
      <c r="G245" s="8"/>
      <c r="H245" s="8"/>
      <c r="I245" s="8"/>
      <c r="J245" s="8"/>
      <c r="K245" s="8"/>
      <c r="L245" s="8"/>
      <c r="M245" s="8"/>
      <c r="N245" s="8"/>
    </row>
    <row r="246" customFormat="false" ht="15" hidden="false" customHeight="true" outlineLevel="0" collapsed="false">
      <c r="A246" s="8"/>
      <c r="B246" s="8"/>
      <c r="C246" s="8"/>
      <c r="D246" s="8"/>
      <c r="E246" s="8"/>
      <c r="F246" s="8"/>
      <c r="G246" s="8"/>
      <c r="H246" s="8"/>
      <c r="I246" s="8"/>
      <c r="J246" s="8"/>
      <c r="K246" s="8"/>
      <c r="L246" s="8"/>
      <c r="M246" s="8"/>
      <c r="N246" s="8"/>
    </row>
    <row r="247" customFormat="false" ht="15" hidden="false" customHeight="true" outlineLevel="0" collapsed="false">
      <c r="A247" s="8"/>
      <c r="B247" s="8"/>
      <c r="C247" s="8"/>
      <c r="D247" s="8"/>
      <c r="E247" s="8"/>
      <c r="F247" s="8"/>
      <c r="G247" s="8"/>
      <c r="H247" s="8"/>
      <c r="I247" s="8"/>
      <c r="J247" s="8"/>
      <c r="K247" s="8"/>
      <c r="L247" s="8"/>
      <c r="M247" s="8"/>
      <c r="N247" s="8"/>
    </row>
    <row r="248" customFormat="false" ht="15" hidden="false" customHeight="true" outlineLevel="0" collapsed="false">
      <c r="A248" s="8"/>
      <c r="B248" s="8"/>
      <c r="C248" s="8"/>
      <c r="D248" s="8"/>
      <c r="E248" s="8"/>
      <c r="F248" s="8"/>
      <c r="G248" s="8"/>
      <c r="H248" s="8"/>
      <c r="I248" s="8"/>
      <c r="J248" s="8"/>
      <c r="K248" s="8"/>
      <c r="L248" s="8"/>
      <c r="M248" s="8"/>
      <c r="N248" s="8"/>
    </row>
    <row r="249" customFormat="false" ht="15" hidden="false" customHeight="true" outlineLevel="0" collapsed="false">
      <c r="A249" s="8"/>
      <c r="B249" s="8"/>
      <c r="C249" s="8"/>
      <c r="D249" s="8"/>
      <c r="E249" s="8"/>
      <c r="F249" s="8"/>
      <c r="G249" s="8"/>
      <c r="H249" s="8"/>
      <c r="I249" s="8"/>
      <c r="J249" s="8"/>
      <c r="K249" s="8"/>
      <c r="L249" s="8"/>
      <c r="M249" s="8"/>
      <c r="N249" s="8"/>
    </row>
    <row r="250" customFormat="false" ht="15" hidden="false" customHeight="true" outlineLevel="0" collapsed="false">
      <c r="A250" s="8"/>
      <c r="B250" s="8"/>
      <c r="C250" s="8"/>
      <c r="D250" s="8"/>
      <c r="E250" s="8"/>
      <c r="F250" s="8"/>
      <c r="G250" s="8"/>
      <c r="H250" s="8"/>
      <c r="I250" s="8"/>
      <c r="J250" s="8"/>
      <c r="K250" s="8"/>
      <c r="L250" s="8"/>
      <c r="M250" s="8"/>
      <c r="N250" s="8"/>
    </row>
    <row r="251" customFormat="false" ht="15" hidden="false" customHeight="true" outlineLevel="0" collapsed="false">
      <c r="A251" s="8"/>
      <c r="B251" s="8"/>
      <c r="C251" s="8"/>
      <c r="D251" s="8"/>
      <c r="E251" s="8"/>
      <c r="F251" s="8"/>
      <c r="G251" s="8"/>
      <c r="H251" s="8"/>
      <c r="I251" s="8"/>
      <c r="J251" s="8"/>
      <c r="K251" s="8"/>
      <c r="L251" s="8"/>
      <c r="M251" s="8"/>
      <c r="N251" s="8"/>
    </row>
    <row r="252" customFormat="false" ht="15" hidden="false" customHeight="true" outlineLevel="0" collapsed="false">
      <c r="A252" s="8"/>
      <c r="B252" s="8"/>
      <c r="C252" s="8"/>
      <c r="D252" s="8"/>
      <c r="E252" s="8"/>
      <c r="F252" s="8"/>
      <c r="G252" s="8"/>
      <c r="H252" s="8"/>
      <c r="I252" s="8"/>
      <c r="J252" s="8"/>
      <c r="K252" s="8"/>
      <c r="L252" s="8"/>
      <c r="M252" s="8"/>
      <c r="N252" s="8"/>
    </row>
    <row r="253" customFormat="false" ht="15" hidden="false" customHeight="true" outlineLevel="0" collapsed="false">
      <c r="A253" s="8"/>
      <c r="B253" s="8"/>
      <c r="C253" s="8"/>
      <c r="D253" s="8"/>
      <c r="E253" s="8"/>
      <c r="F253" s="8"/>
      <c r="G253" s="8"/>
      <c r="H253" s="8"/>
      <c r="I253" s="8"/>
      <c r="J253" s="8"/>
      <c r="K253" s="8"/>
      <c r="L253" s="8"/>
      <c r="M253" s="8"/>
      <c r="N253" s="8"/>
    </row>
    <row r="254" customFormat="false" ht="15" hidden="false" customHeight="true" outlineLevel="0" collapsed="false">
      <c r="A254" s="8"/>
      <c r="B254" s="8"/>
      <c r="C254" s="8"/>
      <c r="D254" s="8"/>
      <c r="E254" s="8"/>
      <c r="F254" s="8"/>
      <c r="G254" s="8"/>
      <c r="H254" s="8"/>
      <c r="I254" s="8"/>
      <c r="J254" s="8"/>
      <c r="K254" s="8"/>
      <c r="L254" s="8"/>
      <c r="M254" s="8"/>
      <c r="N254" s="8"/>
    </row>
    <row r="255" customFormat="false" ht="15" hidden="false" customHeight="true" outlineLevel="0" collapsed="false">
      <c r="A255" s="8"/>
      <c r="B255" s="8"/>
      <c r="C255" s="8"/>
      <c r="D255" s="8"/>
      <c r="E255" s="8"/>
      <c r="F255" s="8"/>
      <c r="G255" s="8"/>
      <c r="H255" s="8"/>
      <c r="I255" s="8"/>
      <c r="J255" s="8"/>
      <c r="K255" s="8"/>
      <c r="L255" s="8"/>
      <c r="M255" s="8"/>
      <c r="N255" s="8"/>
    </row>
    <row r="256" customFormat="false" ht="15" hidden="false" customHeight="true" outlineLevel="0" collapsed="false">
      <c r="A256" s="8"/>
      <c r="B256" s="8"/>
      <c r="C256" s="8"/>
      <c r="D256" s="8"/>
      <c r="E256" s="8"/>
      <c r="F256" s="8"/>
      <c r="G256" s="8"/>
      <c r="H256" s="8"/>
      <c r="I256" s="8"/>
      <c r="J256" s="8"/>
      <c r="K256" s="8"/>
      <c r="L256" s="8"/>
      <c r="M256" s="8"/>
      <c r="N256" s="8"/>
    </row>
    <row r="257" customFormat="false" ht="15" hidden="false" customHeight="true" outlineLevel="0" collapsed="false">
      <c r="A257" s="8"/>
      <c r="B257" s="8"/>
      <c r="C257" s="8"/>
      <c r="D257" s="8"/>
      <c r="E257" s="8"/>
      <c r="F257" s="8"/>
      <c r="G257" s="8"/>
      <c r="H257" s="8"/>
      <c r="I257" s="8"/>
      <c r="J257" s="8"/>
      <c r="K257" s="8"/>
      <c r="L257" s="8"/>
      <c r="M257" s="8"/>
      <c r="N257" s="8"/>
    </row>
    <row r="258" customFormat="false" ht="15" hidden="false" customHeight="true" outlineLevel="0" collapsed="false">
      <c r="A258" s="8"/>
      <c r="B258" s="8"/>
      <c r="C258" s="8"/>
      <c r="D258" s="8"/>
      <c r="E258" s="8"/>
      <c r="F258" s="8"/>
      <c r="G258" s="8"/>
      <c r="H258" s="8"/>
      <c r="I258" s="8"/>
      <c r="J258" s="8"/>
      <c r="K258" s="8"/>
      <c r="L258" s="8"/>
      <c r="M258" s="8"/>
      <c r="N258" s="8"/>
    </row>
    <row r="259" customFormat="false" ht="15" hidden="false" customHeight="true" outlineLevel="0" collapsed="false">
      <c r="A259" s="8"/>
      <c r="B259" s="8"/>
      <c r="C259" s="8"/>
      <c r="D259" s="8"/>
      <c r="E259" s="8"/>
      <c r="F259" s="8"/>
      <c r="G259" s="8"/>
      <c r="H259" s="8"/>
      <c r="I259" s="8"/>
      <c r="J259" s="8"/>
      <c r="K259" s="8"/>
      <c r="L259" s="8"/>
      <c r="M259" s="8"/>
      <c r="N259" s="8"/>
    </row>
    <row r="260" customFormat="false" ht="15" hidden="false" customHeight="true" outlineLevel="0" collapsed="false">
      <c r="A260" s="8"/>
      <c r="B260" s="8"/>
      <c r="C260" s="8"/>
      <c r="D260" s="8"/>
      <c r="E260" s="8"/>
      <c r="F260" s="8"/>
      <c r="G260" s="8"/>
      <c r="H260" s="8"/>
      <c r="I260" s="8"/>
      <c r="J260" s="8"/>
      <c r="K260" s="8"/>
      <c r="L260" s="8"/>
      <c r="M260" s="8"/>
      <c r="N260" s="8"/>
    </row>
    <row r="261" customFormat="false" ht="15" hidden="false" customHeight="true" outlineLevel="0" collapsed="false">
      <c r="A261" s="8"/>
      <c r="B261" s="8"/>
      <c r="C261" s="8"/>
      <c r="D261" s="8"/>
      <c r="E261" s="8"/>
      <c r="F261" s="8"/>
      <c r="G261" s="8"/>
      <c r="H261" s="8"/>
      <c r="I261" s="8"/>
      <c r="J261" s="8"/>
      <c r="K261" s="8"/>
      <c r="L261" s="8"/>
      <c r="M261" s="8"/>
      <c r="N261" s="8"/>
    </row>
    <row r="262" customFormat="false" ht="15" hidden="false" customHeight="true" outlineLevel="0" collapsed="false">
      <c r="A262" s="8"/>
      <c r="B262" s="8"/>
      <c r="C262" s="8"/>
      <c r="D262" s="8"/>
      <c r="E262" s="8"/>
      <c r="F262" s="8"/>
      <c r="G262" s="8"/>
      <c r="H262" s="8"/>
      <c r="I262" s="8"/>
      <c r="J262" s="8"/>
      <c r="K262" s="8"/>
      <c r="L262" s="8"/>
      <c r="M262" s="8"/>
      <c r="N262" s="8"/>
    </row>
    <row r="263" customFormat="false" ht="15" hidden="false" customHeight="true" outlineLevel="0" collapsed="false">
      <c r="A263" s="8"/>
      <c r="B263" s="8"/>
      <c r="C263" s="8"/>
      <c r="D263" s="8"/>
      <c r="E263" s="8"/>
      <c r="F263" s="8"/>
      <c r="G263" s="8"/>
      <c r="H263" s="8"/>
      <c r="I263" s="8"/>
      <c r="J263" s="8"/>
      <c r="K263" s="8"/>
      <c r="L263" s="8"/>
      <c r="M263" s="8"/>
      <c r="N263" s="8"/>
    </row>
    <row r="264" customFormat="false" ht="15" hidden="false" customHeight="true" outlineLevel="0" collapsed="false">
      <c r="A264" s="8"/>
      <c r="B264" s="8"/>
      <c r="C264" s="8"/>
      <c r="D264" s="8"/>
      <c r="E264" s="8"/>
      <c r="F264" s="8"/>
      <c r="G264" s="8"/>
      <c r="H264" s="8"/>
      <c r="I264" s="8"/>
      <c r="J264" s="8"/>
      <c r="K264" s="8"/>
      <c r="L264" s="8"/>
      <c r="M264" s="8"/>
      <c r="N264" s="8"/>
    </row>
    <row r="265" customFormat="false" ht="15" hidden="false" customHeight="true" outlineLevel="0" collapsed="false">
      <c r="A265" s="8"/>
      <c r="B265" s="8"/>
      <c r="C265" s="8"/>
      <c r="D265" s="8"/>
      <c r="E265" s="8"/>
      <c r="F265" s="8"/>
      <c r="G265" s="8"/>
      <c r="H265" s="8"/>
      <c r="I265" s="8"/>
      <c r="J265" s="8"/>
      <c r="K265" s="8"/>
      <c r="L265" s="8"/>
      <c r="M265" s="8"/>
      <c r="N265" s="8"/>
    </row>
    <row r="266" customFormat="false" ht="15" hidden="false" customHeight="true" outlineLevel="0" collapsed="false">
      <c r="A266" s="8"/>
      <c r="B266" s="8"/>
      <c r="C266" s="8"/>
      <c r="D266" s="8"/>
      <c r="E266" s="8"/>
      <c r="F266" s="8"/>
      <c r="G266" s="8"/>
      <c r="H266" s="8"/>
      <c r="I266" s="8"/>
      <c r="J266" s="8"/>
      <c r="K266" s="8"/>
      <c r="L266" s="8"/>
      <c r="M266" s="8"/>
      <c r="N266" s="8"/>
    </row>
    <row r="267" customFormat="false" ht="15" hidden="false" customHeight="true" outlineLevel="0" collapsed="false">
      <c r="A267" s="8"/>
      <c r="B267" s="8"/>
      <c r="C267" s="8"/>
      <c r="D267" s="8"/>
      <c r="E267" s="8"/>
      <c r="F267" s="8"/>
      <c r="G267" s="8"/>
      <c r="H267" s="8"/>
      <c r="I267" s="8"/>
      <c r="J267" s="8"/>
      <c r="K267" s="8"/>
      <c r="L267" s="8"/>
      <c r="M267" s="8"/>
      <c r="N267" s="8"/>
    </row>
    <row r="268" customFormat="false" ht="15" hidden="false" customHeight="true" outlineLevel="0" collapsed="false">
      <c r="A268" s="8"/>
      <c r="B268" s="8"/>
      <c r="C268" s="8"/>
      <c r="D268" s="8"/>
      <c r="E268" s="8"/>
      <c r="F268" s="8"/>
      <c r="G268" s="8"/>
      <c r="H268" s="8"/>
      <c r="I268" s="8"/>
      <c r="J268" s="8"/>
      <c r="K268" s="8"/>
      <c r="L268" s="8"/>
      <c r="M268" s="8"/>
      <c r="N268" s="8"/>
    </row>
    <row r="269" customFormat="false" ht="15" hidden="false" customHeight="true" outlineLevel="0" collapsed="false">
      <c r="A269" s="8"/>
      <c r="B269" s="8"/>
      <c r="C269" s="8"/>
      <c r="D269" s="8"/>
      <c r="E269" s="8"/>
      <c r="F269" s="8"/>
      <c r="G269" s="8"/>
      <c r="H269" s="8"/>
      <c r="I269" s="8"/>
      <c r="J269" s="8"/>
      <c r="K269" s="8"/>
      <c r="L269" s="8"/>
      <c r="M269" s="8"/>
      <c r="N269" s="8"/>
    </row>
    <row r="270" customFormat="false" ht="15" hidden="false" customHeight="true" outlineLevel="0" collapsed="false">
      <c r="A270" s="8"/>
      <c r="B270" s="8"/>
      <c r="C270" s="8"/>
      <c r="D270" s="8"/>
      <c r="E270" s="8"/>
      <c r="F270" s="8"/>
      <c r="G270" s="8"/>
      <c r="H270" s="8"/>
      <c r="I270" s="8"/>
      <c r="J270" s="8"/>
      <c r="K270" s="8"/>
      <c r="L270" s="8"/>
      <c r="M270" s="8"/>
      <c r="N270" s="8"/>
    </row>
    <row r="271" customFormat="false" ht="15" hidden="false" customHeight="true" outlineLevel="0" collapsed="false">
      <c r="A271" s="8"/>
      <c r="B271" s="8"/>
      <c r="C271" s="8"/>
      <c r="D271" s="8"/>
      <c r="E271" s="8"/>
      <c r="F271" s="8"/>
      <c r="G271" s="8"/>
      <c r="H271" s="8"/>
      <c r="I271" s="8"/>
      <c r="J271" s="8"/>
      <c r="K271" s="8"/>
      <c r="L271" s="8"/>
      <c r="M271" s="8"/>
      <c r="N271" s="8"/>
    </row>
    <row r="272" customFormat="false" ht="15" hidden="false" customHeight="true" outlineLevel="0" collapsed="false">
      <c r="A272" s="8"/>
      <c r="B272" s="8"/>
      <c r="C272" s="8"/>
      <c r="D272" s="8"/>
      <c r="E272" s="8"/>
      <c r="F272" s="8"/>
      <c r="G272" s="8"/>
      <c r="H272" s="8"/>
      <c r="I272" s="8"/>
      <c r="J272" s="8"/>
      <c r="K272" s="8"/>
      <c r="L272" s="8"/>
      <c r="M272" s="8"/>
      <c r="N272" s="8"/>
    </row>
    <row r="273" customFormat="false" ht="15" hidden="false" customHeight="true" outlineLevel="0" collapsed="false">
      <c r="A273" s="8"/>
      <c r="B273" s="8"/>
      <c r="C273" s="8"/>
      <c r="D273" s="8"/>
      <c r="E273" s="8"/>
      <c r="F273" s="8"/>
      <c r="G273" s="8"/>
      <c r="H273" s="8"/>
      <c r="I273" s="8"/>
      <c r="J273" s="8"/>
      <c r="K273" s="8"/>
      <c r="L273" s="8"/>
      <c r="M273" s="8"/>
      <c r="N273" s="8"/>
    </row>
    <row r="274" customFormat="false" ht="15" hidden="false" customHeight="true" outlineLevel="0" collapsed="false">
      <c r="A274" s="8"/>
      <c r="B274" s="8"/>
      <c r="C274" s="8"/>
      <c r="D274" s="8"/>
      <c r="E274" s="8"/>
      <c r="F274" s="8"/>
      <c r="G274" s="8"/>
      <c r="H274" s="8"/>
      <c r="I274" s="8"/>
      <c r="J274" s="8"/>
      <c r="K274" s="8"/>
      <c r="L274" s="8"/>
      <c r="M274" s="8"/>
      <c r="N274" s="8"/>
    </row>
    <row r="275" customFormat="false" ht="15" hidden="false" customHeight="true" outlineLevel="0" collapsed="false">
      <c r="A275" s="8"/>
      <c r="B275" s="8"/>
      <c r="C275" s="8"/>
      <c r="D275" s="8"/>
      <c r="E275" s="8"/>
      <c r="F275" s="8"/>
      <c r="G275" s="8"/>
      <c r="H275" s="8"/>
      <c r="I275" s="8"/>
      <c r="J275" s="8"/>
      <c r="K275" s="8"/>
      <c r="L275" s="8"/>
      <c r="M275" s="8"/>
      <c r="N275" s="8"/>
    </row>
    <row r="276" customFormat="false" ht="15" hidden="false" customHeight="true" outlineLevel="0" collapsed="false">
      <c r="A276" s="8"/>
      <c r="B276" s="8"/>
      <c r="C276" s="8"/>
      <c r="D276" s="8"/>
      <c r="E276" s="8"/>
      <c r="F276" s="8"/>
      <c r="G276" s="8"/>
      <c r="H276" s="8"/>
      <c r="I276" s="8"/>
      <c r="J276" s="8"/>
      <c r="K276" s="8"/>
      <c r="L276" s="8"/>
      <c r="M276" s="8"/>
      <c r="N276" s="8"/>
    </row>
    <row r="277" customFormat="false" ht="15" hidden="false" customHeight="true" outlineLevel="0" collapsed="false">
      <c r="A277" s="8"/>
      <c r="B277" s="8"/>
      <c r="C277" s="8"/>
      <c r="D277" s="8"/>
      <c r="E277" s="8"/>
      <c r="F277" s="8"/>
      <c r="G277" s="8"/>
      <c r="H277" s="8"/>
      <c r="I277" s="8"/>
      <c r="J277" s="8"/>
      <c r="K277" s="8"/>
      <c r="L277" s="8"/>
      <c r="M277" s="8"/>
      <c r="N277" s="8"/>
    </row>
    <row r="278" customFormat="false" ht="15" hidden="false" customHeight="true" outlineLevel="0" collapsed="false">
      <c r="A278" s="8"/>
      <c r="B278" s="8"/>
      <c r="C278" s="8"/>
      <c r="D278" s="8"/>
      <c r="E278" s="8"/>
      <c r="F278" s="8"/>
      <c r="G278" s="8"/>
      <c r="H278" s="8"/>
      <c r="I278" s="8"/>
      <c r="J278" s="8"/>
      <c r="K278" s="8"/>
      <c r="L278" s="8"/>
      <c r="M278" s="8"/>
      <c r="N278" s="8"/>
    </row>
    <row r="279" customFormat="false" ht="15" hidden="false" customHeight="true" outlineLevel="0" collapsed="false">
      <c r="A279" s="8"/>
      <c r="B279" s="8"/>
      <c r="C279" s="8"/>
      <c r="D279" s="8"/>
      <c r="E279" s="8"/>
      <c r="F279" s="8"/>
      <c r="G279" s="8"/>
      <c r="H279" s="8"/>
      <c r="I279" s="8"/>
      <c r="J279" s="8"/>
      <c r="K279" s="8"/>
      <c r="L279" s="8"/>
      <c r="M279" s="8"/>
      <c r="N279" s="8"/>
    </row>
    <row r="280" customFormat="false" ht="15" hidden="false" customHeight="true" outlineLevel="0" collapsed="false">
      <c r="A280" s="8"/>
      <c r="B280" s="8"/>
      <c r="C280" s="8"/>
      <c r="D280" s="8"/>
      <c r="E280" s="8"/>
      <c r="F280" s="8"/>
      <c r="G280" s="8"/>
      <c r="H280" s="8"/>
      <c r="I280" s="8"/>
      <c r="J280" s="8"/>
      <c r="K280" s="8"/>
      <c r="L280" s="8"/>
      <c r="M280" s="8"/>
      <c r="N280" s="8"/>
    </row>
    <row r="281" customFormat="false" ht="15" hidden="false" customHeight="true" outlineLevel="0" collapsed="false">
      <c r="A281" s="8"/>
      <c r="B281" s="8"/>
      <c r="C281" s="8"/>
      <c r="D281" s="8"/>
      <c r="E281" s="8"/>
      <c r="F281" s="8"/>
      <c r="G281" s="8"/>
      <c r="H281" s="8"/>
      <c r="I281" s="8"/>
      <c r="J281" s="8"/>
      <c r="K281" s="8"/>
      <c r="L281" s="8"/>
      <c r="M281" s="8"/>
      <c r="N281" s="8"/>
    </row>
    <row r="282" customFormat="false" ht="15" hidden="false" customHeight="true" outlineLevel="0" collapsed="false">
      <c r="A282" s="8"/>
      <c r="B282" s="8"/>
      <c r="C282" s="8"/>
      <c r="D282" s="8"/>
      <c r="E282" s="8"/>
      <c r="F282" s="8"/>
      <c r="G282" s="8"/>
      <c r="H282" s="8"/>
      <c r="I282" s="8"/>
      <c r="J282" s="8"/>
      <c r="K282" s="8"/>
      <c r="L282" s="8"/>
      <c r="M282" s="8"/>
      <c r="N282" s="8"/>
    </row>
    <row r="283" customFormat="false" ht="15" hidden="false" customHeight="true" outlineLevel="0" collapsed="false">
      <c r="A283" s="8"/>
      <c r="B283" s="8"/>
      <c r="C283" s="8"/>
      <c r="D283" s="8"/>
      <c r="E283" s="8"/>
      <c r="F283" s="8"/>
      <c r="G283" s="8"/>
      <c r="H283" s="8"/>
      <c r="I283" s="8"/>
      <c r="J283" s="8"/>
      <c r="K283" s="8"/>
      <c r="L283" s="8"/>
      <c r="M283" s="8"/>
      <c r="N283" s="8"/>
    </row>
    <row r="284" customFormat="false" ht="15" hidden="false" customHeight="true" outlineLevel="0" collapsed="false">
      <c r="A284" s="8"/>
      <c r="B284" s="8"/>
      <c r="C284" s="8"/>
      <c r="D284" s="8"/>
      <c r="E284" s="8"/>
      <c r="F284" s="8"/>
      <c r="G284" s="8"/>
      <c r="H284" s="8"/>
      <c r="I284" s="8"/>
      <c r="J284" s="8"/>
      <c r="K284" s="8"/>
      <c r="L284" s="8"/>
      <c r="M284" s="8"/>
      <c r="N284" s="8"/>
    </row>
    <row r="285" customFormat="false" ht="15" hidden="false" customHeight="true" outlineLevel="0" collapsed="false">
      <c r="A285" s="8"/>
      <c r="B285" s="8"/>
      <c r="C285" s="8"/>
      <c r="D285" s="8"/>
      <c r="E285" s="8"/>
      <c r="F285" s="8"/>
      <c r="G285" s="8"/>
      <c r="H285" s="8"/>
      <c r="I285" s="8"/>
      <c r="J285" s="8"/>
      <c r="K285" s="8"/>
      <c r="L285" s="8"/>
      <c r="M285" s="8"/>
      <c r="N285" s="8"/>
    </row>
    <row r="286" customFormat="false" ht="15" hidden="false" customHeight="true" outlineLevel="0" collapsed="false">
      <c r="A286" s="8"/>
      <c r="B286" s="8"/>
      <c r="C286" s="8"/>
      <c r="D286" s="8"/>
      <c r="E286" s="8"/>
      <c r="F286" s="8"/>
      <c r="G286" s="8"/>
      <c r="H286" s="8"/>
      <c r="I286" s="8"/>
      <c r="J286" s="8"/>
      <c r="K286" s="8"/>
      <c r="L286" s="8"/>
      <c r="M286" s="8"/>
      <c r="N286" s="8"/>
    </row>
    <row r="287" customFormat="false" ht="15" hidden="false" customHeight="true" outlineLevel="0" collapsed="false">
      <c r="A287" s="8"/>
      <c r="B287" s="8"/>
      <c r="C287" s="8"/>
      <c r="D287" s="8"/>
      <c r="E287" s="8"/>
      <c r="F287" s="8"/>
      <c r="G287" s="8"/>
      <c r="H287" s="8"/>
      <c r="I287" s="8"/>
      <c r="J287" s="8"/>
      <c r="K287" s="8"/>
      <c r="L287" s="8"/>
      <c r="M287" s="8"/>
      <c r="N287" s="8"/>
    </row>
    <row r="288" customFormat="false" ht="15" hidden="false" customHeight="true" outlineLevel="0" collapsed="false">
      <c r="A288" s="8"/>
      <c r="B288" s="8"/>
      <c r="C288" s="8"/>
      <c r="D288" s="8"/>
      <c r="E288" s="8"/>
      <c r="F288" s="8"/>
      <c r="G288" s="8"/>
      <c r="H288" s="8"/>
      <c r="I288" s="8"/>
      <c r="J288" s="8"/>
      <c r="K288" s="8"/>
      <c r="L288" s="8"/>
      <c r="M288" s="8"/>
      <c r="N288" s="8"/>
    </row>
    <row r="289" customFormat="false" ht="15" hidden="false" customHeight="true" outlineLevel="0" collapsed="false">
      <c r="A289" s="8"/>
      <c r="B289" s="8"/>
      <c r="C289" s="8"/>
      <c r="D289" s="8"/>
      <c r="E289" s="8"/>
      <c r="F289" s="8"/>
      <c r="G289" s="8"/>
      <c r="H289" s="8"/>
      <c r="I289" s="8"/>
      <c r="J289" s="8"/>
      <c r="K289" s="8"/>
      <c r="L289" s="8"/>
      <c r="M289" s="8"/>
      <c r="N289" s="8"/>
    </row>
    <row r="290" customFormat="false" ht="15" hidden="false" customHeight="true" outlineLevel="0" collapsed="false">
      <c r="A290" s="8"/>
      <c r="B290" s="8"/>
      <c r="C290" s="8"/>
      <c r="D290" s="8"/>
      <c r="E290" s="8"/>
      <c r="F290" s="8"/>
      <c r="G290" s="8"/>
      <c r="H290" s="8"/>
      <c r="I290" s="8"/>
      <c r="J290" s="8"/>
      <c r="K290" s="8"/>
      <c r="L290" s="8"/>
      <c r="M290" s="8"/>
      <c r="N290" s="8"/>
    </row>
    <row r="291" customFormat="false" ht="15" hidden="false" customHeight="true" outlineLevel="0" collapsed="false">
      <c r="A291" s="8"/>
      <c r="B291" s="8"/>
      <c r="C291" s="8"/>
      <c r="D291" s="8"/>
      <c r="E291" s="8"/>
      <c r="F291" s="8"/>
      <c r="G291" s="8"/>
      <c r="H291" s="8"/>
      <c r="I291" s="8"/>
      <c r="J291" s="8"/>
      <c r="K291" s="8"/>
      <c r="L291" s="8"/>
      <c r="M291" s="8"/>
      <c r="N291" s="8"/>
    </row>
    <row r="292" customFormat="false" ht="15" hidden="false" customHeight="true" outlineLevel="0" collapsed="false">
      <c r="A292" s="8"/>
      <c r="B292" s="8"/>
      <c r="C292" s="8"/>
      <c r="D292" s="8"/>
      <c r="E292" s="8"/>
      <c r="F292" s="8"/>
      <c r="G292" s="8"/>
      <c r="H292" s="8"/>
      <c r="I292" s="8"/>
      <c r="J292" s="8"/>
      <c r="K292" s="8"/>
      <c r="L292" s="8"/>
      <c r="M292" s="8"/>
      <c r="N292" s="8"/>
    </row>
    <row r="293" customFormat="false" ht="15" hidden="false" customHeight="true" outlineLevel="0" collapsed="false">
      <c r="A293" s="8"/>
      <c r="B293" s="8"/>
      <c r="C293" s="8"/>
      <c r="D293" s="8"/>
      <c r="E293" s="8"/>
      <c r="F293" s="8"/>
      <c r="G293" s="8"/>
      <c r="H293" s="8"/>
      <c r="I293" s="8"/>
      <c r="J293" s="8"/>
      <c r="K293" s="8"/>
      <c r="L293" s="8"/>
      <c r="M293" s="8"/>
      <c r="N293" s="8"/>
    </row>
    <row r="294" customFormat="false" ht="15" hidden="false" customHeight="true" outlineLevel="0" collapsed="false">
      <c r="A294" s="8"/>
      <c r="B294" s="8"/>
      <c r="C294" s="8"/>
      <c r="D294" s="8"/>
      <c r="E294" s="8"/>
      <c r="F294" s="8"/>
      <c r="G294" s="8"/>
      <c r="H294" s="8"/>
      <c r="I294" s="8"/>
      <c r="J294" s="8"/>
      <c r="K294" s="8"/>
      <c r="L294" s="8"/>
      <c r="M294" s="8"/>
      <c r="N294" s="8"/>
    </row>
    <row r="295" customFormat="false" ht="15" hidden="false" customHeight="true" outlineLevel="0" collapsed="false">
      <c r="A295" s="8"/>
      <c r="B295" s="8"/>
      <c r="C295" s="8"/>
      <c r="D295" s="8"/>
      <c r="E295" s="8"/>
      <c r="F295" s="8"/>
      <c r="G295" s="8"/>
      <c r="H295" s="8"/>
      <c r="I295" s="8"/>
      <c r="J295" s="8"/>
      <c r="K295" s="8"/>
      <c r="L295" s="8"/>
      <c r="M295" s="8"/>
      <c r="N295" s="8"/>
    </row>
    <row r="296" customFormat="false" ht="15" hidden="false" customHeight="true" outlineLevel="0" collapsed="false">
      <c r="A296" s="8"/>
      <c r="B296" s="8"/>
      <c r="C296" s="8"/>
      <c r="D296" s="8"/>
      <c r="E296" s="8"/>
      <c r="F296" s="8"/>
      <c r="G296" s="8"/>
      <c r="H296" s="8"/>
      <c r="I296" s="8"/>
      <c r="J296" s="8"/>
      <c r="K296" s="8"/>
      <c r="L296" s="8"/>
      <c r="M296" s="8"/>
      <c r="N296" s="8"/>
    </row>
    <row r="297" customFormat="false" ht="15" hidden="false" customHeight="true" outlineLevel="0" collapsed="false">
      <c r="A297" s="8"/>
      <c r="B297" s="8"/>
      <c r="C297" s="8"/>
      <c r="D297" s="8"/>
      <c r="E297" s="8"/>
      <c r="F297" s="8"/>
      <c r="G297" s="8"/>
      <c r="H297" s="8"/>
      <c r="I297" s="8"/>
      <c r="J297" s="8"/>
      <c r="K297" s="8"/>
      <c r="L297" s="8"/>
      <c r="M297" s="8"/>
      <c r="N297" s="8"/>
    </row>
    <row r="298" customFormat="false" ht="15" hidden="false" customHeight="true" outlineLevel="0" collapsed="false">
      <c r="A298" s="8"/>
      <c r="B298" s="8"/>
      <c r="C298" s="8"/>
      <c r="D298" s="8"/>
      <c r="E298" s="8"/>
      <c r="F298" s="8"/>
      <c r="G298" s="8"/>
      <c r="H298" s="8"/>
      <c r="I298" s="8"/>
      <c r="J298" s="8"/>
      <c r="K298" s="8"/>
      <c r="L298" s="8"/>
      <c r="M298" s="8"/>
      <c r="N298" s="8"/>
    </row>
    <row r="299" customFormat="false" ht="15" hidden="false" customHeight="true" outlineLevel="0" collapsed="false">
      <c r="A299" s="8"/>
      <c r="B299" s="8"/>
      <c r="C299" s="8"/>
      <c r="D299" s="8"/>
      <c r="E299" s="8"/>
      <c r="F299" s="8"/>
      <c r="G299" s="8"/>
      <c r="H299" s="8"/>
      <c r="I299" s="8"/>
      <c r="J299" s="8"/>
      <c r="K299" s="8"/>
      <c r="L299" s="8"/>
      <c r="M299" s="8"/>
      <c r="N299" s="8"/>
    </row>
    <row r="300" customFormat="false" ht="15" hidden="false" customHeight="true" outlineLevel="0" collapsed="false">
      <c r="A300" s="8"/>
      <c r="B300" s="8"/>
      <c r="C300" s="8"/>
      <c r="D300" s="8"/>
      <c r="E300" s="8"/>
      <c r="F300" s="8"/>
      <c r="G300" s="8"/>
      <c r="H300" s="8"/>
      <c r="I300" s="8"/>
      <c r="J300" s="8"/>
      <c r="K300" s="8"/>
      <c r="L300" s="8"/>
      <c r="M300" s="8"/>
      <c r="N300" s="8"/>
    </row>
  </sheetData>
  <autoFilter ref="A2:N300"/>
  <mergeCells count="1">
    <mergeCell ref="A1:N1"/>
  </mergeCells>
  <dataValidations count="1">
    <dataValidation allowBlank="true" errorStyle="stop" operator="between" showDropDown="false" showErrorMessage="false" showInputMessage="false" sqref="J3:J300" type="list">
      <formula1>"Lundi,Mardi,Mercredi,Jeudi,Vendredi,Samedi"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8"/>
    <col collapsed="false" customWidth="true" hidden="false" outlineLevel="0" max="2" min="2" style="1" width="25"/>
    <col collapsed="false" customWidth="true" hidden="false" outlineLevel="0" max="4" min="3" style="1" width="24"/>
    <col collapsed="false" customWidth="true" hidden="false" outlineLevel="0" max="5" min="5" style="1" width="14"/>
    <col collapsed="false" customWidth="true" hidden="false" outlineLevel="0" max="6" min="6" style="1" width="23"/>
    <col collapsed="false" customWidth="true" hidden="false" outlineLevel="0" max="7" min="7" style="1" width="17"/>
  </cols>
  <sheetData>
    <row r="1" customFormat="false" ht="30" hidden="false" customHeight="true" outlineLevel="0" collapsed="false">
      <c r="A1" s="2" t="s">
        <v>148</v>
      </c>
      <c r="B1" s="2"/>
      <c r="C1" s="2"/>
      <c r="D1" s="2"/>
      <c r="E1" s="2"/>
      <c r="F1" s="2"/>
      <c r="G1" s="2"/>
    </row>
    <row r="2" customFormat="false" ht="31.5" hidden="false" customHeight="true" outlineLevel="0" collapsed="false">
      <c r="A2" s="7" t="s">
        <v>133</v>
      </c>
      <c r="B2" s="7" t="s">
        <v>149</v>
      </c>
      <c r="C2" s="7" t="s">
        <v>150</v>
      </c>
      <c r="D2" s="7" t="s">
        <v>151</v>
      </c>
      <c r="E2" s="7" t="s">
        <v>152</v>
      </c>
      <c r="F2" s="7" t="s">
        <v>153</v>
      </c>
      <c r="G2" s="7" t="s">
        <v>154</v>
      </c>
    </row>
    <row r="3" customFormat="false" ht="15" hidden="false" customHeight="true" outlineLevel="0" collapsed="false">
      <c r="A3" s="8"/>
      <c r="B3" s="8"/>
      <c r="C3" s="8"/>
      <c r="D3" s="10"/>
      <c r="E3" s="8"/>
      <c r="F3" s="10"/>
      <c r="G3" s="10"/>
    </row>
    <row r="4" customFormat="false" ht="15" hidden="false" customHeight="true" outlineLevel="0" collapsed="false">
      <c r="A4" s="8"/>
      <c r="B4" s="8"/>
      <c r="C4" s="8"/>
      <c r="D4" s="10"/>
      <c r="E4" s="8"/>
      <c r="F4" s="10"/>
      <c r="G4" s="10"/>
    </row>
    <row r="5" customFormat="false" ht="15" hidden="false" customHeight="true" outlineLevel="0" collapsed="false">
      <c r="A5" s="8"/>
      <c r="B5" s="8"/>
      <c r="C5" s="8"/>
      <c r="D5" s="10"/>
      <c r="E5" s="8"/>
      <c r="F5" s="10"/>
      <c r="G5" s="10"/>
    </row>
    <row r="6" customFormat="false" ht="15" hidden="false" customHeight="true" outlineLevel="0" collapsed="false">
      <c r="A6" s="8"/>
      <c r="B6" s="8"/>
      <c r="C6" s="8"/>
      <c r="D6" s="10"/>
      <c r="E6" s="8"/>
      <c r="F6" s="10"/>
      <c r="G6" s="10"/>
    </row>
    <row r="7" customFormat="false" ht="15" hidden="false" customHeight="true" outlineLevel="0" collapsed="false">
      <c r="A7" s="8"/>
      <c r="B7" s="8"/>
      <c r="C7" s="8"/>
      <c r="D7" s="10"/>
      <c r="E7" s="8"/>
      <c r="F7" s="10"/>
      <c r="G7" s="10"/>
    </row>
    <row r="8" customFormat="false" ht="15" hidden="false" customHeight="true" outlineLevel="0" collapsed="false">
      <c r="A8" s="8"/>
      <c r="B8" s="8"/>
      <c r="C8" s="8"/>
      <c r="D8" s="10"/>
      <c r="E8" s="8"/>
      <c r="F8" s="10"/>
      <c r="G8" s="10"/>
    </row>
    <row r="9" customFormat="false" ht="15" hidden="false" customHeight="true" outlineLevel="0" collapsed="false">
      <c r="A9" s="8"/>
      <c r="B9" s="8"/>
      <c r="C9" s="8"/>
      <c r="D9" s="10"/>
      <c r="E9" s="8"/>
      <c r="F9" s="10"/>
      <c r="G9" s="10"/>
    </row>
    <row r="10" customFormat="false" ht="15" hidden="false" customHeight="true" outlineLevel="0" collapsed="false">
      <c r="A10" s="8"/>
      <c r="B10" s="8"/>
      <c r="C10" s="8"/>
      <c r="D10" s="10"/>
      <c r="E10" s="8"/>
      <c r="F10" s="10"/>
      <c r="G10" s="10"/>
    </row>
    <row r="11" customFormat="false" ht="15" hidden="false" customHeight="true" outlineLevel="0" collapsed="false">
      <c r="A11" s="8"/>
      <c r="B11" s="8"/>
      <c r="C11" s="8"/>
      <c r="D11" s="10"/>
      <c r="E11" s="8"/>
      <c r="F11" s="10"/>
      <c r="G11" s="10"/>
    </row>
    <row r="12" customFormat="false" ht="15" hidden="false" customHeight="true" outlineLevel="0" collapsed="false">
      <c r="A12" s="8"/>
      <c r="B12" s="8"/>
      <c r="C12" s="8"/>
      <c r="D12" s="10"/>
      <c r="E12" s="8"/>
      <c r="F12" s="10"/>
      <c r="G12" s="10"/>
    </row>
    <row r="13" customFormat="false" ht="15" hidden="false" customHeight="true" outlineLevel="0" collapsed="false">
      <c r="A13" s="8"/>
      <c r="B13" s="8"/>
      <c r="C13" s="8"/>
      <c r="D13" s="10"/>
      <c r="E13" s="8"/>
      <c r="F13" s="10"/>
      <c r="G13" s="10"/>
    </row>
    <row r="14" customFormat="false" ht="15" hidden="false" customHeight="true" outlineLevel="0" collapsed="false">
      <c r="A14" s="8"/>
      <c r="B14" s="8"/>
      <c r="C14" s="8"/>
      <c r="D14" s="10"/>
      <c r="E14" s="8"/>
      <c r="F14" s="10"/>
      <c r="G14" s="10"/>
    </row>
    <row r="15" customFormat="false" ht="15" hidden="false" customHeight="true" outlineLevel="0" collapsed="false">
      <c r="A15" s="8"/>
      <c r="B15" s="8"/>
      <c r="C15" s="8"/>
      <c r="D15" s="10"/>
      <c r="E15" s="8"/>
      <c r="F15" s="10"/>
      <c r="G15" s="10"/>
    </row>
    <row r="16" customFormat="false" ht="15" hidden="false" customHeight="true" outlineLevel="0" collapsed="false">
      <c r="A16" s="8"/>
      <c r="B16" s="8"/>
      <c r="C16" s="8"/>
      <c r="D16" s="10"/>
      <c r="E16" s="8"/>
      <c r="F16" s="10"/>
      <c r="G16" s="10"/>
    </row>
    <row r="17" customFormat="false" ht="15" hidden="false" customHeight="true" outlineLevel="0" collapsed="false">
      <c r="A17" s="8"/>
      <c r="B17" s="8"/>
      <c r="C17" s="8"/>
      <c r="D17" s="10"/>
      <c r="E17" s="8"/>
      <c r="F17" s="10"/>
      <c r="G17" s="10"/>
    </row>
    <row r="18" customFormat="false" ht="15" hidden="false" customHeight="true" outlineLevel="0" collapsed="false">
      <c r="A18" s="8"/>
      <c r="B18" s="8"/>
      <c r="C18" s="8"/>
      <c r="D18" s="10"/>
      <c r="E18" s="8"/>
      <c r="F18" s="10"/>
      <c r="G18" s="10"/>
    </row>
    <row r="19" customFormat="false" ht="15" hidden="false" customHeight="true" outlineLevel="0" collapsed="false">
      <c r="A19" s="8"/>
      <c r="B19" s="8"/>
      <c r="C19" s="8"/>
      <c r="D19" s="10"/>
      <c r="E19" s="8"/>
      <c r="F19" s="10"/>
      <c r="G19" s="10"/>
    </row>
    <row r="20" customFormat="false" ht="15" hidden="false" customHeight="true" outlineLevel="0" collapsed="false">
      <c r="A20" s="8"/>
      <c r="B20" s="8"/>
      <c r="C20" s="8"/>
      <c r="D20" s="10"/>
      <c r="E20" s="8"/>
      <c r="F20" s="10"/>
      <c r="G20" s="10"/>
    </row>
    <row r="21" customFormat="false" ht="15" hidden="false" customHeight="true" outlineLevel="0" collapsed="false">
      <c r="A21" s="8"/>
      <c r="B21" s="8"/>
      <c r="C21" s="8"/>
      <c r="D21" s="10"/>
      <c r="E21" s="8"/>
      <c r="F21" s="10"/>
      <c r="G21" s="10"/>
    </row>
    <row r="22" customFormat="false" ht="15" hidden="false" customHeight="true" outlineLevel="0" collapsed="false">
      <c r="A22" s="8"/>
      <c r="B22" s="8"/>
      <c r="C22" s="8"/>
      <c r="D22" s="10"/>
      <c r="E22" s="8"/>
      <c r="F22" s="10"/>
      <c r="G22" s="10"/>
    </row>
    <row r="23" customFormat="false" ht="15" hidden="false" customHeight="true" outlineLevel="0" collapsed="false">
      <c r="A23" s="8"/>
      <c r="B23" s="8"/>
      <c r="C23" s="8"/>
      <c r="D23" s="10"/>
      <c r="E23" s="8"/>
      <c r="F23" s="10"/>
      <c r="G23" s="10"/>
    </row>
    <row r="24" customFormat="false" ht="15" hidden="false" customHeight="true" outlineLevel="0" collapsed="false">
      <c r="A24" s="8"/>
      <c r="B24" s="8"/>
      <c r="C24" s="8"/>
      <c r="D24" s="10"/>
      <c r="E24" s="8"/>
      <c r="F24" s="10"/>
      <c r="G24" s="10"/>
    </row>
    <row r="25" customFormat="false" ht="15" hidden="false" customHeight="true" outlineLevel="0" collapsed="false">
      <c r="A25" s="8"/>
      <c r="B25" s="8"/>
      <c r="C25" s="8"/>
      <c r="D25" s="10"/>
      <c r="E25" s="8"/>
      <c r="F25" s="10"/>
      <c r="G25" s="10"/>
    </row>
    <row r="26" customFormat="false" ht="15" hidden="false" customHeight="true" outlineLevel="0" collapsed="false">
      <c r="A26" s="8"/>
      <c r="B26" s="8"/>
      <c r="C26" s="8"/>
      <c r="D26" s="10"/>
      <c r="E26" s="8"/>
      <c r="F26" s="10"/>
      <c r="G26" s="10"/>
    </row>
    <row r="27" customFormat="false" ht="15" hidden="false" customHeight="true" outlineLevel="0" collapsed="false">
      <c r="A27" s="8"/>
      <c r="B27" s="8"/>
      <c r="C27" s="8"/>
      <c r="D27" s="10"/>
      <c r="E27" s="8"/>
      <c r="F27" s="10"/>
      <c r="G27" s="10"/>
    </row>
    <row r="28" customFormat="false" ht="15" hidden="false" customHeight="true" outlineLevel="0" collapsed="false">
      <c r="A28" s="8"/>
      <c r="B28" s="8"/>
      <c r="C28" s="8"/>
      <c r="D28" s="10"/>
      <c r="E28" s="8"/>
      <c r="F28" s="10"/>
      <c r="G28" s="10"/>
    </row>
    <row r="29" customFormat="false" ht="15" hidden="false" customHeight="true" outlineLevel="0" collapsed="false">
      <c r="A29" s="8"/>
      <c r="B29" s="8"/>
      <c r="C29" s="8"/>
      <c r="D29" s="10"/>
      <c r="E29" s="8"/>
      <c r="F29" s="10"/>
      <c r="G29" s="10"/>
    </row>
    <row r="30" customFormat="false" ht="15" hidden="false" customHeight="true" outlineLevel="0" collapsed="false">
      <c r="A30" s="8"/>
      <c r="B30" s="8"/>
      <c r="C30" s="8"/>
      <c r="D30" s="10"/>
      <c r="E30" s="8"/>
      <c r="F30" s="10"/>
      <c r="G30" s="10"/>
    </row>
    <row r="31" customFormat="false" ht="15" hidden="false" customHeight="true" outlineLevel="0" collapsed="false">
      <c r="A31" s="8"/>
      <c r="B31" s="8"/>
      <c r="C31" s="8"/>
      <c r="D31" s="10"/>
      <c r="E31" s="8"/>
      <c r="F31" s="10"/>
      <c r="G31" s="10"/>
    </row>
    <row r="32" customFormat="false" ht="15" hidden="false" customHeight="true" outlineLevel="0" collapsed="false">
      <c r="A32" s="8"/>
      <c r="B32" s="8"/>
      <c r="C32" s="8"/>
      <c r="D32" s="10"/>
      <c r="E32" s="8"/>
      <c r="F32" s="10"/>
      <c r="G32" s="10"/>
    </row>
    <row r="33" customFormat="false" ht="15" hidden="false" customHeight="true" outlineLevel="0" collapsed="false">
      <c r="A33" s="8"/>
      <c r="B33" s="8"/>
      <c r="C33" s="8"/>
      <c r="D33" s="10"/>
      <c r="E33" s="8"/>
      <c r="F33" s="10"/>
      <c r="G33" s="10"/>
    </row>
    <row r="34" customFormat="false" ht="15" hidden="false" customHeight="true" outlineLevel="0" collapsed="false">
      <c r="A34" s="8"/>
      <c r="B34" s="8"/>
      <c r="C34" s="8"/>
      <c r="D34" s="10"/>
      <c r="E34" s="8"/>
      <c r="F34" s="10"/>
      <c r="G34" s="10"/>
    </row>
    <row r="35" customFormat="false" ht="15" hidden="false" customHeight="true" outlineLevel="0" collapsed="false">
      <c r="A35" s="8"/>
      <c r="B35" s="8"/>
      <c r="C35" s="8"/>
      <c r="D35" s="10"/>
      <c r="E35" s="8"/>
      <c r="F35" s="10"/>
      <c r="G35" s="10"/>
    </row>
    <row r="36" customFormat="false" ht="15" hidden="false" customHeight="true" outlineLevel="0" collapsed="false">
      <c r="A36" s="8"/>
      <c r="B36" s="8"/>
      <c r="C36" s="8"/>
      <c r="D36" s="10"/>
      <c r="E36" s="8"/>
      <c r="F36" s="10"/>
      <c r="G36" s="10"/>
    </row>
    <row r="37" customFormat="false" ht="15" hidden="false" customHeight="true" outlineLevel="0" collapsed="false">
      <c r="A37" s="8"/>
      <c r="B37" s="8"/>
      <c r="C37" s="8"/>
      <c r="D37" s="10"/>
      <c r="E37" s="8"/>
      <c r="F37" s="10"/>
      <c r="G37" s="10"/>
    </row>
    <row r="38" customFormat="false" ht="15" hidden="false" customHeight="true" outlineLevel="0" collapsed="false">
      <c r="A38" s="8"/>
      <c r="B38" s="8"/>
      <c r="C38" s="8"/>
      <c r="D38" s="10"/>
      <c r="E38" s="8"/>
      <c r="F38" s="10"/>
      <c r="G38" s="10"/>
    </row>
    <row r="39" customFormat="false" ht="15" hidden="false" customHeight="true" outlineLevel="0" collapsed="false">
      <c r="A39" s="8"/>
      <c r="B39" s="8"/>
      <c r="C39" s="8"/>
      <c r="D39" s="10"/>
      <c r="E39" s="8"/>
      <c r="F39" s="10"/>
      <c r="G39" s="10"/>
    </row>
    <row r="40" customFormat="false" ht="15" hidden="false" customHeight="true" outlineLevel="0" collapsed="false">
      <c r="A40" s="8"/>
      <c r="B40" s="8"/>
      <c r="C40" s="8"/>
      <c r="D40" s="10"/>
      <c r="E40" s="8"/>
      <c r="F40" s="10"/>
      <c r="G40" s="10"/>
    </row>
    <row r="41" customFormat="false" ht="15" hidden="false" customHeight="true" outlineLevel="0" collapsed="false">
      <c r="A41" s="8"/>
      <c r="B41" s="8"/>
      <c r="C41" s="8"/>
      <c r="D41" s="10"/>
      <c r="E41" s="8"/>
      <c r="F41" s="10"/>
      <c r="G41" s="10"/>
    </row>
    <row r="42" customFormat="false" ht="15" hidden="false" customHeight="true" outlineLevel="0" collapsed="false">
      <c r="A42" s="8"/>
      <c r="B42" s="8"/>
      <c r="C42" s="8"/>
      <c r="D42" s="10"/>
      <c r="E42" s="8"/>
      <c r="F42" s="10"/>
      <c r="G42" s="10"/>
    </row>
    <row r="43" customFormat="false" ht="15" hidden="false" customHeight="true" outlineLevel="0" collapsed="false">
      <c r="A43" s="8"/>
      <c r="B43" s="8"/>
      <c r="C43" s="8"/>
      <c r="D43" s="10"/>
      <c r="E43" s="8"/>
      <c r="F43" s="10"/>
      <c r="G43" s="10"/>
    </row>
    <row r="44" customFormat="false" ht="15" hidden="false" customHeight="true" outlineLevel="0" collapsed="false">
      <c r="A44" s="8"/>
      <c r="B44" s="8"/>
      <c r="C44" s="8"/>
      <c r="D44" s="10"/>
      <c r="E44" s="8"/>
      <c r="F44" s="10"/>
      <c r="G44" s="10"/>
    </row>
    <row r="45" customFormat="false" ht="15" hidden="false" customHeight="true" outlineLevel="0" collapsed="false">
      <c r="A45" s="8"/>
      <c r="B45" s="8"/>
      <c r="C45" s="8"/>
      <c r="D45" s="10"/>
      <c r="E45" s="8"/>
      <c r="F45" s="10"/>
      <c r="G45" s="10"/>
    </row>
    <row r="46" customFormat="false" ht="15" hidden="false" customHeight="true" outlineLevel="0" collapsed="false">
      <c r="A46" s="8"/>
      <c r="B46" s="8"/>
      <c r="C46" s="8"/>
      <c r="D46" s="10"/>
      <c r="E46" s="8"/>
      <c r="F46" s="10"/>
      <c r="G46" s="10"/>
    </row>
    <row r="47" customFormat="false" ht="15" hidden="false" customHeight="true" outlineLevel="0" collapsed="false">
      <c r="A47" s="8"/>
      <c r="B47" s="8"/>
      <c r="C47" s="8"/>
      <c r="D47" s="10"/>
      <c r="E47" s="8"/>
      <c r="F47" s="10"/>
      <c r="G47" s="10"/>
    </row>
    <row r="48" customFormat="false" ht="15" hidden="false" customHeight="true" outlineLevel="0" collapsed="false">
      <c r="A48" s="8"/>
      <c r="B48" s="8"/>
      <c r="C48" s="8"/>
      <c r="D48" s="10"/>
      <c r="E48" s="8"/>
      <c r="F48" s="10"/>
      <c r="G48" s="10"/>
    </row>
    <row r="49" customFormat="false" ht="15" hidden="false" customHeight="true" outlineLevel="0" collapsed="false">
      <c r="A49" s="8"/>
      <c r="B49" s="8"/>
      <c r="C49" s="8"/>
      <c r="D49" s="10"/>
      <c r="E49" s="8"/>
      <c r="F49" s="10"/>
      <c r="G49" s="10"/>
    </row>
    <row r="50" customFormat="false" ht="15" hidden="false" customHeight="true" outlineLevel="0" collapsed="false">
      <c r="A50" s="8"/>
      <c r="B50" s="8"/>
      <c r="C50" s="8"/>
      <c r="D50" s="10"/>
      <c r="E50" s="8"/>
      <c r="F50" s="10"/>
      <c r="G50" s="10"/>
    </row>
    <row r="51" customFormat="false" ht="15" hidden="false" customHeight="true" outlineLevel="0" collapsed="false">
      <c r="A51" s="8"/>
      <c r="B51" s="8"/>
      <c r="C51" s="8"/>
      <c r="D51" s="10"/>
      <c r="E51" s="8"/>
      <c r="F51" s="10"/>
      <c r="G51" s="10"/>
    </row>
    <row r="52" customFormat="false" ht="15" hidden="false" customHeight="true" outlineLevel="0" collapsed="false">
      <c r="A52" s="8"/>
      <c r="B52" s="8"/>
      <c r="C52" s="8"/>
      <c r="D52" s="10"/>
      <c r="E52" s="8"/>
      <c r="F52" s="10"/>
      <c r="G52" s="10"/>
    </row>
    <row r="53" customFormat="false" ht="15" hidden="false" customHeight="true" outlineLevel="0" collapsed="false">
      <c r="A53" s="8"/>
      <c r="B53" s="8"/>
      <c r="C53" s="8"/>
      <c r="D53" s="10"/>
      <c r="E53" s="8"/>
      <c r="F53" s="10"/>
      <c r="G53" s="10"/>
    </row>
    <row r="54" customFormat="false" ht="15" hidden="false" customHeight="true" outlineLevel="0" collapsed="false">
      <c r="A54" s="8"/>
      <c r="B54" s="8"/>
      <c r="C54" s="8"/>
      <c r="D54" s="10"/>
      <c r="E54" s="8"/>
      <c r="F54" s="10"/>
      <c r="G54" s="10"/>
    </row>
    <row r="55" customFormat="false" ht="15" hidden="false" customHeight="true" outlineLevel="0" collapsed="false">
      <c r="A55" s="8"/>
      <c r="B55" s="8"/>
      <c r="C55" s="8"/>
      <c r="D55" s="10"/>
      <c r="E55" s="8"/>
      <c r="F55" s="10"/>
      <c r="G55" s="10"/>
    </row>
    <row r="56" customFormat="false" ht="15" hidden="false" customHeight="true" outlineLevel="0" collapsed="false">
      <c r="A56" s="8"/>
      <c r="B56" s="8"/>
      <c r="C56" s="8"/>
      <c r="D56" s="10"/>
      <c r="E56" s="8"/>
      <c r="F56" s="10"/>
      <c r="G56" s="10"/>
    </row>
    <row r="57" customFormat="false" ht="15" hidden="false" customHeight="true" outlineLevel="0" collapsed="false">
      <c r="A57" s="8"/>
      <c r="B57" s="8"/>
      <c r="C57" s="8"/>
      <c r="D57" s="10"/>
      <c r="E57" s="8"/>
      <c r="F57" s="10"/>
      <c r="G57" s="10"/>
    </row>
    <row r="58" customFormat="false" ht="15" hidden="false" customHeight="true" outlineLevel="0" collapsed="false">
      <c r="A58" s="8"/>
      <c r="B58" s="8"/>
      <c r="C58" s="8"/>
      <c r="D58" s="10"/>
      <c r="E58" s="8"/>
      <c r="F58" s="10"/>
      <c r="G58" s="10"/>
    </row>
    <row r="59" customFormat="false" ht="15" hidden="false" customHeight="true" outlineLevel="0" collapsed="false">
      <c r="A59" s="8"/>
      <c r="B59" s="8"/>
      <c r="C59" s="8"/>
      <c r="D59" s="10"/>
      <c r="E59" s="8"/>
      <c r="F59" s="10"/>
      <c r="G59" s="10"/>
    </row>
    <row r="60" customFormat="false" ht="15" hidden="false" customHeight="true" outlineLevel="0" collapsed="false">
      <c r="A60" s="8"/>
      <c r="B60" s="8"/>
      <c r="C60" s="8"/>
      <c r="D60" s="10"/>
      <c r="E60" s="8"/>
      <c r="F60" s="10"/>
      <c r="G60" s="10"/>
    </row>
    <row r="61" customFormat="false" ht="15" hidden="false" customHeight="true" outlineLevel="0" collapsed="false">
      <c r="A61" s="8"/>
      <c r="B61" s="8"/>
      <c r="C61" s="8"/>
      <c r="D61" s="10"/>
      <c r="E61" s="8"/>
      <c r="F61" s="10"/>
      <c r="G61" s="10"/>
    </row>
    <row r="62" customFormat="false" ht="15" hidden="false" customHeight="true" outlineLevel="0" collapsed="false">
      <c r="A62" s="8"/>
      <c r="B62" s="8"/>
      <c r="C62" s="8"/>
      <c r="D62" s="10"/>
      <c r="E62" s="8"/>
      <c r="F62" s="10"/>
      <c r="G62" s="10"/>
    </row>
    <row r="63" customFormat="false" ht="15" hidden="false" customHeight="true" outlineLevel="0" collapsed="false">
      <c r="A63" s="8"/>
      <c r="B63" s="8"/>
      <c r="C63" s="8"/>
      <c r="D63" s="10"/>
      <c r="E63" s="8"/>
      <c r="F63" s="10"/>
      <c r="G63" s="10"/>
    </row>
    <row r="64" customFormat="false" ht="15" hidden="false" customHeight="true" outlineLevel="0" collapsed="false">
      <c r="A64" s="8"/>
      <c r="B64" s="8"/>
      <c r="C64" s="8"/>
      <c r="D64" s="10"/>
      <c r="E64" s="8"/>
      <c r="F64" s="10"/>
      <c r="G64" s="10"/>
    </row>
    <row r="65" customFormat="false" ht="15" hidden="false" customHeight="true" outlineLevel="0" collapsed="false">
      <c r="A65" s="8"/>
      <c r="B65" s="8"/>
      <c r="C65" s="8"/>
      <c r="D65" s="10"/>
      <c r="E65" s="8"/>
      <c r="F65" s="10"/>
      <c r="G65" s="10"/>
    </row>
    <row r="66" customFormat="false" ht="15" hidden="false" customHeight="true" outlineLevel="0" collapsed="false">
      <c r="A66" s="8"/>
      <c r="B66" s="8"/>
      <c r="C66" s="8"/>
      <c r="D66" s="10"/>
      <c r="E66" s="8"/>
      <c r="F66" s="10"/>
      <c r="G66" s="10"/>
    </row>
    <row r="67" customFormat="false" ht="15" hidden="false" customHeight="true" outlineLevel="0" collapsed="false">
      <c r="A67" s="8"/>
      <c r="B67" s="8"/>
      <c r="C67" s="8"/>
      <c r="D67" s="10"/>
      <c r="E67" s="8"/>
      <c r="F67" s="10"/>
      <c r="G67" s="10"/>
    </row>
    <row r="68" customFormat="false" ht="15" hidden="false" customHeight="true" outlineLevel="0" collapsed="false">
      <c r="A68" s="8"/>
      <c r="B68" s="8"/>
      <c r="C68" s="8"/>
      <c r="D68" s="10"/>
      <c r="E68" s="8"/>
      <c r="F68" s="10"/>
      <c r="G68" s="10"/>
    </row>
    <row r="69" customFormat="false" ht="15" hidden="false" customHeight="true" outlineLevel="0" collapsed="false">
      <c r="A69" s="8"/>
      <c r="B69" s="8"/>
      <c r="C69" s="8"/>
      <c r="D69" s="10"/>
      <c r="E69" s="8"/>
      <c r="F69" s="10"/>
      <c r="G69" s="10"/>
    </row>
    <row r="70" customFormat="false" ht="15" hidden="false" customHeight="true" outlineLevel="0" collapsed="false">
      <c r="A70" s="8"/>
      <c r="B70" s="8"/>
      <c r="C70" s="8"/>
      <c r="D70" s="10"/>
      <c r="E70" s="8"/>
      <c r="F70" s="10"/>
      <c r="G70" s="10"/>
    </row>
    <row r="71" customFormat="false" ht="15" hidden="false" customHeight="true" outlineLevel="0" collapsed="false">
      <c r="A71" s="8"/>
      <c r="B71" s="8"/>
      <c r="C71" s="8"/>
      <c r="D71" s="10"/>
      <c r="E71" s="8"/>
      <c r="F71" s="10"/>
      <c r="G71" s="10"/>
    </row>
    <row r="72" customFormat="false" ht="15" hidden="false" customHeight="true" outlineLevel="0" collapsed="false">
      <c r="A72" s="8"/>
      <c r="B72" s="8"/>
      <c r="C72" s="8"/>
      <c r="D72" s="10"/>
      <c r="E72" s="8"/>
      <c r="F72" s="10"/>
      <c r="G72" s="10"/>
    </row>
    <row r="73" customFormat="false" ht="15" hidden="false" customHeight="true" outlineLevel="0" collapsed="false">
      <c r="A73" s="8"/>
      <c r="B73" s="8"/>
      <c r="C73" s="8"/>
      <c r="D73" s="10"/>
      <c r="E73" s="8"/>
      <c r="F73" s="10"/>
      <c r="G73" s="10"/>
    </row>
    <row r="74" customFormat="false" ht="15" hidden="false" customHeight="true" outlineLevel="0" collapsed="false">
      <c r="A74" s="8"/>
      <c r="B74" s="8"/>
      <c r="C74" s="8"/>
      <c r="D74" s="10"/>
      <c r="E74" s="8"/>
      <c r="F74" s="10"/>
      <c r="G74" s="10"/>
    </row>
    <row r="75" customFormat="false" ht="15" hidden="false" customHeight="true" outlineLevel="0" collapsed="false">
      <c r="A75" s="8"/>
      <c r="B75" s="8"/>
      <c r="C75" s="8"/>
      <c r="D75" s="10"/>
      <c r="E75" s="8"/>
      <c r="F75" s="10"/>
      <c r="G75" s="10"/>
    </row>
    <row r="76" customFormat="false" ht="15" hidden="false" customHeight="true" outlineLevel="0" collapsed="false">
      <c r="A76" s="8"/>
      <c r="B76" s="8"/>
      <c r="C76" s="8"/>
      <c r="D76" s="10"/>
      <c r="E76" s="8"/>
      <c r="F76" s="10"/>
      <c r="G76" s="10"/>
    </row>
    <row r="77" customFormat="false" ht="15" hidden="false" customHeight="true" outlineLevel="0" collapsed="false">
      <c r="A77" s="8"/>
      <c r="B77" s="8"/>
      <c r="C77" s="8"/>
      <c r="D77" s="10"/>
      <c r="E77" s="8"/>
      <c r="F77" s="10"/>
      <c r="G77" s="10"/>
    </row>
    <row r="78" customFormat="false" ht="15" hidden="false" customHeight="true" outlineLevel="0" collapsed="false">
      <c r="A78" s="8"/>
      <c r="B78" s="8"/>
      <c r="C78" s="8"/>
      <c r="D78" s="10"/>
      <c r="E78" s="8"/>
      <c r="F78" s="10"/>
      <c r="G78" s="10"/>
    </row>
    <row r="79" customFormat="false" ht="15" hidden="false" customHeight="true" outlineLevel="0" collapsed="false">
      <c r="A79" s="8"/>
      <c r="B79" s="8"/>
      <c r="C79" s="8"/>
      <c r="D79" s="10"/>
      <c r="E79" s="8"/>
      <c r="F79" s="10"/>
      <c r="G79" s="10"/>
    </row>
    <row r="80" customFormat="false" ht="15" hidden="false" customHeight="true" outlineLevel="0" collapsed="false">
      <c r="A80" s="8"/>
      <c r="B80" s="8"/>
      <c r="C80" s="8"/>
      <c r="D80" s="10"/>
      <c r="E80" s="8"/>
      <c r="F80" s="10"/>
      <c r="G80" s="10"/>
    </row>
    <row r="81" customFormat="false" ht="15" hidden="false" customHeight="true" outlineLevel="0" collapsed="false">
      <c r="A81" s="8"/>
      <c r="B81" s="8"/>
      <c r="C81" s="8"/>
      <c r="D81" s="10"/>
      <c r="E81" s="8"/>
      <c r="F81" s="10"/>
      <c r="G81" s="10"/>
    </row>
    <row r="82" customFormat="false" ht="15" hidden="false" customHeight="true" outlineLevel="0" collapsed="false">
      <c r="A82" s="8"/>
      <c r="B82" s="8"/>
      <c r="C82" s="8"/>
      <c r="D82" s="10"/>
      <c r="E82" s="8"/>
      <c r="F82" s="10"/>
      <c r="G82" s="10"/>
    </row>
    <row r="83" customFormat="false" ht="15" hidden="false" customHeight="true" outlineLevel="0" collapsed="false">
      <c r="A83" s="8"/>
      <c r="B83" s="8"/>
      <c r="C83" s="8"/>
      <c r="D83" s="10"/>
      <c r="E83" s="8"/>
      <c r="F83" s="10"/>
      <c r="G83" s="10"/>
    </row>
    <row r="84" customFormat="false" ht="15" hidden="false" customHeight="true" outlineLevel="0" collapsed="false">
      <c r="A84" s="8"/>
      <c r="B84" s="8"/>
      <c r="C84" s="8"/>
      <c r="D84" s="10"/>
      <c r="E84" s="8"/>
      <c r="F84" s="10"/>
      <c r="G84" s="10"/>
    </row>
    <row r="85" customFormat="false" ht="15" hidden="false" customHeight="true" outlineLevel="0" collapsed="false">
      <c r="A85" s="8"/>
      <c r="B85" s="8"/>
      <c r="C85" s="8"/>
      <c r="D85" s="10"/>
      <c r="E85" s="8"/>
      <c r="F85" s="10"/>
      <c r="G85" s="10"/>
    </row>
    <row r="86" customFormat="false" ht="15" hidden="false" customHeight="true" outlineLevel="0" collapsed="false">
      <c r="A86" s="8"/>
      <c r="B86" s="8"/>
      <c r="C86" s="8"/>
      <c r="D86" s="10"/>
      <c r="E86" s="8"/>
      <c r="F86" s="10"/>
      <c r="G86" s="10"/>
    </row>
    <row r="87" customFormat="false" ht="15" hidden="false" customHeight="true" outlineLevel="0" collapsed="false">
      <c r="A87" s="8"/>
      <c r="B87" s="8"/>
      <c r="C87" s="8"/>
      <c r="D87" s="10"/>
      <c r="E87" s="8"/>
      <c r="F87" s="10"/>
      <c r="G87" s="10"/>
    </row>
    <row r="88" customFormat="false" ht="15" hidden="false" customHeight="true" outlineLevel="0" collapsed="false">
      <c r="A88" s="8"/>
      <c r="B88" s="8"/>
      <c r="C88" s="8"/>
      <c r="D88" s="10"/>
      <c r="E88" s="8"/>
      <c r="F88" s="10"/>
      <c r="G88" s="10"/>
    </row>
    <row r="89" customFormat="false" ht="15" hidden="false" customHeight="true" outlineLevel="0" collapsed="false">
      <c r="A89" s="8"/>
      <c r="B89" s="8"/>
      <c r="C89" s="8"/>
      <c r="D89" s="10"/>
      <c r="E89" s="8"/>
      <c r="F89" s="10"/>
      <c r="G89" s="10"/>
    </row>
    <row r="90" customFormat="false" ht="15" hidden="false" customHeight="true" outlineLevel="0" collapsed="false">
      <c r="A90" s="8"/>
      <c r="B90" s="8"/>
      <c r="C90" s="8"/>
      <c r="D90" s="10"/>
      <c r="E90" s="8"/>
      <c r="F90" s="10"/>
      <c r="G90" s="10"/>
    </row>
    <row r="91" customFormat="false" ht="15" hidden="false" customHeight="true" outlineLevel="0" collapsed="false">
      <c r="A91" s="8"/>
      <c r="B91" s="8"/>
      <c r="C91" s="8"/>
      <c r="D91" s="10"/>
      <c r="E91" s="8"/>
      <c r="F91" s="10"/>
      <c r="G91" s="10"/>
    </row>
    <row r="92" customFormat="false" ht="15" hidden="false" customHeight="true" outlineLevel="0" collapsed="false">
      <c r="A92" s="8"/>
      <c r="B92" s="8"/>
      <c r="C92" s="8"/>
      <c r="D92" s="10"/>
      <c r="E92" s="8"/>
      <c r="F92" s="10"/>
      <c r="G92" s="10"/>
    </row>
    <row r="93" customFormat="false" ht="15" hidden="false" customHeight="true" outlineLevel="0" collapsed="false">
      <c r="A93" s="8"/>
      <c r="B93" s="8"/>
      <c r="C93" s="8"/>
      <c r="D93" s="10"/>
      <c r="E93" s="8"/>
      <c r="F93" s="10"/>
      <c r="G93" s="10"/>
    </row>
    <row r="94" customFormat="false" ht="15" hidden="false" customHeight="true" outlineLevel="0" collapsed="false">
      <c r="A94" s="8"/>
      <c r="B94" s="8"/>
      <c r="C94" s="8"/>
      <c r="D94" s="10"/>
      <c r="E94" s="8"/>
      <c r="F94" s="10"/>
      <c r="G94" s="10"/>
    </row>
    <row r="95" customFormat="false" ht="15" hidden="false" customHeight="true" outlineLevel="0" collapsed="false">
      <c r="A95" s="8"/>
      <c r="B95" s="8"/>
      <c r="C95" s="8"/>
      <c r="D95" s="10"/>
      <c r="E95" s="8"/>
      <c r="F95" s="10"/>
      <c r="G95" s="10"/>
    </row>
    <row r="96" customFormat="false" ht="15" hidden="false" customHeight="true" outlineLevel="0" collapsed="false">
      <c r="A96" s="8"/>
      <c r="B96" s="8"/>
      <c r="C96" s="8"/>
      <c r="D96" s="10"/>
      <c r="E96" s="8"/>
      <c r="F96" s="10"/>
      <c r="G96" s="10"/>
    </row>
    <row r="97" customFormat="false" ht="15" hidden="false" customHeight="true" outlineLevel="0" collapsed="false">
      <c r="A97" s="8"/>
      <c r="B97" s="8"/>
      <c r="C97" s="8"/>
      <c r="D97" s="10"/>
      <c r="E97" s="8"/>
      <c r="F97" s="10"/>
      <c r="G97" s="10"/>
    </row>
    <row r="98" customFormat="false" ht="15" hidden="false" customHeight="true" outlineLevel="0" collapsed="false">
      <c r="A98" s="8"/>
      <c r="B98" s="8"/>
      <c r="C98" s="8"/>
      <c r="D98" s="10"/>
      <c r="E98" s="8"/>
      <c r="F98" s="10"/>
      <c r="G98" s="10"/>
    </row>
    <row r="99" customFormat="false" ht="15" hidden="false" customHeight="true" outlineLevel="0" collapsed="false">
      <c r="A99" s="8"/>
      <c r="B99" s="8"/>
      <c r="C99" s="8"/>
      <c r="D99" s="10"/>
      <c r="E99" s="8"/>
      <c r="F99" s="10"/>
      <c r="G99" s="10"/>
    </row>
    <row r="100" customFormat="false" ht="15" hidden="false" customHeight="true" outlineLevel="0" collapsed="false">
      <c r="A100" s="8"/>
      <c r="B100" s="8"/>
      <c r="C100" s="8"/>
      <c r="D100" s="10"/>
      <c r="E100" s="8"/>
      <c r="F100" s="10"/>
      <c r="G100" s="10"/>
    </row>
    <row r="101" customFormat="false" ht="15" hidden="false" customHeight="true" outlineLevel="0" collapsed="false">
      <c r="A101" s="8"/>
      <c r="B101" s="8"/>
      <c r="C101" s="8"/>
      <c r="D101" s="10"/>
      <c r="E101" s="8"/>
      <c r="F101" s="10"/>
      <c r="G101" s="10"/>
    </row>
    <row r="102" customFormat="false" ht="15" hidden="false" customHeight="true" outlineLevel="0" collapsed="false">
      <c r="A102" s="8"/>
      <c r="B102" s="8"/>
      <c r="C102" s="8"/>
      <c r="D102" s="10"/>
      <c r="E102" s="8"/>
      <c r="F102" s="10"/>
      <c r="G102" s="10"/>
    </row>
    <row r="103" customFormat="false" ht="15" hidden="false" customHeight="true" outlineLevel="0" collapsed="false">
      <c r="A103" s="8"/>
      <c r="B103" s="8"/>
      <c r="C103" s="8"/>
      <c r="D103" s="10"/>
      <c r="E103" s="8"/>
      <c r="F103" s="10"/>
      <c r="G103" s="10"/>
    </row>
    <row r="104" customFormat="false" ht="15" hidden="false" customHeight="true" outlineLevel="0" collapsed="false">
      <c r="A104" s="8"/>
      <c r="B104" s="8"/>
      <c r="C104" s="8"/>
      <c r="D104" s="10"/>
      <c r="E104" s="8"/>
      <c r="F104" s="10"/>
      <c r="G104" s="10"/>
    </row>
    <row r="105" customFormat="false" ht="15" hidden="false" customHeight="true" outlineLevel="0" collapsed="false">
      <c r="A105" s="8"/>
      <c r="B105" s="8"/>
      <c r="C105" s="8"/>
      <c r="D105" s="10"/>
      <c r="E105" s="8"/>
      <c r="F105" s="10"/>
      <c r="G105" s="10"/>
    </row>
    <row r="106" customFormat="false" ht="15" hidden="false" customHeight="true" outlineLevel="0" collapsed="false">
      <c r="A106" s="8"/>
      <c r="B106" s="8"/>
      <c r="C106" s="8"/>
      <c r="D106" s="10"/>
      <c r="E106" s="8"/>
      <c r="F106" s="10"/>
      <c r="G106" s="10"/>
    </row>
    <row r="107" customFormat="false" ht="15" hidden="false" customHeight="true" outlineLevel="0" collapsed="false">
      <c r="A107" s="8"/>
      <c r="B107" s="8"/>
      <c r="C107" s="8"/>
      <c r="D107" s="10"/>
      <c r="E107" s="8"/>
      <c r="F107" s="10"/>
      <c r="G107" s="10"/>
    </row>
    <row r="108" customFormat="false" ht="15" hidden="false" customHeight="true" outlineLevel="0" collapsed="false">
      <c r="A108" s="8"/>
      <c r="B108" s="8"/>
      <c r="C108" s="8"/>
      <c r="D108" s="10"/>
      <c r="E108" s="8"/>
      <c r="F108" s="10"/>
      <c r="G108" s="10"/>
    </row>
    <row r="109" customFormat="false" ht="15" hidden="false" customHeight="true" outlineLevel="0" collapsed="false">
      <c r="A109" s="8"/>
      <c r="B109" s="8"/>
      <c r="C109" s="8"/>
      <c r="D109" s="10"/>
      <c r="E109" s="8"/>
      <c r="F109" s="10"/>
      <c r="G109" s="10"/>
    </row>
    <row r="110" customFormat="false" ht="15" hidden="false" customHeight="true" outlineLevel="0" collapsed="false">
      <c r="A110" s="8"/>
      <c r="B110" s="8"/>
      <c r="C110" s="8"/>
      <c r="D110" s="10"/>
      <c r="E110" s="8"/>
      <c r="F110" s="10"/>
      <c r="G110" s="10"/>
    </row>
    <row r="111" customFormat="false" ht="15" hidden="false" customHeight="true" outlineLevel="0" collapsed="false">
      <c r="A111" s="8"/>
      <c r="B111" s="8"/>
      <c r="C111" s="8"/>
      <c r="D111" s="10"/>
      <c r="E111" s="8"/>
      <c r="F111" s="10"/>
      <c r="G111" s="10"/>
    </row>
    <row r="112" customFormat="false" ht="15" hidden="false" customHeight="true" outlineLevel="0" collapsed="false">
      <c r="A112" s="8"/>
      <c r="B112" s="8"/>
      <c r="C112" s="8"/>
      <c r="D112" s="10"/>
      <c r="E112" s="8"/>
      <c r="F112" s="10"/>
      <c r="G112" s="10"/>
    </row>
    <row r="113" customFormat="false" ht="15" hidden="false" customHeight="true" outlineLevel="0" collapsed="false">
      <c r="A113" s="8"/>
      <c r="B113" s="8"/>
      <c r="C113" s="8"/>
      <c r="D113" s="10"/>
      <c r="E113" s="8"/>
      <c r="F113" s="10"/>
      <c r="G113" s="10"/>
    </row>
    <row r="114" customFormat="false" ht="15" hidden="false" customHeight="true" outlineLevel="0" collapsed="false">
      <c r="A114" s="8"/>
      <c r="B114" s="8"/>
      <c r="C114" s="8"/>
      <c r="D114" s="10"/>
      <c r="E114" s="8"/>
      <c r="F114" s="10"/>
      <c r="G114" s="10"/>
    </row>
    <row r="115" customFormat="false" ht="15" hidden="false" customHeight="true" outlineLevel="0" collapsed="false">
      <c r="A115" s="8"/>
      <c r="B115" s="8"/>
      <c r="C115" s="8"/>
      <c r="D115" s="10"/>
      <c r="E115" s="8"/>
      <c r="F115" s="10"/>
      <c r="G115" s="10"/>
    </row>
    <row r="116" customFormat="false" ht="15" hidden="false" customHeight="true" outlineLevel="0" collapsed="false">
      <c r="A116" s="8"/>
      <c r="B116" s="8"/>
      <c r="C116" s="8"/>
      <c r="D116" s="10"/>
      <c r="E116" s="8"/>
      <c r="F116" s="10"/>
      <c r="G116" s="10"/>
    </row>
    <row r="117" customFormat="false" ht="15" hidden="false" customHeight="true" outlineLevel="0" collapsed="false">
      <c r="A117" s="8"/>
      <c r="B117" s="8"/>
      <c r="C117" s="8"/>
      <c r="D117" s="10"/>
      <c r="E117" s="8"/>
      <c r="F117" s="10"/>
      <c r="G117" s="10"/>
    </row>
    <row r="118" customFormat="false" ht="15" hidden="false" customHeight="true" outlineLevel="0" collapsed="false">
      <c r="A118" s="8"/>
      <c r="B118" s="8"/>
      <c r="C118" s="8"/>
      <c r="D118" s="10"/>
      <c r="E118" s="8"/>
      <c r="F118" s="10"/>
      <c r="G118" s="10"/>
    </row>
    <row r="119" customFormat="false" ht="15" hidden="false" customHeight="true" outlineLevel="0" collapsed="false">
      <c r="A119" s="8"/>
      <c r="B119" s="8"/>
      <c r="C119" s="8"/>
      <c r="D119" s="10"/>
      <c r="E119" s="8"/>
      <c r="F119" s="10"/>
      <c r="G119" s="10"/>
    </row>
    <row r="120" customFormat="false" ht="15" hidden="false" customHeight="true" outlineLevel="0" collapsed="false">
      <c r="A120" s="8"/>
      <c r="B120" s="8"/>
      <c r="C120" s="8"/>
      <c r="D120" s="10"/>
      <c r="E120" s="8"/>
      <c r="F120" s="10"/>
      <c r="G120" s="10"/>
    </row>
    <row r="121" customFormat="false" ht="15" hidden="false" customHeight="true" outlineLevel="0" collapsed="false">
      <c r="A121" s="8"/>
      <c r="B121" s="8"/>
      <c r="C121" s="8"/>
      <c r="D121" s="10"/>
      <c r="E121" s="8"/>
      <c r="F121" s="10"/>
      <c r="G121" s="10"/>
    </row>
    <row r="122" customFormat="false" ht="15" hidden="false" customHeight="true" outlineLevel="0" collapsed="false">
      <c r="A122" s="8"/>
      <c r="B122" s="8"/>
      <c r="C122" s="8"/>
      <c r="D122" s="10"/>
      <c r="E122" s="8"/>
      <c r="F122" s="10"/>
      <c r="G122" s="10"/>
    </row>
    <row r="123" customFormat="false" ht="15" hidden="false" customHeight="true" outlineLevel="0" collapsed="false">
      <c r="A123" s="8"/>
      <c r="B123" s="8"/>
      <c r="C123" s="8"/>
      <c r="D123" s="10"/>
      <c r="E123" s="8"/>
      <c r="F123" s="10"/>
      <c r="G123" s="10"/>
    </row>
    <row r="124" customFormat="false" ht="15" hidden="false" customHeight="true" outlineLevel="0" collapsed="false">
      <c r="A124" s="8"/>
      <c r="B124" s="8"/>
      <c r="C124" s="8"/>
      <c r="D124" s="10"/>
      <c r="E124" s="8"/>
      <c r="F124" s="10"/>
      <c r="G124" s="10"/>
    </row>
    <row r="125" customFormat="false" ht="15" hidden="false" customHeight="true" outlineLevel="0" collapsed="false">
      <c r="A125" s="8"/>
      <c r="B125" s="8"/>
      <c r="C125" s="8"/>
      <c r="D125" s="10"/>
      <c r="E125" s="8"/>
      <c r="F125" s="10"/>
      <c r="G125" s="10"/>
    </row>
    <row r="126" customFormat="false" ht="15" hidden="false" customHeight="true" outlineLevel="0" collapsed="false">
      <c r="A126" s="8"/>
      <c r="B126" s="8"/>
      <c r="C126" s="8"/>
      <c r="D126" s="10"/>
      <c r="E126" s="8"/>
      <c r="F126" s="10"/>
      <c r="G126" s="10"/>
    </row>
    <row r="127" customFormat="false" ht="15" hidden="false" customHeight="true" outlineLevel="0" collapsed="false">
      <c r="A127" s="8"/>
      <c r="B127" s="8"/>
      <c r="C127" s="8"/>
      <c r="D127" s="10"/>
      <c r="E127" s="8"/>
      <c r="F127" s="10"/>
      <c r="G127" s="10"/>
    </row>
    <row r="128" customFormat="false" ht="15" hidden="false" customHeight="true" outlineLevel="0" collapsed="false">
      <c r="A128" s="8"/>
      <c r="B128" s="8"/>
      <c r="C128" s="8"/>
      <c r="D128" s="10"/>
      <c r="E128" s="8"/>
      <c r="F128" s="10"/>
      <c r="G128" s="10"/>
    </row>
    <row r="129" customFormat="false" ht="15" hidden="false" customHeight="true" outlineLevel="0" collapsed="false">
      <c r="A129" s="8"/>
      <c r="B129" s="8"/>
      <c r="C129" s="8"/>
      <c r="D129" s="10"/>
      <c r="E129" s="8"/>
      <c r="F129" s="10"/>
      <c r="G129" s="10"/>
    </row>
    <row r="130" customFormat="false" ht="15" hidden="false" customHeight="true" outlineLevel="0" collapsed="false">
      <c r="A130" s="8"/>
      <c r="B130" s="8"/>
      <c r="C130" s="8"/>
      <c r="D130" s="10"/>
      <c r="E130" s="8"/>
      <c r="F130" s="10"/>
      <c r="G130" s="10"/>
    </row>
    <row r="131" customFormat="false" ht="15" hidden="false" customHeight="true" outlineLevel="0" collapsed="false">
      <c r="A131" s="8"/>
      <c r="B131" s="8"/>
      <c r="C131" s="8"/>
      <c r="D131" s="10"/>
      <c r="E131" s="8"/>
      <c r="F131" s="10"/>
      <c r="G131" s="10"/>
    </row>
    <row r="132" customFormat="false" ht="15" hidden="false" customHeight="true" outlineLevel="0" collapsed="false">
      <c r="A132" s="8"/>
      <c r="B132" s="8"/>
      <c r="C132" s="8"/>
      <c r="D132" s="10"/>
      <c r="E132" s="8"/>
      <c r="F132" s="10"/>
      <c r="G132" s="10"/>
    </row>
    <row r="133" customFormat="false" ht="15" hidden="false" customHeight="true" outlineLevel="0" collapsed="false">
      <c r="A133" s="8"/>
      <c r="B133" s="8"/>
      <c r="C133" s="8"/>
      <c r="D133" s="10"/>
      <c r="E133" s="8"/>
      <c r="F133" s="10"/>
      <c r="G133" s="10"/>
    </row>
    <row r="134" customFormat="false" ht="15" hidden="false" customHeight="true" outlineLevel="0" collapsed="false">
      <c r="A134" s="8"/>
      <c r="B134" s="8"/>
      <c r="C134" s="8"/>
      <c r="D134" s="10"/>
      <c r="E134" s="8"/>
      <c r="F134" s="10"/>
      <c r="G134" s="10"/>
    </row>
    <row r="135" customFormat="false" ht="15" hidden="false" customHeight="true" outlineLevel="0" collapsed="false">
      <c r="A135" s="8"/>
      <c r="B135" s="8"/>
      <c r="C135" s="8"/>
      <c r="D135" s="10"/>
      <c r="E135" s="8"/>
      <c r="F135" s="10"/>
      <c r="G135" s="10"/>
    </row>
    <row r="136" customFormat="false" ht="15" hidden="false" customHeight="true" outlineLevel="0" collapsed="false">
      <c r="A136" s="8"/>
      <c r="B136" s="8"/>
      <c r="C136" s="8"/>
      <c r="D136" s="10"/>
      <c r="E136" s="8"/>
      <c r="F136" s="10"/>
      <c r="G136" s="10"/>
    </row>
    <row r="137" customFormat="false" ht="15" hidden="false" customHeight="true" outlineLevel="0" collapsed="false">
      <c r="A137" s="8"/>
      <c r="B137" s="8"/>
      <c r="C137" s="8"/>
      <c r="D137" s="10"/>
      <c r="E137" s="8"/>
      <c r="F137" s="10"/>
      <c r="G137" s="10"/>
    </row>
    <row r="138" customFormat="false" ht="15" hidden="false" customHeight="true" outlineLevel="0" collapsed="false">
      <c r="A138" s="8"/>
      <c r="B138" s="8"/>
      <c r="C138" s="8"/>
      <c r="D138" s="10"/>
      <c r="E138" s="8"/>
      <c r="F138" s="10"/>
      <c r="G138" s="10"/>
    </row>
    <row r="139" customFormat="false" ht="15" hidden="false" customHeight="true" outlineLevel="0" collapsed="false">
      <c r="A139" s="8"/>
      <c r="B139" s="8"/>
      <c r="C139" s="8"/>
      <c r="D139" s="10"/>
      <c r="E139" s="8"/>
      <c r="F139" s="10"/>
      <c r="G139" s="10"/>
    </row>
    <row r="140" customFormat="false" ht="15" hidden="false" customHeight="true" outlineLevel="0" collapsed="false">
      <c r="A140" s="8"/>
      <c r="B140" s="8"/>
      <c r="C140" s="8"/>
      <c r="D140" s="10"/>
      <c r="E140" s="8"/>
      <c r="F140" s="10"/>
      <c r="G140" s="10"/>
    </row>
    <row r="141" customFormat="false" ht="15" hidden="false" customHeight="true" outlineLevel="0" collapsed="false">
      <c r="A141" s="8"/>
      <c r="B141" s="8"/>
      <c r="C141" s="8"/>
      <c r="D141" s="10"/>
      <c r="E141" s="8"/>
      <c r="F141" s="10"/>
      <c r="G141" s="10"/>
    </row>
    <row r="142" customFormat="false" ht="15" hidden="false" customHeight="true" outlineLevel="0" collapsed="false">
      <c r="A142" s="8"/>
      <c r="B142" s="8"/>
      <c r="C142" s="8"/>
      <c r="D142" s="10"/>
      <c r="E142" s="8"/>
      <c r="F142" s="10"/>
      <c r="G142" s="10"/>
    </row>
    <row r="143" customFormat="false" ht="15" hidden="false" customHeight="true" outlineLevel="0" collapsed="false">
      <c r="A143" s="8"/>
      <c r="B143" s="8"/>
      <c r="C143" s="8"/>
      <c r="D143" s="10"/>
      <c r="E143" s="8"/>
      <c r="F143" s="10"/>
      <c r="G143" s="10"/>
    </row>
    <row r="144" customFormat="false" ht="15" hidden="false" customHeight="true" outlineLevel="0" collapsed="false">
      <c r="A144" s="8"/>
      <c r="B144" s="8"/>
      <c r="C144" s="8"/>
      <c r="D144" s="10"/>
      <c r="E144" s="8"/>
      <c r="F144" s="10"/>
      <c r="G144" s="10"/>
    </row>
    <row r="145" customFormat="false" ht="15" hidden="false" customHeight="true" outlineLevel="0" collapsed="false">
      <c r="A145" s="8"/>
      <c r="B145" s="8"/>
      <c r="C145" s="8"/>
      <c r="D145" s="10"/>
      <c r="E145" s="8"/>
      <c r="F145" s="10"/>
      <c r="G145" s="10"/>
    </row>
    <row r="146" customFormat="false" ht="15" hidden="false" customHeight="true" outlineLevel="0" collapsed="false">
      <c r="A146" s="8"/>
      <c r="B146" s="8"/>
      <c r="C146" s="8"/>
      <c r="D146" s="10"/>
      <c r="E146" s="8"/>
      <c r="F146" s="10"/>
      <c r="G146" s="10"/>
    </row>
    <row r="147" customFormat="false" ht="15" hidden="false" customHeight="true" outlineLevel="0" collapsed="false">
      <c r="A147" s="8"/>
      <c r="B147" s="8"/>
      <c r="C147" s="8"/>
      <c r="D147" s="10"/>
      <c r="E147" s="8"/>
      <c r="F147" s="10"/>
      <c r="G147" s="10"/>
    </row>
    <row r="148" customFormat="false" ht="15" hidden="false" customHeight="true" outlineLevel="0" collapsed="false">
      <c r="A148" s="8"/>
      <c r="B148" s="8"/>
      <c r="C148" s="8"/>
      <c r="D148" s="10"/>
      <c r="E148" s="8"/>
      <c r="F148" s="10"/>
      <c r="G148" s="10"/>
    </row>
    <row r="149" customFormat="false" ht="15" hidden="false" customHeight="true" outlineLevel="0" collapsed="false">
      <c r="A149" s="8"/>
      <c r="B149" s="8"/>
      <c r="C149" s="8"/>
      <c r="D149" s="10"/>
      <c r="E149" s="8"/>
      <c r="F149" s="10"/>
      <c r="G149" s="10"/>
    </row>
    <row r="150" customFormat="false" ht="15" hidden="false" customHeight="true" outlineLevel="0" collapsed="false">
      <c r="A150" s="8"/>
      <c r="B150" s="8"/>
      <c r="C150" s="8"/>
      <c r="D150" s="10"/>
      <c r="E150" s="8"/>
      <c r="F150" s="10"/>
      <c r="G150" s="10"/>
    </row>
    <row r="151" customFormat="false" ht="15" hidden="false" customHeight="true" outlineLevel="0" collapsed="false">
      <c r="A151" s="8"/>
      <c r="B151" s="8"/>
      <c r="C151" s="8"/>
      <c r="D151" s="10"/>
      <c r="E151" s="8"/>
      <c r="F151" s="10"/>
      <c r="G151" s="10"/>
    </row>
    <row r="152" customFormat="false" ht="15" hidden="false" customHeight="true" outlineLevel="0" collapsed="false">
      <c r="A152" s="8"/>
      <c r="B152" s="8"/>
      <c r="C152" s="8"/>
      <c r="D152" s="10"/>
      <c r="E152" s="8"/>
      <c r="F152" s="10"/>
      <c r="G152" s="10"/>
    </row>
    <row r="153" customFormat="false" ht="15" hidden="false" customHeight="true" outlineLevel="0" collapsed="false">
      <c r="A153" s="8"/>
      <c r="B153" s="8"/>
      <c r="C153" s="8"/>
      <c r="D153" s="10"/>
      <c r="E153" s="8"/>
      <c r="F153" s="10"/>
      <c r="G153" s="10"/>
    </row>
    <row r="154" customFormat="false" ht="15" hidden="false" customHeight="true" outlineLevel="0" collapsed="false">
      <c r="A154" s="8"/>
      <c r="B154" s="8"/>
      <c r="C154" s="8"/>
      <c r="D154" s="10"/>
      <c r="E154" s="8"/>
      <c r="F154" s="10"/>
      <c r="G154" s="10"/>
    </row>
    <row r="155" customFormat="false" ht="15" hidden="false" customHeight="true" outlineLevel="0" collapsed="false">
      <c r="A155" s="8"/>
      <c r="B155" s="8"/>
      <c r="C155" s="8"/>
      <c r="D155" s="10"/>
      <c r="E155" s="8"/>
      <c r="F155" s="10"/>
      <c r="G155" s="10"/>
    </row>
    <row r="156" customFormat="false" ht="15" hidden="false" customHeight="true" outlineLevel="0" collapsed="false">
      <c r="A156" s="8"/>
      <c r="B156" s="8"/>
      <c r="C156" s="8"/>
      <c r="D156" s="10"/>
      <c r="E156" s="8"/>
      <c r="F156" s="10"/>
      <c r="G156" s="10"/>
    </row>
    <row r="157" customFormat="false" ht="15" hidden="false" customHeight="true" outlineLevel="0" collapsed="false">
      <c r="A157" s="8"/>
      <c r="B157" s="8"/>
      <c r="C157" s="8"/>
      <c r="D157" s="10"/>
      <c r="E157" s="8"/>
      <c r="F157" s="10"/>
      <c r="G157" s="10"/>
    </row>
    <row r="158" customFormat="false" ht="15" hidden="false" customHeight="true" outlineLevel="0" collapsed="false">
      <c r="A158" s="8"/>
      <c r="B158" s="8"/>
      <c r="C158" s="8"/>
      <c r="D158" s="10"/>
      <c r="E158" s="8"/>
      <c r="F158" s="10"/>
      <c r="G158" s="10"/>
    </row>
    <row r="159" customFormat="false" ht="15" hidden="false" customHeight="true" outlineLevel="0" collapsed="false">
      <c r="A159" s="8"/>
      <c r="B159" s="8"/>
      <c r="C159" s="8"/>
      <c r="D159" s="10"/>
      <c r="E159" s="8"/>
      <c r="F159" s="10"/>
      <c r="G159" s="10"/>
    </row>
    <row r="160" customFormat="false" ht="15" hidden="false" customHeight="true" outlineLevel="0" collapsed="false">
      <c r="A160" s="8"/>
      <c r="B160" s="8"/>
      <c r="C160" s="8"/>
      <c r="D160" s="10"/>
      <c r="E160" s="8"/>
      <c r="F160" s="10"/>
      <c r="G160" s="10"/>
    </row>
    <row r="161" customFormat="false" ht="15" hidden="false" customHeight="true" outlineLevel="0" collapsed="false">
      <c r="A161" s="8"/>
      <c r="B161" s="8"/>
      <c r="C161" s="8"/>
      <c r="D161" s="10"/>
      <c r="E161" s="8"/>
      <c r="F161" s="10"/>
      <c r="G161" s="10"/>
    </row>
    <row r="162" customFormat="false" ht="15" hidden="false" customHeight="true" outlineLevel="0" collapsed="false">
      <c r="A162" s="8"/>
      <c r="B162" s="8"/>
      <c r="C162" s="8"/>
      <c r="D162" s="10"/>
      <c r="E162" s="8"/>
      <c r="F162" s="10"/>
      <c r="G162" s="10"/>
    </row>
    <row r="163" customFormat="false" ht="15" hidden="false" customHeight="true" outlineLevel="0" collapsed="false">
      <c r="A163" s="8"/>
      <c r="B163" s="8"/>
      <c r="C163" s="8"/>
      <c r="D163" s="10"/>
      <c r="E163" s="8"/>
      <c r="F163" s="10"/>
      <c r="G163" s="10"/>
    </row>
    <row r="164" customFormat="false" ht="15" hidden="false" customHeight="true" outlineLevel="0" collapsed="false">
      <c r="A164" s="8"/>
      <c r="B164" s="8"/>
      <c r="C164" s="8"/>
      <c r="D164" s="10"/>
      <c r="E164" s="8"/>
      <c r="F164" s="10"/>
      <c r="G164" s="10"/>
    </row>
    <row r="165" customFormat="false" ht="15" hidden="false" customHeight="true" outlineLevel="0" collapsed="false">
      <c r="A165" s="8"/>
      <c r="B165" s="8"/>
      <c r="C165" s="8"/>
      <c r="D165" s="10"/>
      <c r="E165" s="8"/>
      <c r="F165" s="10"/>
      <c r="G165" s="10"/>
    </row>
    <row r="166" customFormat="false" ht="15" hidden="false" customHeight="true" outlineLevel="0" collapsed="false">
      <c r="A166" s="8"/>
      <c r="B166" s="8"/>
      <c r="C166" s="8"/>
      <c r="D166" s="10"/>
      <c r="E166" s="8"/>
      <c r="F166" s="10"/>
      <c r="G166" s="10"/>
    </row>
    <row r="167" customFormat="false" ht="15" hidden="false" customHeight="true" outlineLevel="0" collapsed="false">
      <c r="A167" s="8"/>
      <c r="B167" s="8"/>
      <c r="C167" s="8"/>
      <c r="D167" s="10"/>
      <c r="E167" s="8"/>
      <c r="F167" s="10"/>
      <c r="G167" s="10"/>
    </row>
    <row r="168" customFormat="false" ht="15" hidden="false" customHeight="true" outlineLevel="0" collapsed="false">
      <c r="A168" s="8"/>
      <c r="B168" s="8"/>
      <c r="C168" s="8"/>
      <c r="D168" s="10"/>
      <c r="E168" s="8"/>
      <c r="F168" s="10"/>
      <c r="G168" s="10"/>
    </row>
    <row r="169" customFormat="false" ht="15" hidden="false" customHeight="true" outlineLevel="0" collapsed="false">
      <c r="A169" s="8"/>
      <c r="B169" s="8"/>
      <c r="C169" s="8"/>
      <c r="D169" s="10"/>
      <c r="E169" s="8"/>
      <c r="F169" s="10"/>
      <c r="G169" s="10"/>
    </row>
    <row r="170" customFormat="false" ht="15" hidden="false" customHeight="true" outlineLevel="0" collapsed="false">
      <c r="A170" s="8"/>
      <c r="B170" s="8"/>
      <c r="C170" s="8"/>
      <c r="D170" s="10"/>
      <c r="E170" s="8"/>
      <c r="F170" s="10"/>
      <c r="G170" s="10"/>
    </row>
    <row r="171" customFormat="false" ht="15" hidden="false" customHeight="true" outlineLevel="0" collapsed="false">
      <c r="A171" s="8"/>
      <c r="B171" s="8"/>
      <c r="C171" s="8"/>
      <c r="D171" s="10"/>
      <c r="E171" s="8"/>
      <c r="F171" s="10"/>
      <c r="G171" s="10"/>
    </row>
    <row r="172" customFormat="false" ht="15" hidden="false" customHeight="true" outlineLevel="0" collapsed="false">
      <c r="A172" s="8"/>
      <c r="B172" s="8"/>
      <c r="C172" s="8"/>
      <c r="D172" s="10"/>
      <c r="E172" s="8"/>
      <c r="F172" s="10"/>
      <c r="G172" s="10"/>
    </row>
    <row r="173" customFormat="false" ht="15" hidden="false" customHeight="true" outlineLevel="0" collapsed="false">
      <c r="A173" s="8"/>
      <c r="B173" s="8"/>
      <c r="C173" s="8"/>
      <c r="D173" s="10"/>
      <c r="E173" s="8"/>
      <c r="F173" s="10"/>
      <c r="G173" s="10"/>
    </row>
    <row r="174" customFormat="false" ht="15" hidden="false" customHeight="true" outlineLevel="0" collapsed="false">
      <c r="A174" s="8"/>
      <c r="B174" s="8"/>
      <c r="C174" s="8"/>
      <c r="D174" s="10"/>
      <c r="E174" s="8"/>
      <c r="F174" s="10"/>
      <c r="G174" s="10"/>
    </row>
    <row r="175" customFormat="false" ht="15" hidden="false" customHeight="true" outlineLevel="0" collapsed="false">
      <c r="A175" s="8"/>
      <c r="B175" s="8"/>
      <c r="C175" s="8"/>
      <c r="D175" s="10"/>
      <c r="E175" s="8"/>
      <c r="F175" s="10"/>
      <c r="G175" s="10"/>
    </row>
    <row r="176" customFormat="false" ht="15" hidden="false" customHeight="true" outlineLevel="0" collapsed="false">
      <c r="A176" s="8"/>
      <c r="B176" s="8"/>
      <c r="C176" s="8"/>
      <c r="D176" s="10"/>
      <c r="E176" s="8"/>
      <c r="F176" s="10"/>
      <c r="G176" s="10"/>
    </row>
    <row r="177" customFormat="false" ht="15" hidden="false" customHeight="true" outlineLevel="0" collapsed="false">
      <c r="A177" s="8"/>
      <c r="B177" s="8"/>
      <c r="C177" s="8"/>
      <c r="D177" s="10"/>
      <c r="E177" s="8"/>
      <c r="F177" s="10"/>
      <c r="G177" s="10"/>
    </row>
    <row r="178" customFormat="false" ht="15" hidden="false" customHeight="true" outlineLevel="0" collapsed="false">
      <c r="A178" s="8"/>
      <c r="B178" s="8"/>
      <c r="C178" s="8"/>
      <c r="D178" s="10"/>
      <c r="E178" s="8"/>
      <c r="F178" s="10"/>
      <c r="G178" s="10"/>
    </row>
    <row r="179" customFormat="false" ht="15" hidden="false" customHeight="true" outlineLevel="0" collapsed="false">
      <c r="A179" s="8"/>
      <c r="B179" s="8"/>
      <c r="C179" s="8"/>
      <c r="D179" s="10"/>
      <c r="E179" s="8"/>
      <c r="F179" s="10"/>
      <c r="G179" s="10"/>
    </row>
    <row r="180" customFormat="false" ht="15" hidden="false" customHeight="true" outlineLevel="0" collapsed="false">
      <c r="A180" s="8"/>
      <c r="B180" s="8"/>
      <c r="C180" s="8"/>
      <c r="D180" s="10"/>
      <c r="E180" s="8"/>
      <c r="F180" s="10"/>
      <c r="G180" s="10"/>
    </row>
    <row r="181" customFormat="false" ht="15" hidden="false" customHeight="true" outlineLevel="0" collapsed="false">
      <c r="A181" s="8"/>
      <c r="B181" s="8"/>
      <c r="C181" s="8"/>
      <c r="D181" s="10"/>
      <c r="E181" s="8"/>
      <c r="F181" s="10"/>
      <c r="G181" s="10"/>
    </row>
    <row r="182" customFormat="false" ht="15" hidden="false" customHeight="true" outlineLevel="0" collapsed="false">
      <c r="A182" s="8"/>
      <c r="B182" s="8"/>
      <c r="C182" s="8"/>
      <c r="D182" s="10"/>
      <c r="E182" s="8"/>
      <c r="F182" s="10"/>
      <c r="G182" s="10"/>
    </row>
    <row r="183" customFormat="false" ht="15" hidden="false" customHeight="true" outlineLevel="0" collapsed="false">
      <c r="A183" s="8"/>
      <c r="B183" s="8"/>
      <c r="C183" s="8"/>
      <c r="D183" s="10"/>
      <c r="E183" s="8"/>
      <c r="F183" s="10"/>
      <c r="G183" s="10"/>
    </row>
    <row r="184" customFormat="false" ht="15" hidden="false" customHeight="true" outlineLevel="0" collapsed="false">
      <c r="A184" s="8"/>
      <c r="B184" s="8"/>
      <c r="C184" s="8"/>
      <c r="D184" s="10"/>
      <c r="E184" s="8"/>
      <c r="F184" s="10"/>
      <c r="G184" s="10"/>
    </row>
    <row r="185" customFormat="false" ht="15" hidden="false" customHeight="true" outlineLevel="0" collapsed="false">
      <c r="A185" s="8"/>
      <c r="B185" s="8"/>
      <c r="C185" s="8"/>
      <c r="D185" s="10"/>
      <c r="E185" s="8"/>
      <c r="F185" s="10"/>
      <c r="G185" s="10"/>
    </row>
    <row r="186" customFormat="false" ht="15" hidden="false" customHeight="true" outlineLevel="0" collapsed="false">
      <c r="A186" s="8"/>
      <c r="B186" s="8"/>
      <c r="C186" s="8"/>
      <c r="D186" s="10"/>
      <c r="E186" s="8"/>
      <c r="F186" s="10"/>
      <c r="G186" s="10"/>
    </row>
    <row r="187" customFormat="false" ht="15" hidden="false" customHeight="true" outlineLevel="0" collapsed="false">
      <c r="A187" s="8"/>
      <c r="B187" s="8"/>
      <c r="C187" s="8"/>
      <c r="D187" s="10"/>
      <c r="E187" s="8"/>
      <c r="F187" s="10"/>
      <c r="G187" s="10"/>
    </row>
    <row r="188" customFormat="false" ht="15" hidden="false" customHeight="true" outlineLevel="0" collapsed="false">
      <c r="A188" s="8"/>
      <c r="B188" s="8"/>
      <c r="C188" s="8"/>
      <c r="D188" s="10"/>
      <c r="E188" s="8"/>
      <c r="F188" s="10"/>
      <c r="G188" s="10"/>
    </row>
    <row r="189" customFormat="false" ht="15" hidden="false" customHeight="true" outlineLevel="0" collapsed="false">
      <c r="A189" s="8"/>
      <c r="B189" s="8"/>
      <c r="C189" s="8"/>
      <c r="D189" s="10"/>
      <c r="E189" s="8"/>
      <c r="F189" s="10"/>
      <c r="G189" s="10"/>
    </row>
    <row r="190" customFormat="false" ht="15" hidden="false" customHeight="true" outlineLevel="0" collapsed="false">
      <c r="A190" s="8"/>
      <c r="B190" s="8"/>
      <c r="C190" s="8"/>
      <c r="D190" s="10"/>
      <c r="E190" s="8"/>
      <c r="F190" s="10"/>
      <c r="G190" s="10"/>
    </row>
    <row r="191" customFormat="false" ht="15" hidden="false" customHeight="true" outlineLevel="0" collapsed="false">
      <c r="A191" s="8"/>
      <c r="B191" s="8"/>
      <c r="C191" s="8"/>
      <c r="D191" s="10"/>
      <c r="E191" s="8"/>
      <c r="F191" s="10"/>
      <c r="G191" s="10"/>
    </row>
    <row r="192" customFormat="false" ht="15" hidden="false" customHeight="true" outlineLevel="0" collapsed="false">
      <c r="A192" s="8"/>
      <c r="B192" s="8"/>
      <c r="C192" s="8"/>
      <c r="D192" s="10"/>
      <c r="E192" s="8"/>
      <c r="F192" s="10"/>
      <c r="G192" s="10"/>
    </row>
    <row r="193" customFormat="false" ht="15" hidden="false" customHeight="true" outlineLevel="0" collapsed="false">
      <c r="A193" s="8"/>
      <c r="B193" s="8"/>
      <c r="C193" s="8"/>
      <c r="D193" s="10"/>
      <c r="E193" s="8"/>
      <c r="F193" s="10"/>
      <c r="G193" s="10"/>
    </row>
    <row r="194" customFormat="false" ht="15" hidden="false" customHeight="true" outlineLevel="0" collapsed="false">
      <c r="A194" s="8"/>
      <c r="B194" s="8"/>
      <c r="C194" s="8"/>
      <c r="D194" s="10"/>
      <c r="E194" s="8"/>
      <c r="F194" s="10"/>
      <c r="G194" s="10"/>
    </row>
    <row r="195" customFormat="false" ht="15" hidden="false" customHeight="true" outlineLevel="0" collapsed="false">
      <c r="A195" s="8"/>
      <c r="B195" s="8"/>
      <c r="C195" s="8"/>
      <c r="D195" s="10"/>
      <c r="E195" s="8"/>
      <c r="F195" s="10"/>
      <c r="G195" s="10"/>
    </row>
    <row r="196" customFormat="false" ht="15" hidden="false" customHeight="true" outlineLevel="0" collapsed="false">
      <c r="A196" s="8"/>
      <c r="B196" s="8"/>
      <c r="C196" s="8"/>
      <c r="D196" s="10"/>
      <c r="E196" s="8"/>
      <c r="F196" s="10"/>
      <c r="G196" s="10"/>
    </row>
    <row r="197" customFormat="false" ht="15" hidden="false" customHeight="true" outlineLevel="0" collapsed="false">
      <c r="A197" s="8"/>
      <c r="B197" s="8"/>
      <c r="C197" s="8"/>
      <c r="D197" s="10"/>
      <c r="E197" s="8"/>
      <c r="F197" s="10"/>
      <c r="G197" s="10"/>
    </row>
    <row r="198" customFormat="false" ht="15" hidden="false" customHeight="true" outlineLevel="0" collapsed="false">
      <c r="A198" s="8"/>
      <c r="B198" s="8"/>
      <c r="C198" s="8"/>
      <c r="D198" s="10"/>
      <c r="E198" s="8"/>
      <c r="F198" s="10"/>
      <c r="G198" s="10"/>
    </row>
    <row r="199" customFormat="false" ht="15" hidden="false" customHeight="true" outlineLevel="0" collapsed="false">
      <c r="A199" s="8"/>
      <c r="B199" s="8"/>
      <c r="C199" s="8"/>
      <c r="D199" s="10"/>
      <c r="E199" s="8"/>
      <c r="F199" s="10"/>
      <c r="G199" s="10"/>
    </row>
    <row r="200" customFormat="false" ht="15" hidden="false" customHeight="true" outlineLevel="0" collapsed="false">
      <c r="A200" s="8"/>
      <c r="B200" s="8"/>
      <c r="C200" s="8"/>
      <c r="D200" s="10"/>
      <c r="E200" s="8"/>
      <c r="F200" s="10"/>
      <c r="G200" s="10"/>
    </row>
    <row r="201" customFormat="false" ht="15" hidden="false" customHeight="true" outlineLevel="0" collapsed="false">
      <c r="A201" s="8"/>
      <c r="B201" s="8"/>
      <c r="C201" s="8"/>
      <c r="D201" s="10"/>
      <c r="E201" s="8"/>
      <c r="F201" s="10"/>
      <c r="G201" s="10"/>
    </row>
    <row r="202" customFormat="false" ht="15" hidden="false" customHeight="true" outlineLevel="0" collapsed="false">
      <c r="A202" s="8"/>
      <c r="B202" s="8"/>
      <c r="C202" s="8"/>
      <c r="D202" s="10"/>
      <c r="E202" s="8"/>
      <c r="F202" s="10"/>
      <c r="G202" s="10"/>
    </row>
    <row r="203" customFormat="false" ht="15" hidden="false" customHeight="true" outlineLevel="0" collapsed="false">
      <c r="A203" s="8"/>
      <c r="B203" s="8"/>
      <c r="C203" s="8"/>
      <c r="D203" s="10"/>
      <c r="E203" s="8"/>
      <c r="F203" s="10"/>
      <c r="G203" s="10"/>
    </row>
    <row r="204" customFormat="false" ht="15" hidden="false" customHeight="true" outlineLevel="0" collapsed="false">
      <c r="A204" s="8"/>
      <c r="B204" s="8"/>
      <c r="C204" s="8"/>
      <c r="D204" s="10"/>
      <c r="E204" s="8"/>
      <c r="F204" s="10"/>
      <c r="G204" s="10"/>
    </row>
    <row r="205" customFormat="false" ht="15" hidden="false" customHeight="true" outlineLevel="0" collapsed="false">
      <c r="A205" s="8"/>
      <c r="B205" s="8"/>
      <c r="C205" s="8"/>
      <c r="D205" s="10"/>
      <c r="E205" s="8"/>
      <c r="F205" s="10"/>
      <c r="G205" s="10"/>
    </row>
    <row r="206" customFormat="false" ht="15" hidden="false" customHeight="true" outlineLevel="0" collapsed="false">
      <c r="A206" s="8"/>
      <c r="B206" s="8"/>
      <c r="C206" s="8"/>
      <c r="D206" s="10"/>
      <c r="E206" s="8"/>
      <c r="F206" s="10"/>
      <c r="G206" s="10"/>
    </row>
    <row r="207" customFormat="false" ht="15" hidden="false" customHeight="true" outlineLevel="0" collapsed="false">
      <c r="A207" s="8"/>
      <c r="B207" s="8"/>
      <c r="C207" s="8"/>
      <c r="D207" s="10"/>
      <c r="E207" s="8"/>
      <c r="F207" s="10"/>
      <c r="G207" s="10"/>
    </row>
    <row r="208" customFormat="false" ht="15" hidden="false" customHeight="true" outlineLevel="0" collapsed="false">
      <c r="A208" s="8"/>
      <c r="B208" s="8"/>
      <c r="C208" s="8"/>
      <c r="D208" s="10"/>
      <c r="E208" s="8"/>
      <c r="F208" s="10"/>
      <c r="G208" s="10"/>
    </row>
    <row r="209" customFormat="false" ht="15" hidden="false" customHeight="true" outlineLevel="0" collapsed="false">
      <c r="A209" s="8"/>
      <c r="B209" s="8"/>
      <c r="C209" s="8"/>
      <c r="D209" s="10"/>
      <c r="E209" s="8"/>
      <c r="F209" s="10"/>
      <c r="G209" s="10"/>
    </row>
    <row r="210" customFormat="false" ht="15" hidden="false" customHeight="true" outlineLevel="0" collapsed="false">
      <c r="A210" s="8"/>
      <c r="B210" s="8"/>
      <c r="C210" s="8"/>
      <c r="D210" s="10"/>
      <c r="E210" s="8"/>
      <c r="F210" s="10"/>
      <c r="G210" s="10"/>
    </row>
    <row r="211" customFormat="false" ht="15" hidden="false" customHeight="true" outlineLevel="0" collapsed="false">
      <c r="A211" s="8"/>
      <c r="B211" s="8"/>
      <c r="C211" s="8"/>
      <c r="D211" s="10"/>
      <c r="E211" s="8"/>
      <c r="F211" s="10"/>
      <c r="G211" s="10"/>
    </row>
    <row r="212" customFormat="false" ht="15" hidden="false" customHeight="true" outlineLevel="0" collapsed="false">
      <c r="A212" s="8"/>
      <c r="B212" s="8"/>
      <c r="C212" s="8"/>
      <c r="D212" s="10"/>
      <c r="E212" s="8"/>
      <c r="F212" s="10"/>
      <c r="G212" s="10"/>
    </row>
    <row r="213" customFormat="false" ht="15" hidden="false" customHeight="true" outlineLevel="0" collapsed="false">
      <c r="A213" s="8"/>
      <c r="B213" s="8"/>
      <c r="C213" s="8"/>
      <c r="D213" s="10"/>
      <c r="E213" s="8"/>
      <c r="F213" s="10"/>
      <c r="G213" s="10"/>
    </row>
    <row r="214" customFormat="false" ht="15" hidden="false" customHeight="true" outlineLevel="0" collapsed="false">
      <c r="A214" s="8"/>
      <c r="B214" s="8"/>
      <c r="C214" s="8"/>
      <c r="D214" s="10"/>
      <c r="E214" s="8"/>
      <c r="F214" s="10"/>
      <c r="G214" s="10"/>
    </row>
    <row r="215" customFormat="false" ht="15" hidden="false" customHeight="true" outlineLevel="0" collapsed="false">
      <c r="A215" s="8"/>
      <c r="B215" s="8"/>
      <c r="C215" s="8"/>
      <c r="D215" s="10"/>
      <c r="E215" s="8"/>
      <c r="F215" s="10"/>
      <c r="G215" s="10"/>
    </row>
    <row r="216" customFormat="false" ht="15" hidden="false" customHeight="true" outlineLevel="0" collapsed="false">
      <c r="A216" s="8"/>
      <c r="B216" s="8"/>
      <c r="C216" s="8"/>
      <c r="D216" s="10"/>
      <c r="E216" s="8"/>
      <c r="F216" s="10"/>
      <c r="G216" s="10"/>
    </row>
    <row r="217" customFormat="false" ht="15" hidden="false" customHeight="true" outlineLevel="0" collapsed="false">
      <c r="A217" s="8"/>
      <c r="B217" s="8"/>
      <c r="C217" s="8"/>
      <c r="D217" s="10"/>
      <c r="E217" s="8"/>
      <c r="F217" s="10"/>
      <c r="G217" s="10"/>
    </row>
    <row r="218" customFormat="false" ht="15" hidden="false" customHeight="true" outlineLevel="0" collapsed="false">
      <c r="A218" s="8"/>
      <c r="B218" s="8"/>
      <c r="C218" s="8"/>
      <c r="D218" s="10"/>
      <c r="E218" s="8"/>
      <c r="F218" s="10"/>
      <c r="G218" s="10"/>
    </row>
    <row r="219" customFormat="false" ht="15" hidden="false" customHeight="true" outlineLevel="0" collapsed="false">
      <c r="A219" s="8"/>
      <c r="B219" s="8"/>
      <c r="C219" s="8"/>
      <c r="D219" s="10"/>
      <c r="E219" s="8"/>
      <c r="F219" s="10"/>
      <c r="G219" s="10"/>
    </row>
    <row r="220" customFormat="false" ht="15" hidden="false" customHeight="true" outlineLevel="0" collapsed="false">
      <c r="A220" s="8"/>
      <c r="B220" s="8"/>
      <c r="C220" s="8"/>
      <c r="D220" s="10"/>
      <c r="E220" s="8"/>
      <c r="F220" s="10"/>
      <c r="G220" s="10"/>
    </row>
    <row r="221" customFormat="false" ht="15" hidden="false" customHeight="true" outlineLevel="0" collapsed="false">
      <c r="A221" s="8"/>
      <c r="B221" s="8"/>
      <c r="C221" s="8"/>
      <c r="D221" s="10"/>
      <c r="E221" s="8"/>
      <c r="F221" s="10"/>
      <c r="G221" s="10"/>
    </row>
    <row r="222" customFormat="false" ht="15" hidden="false" customHeight="true" outlineLevel="0" collapsed="false">
      <c r="A222" s="8"/>
      <c r="B222" s="8"/>
      <c r="C222" s="8"/>
      <c r="D222" s="10"/>
      <c r="E222" s="8"/>
      <c r="F222" s="10"/>
      <c r="G222" s="10"/>
    </row>
    <row r="223" customFormat="false" ht="15" hidden="false" customHeight="true" outlineLevel="0" collapsed="false">
      <c r="A223" s="8"/>
      <c r="B223" s="8"/>
      <c r="C223" s="8"/>
      <c r="D223" s="10"/>
      <c r="E223" s="8"/>
      <c r="F223" s="10"/>
      <c r="G223" s="10"/>
    </row>
    <row r="224" customFormat="false" ht="15" hidden="false" customHeight="true" outlineLevel="0" collapsed="false">
      <c r="A224" s="8"/>
      <c r="B224" s="8"/>
      <c r="C224" s="8"/>
      <c r="D224" s="10"/>
      <c r="E224" s="8"/>
      <c r="F224" s="10"/>
      <c r="G224" s="10"/>
    </row>
    <row r="225" customFormat="false" ht="15" hidden="false" customHeight="true" outlineLevel="0" collapsed="false">
      <c r="A225" s="8"/>
      <c r="B225" s="8"/>
      <c r="C225" s="8"/>
      <c r="D225" s="10"/>
      <c r="E225" s="8"/>
      <c r="F225" s="10"/>
      <c r="G225" s="10"/>
    </row>
    <row r="226" customFormat="false" ht="15" hidden="false" customHeight="true" outlineLevel="0" collapsed="false">
      <c r="A226" s="8"/>
      <c r="B226" s="8"/>
      <c r="C226" s="8"/>
      <c r="D226" s="10"/>
      <c r="E226" s="8"/>
      <c r="F226" s="10"/>
      <c r="G226" s="10"/>
    </row>
    <row r="227" customFormat="false" ht="15" hidden="false" customHeight="true" outlineLevel="0" collapsed="false">
      <c r="A227" s="8"/>
      <c r="B227" s="8"/>
      <c r="C227" s="8"/>
      <c r="D227" s="10"/>
      <c r="E227" s="8"/>
      <c r="F227" s="10"/>
      <c r="G227" s="10"/>
    </row>
    <row r="228" customFormat="false" ht="15" hidden="false" customHeight="true" outlineLevel="0" collapsed="false">
      <c r="A228" s="8"/>
      <c r="B228" s="8"/>
      <c r="C228" s="8"/>
      <c r="D228" s="10"/>
      <c r="E228" s="8"/>
      <c r="F228" s="10"/>
      <c r="G228" s="10"/>
    </row>
    <row r="229" customFormat="false" ht="15" hidden="false" customHeight="true" outlineLevel="0" collapsed="false">
      <c r="A229" s="8"/>
      <c r="B229" s="8"/>
      <c r="C229" s="8"/>
      <c r="D229" s="10"/>
      <c r="E229" s="8"/>
      <c r="F229" s="10"/>
      <c r="G229" s="10"/>
    </row>
    <row r="230" customFormat="false" ht="15" hidden="false" customHeight="true" outlineLevel="0" collapsed="false">
      <c r="A230" s="8"/>
      <c r="B230" s="8"/>
      <c r="C230" s="8"/>
      <c r="D230" s="10"/>
      <c r="E230" s="8"/>
      <c r="F230" s="10"/>
      <c r="G230" s="10"/>
    </row>
    <row r="231" customFormat="false" ht="15" hidden="false" customHeight="true" outlineLevel="0" collapsed="false">
      <c r="A231" s="8"/>
      <c r="B231" s="8"/>
      <c r="C231" s="8"/>
      <c r="D231" s="10"/>
      <c r="E231" s="8"/>
      <c r="F231" s="10"/>
      <c r="G231" s="10"/>
    </row>
    <row r="232" customFormat="false" ht="15" hidden="false" customHeight="true" outlineLevel="0" collapsed="false">
      <c r="A232" s="8"/>
      <c r="B232" s="8"/>
      <c r="C232" s="8"/>
      <c r="D232" s="10"/>
      <c r="E232" s="8"/>
      <c r="F232" s="10"/>
      <c r="G232" s="10"/>
    </row>
    <row r="233" customFormat="false" ht="15" hidden="false" customHeight="true" outlineLevel="0" collapsed="false">
      <c r="A233" s="8"/>
      <c r="B233" s="8"/>
      <c r="C233" s="8"/>
      <c r="D233" s="10"/>
      <c r="E233" s="8"/>
      <c r="F233" s="10"/>
      <c r="G233" s="10"/>
    </row>
    <row r="234" customFormat="false" ht="15" hidden="false" customHeight="true" outlineLevel="0" collapsed="false">
      <c r="A234" s="8"/>
      <c r="B234" s="8"/>
      <c r="C234" s="8"/>
      <c r="D234" s="10"/>
      <c r="E234" s="8"/>
      <c r="F234" s="10"/>
      <c r="G234" s="10"/>
    </row>
    <row r="235" customFormat="false" ht="15" hidden="false" customHeight="true" outlineLevel="0" collapsed="false">
      <c r="A235" s="8"/>
      <c r="B235" s="8"/>
      <c r="C235" s="8"/>
      <c r="D235" s="10"/>
      <c r="E235" s="8"/>
      <c r="F235" s="10"/>
      <c r="G235" s="10"/>
    </row>
    <row r="236" customFormat="false" ht="15" hidden="false" customHeight="true" outlineLevel="0" collapsed="false">
      <c r="A236" s="8"/>
      <c r="B236" s="8"/>
      <c r="C236" s="8"/>
      <c r="D236" s="10"/>
      <c r="E236" s="8"/>
      <c r="F236" s="10"/>
      <c r="G236" s="10"/>
    </row>
    <row r="237" customFormat="false" ht="15" hidden="false" customHeight="true" outlineLevel="0" collapsed="false">
      <c r="A237" s="8"/>
      <c r="B237" s="8"/>
      <c r="C237" s="8"/>
      <c r="D237" s="10"/>
      <c r="E237" s="8"/>
      <c r="F237" s="10"/>
      <c r="G237" s="10"/>
    </row>
    <row r="238" customFormat="false" ht="15" hidden="false" customHeight="true" outlineLevel="0" collapsed="false">
      <c r="A238" s="8"/>
      <c r="B238" s="8"/>
      <c r="C238" s="8"/>
      <c r="D238" s="10"/>
      <c r="E238" s="8"/>
      <c r="F238" s="10"/>
      <c r="G238" s="10"/>
    </row>
    <row r="239" customFormat="false" ht="15" hidden="false" customHeight="true" outlineLevel="0" collapsed="false">
      <c r="A239" s="8"/>
      <c r="B239" s="8"/>
      <c r="C239" s="8"/>
      <c r="D239" s="10"/>
      <c r="E239" s="8"/>
      <c r="F239" s="10"/>
      <c r="G239" s="10"/>
    </row>
    <row r="240" customFormat="false" ht="15" hidden="false" customHeight="true" outlineLevel="0" collapsed="false">
      <c r="A240" s="8"/>
      <c r="B240" s="8"/>
      <c r="C240" s="8"/>
      <c r="D240" s="10"/>
      <c r="E240" s="8"/>
      <c r="F240" s="10"/>
      <c r="G240" s="10"/>
    </row>
    <row r="241" customFormat="false" ht="15" hidden="false" customHeight="true" outlineLevel="0" collapsed="false">
      <c r="A241" s="8"/>
      <c r="B241" s="8"/>
      <c r="C241" s="8"/>
      <c r="D241" s="10"/>
      <c r="E241" s="8"/>
      <c r="F241" s="10"/>
      <c r="G241" s="10"/>
    </row>
    <row r="242" customFormat="false" ht="15" hidden="false" customHeight="true" outlineLevel="0" collapsed="false">
      <c r="A242" s="8"/>
      <c r="B242" s="8"/>
      <c r="C242" s="8"/>
      <c r="D242" s="10"/>
      <c r="E242" s="8"/>
      <c r="F242" s="10"/>
      <c r="G242" s="10"/>
    </row>
    <row r="243" customFormat="false" ht="15" hidden="false" customHeight="true" outlineLevel="0" collapsed="false">
      <c r="A243" s="8"/>
      <c r="B243" s="8"/>
      <c r="C243" s="8"/>
      <c r="D243" s="10"/>
      <c r="E243" s="8"/>
      <c r="F243" s="10"/>
      <c r="G243" s="10"/>
    </row>
    <row r="244" customFormat="false" ht="15" hidden="false" customHeight="true" outlineLevel="0" collapsed="false">
      <c r="A244" s="8"/>
      <c r="B244" s="8"/>
      <c r="C244" s="8"/>
      <c r="D244" s="10"/>
      <c r="E244" s="8"/>
      <c r="F244" s="10"/>
      <c r="G244" s="10"/>
    </row>
    <row r="245" customFormat="false" ht="15" hidden="false" customHeight="true" outlineLevel="0" collapsed="false">
      <c r="A245" s="8"/>
      <c r="B245" s="8"/>
      <c r="C245" s="8"/>
      <c r="D245" s="10"/>
      <c r="E245" s="8"/>
      <c r="F245" s="10"/>
      <c r="G245" s="10"/>
    </row>
    <row r="246" customFormat="false" ht="15" hidden="false" customHeight="true" outlineLevel="0" collapsed="false">
      <c r="A246" s="8"/>
      <c r="B246" s="8"/>
      <c r="C246" s="8"/>
      <c r="D246" s="10"/>
      <c r="E246" s="8"/>
      <c r="F246" s="10"/>
      <c r="G246" s="10"/>
    </row>
    <row r="247" customFormat="false" ht="15" hidden="false" customHeight="true" outlineLevel="0" collapsed="false">
      <c r="A247" s="8"/>
      <c r="B247" s="8"/>
      <c r="C247" s="8"/>
      <c r="D247" s="10"/>
      <c r="E247" s="8"/>
      <c r="F247" s="10"/>
      <c r="G247" s="10"/>
    </row>
    <row r="248" customFormat="false" ht="15" hidden="false" customHeight="true" outlineLevel="0" collapsed="false">
      <c r="A248" s="8"/>
      <c r="B248" s="8"/>
      <c r="C248" s="8"/>
      <c r="D248" s="10"/>
      <c r="E248" s="8"/>
      <c r="F248" s="10"/>
      <c r="G248" s="10"/>
    </row>
    <row r="249" customFormat="false" ht="15" hidden="false" customHeight="true" outlineLevel="0" collapsed="false">
      <c r="A249" s="8"/>
      <c r="B249" s="8"/>
      <c r="C249" s="8"/>
      <c r="D249" s="10"/>
      <c r="E249" s="8"/>
      <c r="F249" s="10"/>
      <c r="G249" s="10"/>
    </row>
    <row r="250" customFormat="false" ht="15" hidden="false" customHeight="true" outlineLevel="0" collapsed="false">
      <c r="A250" s="8"/>
      <c r="B250" s="8"/>
      <c r="C250" s="8"/>
      <c r="D250" s="10"/>
      <c r="E250" s="8"/>
      <c r="F250" s="10"/>
      <c r="G250" s="10"/>
    </row>
    <row r="251" customFormat="false" ht="15" hidden="false" customHeight="true" outlineLevel="0" collapsed="false">
      <c r="A251" s="8"/>
      <c r="B251" s="8"/>
      <c r="C251" s="8"/>
      <c r="D251" s="10"/>
      <c r="E251" s="8"/>
      <c r="F251" s="10"/>
      <c r="G251" s="10"/>
    </row>
    <row r="252" customFormat="false" ht="15" hidden="false" customHeight="true" outlineLevel="0" collapsed="false">
      <c r="A252" s="8"/>
      <c r="B252" s="8"/>
      <c r="C252" s="8"/>
      <c r="D252" s="10"/>
      <c r="E252" s="8"/>
      <c r="F252" s="10"/>
      <c r="G252" s="10"/>
    </row>
    <row r="253" customFormat="false" ht="15" hidden="false" customHeight="true" outlineLevel="0" collapsed="false">
      <c r="A253" s="8"/>
      <c r="B253" s="8"/>
      <c r="C253" s="8"/>
      <c r="D253" s="10"/>
      <c r="E253" s="8"/>
      <c r="F253" s="10"/>
      <c r="G253" s="10"/>
    </row>
    <row r="254" customFormat="false" ht="15" hidden="false" customHeight="true" outlineLevel="0" collapsed="false">
      <c r="A254" s="8"/>
      <c r="B254" s="8"/>
      <c r="C254" s="8"/>
      <c r="D254" s="10"/>
      <c r="E254" s="8"/>
      <c r="F254" s="10"/>
      <c r="G254" s="10"/>
    </row>
    <row r="255" customFormat="false" ht="15" hidden="false" customHeight="true" outlineLevel="0" collapsed="false">
      <c r="A255" s="8"/>
      <c r="B255" s="8"/>
      <c r="C255" s="8"/>
      <c r="D255" s="10"/>
      <c r="E255" s="8"/>
      <c r="F255" s="10"/>
      <c r="G255" s="10"/>
    </row>
    <row r="256" customFormat="false" ht="15" hidden="false" customHeight="true" outlineLevel="0" collapsed="false">
      <c r="A256" s="8"/>
      <c r="B256" s="8"/>
      <c r="C256" s="8"/>
      <c r="D256" s="10"/>
      <c r="E256" s="8"/>
      <c r="F256" s="10"/>
      <c r="G256" s="10"/>
    </row>
    <row r="257" customFormat="false" ht="15" hidden="false" customHeight="true" outlineLevel="0" collapsed="false">
      <c r="A257" s="8"/>
      <c r="B257" s="8"/>
      <c r="C257" s="8"/>
      <c r="D257" s="10"/>
      <c r="E257" s="8"/>
      <c r="F257" s="10"/>
      <c r="G257" s="10"/>
    </row>
    <row r="258" customFormat="false" ht="15" hidden="false" customHeight="true" outlineLevel="0" collapsed="false">
      <c r="A258" s="8"/>
      <c r="B258" s="8"/>
      <c r="C258" s="8"/>
      <c r="D258" s="10"/>
      <c r="E258" s="8"/>
      <c r="F258" s="10"/>
      <c r="G258" s="10"/>
    </row>
    <row r="259" customFormat="false" ht="15" hidden="false" customHeight="true" outlineLevel="0" collapsed="false">
      <c r="A259" s="8"/>
      <c r="B259" s="8"/>
      <c r="C259" s="8"/>
      <c r="D259" s="10"/>
      <c r="E259" s="8"/>
      <c r="F259" s="10"/>
      <c r="G259" s="10"/>
    </row>
    <row r="260" customFormat="false" ht="15" hidden="false" customHeight="true" outlineLevel="0" collapsed="false">
      <c r="A260" s="8"/>
      <c r="B260" s="8"/>
      <c r="C260" s="8"/>
      <c r="D260" s="10"/>
      <c r="E260" s="8"/>
      <c r="F260" s="10"/>
      <c r="G260" s="10"/>
    </row>
    <row r="261" customFormat="false" ht="15" hidden="false" customHeight="true" outlineLevel="0" collapsed="false">
      <c r="A261" s="8"/>
      <c r="B261" s="8"/>
      <c r="C261" s="8"/>
      <c r="D261" s="10"/>
      <c r="E261" s="8"/>
      <c r="F261" s="10"/>
      <c r="G261" s="10"/>
    </row>
    <row r="262" customFormat="false" ht="15" hidden="false" customHeight="true" outlineLevel="0" collapsed="false">
      <c r="A262" s="8"/>
      <c r="B262" s="8"/>
      <c r="C262" s="8"/>
      <c r="D262" s="10"/>
      <c r="E262" s="8"/>
      <c r="F262" s="10"/>
      <c r="G262" s="10"/>
    </row>
    <row r="263" customFormat="false" ht="15" hidden="false" customHeight="true" outlineLevel="0" collapsed="false">
      <c r="A263" s="8"/>
      <c r="B263" s="8"/>
      <c r="C263" s="8"/>
      <c r="D263" s="10"/>
      <c r="E263" s="8"/>
      <c r="F263" s="10"/>
      <c r="G263" s="10"/>
    </row>
    <row r="264" customFormat="false" ht="15" hidden="false" customHeight="true" outlineLevel="0" collapsed="false">
      <c r="A264" s="8"/>
      <c r="B264" s="8"/>
      <c r="C264" s="8"/>
      <c r="D264" s="10"/>
      <c r="E264" s="8"/>
      <c r="F264" s="10"/>
      <c r="G264" s="10"/>
    </row>
    <row r="265" customFormat="false" ht="15" hidden="false" customHeight="true" outlineLevel="0" collapsed="false">
      <c r="A265" s="8"/>
      <c r="B265" s="8"/>
      <c r="C265" s="8"/>
      <c r="D265" s="10"/>
      <c r="E265" s="8"/>
      <c r="F265" s="10"/>
      <c r="G265" s="10"/>
    </row>
    <row r="266" customFormat="false" ht="15" hidden="false" customHeight="true" outlineLevel="0" collapsed="false">
      <c r="A266" s="8"/>
      <c r="B266" s="8"/>
      <c r="C266" s="8"/>
      <c r="D266" s="10"/>
      <c r="E266" s="8"/>
      <c r="F266" s="10"/>
      <c r="G266" s="10"/>
    </row>
    <row r="267" customFormat="false" ht="15" hidden="false" customHeight="true" outlineLevel="0" collapsed="false">
      <c r="A267" s="8"/>
      <c r="B267" s="8"/>
      <c r="C267" s="8"/>
      <c r="D267" s="10"/>
      <c r="E267" s="8"/>
      <c r="F267" s="10"/>
      <c r="G267" s="10"/>
    </row>
    <row r="268" customFormat="false" ht="15" hidden="false" customHeight="true" outlineLevel="0" collapsed="false">
      <c r="A268" s="8"/>
      <c r="B268" s="8"/>
      <c r="C268" s="8"/>
      <c r="D268" s="10"/>
      <c r="E268" s="8"/>
      <c r="F268" s="10"/>
      <c r="G268" s="10"/>
    </row>
    <row r="269" customFormat="false" ht="15" hidden="false" customHeight="true" outlineLevel="0" collapsed="false">
      <c r="A269" s="8"/>
      <c r="B269" s="8"/>
      <c r="C269" s="8"/>
      <c r="D269" s="10"/>
      <c r="E269" s="8"/>
      <c r="F269" s="10"/>
      <c r="G269" s="10"/>
    </row>
    <row r="270" customFormat="false" ht="15" hidden="false" customHeight="true" outlineLevel="0" collapsed="false">
      <c r="A270" s="8"/>
      <c r="B270" s="8"/>
      <c r="C270" s="8"/>
      <c r="D270" s="10"/>
      <c r="E270" s="8"/>
      <c r="F270" s="10"/>
      <c r="G270" s="10"/>
    </row>
    <row r="271" customFormat="false" ht="15" hidden="false" customHeight="true" outlineLevel="0" collapsed="false">
      <c r="A271" s="8"/>
      <c r="B271" s="8"/>
      <c r="C271" s="8"/>
      <c r="D271" s="10"/>
      <c r="E271" s="8"/>
      <c r="F271" s="10"/>
      <c r="G271" s="10"/>
    </row>
    <row r="272" customFormat="false" ht="15" hidden="false" customHeight="true" outlineLevel="0" collapsed="false">
      <c r="A272" s="8"/>
      <c r="B272" s="8"/>
      <c r="C272" s="8"/>
      <c r="D272" s="10"/>
      <c r="E272" s="8"/>
      <c r="F272" s="10"/>
      <c r="G272" s="10"/>
    </row>
    <row r="273" customFormat="false" ht="15" hidden="false" customHeight="true" outlineLevel="0" collapsed="false">
      <c r="A273" s="8"/>
      <c r="B273" s="8"/>
      <c r="C273" s="8"/>
      <c r="D273" s="10"/>
      <c r="E273" s="8"/>
      <c r="F273" s="10"/>
      <c r="G273" s="10"/>
    </row>
    <row r="274" customFormat="false" ht="15" hidden="false" customHeight="true" outlineLevel="0" collapsed="false">
      <c r="A274" s="8"/>
      <c r="B274" s="8"/>
      <c r="C274" s="8"/>
      <c r="D274" s="10"/>
      <c r="E274" s="8"/>
      <c r="F274" s="10"/>
      <c r="G274" s="10"/>
    </row>
    <row r="275" customFormat="false" ht="15" hidden="false" customHeight="true" outlineLevel="0" collapsed="false">
      <c r="A275" s="8"/>
      <c r="B275" s="8"/>
      <c r="C275" s="8"/>
      <c r="D275" s="10"/>
      <c r="E275" s="8"/>
      <c r="F275" s="10"/>
      <c r="G275" s="10"/>
    </row>
    <row r="276" customFormat="false" ht="15" hidden="false" customHeight="true" outlineLevel="0" collapsed="false">
      <c r="A276" s="8"/>
      <c r="B276" s="8"/>
      <c r="C276" s="8"/>
      <c r="D276" s="10"/>
      <c r="E276" s="8"/>
      <c r="F276" s="10"/>
      <c r="G276" s="10"/>
    </row>
    <row r="277" customFormat="false" ht="15" hidden="false" customHeight="true" outlineLevel="0" collapsed="false">
      <c r="A277" s="8"/>
      <c r="B277" s="8"/>
      <c r="C277" s="8"/>
      <c r="D277" s="10"/>
      <c r="E277" s="8"/>
      <c r="F277" s="10"/>
      <c r="G277" s="10"/>
    </row>
    <row r="278" customFormat="false" ht="15" hidden="false" customHeight="true" outlineLevel="0" collapsed="false">
      <c r="A278" s="8"/>
      <c r="B278" s="8"/>
      <c r="C278" s="8"/>
      <c r="D278" s="10"/>
      <c r="E278" s="8"/>
      <c r="F278" s="10"/>
      <c r="G278" s="10"/>
    </row>
    <row r="279" customFormat="false" ht="15" hidden="false" customHeight="true" outlineLevel="0" collapsed="false">
      <c r="A279" s="8"/>
      <c r="B279" s="8"/>
      <c r="C279" s="8"/>
      <c r="D279" s="10"/>
      <c r="E279" s="8"/>
      <c r="F279" s="10"/>
      <c r="G279" s="10"/>
    </row>
    <row r="280" customFormat="false" ht="15" hidden="false" customHeight="true" outlineLevel="0" collapsed="false">
      <c r="A280" s="8"/>
      <c r="B280" s="8"/>
      <c r="C280" s="8"/>
      <c r="D280" s="10"/>
      <c r="E280" s="8"/>
      <c r="F280" s="10"/>
      <c r="G280" s="10"/>
    </row>
    <row r="281" customFormat="false" ht="15" hidden="false" customHeight="true" outlineLevel="0" collapsed="false">
      <c r="A281" s="8"/>
      <c r="B281" s="8"/>
      <c r="C281" s="8"/>
      <c r="D281" s="10"/>
      <c r="E281" s="8"/>
      <c r="F281" s="10"/>
      <c r="G281" s="10"/>
    </row>
    <row r="282" customFormat="false" ht="15" hidden="false" customHeight="true" outlineLevel="0" collapsed="false">
      <c r="A282" s="8"/>
      <c r="B282" s="8"/>
      <c r="C282" s="8"/>
      <c r="D282" s="10"/>
      <c r="E282" s="8"/>
      <c r="F282" s="10"/>
      <c r="G282" s="10"/>
    </row>
    <row r="283" customFormat="false" ht="15" hidden="false" customHeight="true" outlineLevel="0" collapsed="false">
      <c r="A283" s="8"/>
      <c r="B283" s="8"/>
      <c r="C283" s="8"/>
      <c r="D283" s="10"/>
      <c r="E283" s="8"/>
      <c r="F283" s="10"/>
      <c r="G283" s="10"/>
    </row>
    <row r="284" customFormat="false" ht="15" hidden="false" customHeight="true" outlineLevel="0" collapsed="false">
      <c r="A284" s="8"/>
      <c r="B284" s="8"/>
      <c r="C284" s="8"/>
      <c r="D284" s="10"/>
      <c r="E284" s="8"/>
      <c r="F284" s="10"/>
      <c r="G284" s="10"/>
    </row>
    <row r="285" customFormat="false" ht="15" hidden="false" customHeight="true" outlineLevel="0" collapsed="false">
      <c r="A285" s="8"/>
      <c r="B285" s="8"/>
      <c r="C285" s="8"/>
      <c r="D285" s="10"/>
      <c r="E285" s="8"/>
      <c r="F285" s="10"/>
      <c r="G285" s="10"/>
    </row>
    <row r="286" customFormat="false" ht="15" hidden="false" customHeight="true" outlineLevel="0" collapsed="false">
      <c r="A286" s="8"/>
      <c r="B286" s="8"/>
      <c r="C286" s="8"/>
      <c r="D286" s="10"/>
      <c r="E286" s="8"/>
      <c r="F286" s="10"/>
      <c r="G286" s="10"/>
    </row>
    <row r="287" customFormat="false" ht="15" hidden="false" customHeight="true" outlineLevel="0" collapsed="false">
      <c r="A287" s="8"/>
      <c r="B287" s="8"/>
      <c r="C287" s="8"/>
      <c r="D287" s="10"/>
      <c r="E287" s="8"/>
      <c r="F287" s="10"/>
      <c r="G287" s="10"/>
    </row>
    <row r="288" customFormat="false" ht="15" hidden="false" customHeight="true" outlineLevel="0" collapsed="false">
      <c r="A288" s="8"/>
      <c r="B288" s="8"/>
      <c r="C288" s="8"/>
      <c r="D288" s="10"/>
      <c r="E288" s="8"/>
      <c r="F288" s="10"/>
      <c r="G288" s="10"/>
    </row>
    <row r="289" customFormat="false" ht="15" hidden="false" customHeight="true" outlineLevel="0" collapsed="false">
      <c r="A289" s="8"/>
      <c r="B289" s="8"/>
      <c r="C289" s="8"/>
      <c r="D289" s="10"/>
      <c r="E289" s="8"/>
      <c r="F289" s="10"/>
      <c r="G289" s="10"/>
    </row>
    <row r="290" customFormat="false" ht="15" hidden="false" customHeight="true" outlineLevel="0" collapsed="false">
      <c r="A290" s="8"/>
      <c r="B290" s="8"/>
      <c r="C290" s="8"/>
      <c r="D290" s="10"/>
      <c r="E290" s="8"/>
      <c r="F290" s="10"/>
      <c r="G290" s="10"/>
    </row>
    <row r="291" customFormat="false" ht="15" hidden="false" customHeight="true" outlineLevel="0" collapsed="false">
      <c r="A291" s="8"/>
      <c r="B291" s="8"/>
      <c r="C291" s="8"/>
      <c r="D291" s="10"/>
      <c r="E291" s="8"/>
      <c r="F291" s="10"/>
      <c r="G291" s="10"/>
    </row>
    <row r="292" customFormat="false" ht="15" hidden="false" customHeight="true" outlineLevel="0" collapsed="false">
      <c r="A292" s="8"/>
      <c r="B292" s="8"/>
      <c r="C292" s="8"/>
      <c r="D292" s="10"/>
      <c r="E292" s="8"/>
      <c r="F292" s="10"/>
      <c r="G292" s="10"/>
    </row>
    <row r="293" customFormat="false" ht="15" hidden="false" customHeight="true" outlineLevel="0" collapsed="false">
      <c r="A293" s="8"/>
      <c r="B293" s="8"/>
      <c r="C293" s="8"/>
      <c r="D293" s="10"/>
      <c r="E293" s="8"/>
      <c r="F293" s="10"/>
      <c r="G293" s="10"/>
    </row>
    <row r="294" customFormat="false" ht="15" hidden="false" customHeight="true" outlineLevel="0" collapsed="false">
      <c r="A294" s="8"/>
      <c r="B294" s="8"/>
      <c r="C294" s="8"/>
      <c r="D294" s="10"/>
      <c r="E294" s="8"/>
      <c r="F294" s="10"/>
      <c r="G294" s="10"/>
    </row>
    <row r="295" customFormat="false" ht="15" hidden="false" customHeight="true" outlineLevel="0" collapsed="false">
      <c r="A295" s="8"/>
      <c r="B295" s="8"/>
      <c r="C295" s="8"/>
      <c r="D295" s="10"/>
      <c r="E295" s="8"/>
      <c r="F295" s="10"/>
      <c r="G295" s="10"/>
    </row>
    <row r="296" customFormat="false" ht="15" hidden="false" customHeight="true" outlineLevel="0" collapsed="false">
      <c r="A296" s="8"/>
      <c r="B296" s="8"/>
      <c r="C296" s="8"/>
      <c r="D296" s="10"/>
      <c r="E296" s="8"/>
      <c r="F296" s="10"/>
      <c r="G296" s="10"/>
    </row>
    <row r="297" customFormat="false" ht="15" hidden="false" customHeight="true" outlineLevel="0" collapsed="false">
      <c r="A297" s="8"/>
      <c r="B297" s="8"/>
      <c r="C297" s="8"/>
      <c r="D297" s="10"/>
      <c r="E297" s="8"/>
      <c r="F297" s="10"/>
      <c r="G297" s="10"/>
    </row>
    <row r="298" customFormat="false" ht="15" hidden="false" customHeight="true" outlineLevel="0" collapsed="false">
      <c r="A298" s="8"/>
      <c r="B298" s="8"/>
      <c r="C298" s="8"/>
      <c r="D298" s="10"/>
      <c r="E298" s="8"/>
      <c r="F298" s="10"/>
      <c r="G298" s="10"/>
    </row>
    <row r="299" customFormat="false" ht="15" hidden="false" customHeight="true" outlineLevel="0" collapsed="false">
      <c r="A299" s="8"/>
      <c r="B299" s="8"/>
      <c r="C299" s="8"/>
      <c r="D299" s="10"/>
      <c r="E299" s="8"/>
      <c r="F299" s="10"/>
      <c r="G299" s="10"/>
    </row>
    <row r="300" customFormat="false" ht="15" hidden="false" customHeight="true" outlineLevel="0" collapsed="false">
      <c r="A300" s="8"/>
      <c r="B300" s="8"/>
      <c r="C300" s="8"/>
      <c r="D300" s="10"/>
      <c r="E300" s="8"/>
      <c r="F300" s="10"/>
      <c r="G300" s="10"/>
    </row>
  </sheetData>
  <autoFilter ref="A2:G300"/>
  <mergeCells count="1">
    <mergeCell ref="A1:G1"/>
  </mergeCells>
  <dataValidations count="1">
    <dataValidation allowBlank="true" errorStyle="stop" operator="between" showDropDown="false" showErrorMessage="false" showInputMessage="false" sqref="E3:E300" type="list">
      <formula1>"En attente conseil,Delai contestation,Imprimable"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7"/>
    <col collapsed="false" customWidth="true" hidden="false" outlineLevel="0" max="2" min="2" style="1" width="19"/>
    <col collapsed="false" customWidth="true" hidden="false" outlineLevel="0" max="3" min="3" style="1" width="22"/>
    <col collapsed="false" customWidth="true" hidden="false" outlineLevel="0" max="4" min="4" style="1" width="21"/>
    <col collapsed="false" customWidth="true" hidden="false" outlineLevel="0" max="5" min="5" style="1" width="18"/>
    <col collapsed="false" customWidth="true" hidden="false" outlineLevel="0" max="6" min="6" style="1" width="16"/>
    <col collapsed="false" customWidth="true" hidden="false" outlineLevel="0" max="7" min="7" style="1" width="26"/>
    <col collapsed="false" customWidth="true" hidden="false" outlineLevel="0" max="8" min="8" style="1" width="22"/>
    <col collapsed="false" customWidth="true" hidden="false" outlineLevel="0" max="9" min="9" style="1" width="30"/>
    <col min="10" max="10" width="12" customWidth="1"/>
  </cols>
  <sheetData>
    <row r="1" customFormat="false" ht="30" hidden="false" customHeight="true" outlineLevel="0" collapsed="false">
      <c r="A1" s="2" t="s">
        <v>155</v>
      </c>
      <c r="B1" s="2"/>
      <c r="C1" s="2"/>
      <c r="D1" s="2"/>
      <c r="E1" s="2"/>
      <c r="F1" s="2"/>
      <c r="G1" s="2"/>
      <c r="H1" s="2"/>
      <c r="I1" s="2"/>
    </row>
    <row r="2" customFormat="false" ht="31.5" hidden="false" customHeight="true" outlineLevel="0" collapsed="false">
      <c r="A2" s="7" t="s">
        <v>156</v>
      </c>
      <c r="B2" s="7" t="s">
        <v>127</v>
      </c>
      <c r="C2" s="7" t="s">
        <v>157</v>
      </c>
      <c r="D2" s="7" t="s">
        <v>158</v>
      </c>
      <c r="E2" s="7" t="s">
        <v>159</v>
      </c>
      <c r="F2" s="7" t="s">
        <v>160</v>
      </c>
      <c r="G2" s="7" t="s">
        <v>161</v>
      </c>
      <c r="H2" s="7" t="s">
        <v>162</v>
      </c>
      <c r="I2" s="7" t="s">
        <v>163</v>
      </c>
      <c r="J2" s="7" t="inlineStr">
        <is>
          <t xml:space="preserve">Session</t>
        </is>
      </c>
      <c r="K2" s="7" t="inlineStr">
        <is>
          <t xml:space="preserve">Heures d'absence (**)</t>
        </is>
      </c>
    </row>
    <row r="3" customFormat="false" ht="15" hidden="false" customHeight="true" outlineLevel="0" collapsed="false">
      <c r="A3" s="8"/>
      <c r="B3" s="8"/>
      <c r="C3" s="8"/>
      <c r="D3" s="8"/>
      <c r="E3" s="10"/>
      <c r="F3" s="10"/>
      <c r="G3" s="8"/>
      <c r="H3" s="8"/>
      <c r="I3" s="8"/>
    </row>
    <row r="4" customFormat="false" ht="15" hidden="false" customHeight="true" outlineLevel="0" collapsed="false">
      <c r="A4" s="8"/>
      <c r="B4" s="8"/>
      <c r="C4" s="8"/>
      <c r="D4" s="8"/>
      <c r="E4" s="10"/>
      <c r="F4" s="10"/>
      <c r="G4" s="8"/>
      <c r="H4" s="8"/>
      <c r="I4" s="8"/>
    </row>
    <row r="5" customFormat="false" ht="15" hidden="false" customHeight="true" outlineLevel="0" collapsed="false">
      <c r="A5" s="8"/>
      <c r="B5" s="8"/>
      <c r="C5" s="8"/>
      <c r="D5" s="8"/>
      <c r="E5" s="10"/>
      <c r="F5" s="10"/>
      <c r="G5" s="8"/>
      <c r="H5" s="8"/>
      <c r="I5" s="8"/>
    </row>
    <row r="6" customFormat="false" ht="15" hidden="false" customHeight="true" outlineLevel="0" collapsed="false">
      <c r="A6" s="8"/>
      <c r="B6" s="8"/>
      <c r="C6" s="8"/>
      <c r="D6" s="8"/>
      <c r="E6" s="10"/>
      <c r="F6" s="10"/>
      <c r="G6" s="8"/>
      <c r="H6" s="8"/>
      <c r="I6" s="8"/>
    </row>
    <row r="7" customFormat="false" ht="15" hidden="false" customHeight="true" outlineLevel="0" collapsed="false">
      <c r="A7" s="8"/>
      <c r="B7" s="8"/>
      <c r="C7" s="8"/>
      <c r="D7" s="8"/>
      <c r="E7" s="10"/>
      <c r="F7" s="10"/>
      <c r="G7" s="8"/>
      <c r="H7" s="8"/>
      <c r="I7" s="8"/>
    </row>
    <row r="8" customFormat="false" ht="15" hidden="false" customHeight="true" outlineLevel="0" collapsed="false">
      <c r="A8" s="8"/>
      <c r="B8" s="8"/>
      <c r="C8" s="8"/>
      <c r="D8" s="8"/>
      <c r="E8" s="10"/>
      <c r="F8" s="10"/>
      <c r="G8" s="8"/>
      <c r="H8" s="8"/>
      <c r="I8" s="8"/>
    </row>
    <row r="9" customFormat="false" ht="15" hidden="false" customHeight="true" outlineLevel="0" collapsed="false">
      <c r="A9" s="8"/>
      <c r="B9" s="8"/>
      <c r="C9" s="8"/>
      <c r="D9" s="8"/>
      <c r="E9" s="10"/>
      <c r="F9" s="10"/>
      <c r="G9" s="8"/>
      <c r="H9" s="8"/>
      <c r="I9" s="8"/>
    </row>
    <row r="10" customFormat="false" ht="15" hidden="false" customHeight="true" outlineLevel="0" collapsed="false">
      <c r="A10" s="8"/>
      <c r="B10" s="8"/>
      <c r="C10" s="8"/>
      <c r="D10" s="8"/>
      <c r="E10" s="10"/>
      <c r="F10" s="10"/>
      <c r="G10" s="8"/>
      <c r="H10" s="8"/>
      <c r="I10" s="8"/>
    </row>
    <row r="11" customFormat="false" ht="15" hidden="false" customHeight="true" outlineLevel="0" collapsed="false">
      <c r="A11" s="8"/>
      <c r="B11" s="8"/>
      <c r="C11" s="8"/>
      <c r="D11" s="8"/>
      <c r="E11" s="10"/>
      <c r="F11" s="10"/>
      <c r="G11" s="8"/>
      <c r="H11" s="8"/>
      <c r="I11" s="8"/>
    </row>
    <row r="12" customFormat="false" ht="15" hidden="false" customHeight="true" outlineLevel="0" collapsed="false">
      <c r="A12" s="8"/>
      <c r="B12" s="8"/>
      <c r="C12" s="8"/>
      <c r="D12" s="8"/>
      <c r="E12" s="10"/>
      <c r="F12" s="10"/>
      <c r="G12" s="8"/>
      <c r="H12" s="8"/>
      <c r="I12" s="8"/>
    </row>
    <row r="13" customFormat="false" ht="15" hidden="false" customHeight="true" outlineLevel="0" collapsed="false">
      <c r="A13" s="8"/>
      <c r="B13" s="8"/>
      <c r="C13" s="8"/>
      <c r="D13" s="8"/>
      <c r="E13" s="10"/>
      <c r="F13" s="10"/>
      <c r="G13" s="8"/>
      <c r="H13" s="8"/>
      <c r="I13" s="8"/>
    </row>
    <row r="14" customFormat="false" ht="15" hidden="false" customHeight="true" outlineLevel="0" collapsed="false">
      <c r="A14" s="8"/>
      <c r="B14" s="8"/>
      <c r="C14" s="8"/>
      <c r="D14" s="8"/>
      <c r="E14" s="10"/>
      <c r="F14" s="10"/>
      <c r="G14" s="8"/>
      <c r="H14" s="8"/>
      <c r="I14" s="8"/>
    </row>
    <row r="15" customFormat="false" ht="15" hidden="false" customHeight="true" outlineLevel="0" collapsed="false">
      <c r="A15" s="8"/>
      <c r="B15" s="8"/>
      <c r="C15" s="8"/>
      <c r="D15" s="8"/>
      <c r="E15" s="10"/>
      <c r="F15" s="10"/>
      <c r="G15" s="8"/>
      <c r="H15" s="8"/>
      <c r="I15" s="8"/>
    </row>
    <row r="16" customFormat="false" ht="15" hidden="false" customHeight="true" outlineLevel="0" collapsed="false">
      <c r="A16" s="8"/>
      <c r="B16" s="8"/>
      <c r="C16" s="8"/>
      <c r="D16" s="8"/>
      <c r="E16" s="10"/>
      <c r="F16" s="10"/>
      <c r="G16" s="8"/>
      <c r="H16" s="8"/>
      <c r="I16" s="8"/>
    </row>
    <row r="17" customFormat="false" ht="15" hidden="false" customHeight="true" outlineLevel="0" collapsed="false">
      <c r="A17" s="8"/>
      <c r="B17" s="8"/>
      <c r="C17" s="8"/>
      <c r="D17" s="8"/>
      <c r="E17" s="10"/>
      <c r="F17" s="10"/>
      <c r="G17" s="8"/>
      <c r="H17" s="8"/>
      <c r="I17" s="8"/>
    </row>
    <row r="18" customFormat="false" ht="15" hidden="false" customHeight="true" outlineLevel="0" collapsed="false">
      <c r="A18" s="8"/>
      <c r="B18" s="8"/>
      <c r="C18" s="8"/>
      <c r="D18" s="8"/>
      <c r="E18" s="10"/>
      <c r="F18" s="10"/>
      <c r="G18" s="8"/>
      <c r="H18" s="8"/>
      <c r="I18" s="8"/>
    </row>
    <row r="19" customFormat="false" ht="15" hidden="false" customHeight="true" outlineLevel="0" collapsed="false">
      <c r="A19" s="8"/>
      <c r="B19" s="8"/>
      <c r="C19" s="8"/>
      <c r="D19" s="8"/>
      <c r="E19" s="10"/>
      <c r="F19" s="10"/>
      <c r="G19" s="8"/>
      <c r="H19" s="8"/>
      <c r="I19" s="8"/>
    </row>
    <row r="20" customFormat="false" ht="15" hidden="false" customHeight="true" outlineLevel="0" collapsed="false">
      <c r="A20" s="8"/>
      <c r="B20" s="8"/>
      <c r="C20" s="8"/>
      <c r="D20" s="8"/>
      <c r="E20" s="10"/>
      <c r="F20" s="10"/>
      <c r="G20" s="8"/>
      <c r="H20" s="8"/>
      <c r="I20" s="8"/>
    </row>
    <row r="21" customFormat="false" ht="15" hidden="false" customHeight="true" outlineLevel="0" collapsed="false">
      <c r="A21" s="8"/>
      <c r="B21" s="8"/>
      <c r="C21" s="8"/>
      <c r="D21" s="8"/>
      <c r="E21" s="10"/>
      <c r="F21" s="10"/>
      <c r="G21" s="8"/>
      <c r="H21" s="8"/>
      <c r="I21" s="8"/>
    </row>
    <row r="22" customFormat="false" ht="15" hidden="false" customHeight="true" outlineLevel="0" collapsed="false">
      <c r="A22" s="8"/>
      <c r="B22" s="8"/>
      <c r="C22" s="8"/>
      <c r="D22" s="8"/>
      <c r="E22" s="10"/>
      <c r="F22" s="10"/>
      <c r="G22" s="8"/>
      <c r="H22" s="8"/>
      <c r="I22" s="8"/>
    </row>
    <row r="23" customFormat="false" ht="15" hidden="false" customHeight="true" outlineLevel="0" collapsed="false">
      <c r="A23" s="8"/>
      <c r="B23" s="8"/>
      <c r="C23" s="8"/>
      <c r="D23" s="8"/>
      <c r="E23" s="10"/>
      <c r="F23" s="10"/>
      <c r="G23" s="8"/>
      <c r="H23" s="8"/>
      <c r="I23" s="8"/>
    </row>
    <row r="24" customFormat="false" ht="15" hidden="false" customHeight="true" outlineLevel="0" collapsed="false">
      <c r="A24" s="8"/>
      <c r="B24" s="8"/>
      <c r="C24" s="8"/>
      <c r="D24" s="8"/>
      <c r="E24" s="10"/>
      <c r="F24" s="10"/>
      <c r="G24" s="8"/>
      <c r="H24" s="8"/>
      <c r="I24" s="8"/>
    </row>
    <row r="25" customFormat="false" ht="15" hidden="false" customHeight="true" outlineLevel="0" collapsed="false">
      <c r="A25" s="8"/>
      <c r="B25" s="8"/>
      <c r="C25" s="8"/>
      <c r="D25" s="8"/>
      <c r="E25" s="10"/>
      <c r="F25" s="10"/>
      <c r="G25" s="8"/>
      <c r="H25" s="8"/>
      <c r="I25" s="8"/>
    </row>
    <row r="26" customFormat="false" ht="15" hidden="false" customHeight="true" outlineLevel="0" collapsed="false">
      <c r="A26" s="8"/>
      <c r="B26" s="8"/>
      <c r="C26" s="8"/>
      <c r="D26" s="8"/>
      <c r="E26" s="10"/>
      <c r="F26" s="10"/>
      <c r="G26" s="8"/>
      <c r="H26" s="8"/>
      <c r="I26" s="8"/>
    </row>
    <row r="27" customFormat="false" ht="15" hidden="false" customHeight="true" outlineLevel="0" collapsed="false">
      <c r="A27" s="8"/>
      <c r="B27" s="8"/>
      <c r="C27" s="8"/>
      <c r="D27" s="8"/>
      <c r="E27" s="10"/>
      <c r="F27" s="10"/>
      <c r="G27" s="8"/>
      <c r="H27" s="8"/>
      <c r="I27" s="8"/>
    </row>
    <row r="28" customFormat="false" ht="15" hidden="false" customHeight="true" outlineLevel="0" collapsed="false">
      <c r="A28" s="8"/>
      <c r="B28" s="8"/>
      <c r="C28" s="8"/>
      <c r="D28" s="8"/>
      <c r="E28" s="10"/>
      <c r="F28" s="10"/>
      <c r="G28" s="8"/>
      <c r="H28" s="8"/>
      <c r="I28" s="8"/>
    </row>
    <row r="29" customFormat="false" ht="15" hidden="false" customHeight="true" outlineLevel="0" collapsed="false">
      <c r="A29" s="8"/>
      <c r="B29" s="8"/>
      <c r="C29" s="8"/>
      <c r="D29" s="8"/>
      <c r="E29" s="10"/>
      <c r="F29" s="10"/>
      <c r="G29" s="8"/>
      <c r="H29" s="8"/>
      <c r="I29" s="8"/>
    </row>
    <row r="30" customFormat="false" ht="15" hidden="false" customHeight="true" outlineLevel="0" collapsed="false">
      <c r="A30" s="8"/>
      <c r="B30" s="8"/>
      <c r="C30" s="8"/>
      <c r="D30" s="8"/>
      <c r="E30" s="10"/>
      <c r="F30" s="10"/>
      <c r="G30" s="8"/>
      <c r="H30" s="8"/>
      <c r="I30" s="8"/>
    </row>
    <row r="31" customFormat="false" ht="15" hidden="false" customHeight="true" outlineLevel="0" collapsed="false">
      <c r="A31" s="8"/>
      <c r="B31" s="8"/>
      <c r="C31" s="8"/>
      <c r="D31" s="8"/>
      <c r="E31" s="10"/>
      <c r="F31" s="10"/>
      <c r="G31" s="8"/>
      <c r="H31" s="8"/>
      <c r="I31" s="8"/>
    </row>
    <row r="32" customFormat="false" ht="15" hidden="false" customHeight="true" outlineLevel="0" collapsed="false">
      <c r="A32" s="8"/>
      <c r="B32" s="8"/>
      <c r="C32" s="8"/>
      <c r="D32" s="8"/>
      <c r="E32" s="10"/>
      <c r="F32" s="10"/>
      <c r="G32" s="8"/>
      <c r="H32" s="8"/>
      <c r="I32" s="8"/>
    </row>
    <row r="33" customFormat="false" ht="15" hidden="false" customHeight="true" outlineLevel="0" collapsed="false">
      <c r="A33" s="8"/>
      <c r="B33" s="8"/>
      <c r="C33" s="8"/>
      <c r="D33" s="8"/>
      <c r="E33" s="10"/>
      <c r="F33" s="10"/>
      <c r="G33" s="8"/>
      <c r="H33" s="8"/>
      <c r="I33" s="8"/>
    </row>
    <row r="34" customFormat="false" ht="15" hidden="false" customHeight="true" outlineLevel="0" collapsed="false">
      <c r="A34" s="8"/>
      <c r="B34" s="8"/>
      <c r="C34" s="8"/>
      <c r="D34" s="8"/>
      <c r="E34" s="10"/>
      <c r="F34" s="10"/>
      <c r="G34" s="8"/>
      <c r="H34" s="8"/>
      <c r="I34" s="8"/>
    </row>
    <row r="35" customFormat="false" ht="15" hidden="false" customHeight="true" outlineLevel="0" collapsed="false">
      <c r="A35" s="8"/>
      <c r="B35" s="8"/>
      <c r="C35" s="8"/>
      <c r="D35" s="8"/>
      <c r="E35" s="10"/>
      <c r="F35" s="10"/>
      <c r="G35" s="8"/>
      <c r="H35" s="8"/>
      <c r="I35" s="8"/>
    </row>
    <row r="36" customFormat="false" ht="15" hidden="false" customHeight="true" outlineLevel="0" collapsed="false">
      <c r="A36" s="8"/>
      <c r="B36" s="8"/>
      <c r="C36" s="8"/>
      <c r="D36" s="8"/>
      <c r="E36" s="10"/>
      <c r="F36" s="10"/>
      <c r="G36" s="8"/>
      <c r="H36" s="8"/>
      <c r="I36" s="8"/>
    </row>
    <row r="37" customFormat="false" ht="15" hidden="false" customHeight="true" outlineLevel="0" collapsed="false">
      <c r="A37" s="8"/>
      <c r="B37" s="8"/>
      <c r="C37" s="8"/>
      <c r="D37" s="8"/>
      <c r="E37" s="10"/>
      <c r="F37" s="10"/>
      <c r="G37" s="8"/>
      <c r="H37" s="8"/>
      <c r="I37" s="8"/>
    </row>
    <row r="38" customFormat="false" ht="15" hidden="false" customHeight="true" outlineLevel="0" collapsed="false">
      <c r="A38" s="8"/>
      <c r="B38" s="8"/>
      <c r="C38" s="8"/>
      <c r="D38" s="8"/>
      <c r="E38" s="10"/>
      <c r="F38" s="10"/>
      <c r="G38" s="8"/>
      <c r="H38" s="8"/>
      <c r="I38" s="8"/>
    </row>
    <row r="39" customFormat="false" ht="15" hidden="false" customHeight="true" outlineLevel="0" collapsed="false">
      <c r="A39" s="8"/>
      <c r="B39" s="8"/>
      <c r="C39" s="8"/>
      <c r="D39" s="8"/>
      <c r="E39" s="10"/>
      <c r="F39" s="10"/>
      <c r="G39" s="8"/>
      <c r="H39" s="8"/>
      <c r="I39" s="8"/>
    </row>
    <row r="40" customFormat="false" ht="15" hidden="false" customHeight="true" outlineLevel="0" collapsed="false">
      <c r="A40" s="8"/>
      <c r="B40" s="8"/>
      <c r="C40" s="8"/>
      <c r="D40" s="8"/>
      <c r="E40" s="10"/>
      <c r="F40" s="10"/>
      <c r="G40" s="8"/>
      <c r="H40" s="8"/>
      <c r="I40" s="8"/>
    </row>
    <row r="41" customFormat="false" ht="15" hidden="false" customHeight="true" outlineLevel="0" collapsed="false">
      <c r="A41" s="8"/>
      <c r="B41" s="8"/>
      <c r="C41" s="8"/>
      <c r="D41" s="8"/>
      <c r="E41" s="10"/>
      <c r="F41" s="10"/>
      <c r="G41" s="8"/>
      <c r="H41" s="8"/>
      <c r="I41" s="8"/>
    </row>
    <row r="42" customFormat="false" ht="15" hidden="false" customHeight="true" outlineLevel="0" collapsed="false">
      <c r="A42" s="8"/>
      <c r="B42" s="8"/>
      <c r="C42" s="8"/>
      <c r="D42" s="8"/>
      <c r="E42" s="10"/>
      <c r="F42" s="10"/>
      <c r="G42" s="8"/>
      <c r="H42" s="8"/>
      <c r="I42" s="8"/>
    </row>
    <row r="43" customFormat="false" ht="15" hidden="false" customHeight="true" outlineLevel="0" collapsed="false">
      <c r="A43" s="8"/>
      <c r="B43" s="8"/>
      <c r="C43" s="8"/>
      <c r="D43" s="8"/>
      <c r="E43" s="10"/>
      <c r="F43" s="10"/>
      <c r="G43" s="8"/>
      <c r="H43" s="8"/>
      <c r="I43" s="8"/>
    </row>
    <row r="44" customFormat="false" ht="15" hidden="false" customHeight="true" outlineLevel="0" collapsed="false">
      <c r="A44" s="8"/>
      <c r="B44" s="8"/>
      <c r="C44" s="8"/>
      <c r="D44" s="8"/>
      <c r="E44" s="10"/>
      <c r="F44" s="10"/>
      <c r="G44" s="8"/>
      <c r="H44" s="8"/>
      <c r="I44" s="8"/>
    </row>
    <row r="45" customFormat="false" ht="15" hidden="false" customHeight="true" outlineLevel="0" collapsed="false">
      <c r="A45" s="8"/>
      <c r="B45" s="8"/>
      <c r="C45" s="8"/>
      <c r="D45" s="8"/>
      <c r="E45" s="10"/>
      <c r="F45" s="10"/>
      <c r="G45" s="8"/>
      <c r="H45" s="8"/>
      <c r="I45" s="8"/>
    </row>
    <row r="46" customFormat="false" ht="15" hidden="false" customHeight="true" outlineLevel="0" collapsed="false">
      <c r="A46" s="8"/>
      <c r="B46" s="8"/>
      <c r="C46" s="8"/>
      <c r="D46" s="8"/>
      <c r="E46" s="10"/>
      <c r="F46" s="10"/>
      <c r="G46" s="8"/>
      <c r="H46" s="8"/>
      <c r="I46" s="8"/>
    </row>
    <row r="47" customFormat="false" ht="15" hidden="false" customHeight="true" outlineLevel="0" collapsed="false">
      <c r="A47" s="8"/>
      <c r="B47" s="8"/>
      <c r="C47" s="8"/>
      <c r="D47" s="8"/>
      <c r="E47" s="10"/>
      <c r="F47" s="10"/>
      <c r="G47" s="8"/>
      <c r="H47" s="8"/>
      <c r="I47" s="8"/>
    </row>
    <row r="48" customFormat="false" ht="15" hidden="false" customHeight="true" outlineLevel="0" collapsed="false">
      <c r="A48" s="8"/>
      <c r="B48" s="8"/>
      <c r="C48" s="8"/>
      <c r="D48" s="8"/>
      <c r="E48" s="10"/>
      <c r="F48" s="10"/>
      <c r="G48" s="8"/>
      <c r="H48" s="8"/>
      <c r="I48" s="8"/>
    </row>
    <row r="49" customFormat="false" ht="15" hidden="false" customHeight="true" outlineLevel="0" collapsed="false">
      <c r="A49" s="8"/>
      <c r="B49" s="8"/>
      <c r="C49" s="8"/>
      <c r="D49" s="8"/>
      <c r="E49" s="10"/>
      <c r="F49" s="10"/>
      <c r="G49" s="8"/>
      <c r="H49" s="8"/>
      <c r="I49" s="8"/>
    </row>
    <row r="50" customFormat="false" ht="15" hidden="false" customHeight="true" outlineLevel="0" collapsed="false">
      <c r="A50" s="8"/>
      <c r="B50" s="8"/>
      <c r="C50" s="8"/>
      <c r="D50" s="8"/>
      <c r="E50" s="10"/>
      <c r="F50" s="10"/>
      <c r="G50" s="8"/>
      <c r="H50" s="8"/>
      <c r="I50" s="8"/>
    </row>
    <row r="51" customFormat="false" ht="15" hidden="false" customHeight="true" outlineLevel="0" collapsed="false">
      <c r="A51" s="8"/>
      <c r="B51" s="8"/>
      <c r="C51" s="8"/>
      <c r="D51" s="8"/>
      <c r="E51" s="10"/>
      <c r="F51" s="10"/>
      <c r="G51" s="8"/>
      <c r="H51" s="8"/>
      <c r="I51" s="8"/>
    </row>
    <row r="52" customFormat="false" ht="15" hidden="false" customHeight="true" outlineLevel="0" collapsed="false">
      <c r="A52" s="8"/>
      <c r="B52" s="8"/>
      <c r="C52" s="8"/>
      <c r="D52" s="8"/>
      <c r="E52" s="10"/>
      <c r="F52" s="10"/>
      <c r="G52" s="8"/>
      <c r="H52" s="8"/>
      <c r="I52" s="8"/>
    </row>
    <row r="53" customFormat="false" ht="15" hidden="false" customHeight="true" outlineLevel="0" collapsed="false">
      <c r="A53" s="8"/>
      <c r="B53" s="8"/>
      <c r="C53" s="8"/>
      <c r="D53" s="8"/>
      <c r="E53" s="10"/>
      <c r="F53" s="10"/>
      <c r="G53" s="8"/>
      <c r="H53" s="8"/>
      <c r="I53" s="8"/>
    </row>
    <row r="54" customFormat="false" ht="15" hidden="false" customHeight="true" outlineLevel="0" collapsed="false">
      <c r="A54" s="8"/>
      <c r="B54" s="8"/>
      <c r="C54" s="8"/>
      <c r="D54" s="8"/>
      <c r="E54" s="10"/>
      <c r="F54" s="10"/>
      <c r="G54" s="8"/>
      <c r="H54" s="8"/>
      <c r="I54" s="8"/>
    </row>
    <row r="55" customFormat="false" ht="15" hidden="false" customHeight="true" outlineLevel="0" collapsed="false">
      <c r="A55" s="8"/>
      <c r="B55" s="8"/>
      <c r="C55" s="8"/>
      <c r="D55" s="8"/>
      <c r="E55" s="10"/>
      <c r="F55" s="10"/>
      <c r="G55" s="8"/>
      <c r="H55" s="8"/>
      <c r="I55" s="8"/>
    </row>
    <row r="56" customFormat="false" ht="15" hidden="false" customHeight="true" outlineLevel="0" collapsed="false">
      <c r="A56" s="8"/>
      <c r="B56" s="8"/>
      <c r="C56" s="8"/>
      <c r="D56" s="8"/>
      <c r="E56" s="10"/>
      <c r="F56" s="10"/>
      <c r="G56" s="8"/>
      <c r="H56" s="8"/>
      <c r="I56" s="8"/>
    </row>
    <row r="57" customFormat="false" ht="15" hidden="false" customHeight="true" outlineLevel="0" collapsed="false">
      <c r="A57" s="8"/>
      <c r="B57" s="8"/>
      <c r="C57" s="8"/>
      <c r="D57" s="8"/>
      <c r="E57" s="10"/>
      <c r="F57" s="10"/>
      <c r="G57" s="8"/>
      <c r="H57" s="8"/>
      <c r="I57" s="8"/>
    </row>
    <row r="58" customFormat="false" ht="15" hidden="false" customHeight="true" outlineLevel="0" collapsed="false">
      <c r="A58" s="8"/>
      <c r="B58" s="8"/>
      <c r="C58" s="8"/>
      <c r="D58" s="8"/>
      <c r="E58" s="10"/>
      <c r="F58" s="10"/>
      <c r="G58" s="8"/>
      <c r="H58" s="8"/>
      <c r="I58" s="8"/>
    </row>
    <row r="59" customFormat="false" ht="15" hidden="false" customHeight="true" outlineLevel="0" collapsed="false">
      <c r="A59" s="8"/>
      <c r="B59" s="8"/>
      <c r="C59" s="8"/>
      <c r="D59" s="8"/>
      <c r="E59" s="10"/>
      <c r="F59" s="10"/>
      <c r="G59" s="8"/>
      <c r="H59" s="8"/>
      <c r="I59" s="8"/>
    </row>
    <row r="60" customFormat="false" ht="15" hidden="false" customHeight="true" outlineLevel="0" collapsed="false">
      <c r="A60" s="8"/>
      <c r="B60" s="8"/>
      <c r="C60" s="8"/>
      <c r="D60" s="8"/>
      <c r="E60" s="10"/>
      <c r="F60" s="10"/>
      <c r="G60" s="8"/>
      <c r="H60" s="8"/>
      <c r="I60" s="8"/>
    </row>
    <row r="61" customFormat="false" ht="15" hidden="false" customHeight="true" outlineLevel="0" collapsed="false">
      <c r="A61" s="8"/>
      <c r="B61" s="8"/>
      <c r="C61" s="8"/>
      <c r="D61" s="8"/>
      <c r="E61" s="10"/>
      <c r="F61" s="10"/>
      <c r="G61" s="8"/>
      <c r="H61" s="8"/>
      <c r="I61" s="8"/>
    </row>
    <row r="62" customFormat="false" ht="15" hidden="false" customHeight="true" outlineLevel="0" collapsed="false">
      <c r="A62" s="8"/>
      <c r="B62" s="8"/>
      <c r="C62" s="8"/>
      <c r="D62" s="8"/>
      <c r="E62" s="10"/>
      <c r="F62" s="10"/>
      <c r="G62" s="8"/>
      <c r="H62" s="8"/>
      <c r="I62" s="8"/>
    </row>
    <row r="63" customFormat="false" ht="15" hidden="false" customHeight="true" outlineLevel="0" collapsed="false">
      <c r="A63" s="8"/>
      <c r="B63" s="8"/>
      <c r="C63" s="8"/>
      <c r="D63" s="8"/>
      <c r="E63" s="10"/>
      <c r="F63" s="10"/>
      <c r="G63" s="8"/>
      <c r="H63" s="8"/>
      <c r="I63" s="8"/>
    </row>
    <row r="64" customFormat="false" ht="15" hidden="false" customHeight="true" outlineLevel="0" collapsed="false">
      <c r="A64" s="8"/>
      <c r="B64" s="8"/>
      <c r="C64" s="8"/>
      <c r="D64" s="8"/>
      <c r="E64" s="10"/>
      <c r="F64" s="10"/>
      <c r="G64" s="8"/>
      <c r="H64" s="8"/>
      <c r="I64" s="8"/>
    </row>
    <row r="65" customFormat="false" ht="15" hidden="false" customHeight="true" outlineLevel="0" collapsed="false">
      <c r="A65" s="8"/>
      <c r="B65" s="8"/>
      <c r="C65" s="8"/>
      <c r="D65" s="8"/>
      <c r="E65" s="10"/>
      <c r="F65" s="10"/>
      <c r="G65" s="8"/>
      <c r="H65" s="8"/>
      <c r="I65" s="8"/>
    </row>
    <row r="66" customFormat="false" ht="15" hidden="false" customHeight="true" outlineLevel="0" collapsed="false">
      <c r="A66" s="8"/>
      <c r="B66" s="8"/>
      <c r="C66" s="8"/>
      <c r="D66" s="8"/>
      <c r="E66" s="10"/>
      <c r="F66" s="10"/>
      <c r="G66" s="8"/>
      <c r="H66" s="8"/>
      <c r="I66" s="8"/>
    </row>
    <row r="67" customFormat="false" ht="15" hidden="false" customHeight="true" outlineLevel="0" collapsed="false">
      <c r="A67" s="8"/>
      <c r="B67" s="8"/>
      <c r="C67" s="8"/>
      <c r="D67" s="8"/>
      <c r="E67" s="10"/>
      <c r="F67" s="10"/>
      <c r="G67" s="8"/>
      <c r="H67" s="8"/>
      <c r="I67" s="8"/>
    </row>
    <row r="68" customFormat="false" ht="15" hidden="false" customHeight="true" outlineLevel="0" collapsed="false">
      <c r="A68" s="8"/>
      <c r="B68" s="8"/>
      <c r="C68" s="8"/>
      <c r="D68" s="8"/>
      <c r="E68" s="10"/>
      <c r="F68" s="10"/>
      <c r="G68" s="8"/>
      <c r="H68" s="8"/>
      <c r="I68" s="8"/>
    </row>
    <row r="69" customFormat="false" ht="15" hidden="false" customHeight="true" outlineLevel="0" collapsed="false">
      <c r="A69" s="8"/>
      <c r="B69" s="8"/>
      <c r="C69" s="8"/>
      <c r="D69" s="8"/>
      <c r="E69" s="10"/>
      <c r="F69" s="10"/>
      <c r="G69" s="8"/>
      <c r="H69" s="8"/>
      <c r="I69" s="8"/>
    </row>
    <row r="70" customFormat="false" ht="15" hidden="false" customHeight="true" outlineLevel="0" collapsed="false">
      <c r="A70" s="8"/>
      <c r="B70" s="8"/>
      <c r="C70" s="8"/>
      <c r="D70" s="8"/>
      <c r="E70" s="10"/>
      <c r="F70" s="10"/>
      <c r="G70" s="8"/>
      <c r="H70" s="8"/>
      <c r="I70" s="8"/>
    </row>
    <row r="71" customFormat="false" ht="15" hidden="false" customHeight="true" outlineLevel="0" collapsed="false">
      <c r="A71" s="8"/>
      <c r="B71" s="8"/>
      <c r="C71" s="8"/>
      <c r="D71" s="8"/>
      <c r="E71" s="10"/>
      <c r="F71" s="10"/>
      <c r="G71" s="8"/>
      <c r="H71" s="8"/>
      <c r="I71" s="8"/>
    </row>
    <row r="72" customFormat="false" ht="15" hidden="false" customHeight="true" outlineLevel="0" collapsed="false">
      <c r="A72" s="8"/>
      <c r="B72" s="8"/>
      <c r="C72" s="8"/>
      <c r="D72" s="8"/>
      <c r="E72" s="10"/>
      <c r="F72" s="10"/>
      <c r="G72" s="8"/>
      <c r="H72" s="8"/>
      <c r="I72" s="8"/>
    </row>
    <row r="73" customFormat="false" ht="15" hidden="false" customHeight="true" outlineLevel="0" collapsed="false">
      <c r="A73" s="8"/>
      <c r="B73" s="8"/>
      <c r="C73" s="8"/>
      <c r="D73" s="8"/>
      <c r="E73" s="10"/>
      <c r="F73" s="10"/>
      <c r="G73" s="8"/>
      <c r="H73" s="8"/>
      <c r="I73" s="8"/>
    </row>
    <row r="74" customFormat="false" ht="15" hidden="false" customHeight="true" outlineLevel="0" collapsed="false">
      <c r="A74" s="8"/>
      <c r="B74" s="8"/>
      <c r="C74" s="8"/>
      <c r="D74" s="8"/>
      <c r="E74" s="10"/>
      <c r="F74" s="10"/>
      <c r="G74" s="8"/>
      <c r="H74" s="8"/>
      <c r="I74" s="8"/>
    </row>
    <row r="75" customFormat="false" ht="15" hidden="false" customHeight="true" outlineLevel="0" collapsed="false">
      <c r="A75" s="8"/>
      <c r="B75" s="8"/>
      <c r="C75" s="8"/>
      <c r="D75" s="8"/>
      <c r="E75" s="10"/>
      <c r="F75" s="10"/>
      <c r="G75" s="8"/>
      <c r="H75" s="8"/>
      <c r="I75" s="8"/>
    </row>
    <row r="76" customFormat="false" ht="15" hidden="false" customHeight="true" outlineLevel="0" collapsed="false">
      <c r="A76" s="8"/>
      <c r="B76" s="8"/>
      <c r="C76" s="8"/>
      <c r="D76" s="8"/>
      <c r="E76" s="10"/>
      <c r="F76" s="10"/>
      <c r="G76" s="8"/>
      <c r="H76" s="8"/>
      <c r="I76" s="8"/>
    </row>
    <row r="77" customFormat="false" ht="15" hidden="false" customHeight="true" outlineLevel="0" collapsed="false">
      <c r="A77" s="8"/>
      <c r="B77" s="8"/>
      <c r="C77" s="8"/>
      <c r="D77" s="8"/>
      <c r="E77" s="10"/>
      <c r="F77" s="10"/>
      <c r="G77" s="8"/>
      <c r="H77" s="8"/>
      <c r="I77" s="8"/>
    </row>
    <row r="78" customFormat="false" ht="15" hidden="false" customHeight="true" outlineLevel="0" collapsed="false">
      <c r="A78" s="8"/>
      <c r="B78" s="8"/>
      <c r="C78" s="8"/>
      <c r="D78" s="8"/>
      <c r="E78" s="10"/>
      <c r="F78" s="10"/>
      <c r="G78" s="8"/>
      <c r="H78" s="8"/>
      <c r="I78" s="8"/>
    </row>
    <row r="79" customFormat="false" ht="15" hidden="false" customHeight="true" outlineLevel="0" collapsed="false">
      <c r="A79" s="8"/>
      <c r="B79" s="8"/>
      <c r="C79" s="8"/>
      <c r="D79" s="8"/>
      <c r="E79" s="10"/>
      <c r="F79" s="10"/>
      <c r="G79" s="8"/>
      <c r="H79" s="8"/>
      <c r="I79" s="8"/>
    </row>
    <row r="80" customFormat="false" ht="15" hidden="false" customHeight="true" outlineLevel="0" collapsed="false">
      <c r="A80" s="8"/>
      <c r="B80" s="8"/>
      <c r="C80" s="8"/>
      <c r="D80" s="8"/>
      <c r="E80" s="10"/>
      <c r="F80" s="10"/>
      <c r="G80" s="8"/>
      <c r="H80" s="8"/>
      <c r="I80" s="8"/>
    </row>
    <row r="81" customFormat="false" ht="15" hidden="false" customHeight="true" outlineLevel="0" collapsed="false">
      <c r="A81" s="8"/>
      <c r="B81" s="8"/>
      <c r="C81" s="8"/>
      <c r="D81" s="8"/>
      <c r="E81" s="10"/>
      <c r="F81" s="10"/>
      <c r="G81" s="8"/>
      <c r="H81" s="8"/>
      <c r="I81" s="8"/>
    </row>
    <row r="82" customFormat="false" ht="15" hidden="false" customHeight="true" outlineLevel="0" collapsed="false">
      <c r="A82" s="8"/>
      <c r="B82" s="8"/>
      <c r="C82" s="8"/>
      <c r="D82" s="8"/>
      <c r="E82" s="10"/>
      <c r="F82" s="10"/>
      <c r="G82" s="8"/>
      <c r="H82" s="8"/>
      <c r="I82" s="8"/>
    </row>
    <row r="83" customFormat="false" ht="15" hidden="false" customHeight="true" outlineLevel="0" collapsed="false">
      <c r="A83" s="8"/>
      <c r="B83" s="8"/>
      <c r="C83" s="8"/>
      <c r="D83" s="8"/>
      <c r="E83" s="10"/>
      <c r="F83" s="10"/>
      <c r="G83" s="8"/>
      <c r="H83" s="8"/>
      <c r="I83" s="8"/>
    </row>
    <row r="84" customFormat="false" ht="15" hidden="false" customHeight="true" outlineLevel="0" collapsed="false">
      <c r="A84" s="8"/>
      <c r="B84" s="8"/>
      <c r="C84" s="8"/>
      <c r="D84" s="8"/>
      <c r="E84" s="10"/>
      <c r="F84" s="10"/>
      <c r="G84" s="8"/>
      <c r="H84" s="8"/>
      <c r="I84" s="8"/>
    </row>
    <row r="85" customFormat="false" ht="15" hidden="false" customHeight="true" outlineLevel="0" collapsed="false">
      <c r="A85" s="8"/>
      <c r="B85" s="8"/>
      <c r="C85" s="8"/>
      <c r="D85" s="8"/>
      <c r="E85" s="10"/>
      <c r="F85" s="10"/>
      <c r="G85" s="8"/>
      <c r="H85" s="8"/>
      <c r="I85" s="8"/>
    </row>
    <row r="86" customFormat="false" ht="15" hidden="false" customHeight="true" outlineLevel="0" collapsed="false">
      <c r="A86" s="8"/>
      <c r="B86" s="8"/>
      <c r="C86" s="8"/>
      <c r="D86" s="8"/>
      <c r="E86" s="10"/>
      <c r="F86" s="10"/>
      <c r="G86" s="8"/>
      <c r="H86" s="8"/>
      <c r="I86" s="8"/>
    </row>
    <row r="87" customFormat="false" ht="15" hidden="false" customHeight="true" outlineLevel="0" collapsed="false">
      <c r="A87" s="8"/>
      <c r="B87" s="8"/>
      <c r="C87" s="8"/>
      <c r="D87" s="8"/>
      <c r="E87" s="10"/>
      <c r="F87" s="10"/>
      <c r="G87" s="8"/>
      <c r="H87" s="8"/>
      <c r="I87" s="8"/>
    </row>
    <row r="88" customFormat="false" ht="15" hidden="false" customHeight="true" outlineLevel="0" collapsed="false">
      <c r="A88" s="8"/>
      <c r="B88" s="8"/>
      <c r="C88" s="8"/>
      <c r="D88" s="8"/>
      <c r="E88" s="10"/>
      <c r="F88" s="10"/>
      <c r="G88" s="8"/>
      <c r="H88" s="8"/>
      <c r="I88" s="8"/>
    </row>
    <row r="89" customFormat="false" ht="15" hidden="false" customHeight="true" outlineLevel="0" collapsed="false">
      <c r="A89" s="8"/>
      <c r="B89" s="8"/>
      <c r="C89" s="8"/>
      <c r="D89" s="8"/>
      <c r="E89" s="10"/>
      <c r="F89" s="10"/>
      <c r="G89" s="8"/>
      <c r="H89" s="8"/>
      <c r="I89" s="8"/>
    </row>
    <row r="90" customFormat="false" ht="15" hidden="false" customHeight="true" outlineLevel="0" collapsed="false">
      <c r="A90" s="8"/>
      <c r="B90" s="8"/>
      <c r="C90" s="8"/>
      <c r="D90" s="8"/>
      <c r="E90" s="10"/>
      <c r="F90" s="10"/>
      <c r="G90" s="8"/>
      <c r="H90" s="8"/>
      <c r="I90" s="8"/>
    </row>
    <row r="91" customFormat="false" ht="15" hidden="false" customHeight="true" outlineLevel="0" collapsed="false">
      <c r="A91" s="8"/>
      <c r="B91" s="8"/>
      <c r="C91" s="8"/>
      <c r="D91" s="8"/>
      <c r="E91" s="10"/>
      <c r="F91" s="10"/>
      <c r="G91" s="8"/>
      <c r="H91" s="8"/>
      <c r="I91" s="8"/>
    </row>
    <row r="92" customFormat="false" ht="15" hidden="false" customHeight="true" outlineLevel="0" collapsed="false">
      <c r="A92" s="8"/>
      <c r="B92" s="8"/>
      <c r="C92" s="8"/>
      <c r="D92" s="8"/>
      <c r="E92" s="10"/>
      <c r="F92" s="10"/>
      <c r="G92" s="8"/>
      <c r="H92" s="8"/>
      <c r="I92" s="8"/>
    </row>
    <row r="93" customFormat="false" ht="15" hidden="false" customHeight="true" outlineLevel="0" collapsed="false">
      <c r="A93" s="8"/>
      <c r="B93" s="8"/>
      <c r="C93" s="8"/>
      <c r="D93" s="8"/>
      <c r="E93" s="10"/>
      <c r="F93" s="10"/>
      <c r="G93" s="8"/>
      <c r="H93" s="8"/>
      <c r="I93" s="8"/>
    </row>
    <row r="94" customFormat="false" ht="15" hidden="false" customHeight="true" outlineLevel="0" collapsed="false">
      <c r="A94" s="8"/>
      <c r="B94" s="8"/>
      <c r="C94" s="8"/>
      <c r="D94" s="8"/>
      <c r="E94" s="10"/>
      <c r="F94" s="10"/>
      <c r="G94" s="8"/>
      <c r="H94" s="8"/>
      <c r="I94" s="8"/>
    </row>
    <row r="95" customFormat="false" ht="15" hidden="false" customHeight="true" outlineLevel="0" collapsed="false">
      <c r="A95" s="8"/>
      <c r="B95" s="8"/>
      <c r="C95" s="8"/>
      <c r="D95" s="8"/>
      <c r="E95" s="10"/>
      <c r="F95" s="10"/>
      <c r="G95" s="8"/>
      <c r="H95" s="8"/>
      <c r="I95" s="8"/>
    </row>
    <row r="96" customFormat="false" ht="15" hidden="false" customHeight="true" outlineLevel="0" collapsed="false">
      <c r="A96" s="8"/>
      <c r="B96" s="8"/>
      <c r="C96" s="8"/>
      <c r="D96" s="8"/>
      <c r="E96" s="10"/>
      <c r="F96" s="10"/>
      <c r="G96" s="8"/>
      <c r="H96" s="8"/>
      <c r="I96" s="8"/>
    </row>
    <row r="97" customFormat="false" ht="15" hidden="false" customHeight="true" outlineLevel="0" collapsed="false">
      <c r="A97" s="8"/>
      <c r="B97" s="8"/>
      <c r="C97" s="8"/>
      <c r="D97" s="8"/>
      <c r="E97" s="10"/>
      <c r="F97" s="10"/>
      <c r="G97" s="8"/>
      <c r="H97" s="8"/>
      <c r="I97" s="8"/>
    </row>
    <row r="98" customFormat="false" ht="15" hidden="false" customHeight="true" outlineLevel="0" collapsed="false">
      <c r="A98" s="8"/>
      <c r="B98" s="8"/>
      <c r="C98" s="8"/>
      <c r="D98" s="8"/>
      <c r="E98" s="10"/>
      <c r="F98" s="10"/>
      <c r="G98" s="8"/>
      <c r="H98" s="8"/>
      <c r="I98" s="8"/>
    </row>
    <row r="99" customFormat="false" ht="15" hidden="false" customHeight="true" outlineLevel="0" collapsed="false">
      <c r="A99" s="8"/>
      <c r="B99" s="8"/>
      <c r="C99" s="8"/>
      <c r="D99" s="8"/>
      <c r="E99" s="10"/>
      <c r="F99" s="10"/>
      <c r="G99" s="8"/>
      <c r="H99" s="8"/>
      <c r="I99" s="8"/>
    </row>
    <row r="100" customFormat="false" ht="15" hidden="false" customHeight="true" outlineLevel="0" collapsed="false">
      <c r="A100" s="8"/>
      <c r="B100" s="8"/>
      <c r="C100" s="8"/>
      <c r="D100" s="8"/>
      <c r="E100" s="10"/>
      <c r="F100" s="10"/>
      <c r="G100" s="8"/>
      <c r="H100" s="8"/>
      <c r="I100" s="8"/>
    </row>
    <row r="101" customFormat="false" ht="15" hidden="false" customHeight="true" outlineLevel="0" collapsed="false">
      <c r="A101" s="8"/>
      <c r="B101" s="8"/>
      <c r="C101" s="8"/>
      <c r="D101" s="8"/>
      <c r="E101" s="10"/>
      <c r="F101" s="10"/>
      <c r="G101" s="8"/>
      <c r="H101" s="8"/>
      <c r="I101" s="8"/>
    </row>
    <row r="102" customFormat="false" ht="15" hidden="false" customHeight="true" outlineLevel="0" collapsed="false">
      <c r="A102" s="8"/>
      <c r="B102" s="8"/>
      <c r="C102" s="8"/>
      <c r="D102" s="8"/>
      <c r="E102" s="10"/>
      <c r="F102" s="10"/>
      <c r="G102" s="8"/>
      <c r="H102" s="8"/>
      <c r="I102" s="8"/>
    </row>
    <row r="103" customFormat="false" ht="15" hidden="false" customHeight="true" outlineLevel="0" collapsed="false">
      <c r="A103" s="8"/>
      <c r="B103" s="8"/>
      <c r="C103" s="8"/>
      <c r="D103" s="8"/>
      <c r="E103" s="10"/>
      <c r="F103" s="10"/>
      <c r="G103" s="8"/>
      <c r="H103" s="8"/>
      <c r="I103" s="8"/>
    </row>
    <row r="104" customFormat="false" ht="15" hidden="false" customHeight="true" outlineLevel="0" collapsed="false">
      <c r="A104" s="8"/>
      <c r="B104" s="8"/>
      <c r="C104" s="8"/>
      <c r="D104" s="8"/>
      <c r="E104" s="10"/>
      <c r="F104" s="10"/>
      <c r="G104" s="8"/>
      <c r="H104" s="8"/>
      <c r="I104" s="8"/>
    </row>
    <row r="105" customFormat="false" ht="15" hidden="false" customHeight="true" outlineLevel="0" collapsed="false">
      <c r="A105" s="8"/>
      <c r="B105" s="8"/>
      <c r="C105" s="8"/>
      <c r="D105" s="8"/>
      <c r="E105" s="10"/>
      <c r="F105" s="10"/>
      <c r="G105" s="8"/>
      <c r="H105" s="8"/>
      <c r="I105" s="8"/>
    </row>
    <row r="106" customFormat="false" ht="15" hidden="false" customHeight="true" outlineLevel="0" collapsed="false">
      <c r="A106" s="8"/>
      <c r="B106" s="8"/>
      <c r="C106" s="8"/>
      <c r="D106" s="8"/>
      <c r="E106" s="10"/>
      <c r="F106" s="10"/>
      <c r="G106" s="8"/>
      <c r="H106" s="8"/>
      <c r="I106" s="8"/>
    </row>
    <row r="107" customFormat="false" ht="15" hidden="false" customHeight="true" outlineLevel="0" collapsed="false">
      <c r="A107" s="8"/>
      <c r="B107" s="8"/>
      <c r="C107" s="8"/>
      <c r="D107" s="8"/>
      <c r="E107" s="10"/>
      <c r="F107" s="10"/>
      <c r="G107" s="8"/>
      <c r="H107" s="8"/>
      <c r="I107" s="8"/>
    </row>
    <row r="108" customFormat="false" ht="15" hidden="false" customHeight="true" outlineLevel="0" collapsed="false">
      <c r="A108" s="8"/>
      <c r="B108" s="8"/>
      <c r="C108" s="8"/>
      <c r="D108" s="8"/>
      <c r="E108" s="10"/>
      <c r="F108" s="10"/>
      <c r="G108" s="8"/>
      <c r="H108" s="8"/>
      <c r="I108" s="8"/>
    </row>
    <row r="109" customFormat="false" ht="15" hidden="false" customHeight="true" outlineLevel="0" collapsed="false">
      <c r="A109" s="8"/>
      <c r="B109" s="8"/>
      <c r="C109" s="8"/>
      <c r="D109" s="8"/>
      <c r="E109" s="10"/>
      <c r="F109" s="10"/>
      <c r="G109" s="8"/>
      <c r="H109" s="8"/>
      <c r="I109" s="8"/>
    </row>
    <row r="110" customFormat="false" ht="15" hidden="false" customHeight="true" outlineLevel="0" collapsed="false">
      <c r="A110" s="8"/>
      <c r="B110" s="8"/>
      <c r="C110" s="8"/>
      <c r="D110" s="8"/>
      <c r="E110" s="10"/>
      <c r="F110" s="10"/>
      <c r="G110" s="8"/>
      <c r="H110" s="8"/>
      <c r="I110" s="8"/>
    </row>
    <row r="111" customFormat="false" ht="15" hidden="false" customHeight="true" outlineLevel="0" collapsed="false">
      <c r="A111" s="8"/>
      <c r="B111" s="8"/>
      <c r="C111" s="8"/>
      <c r="D111" s="8"/>
      <c r="E111" s="10"/>
      <c r="F111" s="10"/>
      <c r="G111" s="8"/>
      <c r="H111" s="8"/>
      <c r="I111" s="8"/>
    </row>
    <row r="112" customFormat="false" ht="15" hidden="false" customHeight="true" outlineLevel="0" collapsed="false">
      <c r="A112" s="8"/>
      <c r="B112" s="8"/>
      <c r="C112" s="8"/>
      <c r="D112" s="8"/>
      <c r="E112" s="10"/>
      <c r="F112" s="10"/>
      <c r="G112" s="8"/>
      <c r="H112" s="8"/>
      <c r="I112" s="8"/>
    </row>
    <row r="113" customFormat="false" ht="15" hidden="false" customHeight="true" outlineLevel="0" collapsed="false">
      <c r="A113" s="8"/>
      <c r="B113" s="8"/>
      <c r="C113" s="8"/>
      <c r="D113" s="8"/>
      <c r="E113" s="10"/>
      <c r="F113" s="10"/>
      <c r="G113" s="8"/>
      <c r="H113" s="8"/>
      <c r="I113" s="8"/>
    </row>
    <row r="114" customFormat="false" ht="15" hidden="false" customHeight="true" outlineLevel="0" collapsed="false">
      <c r="A114" s="8"/>
      <c r="B114" s="8"/>
      <c r="C114" s="8"/>
      <c r="D114" s="8"/>
      <c r="E114" s="10"/>
      <c r="F114" s="10"/>
      <c r="G114" s="8"/>
      <c r="H114" s="8"/>
      <c r="I114" s="8"/>
    </row>
    <row r="115" customFormat="false" ht="15" hidden="false" customHeight="true" outlineLevel="0" collapsed="false">
      <c r="A115" s="8"/>
      <c r="B115" s="8"/>
      <c r="C115" s="8"/>
      <c r="D115" s="8"/>
      <c r="E115" s="10"/>
      <c r="F115" s="10"/>
      <c r="G115" s="8"/>
      <c r="H115" s="8"/>
      <c r="I115" s="8"/>
    </row>
    <row r="116" customFormat="false" ht="15" hidden="false" customHeight="true" outlineLevel="0" collapsed="false">
      <c r="A116" s="8"/>
      <c r="B116" s="8"/>
      <c r="C116" s="8"/>
      <c r="D116" s="8"/>
      <c r="E116" s="10"/>
      <c r="F116" s="10"/>
      <c r="G116" s="8"/>
      <c r="H116" s="8"/>
      <c r="I116" s="8"/>
    </row>
    <row r="117" customFormat="false" ht="15" hidden="false" customHeight="true" outlineLevel="0" collapsed="false">
      <c r="A117" s="8"/>
      <c r="B117" s="8"/>
      <c r="C117" s="8"/>
      <c r="D117" s="8"/>
      <c r="E117" s="10"/>
      <c r="F117" s="10"/>
      <c r="G117" s="8"/>
      <c r="H117" s="8"/>
      <c r="I117" s="8"/>
    </row>
    <row r="118" customFormat="false" ht="15" hidden="false" customHeight="true" outlineLevel="0" collapsed="false">
      <c r="A118" s="8"/>
      <c r="B118" s="8"/>
      <c r="C118" s="8"/>
      <c r="D118" s="8"/>
      <c r="E118" s="10"/>
      <c r="F118" s="10"/>
      <c r="G118" s="8"/>
      <c r="H118" s="8"/>
      <c r="I118" s="8"/>
    </row>
    <row r="119" customFormat="false" ht="15" hidden="false" customHeight="true" outlineLevel="0" collapsed="false">
      <c r="A119" s="8"/>
      <c r="B119" s="8"/>
      <c r="C119" s="8"/>
      <c r="D119" s="8"/>
      <c r="E119" s="10"/>
      <c r="F119" s="10"/>
      <c r="G119" s="8"/>
      <c r="H119" s="8"/>
      <c r="I119" s="8"/>
    </row>
    <row r="120" customFormat="false" ht="15" hidden="false" customHeight="true" outlineLevel="0" collapsed="false">
      <c r="A120" s="8"/>
      <c r="B120" s="8"/>
      <c r="C120" s="8"/>
      <c r="D120" s="8"/>
      <c r="E120" s="10"/>
      <c r="F120" s="10"/>
      <c r="G120" s="8"/>
      <c r="H120" s="8"/>
      <c r="I120" s="8"/>
    </row>
    <row r="121" customFormat="false" ht="15" hidden="false" customHeight="true" outlineLevel="0" collapsed="false">
      <c r="A121" s="8"/>
      <c r="B121" s="8"/>
      <c r="C121" s="8"/>
      <c r="D121" s="8"/>
      <c r="E121" s="10"/>
      <c r="F121" s="10"/>
      <c r="G121" s="8"/>
      <c r="H121" s="8"/>
      <c r="I121" s="8"/>
    </row>
    <row r="122" customFormat="false" ht="15" hidden="false" customHeight="true" outlineLevel="0" collapsed="false">
      <c r="A122" s="8"/>
      <c r="B122" s="8"/>
      <c r="C122" s="8"/>
      <c r="D122" s="8"/>
      <c r="E122" s="10"/>
      <c r="F122" s="10"/>
      <c r="G122" s="8"/>
      <c r="H122" s="8"/>
      <c r="I122" s="8"/>
    </row>
    <row r="123" customFormat="false" ht="15" hidden="false" customHeight="true" outlineLevel="0" collapsed="false">
      <c r="A123" s="8"/>
      <c r="B123" s="8"/>
      <c r="C123" s="8"/>
      <c r="D123" s="8"/>
      <c r="E123" s="10"/>
      <c r="F123" s="10"/>
      <c r="G123" s="8"/>
      <c r="H123" s="8"/>
      <c r="I123" s="8"/>
    </row>
    <row r="124" customFormat="false" ht="15" hidden="false" customHeight="true" outlineLevel="0" collapsed="false">
      <c r="A124" s="8"/>
      <c r="B124" s="8"/>
      <c r="C124" s="8"/>
      <c r="D124" s="8"/>
      <c r="E124" s="10"/>
      <c r="F124" s="10"/>
      <c r="G124" s="8"/>
      <c r="H124" s="8"/>
      <c r="I124" s="8"/>
    </row>
    <row r="125" customFormat="false" ht="15" hidden="false" customHeight="true" outlineLevel="0" collapsed="false">
      <c r="A125" s="8"/>
      <c r="B125" s="8"/>
      <c r="C125" s="8"/>
      <c r="D125" s="8"/>
      <c r="E125" s="10"/>
      <c r="F125" s="10"/>
      <c r="G125" s="8"/>
      <c r="H125" s="8"/>
      <c r="I125" s="8"/>
    </row>
    <row r="126" customFormat="false" ht="15" hidden="false" customHeight="true" outlineLevel="0" collapsed="false">
      <c r="A126" s="8"/>
      <c r="B126" s="8"/>
      <c r="C126" s="8"/>
      <c r="D126" s="8"/>
      <c r="E126" s="10"/>
      <c r="F126" s="10"/>
      <c r="G126" s="8"/>
      <c r="H126" s="8"/>
      <c r="I126" s="8"/>
    </row>
    <row r="127" customFormat="false" ht="15" hidden="false" customHeight="true" outlineLevel="0" collapsed="false">
      <c r="A127" s="8"/>
      <c r="B127" s="8"/>
      <c r="C127" s="8"/>
      <c r="D127" s="8"/>
      <c r="E127" s="10"/>
      <c r="F127" s="10"/>
      <c r="G127" s="8"/>
      <c r="H127" s="8"/>
      <c r="I127" s="8"/>
    </row>
    <row r="128" customFormat="false" ht="15" hidden="false" customHeight="true" outlineLevel="0" collapsed="false">
      <c r="A128" s="8"/>
      <c r="B128" s="8"/>
      <c r="C128" s="8"/>
      <c r="D128" s="8"/>
      <c r="E128" s="10"/>
      <c r="F128" s="10"/>
      <c r="G128" s="8"/>
      <c r="H128" s="8"/>
      <c r="I128" s="8"/>
    </row>
    <row r="129" customFormat="false" ht="15" hidden="false" customHeight="true" outlineLevel="0" collapsed="false">
      <c r="A129" s="8"/>
      <c r="B129" s="8"/>
      <c r="C129" s="8"/>
      <c r="D129" s="8"/>
      <c r="E129" s="10"/>
      <c r="F129" s="10"/>
      <c r="G129" s="8"/>
      <c r="H129" s="8"/>
      <c r="I129" s="8"/>
    </row>
    <row r="130" customFormat="false" ht="15" hidden="false" customHeight="true" outlineLevel="0" collapsed="false">
      <c r="A130" s="8"/>
      <c r="B130" s="8"/>
      <c r="C130" s="8"/>
      <c r="D130" s="8"/>
      <c r="E130" s="10"/>
      <c r="F130" s="10"/>
      <c r="G130" s="8"/>
      <c r="H130" s="8"/>
      <c r="I130" s="8"/>
    </row>
    <row r="131" customFormat="false" ht="15" hidden="false" customHeight="true" outlineLevel="0" collapsed="false">
      <c r="A131" s="8"/>
      <c r="B131" s="8"/>
      <c r="C131" s="8"/>
      <c r="D131" s="8"/>
      <c r="E131" s="10"/>
      <c r="F131" s="10"/>
      <c r="G131" s="8"/>
      <c r="H131" s="8"/>
      <c r="I131" s="8"/>
    </row>
    <row r="132" customFormat="false" ht="15" hidden="false" customHeight="true" outlineLevel="0" collapsed="false">
      <c r="A132" s="8"/>
      <c r="B132" s="8"/>
      <c r="C132" s="8"/>
      <c r="D132" s="8"/>
      <c r="E132" s="10"/>
      <c r="F132" s="10"/>
      <c r="G132" s="8"/>
      <c r="H132" s="8"/>
      <c r="I132" s="8"/>
    </row>
    <row r="133" customFormat="false" ht="15" hidden="false" customHeight="true" outlineLevel="0" collapsed="false">
      <c r="A133" s="8"/>
      <c r="B133" s="8"/>
      <c r="C133" s="8"/>
      <c r="D133" s="8"/>
      <c r="E133" s="10"/>
      <c r="F133" s="10"/>
      <c r="G133" s="8"/>
      <c r="H133" s="8"/>
      <c r="I133" s="8"/>
    </row>
    <row r="134" customFormat="false" ht="15" hidden="false" customHeight="true" outlineLevel="0" collapsed="false">
      <c r="A134" s="8"/>
      <c r="B134" s="8"/>
      <c r="C134" s="8"/>
      <c r="D134" s="8"/>
      <c r="E134" s="10"/>
      <c r="F134" s="10"/>
      <c r="G134" s="8"/>
      <c r="H134" s="8"/>
      <c r="I134" s="8"/>
    </row>
    <row r="135" customFormat="false" ht="15" hidden="false" customHeight="true" outlineLevel="0" collapsed="false">
      <c r="A135" s="8"/>
      <c r="B135" s="8"/>
      <c r="C135" s="8"/>
      <c r="D135" s="8"/>
      <c r="E135" s="10"/>
      <c r="F135" s="10"/>
      <c r="G135" s="8"/>
      <c r="H135" s="8"/>
      <c r="I135" s="8"/>
    </row>
    <row r="136" customFormat="false" ht="15" hidden="false" customHeight="true" outlineLevel="0" collapsed="false">
      <c r="A136" s="8"/>
      <c r="B136" s="8"/>
      <c r="C136" s="8"/>
      <c r="D136" s="8"/>
      <c r="E136" s="10"/>
      <c r="F136" s="10"/>
      <c r="G136" s="8"/>
      <c r="H136" s="8"/>
      <c r="I136" s="8"/>
    </row>
    <row r="137" customFormat="false" ht="15" hidden="false" customHeight="true" outlineLevel="0" collapsed="false">
      <c r="A137" s="8"/>
      <c r="B137" s="8"/>
      <c r="C137" s="8"/>
      <c r="D137" s="8"/>
      <c r="E137" s="10"/>
      <c r="F137" s="10"/>
      <c r="G137" s="8"/>
      <c r="H137" s="8"/>
      <c r="I137" s="8"/>
    </row>
    <row r="138" customFormat="false" ht="15" hidden="false" customHeight="true" outlineLevel="0" collapsed="false">
      <c r="A138" s="8"/>
      <c r="B138" s="8"/>
      <c r="C138" s="8"/>
      <c r="D138" s="8"/>
      <c r="E138" s="10"/>
      <c r="F138" s="10"/>
      <c r="G138" s="8"/>
      <c r="H138" s="8"/>
      <c r="I138" s="8"/>
    </row>
    <row r="139" customFormat="false" ht="15" hidden="false" customHeight="true" outlineLevel="0" collapsed="false">
      <c r="A139" s="8"/>
      <c r="B139" s="8"/>
      <c r="C139" s="8"/>
      <c r="D139" s="8"/>
      <c r="E139" s="10"/>
      <c r="F139" s="10"/>
      <c r="G139" s="8"/>
      <c r="H139" s="8"/>
      <c r="I139" s="8"/>
    </row>
    <row r="140" customFormat="false" ht="15" hidden="false" customHeight="true" outlineLevel="0" collapsed="false">
      <c r="A140" s="8"/>
      <c r="B140" s="8"/>
      <c r="C140" s="8"/>
      <c r="D140" s="8"/>
      <c r="E140" s="10"/>
      <c r="F140" s="10"/>
      <c r="G140" s="8"/>
      <c r="H140" s="8"/>
      <c r="I140" s="8"/>
    </row>
    <row r="141" customFormat="false" ht="15" hidden="false" customHeight="true" outlineLevel="0" collapsed="false">
      <c r="A141" s="8"/>
      <c r="B141" s="8"/>
      <c r="C141" s="8"/>
      <c r="D141" s="8"/>
      <c r="E141" s="10"/>
      <c r="F141" s="10"/>
      <c r="G141" s="8"/>
      <c r="H141" s="8"/>
      <c r="I141" s="8"/>
    </row>
    <row r="142" customFormat="false" ht="15" hidden="false" customHeight="true" outlineLevel="0" collapsed="false">
      <c r="A142" s="8"/>
      <c r="B142" s="8"/>
      <c r="C142" s="8"/>
      <c r="D142" s="8"/>
      <c r="E142" s="10"/>
      <c r="F142" s="10"/>
      <c r="G142" s="8"/>
      <c r="H142" s="8"/>
      <c r="I142" s="8"/>
    </row>
    <row r="143" customFormat="false" ht="15" hidden="false" customHeight="true" outlineLevel="0" collapsed="false">
      <c r="A143" s="8"/>
      <c r="B143" s="8"/>
      <c r="C143" s="8"/>
      <c r="D143" s="8"/>
      <c r="E143" s="10"/>
      <c r="F143" s="10"/>
      <c r="G143" s="8"/>
      <c r="H143" s="8"/>
      <c r="I143" s="8"/>
    </row>
    <row r="144" customFormat="false" ht="15" hidden="false" customHeight="true" outlineLevel="0" collapsed="false">
      <c r="A144" s="8"/>
      <c r="B144" s="8"/>
      <c r="C144" s="8"/>
      <c r="D144" s="8"/>
      <c r="E144" s="10"/>
      <c r="F144" s="10"/>
      <c r="G144" s="8"/>
      <c r="H144" s="8"/>
      <c r="I144" s="8"/>
    </row>
    <row r="145" customFormat="false" ht="15" hidden="false" customHeight="true" outlineLevel="0" collapsed="false">
      <c r="A145" s="8"/>
      <c r="B145" s="8"/>
      <c r="C145" s="8"/>
      <c r="D145" s="8"/>
      <c r="E145" s="10"/>
      <c r="F145" s="10"/>
      <c r="G145" s="8"/>
      <c r="H145" s="8"/>
      <c r="I145" s="8"/>
    </row>
    <row r="146" customFormat="false" ht="15" hidden="false" customHeight="true" outlineLevel="0" collapsed="false">
      <c r="A146" s="8"/>
      <c r="B146" s="8"/>
      <c r="C146" s="8"/>
      <c r="D146" s="8"/>
      <c r="E146" s="10"/>
      <c r="F146" s="10"/>
      <c r="G146" s="8"/>
      <c r="H146" s="8"/>
      <c r="I146" s="8"/>
    </row>
    <row r="147" customFormat="false" ht="15" hidden="false" customHeight="true" outlineLevel="0" collapsed="false">
      <c r="A147" s="8"/>
      <c r="B147" s="8"/>
      <c r="C147" s="8"/>
      <c r="D147" s="8"/>
      <c r="E147" s="10"/>
      <c r="F147" s="10"/>
      <c r="G147" s="8"/>
      <c r="H147" s="8"/>
      <c r="I147" s="8"/>
    </row>
    <row r="148" customFormat="false" ht="15" hidden="false" customHeight="true" outlineLevel="0" collapsed="false">
      <c r="A148" s="8"/>
      <c r="B148" s="8"/>
      <c r="C148" s="8"/>
      <c r="D148" s="8"/>
      <c r="E148" s="10"/>
      <c r="F148" s="10"/>
      <c r="G148" s="8"/>
      <c r="H148" s="8"/>
      <c r="I148" s="8"/>
    </row>
    <row r="149" customFormat="false" ht="15" hidden="false" customHeight="true" outlineLevel="0" collapsed="false">
      <c r="A149" s="8"/>
      <c r="B149" s="8"/>
      <c r="C149" s="8"/>
      <c r="D149" s="8"/>
      <c r="E149" s="10"/>
      <c r="F149" s="10"/>
      <c r="G149" s="8"/>
      <c r="H149" s="8"/>
      <c r="I149" s="8"/>
    </row>
    <row r="150" customFormat="false" ht="15" hidden="false" customHeight="true" outlineLevel="0" collapsed="false">
      <c r="A150" s="8"/>
      <c r="B150" s="8"/>
      <c r="C150" s="8"/>
      <c r="D150" s="8"/>
      <c r="E150" s="10"/>
      <c r="F150" s="10"/>
      <c r="G150" s="8"/>
      <c r="H150" s="8"/>
      <c r="I150" s="8"/>
    </row>
    <row r="151" customFormat="false" ht="15" hidden="false" customHeight="true" outlineLevel="0" collapsed="false">
      <c r="A151" s="8"/>
      <c r="B151" s="8"/>
      <c r="C151" s="8"/>
      <c r="D151" s="8"/>
      <c r="E151" s="10"/>
      <c r="F151" s="10"/>
      <c r="G151" s="8"/>
      <c r="H151" s="8"/>
      <c r="I151" s="8"/>
    </row>
    <row r="152" customFormat="false" ht="15" hidden="false" customHeight="true" outlineLevel="0" collapsed="false">
      <c r="A152" s="8"/>
      <c r="B152" s="8"/>
      <c r="C152" s="8"/>
      <c r="D152" s="8"/>
      <c r="E152" s="10"/>
      <c r="F152" s="10"/>
      <c r="G152" s="8"/>
      <c r="H152" s="8"/>
      <c r="I152" s="8"/>
    </row>
    <row r="153" customFormat="false" ht="15" hidden="false" customHeight="true" outlineLevel="0" collapsed="false">
      <c r="A153" s="8"/>
      <c r="B153" s="8"/>
      <c r="C153" s="8"/>
      <c r="D153" s="8"/>
      <c r="E153" s="10"/>
      <c r="F153" s="10"/>
      <c r="G153" s="8"/>
      <c r="H153" s="8"/>
      <c r="I153" s="8"/>
    </row>
    <row r="154" customFormat="false" ht="15" hidden="false" customHeight="true" outlineLevel="0" collapsed="false">
      <c r="A154" s="8"/>
      <c r="B154" s="8"/>
      <c r="C154" s="8"/>
      <c r="D154" s="8"/>
      <c r="E154" s="10"/>
      <c r="F154" s="10"/>
      <c r="G154" s="8"/>
      <c r="H154" s="8"/>
      <c r="I154" s="8"/>
    </row>
    <row r="155" customFormat="false" ht="15" hidden="false" customHeight="true" outlineLevel="0" collapsed="false">
      <c r="A155" s="8"/>
      <c r="B155" s="8"/>
      <c r="C155" s="8"/>
      <c r="D155" s="8"/>
      <c r="E155" s="10"/>
      <c r="F155" s="10"/>
      <c r="G155" s="8"/>
      <c r="H155" s="8"/>
      <c r="I155" s="8"/>
    </row>
    <row r="156" customFormat="false" ht="15" hidden="false" customHeight="true" outlineLevel="0" collapsed="false">
      <c r="A156" s="8"/>
      <c r="B156" s="8"/>
      <c r="C156" s="8"/>
      <c r="D156" s="8"/>
      <c r="E156" s="10"/>
      <c r="F156" s="10"/>
      <c r="G156" s="8"/>
      <c r="H156" s="8"/>
      <c r="I156" s="8"/>
    </row>
    <row r="157" customFormat="false" ht="15" hidden="false" customHeight="true" outlineLevel="0" collapsed="false">
      <c r="A157" s="8"/>
      <c r="B157" s="8"/>
      <c r="C157" s="8"/>
      <c r="D157" s="8"/>
      <c r="E157" s="10"/>
      <c r="F157" s="10"/>
      <c r="G157" s="8"/>
      <c r="H157" s="8"/>
      <c r="I157" s="8"/>
    </row>
    <row r="158" customFormat="false" ht="15" hidden="false" customHeight="true" outlineLevel="0" collapsed="false">
      <c r="A158" s="8"/>
      <c r="B158" s="8"/>
      <c r="C158" s="8"/>
      <c r="D158" s="8"/>
      <c r="E158" s="10"/>
      <c r="F158" s="10"/>
      <c r="G158" s="8"/>
      <c r="H158" s="8"/>
      <c r="I158" s="8"/>
    </row>
    <row r="159" customFormat="false" ht="15" hidden="false" customHeight="true" outlineLevel="0" collapsed="false">
      <c r="A159" s="8"/>
      <c r="B159" s="8"/>
      <c r="C159" s="8"/>
      <c r="D159" s="8"/>
      <c r="E159" s="10"/>
      <c r="F159" s="10"/>
      <c r="G159" s="8"/>
      <c r="H159" s="8"/>
      <c r="I159" s="8"/>
    </row>
    <row r="160" customFormat="false" ht="15" hidden="false" customHeight="true" outlineLevel="0" collapsed="false">
      <c r="A160" s="8"/>
      <c r="B160" s="8"/>
      <c r="C160" s="8"/>
      <c r="D160" s="8"/>
      <c r="E160" s="10"/>
      <c r="F160" s="10"/>
      <c r="G160" s="8"/>
      <c r="H160" s="8"/>
      <c r="I160" s="8"/>
    </row>
    <row r="161" customFormat="false" ht="15" hidden="false" customHeight="true" outlineLevel="0" collapsed="false">
      <c r="A161" s="8"/>
      <c r="B161" s="8"/>
      <c r="C161" s="8"/>
      <c r="D161" s="8"/>
      <c r="E161" s="10"/>
      <c r="F161" s="10"/>
      <c r="G161" s="8"/>
      <c r="H161" s="8"/>
      <c r="I161" s="8"/>
    </row>
    <row r="162" customFormat="false" ht="15" hidden="false" customHeight="true" outlineLevel="0" collapsed="false">
      <c r="A162" s="8"/>
      <c r="B162" s="8"/>
      <c r="C162" s="8"/>
      <c r="D162" s="8"/>
      <c r="E162" s="10"/>
      <c r="F162" s="10"/>
      <c r="G162" s="8"/>
      <c r="H162" s="8"/>
      <c r="I162" s="8"/>
    </row>
    <row r="163" customFormat="false" ht="15" hidden="false" customHeight="true" outlineLevel="0" collapsed="false">
      <c r="A163" s="8"/>
      <c r="B163" s="8"/>
      <c r="C163" s="8"/>
      <c r="D163" s="8"/>
      <c r="E163" s="10"/>
      <c r="F163" s="10"/>
      <c r="G163" s="8"/>
      <c r="H163" s="8"/>
      <c r="I163" s="8"/>
    </row>
    <row r="164" customFormat="false" ht="15" hidden="false" customHeight="true" outlineLevel="0" collapsed="false">
      <c r="A164" s="8"/>
      <c r="B164" s="8"/>
      <c r="C164" s="8"/>
      <c r="D164" s="8"/>
      <c r="E164" s="10"/>
      <c r="F164" s="10"/>
      <c r="G164" s="8"/>
      <c r="H164" s="8"/>
      <c r="I164" s="8"/>
    </row>
    <row r="165" customFormat="false" ht="15" hidden="false" customHeight="true" outlineLevel="0" collapsed="false">
      <c r="A165" s="8"/>
      <c r="B165" s="8"/>
      <c r="C165" s="8"/>
      <c r="D165" s="8"/>
      <c r="E165" s="10"/>
      <c r="F165" s="10"/>
      <c r="G165" s="8"/>
      <c r="H165" s="8"/>
      <c r="I165" s="8"/>
    </row>
    <row r="166" customFormat="false" ht="15" hidden="false" customHeight="true" outlineLevel="0" collapsed="false">
      <c r="A166" s="8"/>
      <c r="B166" s="8"/>
      <c r="C166" s="8"/>
      <c r="D166" s="8"/>
      <c r="E166" s="10"/>
      <c r="F166" s="10"/>
      <c r="G166" s="8"/>
      <c r="H166" s="8"/>
      <c r="I166" s="8"/>
    </row>
    <row r="167" customFormat="false" ht="15" hidden="false" customHeight="true" outlineLevel="0" collapsed="false">
      <c r="A167" s="8"/>
      <c r="B167" s="8"/>
      <c r="C167" s="8"/>
      <c r="D167" s="8"/>
      <c r="E167" s="10"/>
      <c r="F167" s="10"/>
      <c r="G167" s="8"/>
      <c r="H167" s="8"/>
      <c r="I167" s="8"/>
    </row>
    <row r="168" customFormat="false" ht="15" hidden="false" customHeight="true" outlineLevel="0" collapsed="false">
      <c r="A168" s="8"/>
      <c r="B168" s="8"/>
      <c r="C168" s="8"/>
      <c r="D168" s="8"/>
      <c r="E168" s="10"/>
      <c r="F168" s="10"/>
      <c r="G168" s="8"/>
      <c r="H168" s="8"/>
      <c r="I168" s="8"/>
    </row>
    <row r="169" customFormat="false" ht="15" hidden="false" customHeight="true" outlineLevel="0" collapsed="false">
      <c r="A169" s="8"/>
      <c r="B169" s="8"/>
      <c r="C169" s="8"/>
      <c r="D169" s="8"/>
      <c r="E169" s="10"/>
      <c r="F169" s="10"/>
      <c r="G169" s="8"/>
      <c r="H169" s="8"/>
      <c r="I169" s="8"/>
    </row>
    <row r="170" customFormat="false" ht="15" hidden="false" customHeight="true" outlineLevel="0" collapsed="false">
      <c r="A170" s="8"/>
      <c r="B170" s="8"/>
      <c r="C170" s="8"/>
      <c r="D170" s="8"/>
      <c r="E170" s="10"/>
      <c r="F170" s="10"/>
      <c r="G170" s="8"/>
      <c r="H170" s="8"/>
      <c r="I170" s="8"/>
    </row>
    <row r="171" customFormat="false" ht="15" hidden="false" customHeight="true" outlineLevel="0" collapsed="false">
      <c r="A171" s="8"/>
      <c r="B171" s="8"/>
      <c r="C171" s="8"/>
      <c r="D171" s="8"/>
      <c r="E171" s="10"/>
      <c r="F171" s="10"/>
      <c r="G171" s="8"/>
      <c r="H171" s="8"/>
      <c r="I171" s="8"/>
    </row>
    <row r="172" customFormat="false" ht="15" hidden="false" customHeight="true" outlineLevel="0" collapsed="false">
      <c r="A172" s="8"/>
      <c r="B172" s="8"/>
      <c r="C172" s="8"/>
      <c r="D172" s="8"/>
      <c r="E172" s="10"/>
      <c r="F172" s="10"/>
      <c r="G172" s="8"/>
      <c r="H172" s="8"/>
      <c r="I172" s="8"/>
    </row>
    <row r="173" customFormat="false" ht="15" hidden="false" customHeight="true" outlineLevel="0" collapsed="false">
      <c r="A173" s="8"/>
      <c r="B173" s="8"/>
      <c r="C173" s="8"/>
      <c r="D173" s="8"/>
      <c r="E173" s="10"/>
      <c r="F173" s="10"/>
      <c r="G173" s="8"/>
      <c r="H173" s="8"/>
      <c r="I173" s="8"/>
    </row>
    <row r="174" customFormat="false" ht="15" hidden="false" customHeight="true" outlineLevel="0" collapsed="false">
      <c r="A174" s="8"/>
      <c r="B174" s="8"/>
      <c r="C174" s="8"/>
      <c r="D174" s="8"/>
      <c r="E174" s="10"/>
      <c r="F174" s="10"/>
      <c r="G174" s="8"/>
      <c r="H174" s="8"/>
      <c r="I174" s="8"/>
    </row>
    <row r="175" customFormat="false" ht="15" hidden="false" customHeight="true" outlineLevel="0" collapsed="false">
      <c r="A175" s="8"/>
      <c r="B175" s="8"/>
      <c r="C175" s="8"/>
      <c r="D175" s="8"/>
      <c r="E175" s="10"/>
      <c r="F175" s="10"/>
      <c r="G175" s="8"/>
      <c r="H175" s="8"/>
      <c r="I175" s="8"/>
    </row>
    <row r="176" customFormat="false" ht="15" hidden="false" customHeight="true" outlineLevel="0" collapsed="false">
      <c r="A176" s="8"/>
      <c r="B176" s="8"/>
      <c r="C176" s="8"/>
      <c r="D176" s="8"/>
      <c r="E176" s="10"/>
      <c r="F176" s="10"/>
      <c r="G176" s="8"/>
      <c r="H176" s="8"/>
      <c r="I176" s="8"/>
    </row>
    <row r="177" customFormat="false" ht="15" hidden="false" customHeight="true" outlineLevel="0" collapsed="false">
      <c r="A177" s="8"/>
      <c r="B177" s="8"/>
      <c r="C177" s="8"/>
      <c r="D177" s="8"/>
      <c r="E177" s="10"/>
      <c r="F177" s="10"/>
      <c r="G177" s="8"/>
      <c r="H177" s="8"/>
      <c r="I177" s="8"/>
    </row>
    <row r="178" customFormat="false" ht="15" hidden="false" customHeight="true" outlineLevel="0" collapsed="false">
      <c r="A178" s="8"/>
      <c r="B178" s="8"/>
      <c r="C178" s="8"/>
      <c r="D178" s="8"/>
      <c r="E178" s="10"/>
      <c r="F178" s="10"/>
      <c r="G178" s="8"/>
      <c r="H178" s="8"/>
      <c r="I178" s="8"/>
    </row>
    <row r="179" customFormat="false" ht="15" hidden="false" customHeight="true" outlineLevel="0" collapsed="false">
      <c r="A179" s="8"/>
      <c r="B179" s="8"/>
      <c r="C179" s="8"/>
      <c r="D179" s="8"/>
      <c r="E179" s="10"/>
      <c r="F179" s="10"/>
      <c r="G179" s="8"/>
      <c r="H179" s="8"/>
      <c r="I179" s="8"/>
    </row>
    <row r="180" customFormat="false" ht="15" hidden="false" customHeight="true" outlineLevel="0" collapsed="false">
      <c r="A180" s="8"/>
      <c r="B180" s="8"/>
      <c r="C180" s="8"/>
      <c r="D180" s="8"/>
      <c r="E180" s="10"/>
      <c r="F180" s="10"/>
      <c r="G180" s="8"/>
      <c r="H180" s="8"/>
      <c r="I180" s="8"/>
    </row>
    <row r="181" customFormat="false" ht="15" hidden="false" customHeight="true" outlineLevel="0" collapsed="false">
      <c r="A181" s="8"/>
      <c r="B181" s="8"/>
      <c r="C181" s="8"/>
      <c r="D181" s="8"/>
      <c r="E181" s="10"/>
      <c r="F181" s="10"/>
      <c r="G181" s="8"/>
      <c r="H181" s="8"/>
      <c r="I181" s="8"/>
    </row>
    <row r="182" customFormat="false" ht="15" hidden="false" customHeight="true" outlineLevel="0" collapsed="false">
      <c r="A182" s="8"/>
      <c r="B182" s="8"/>
      <c r="C182" s="8"/>
      <c r="D182" s="8"/>
      <c r="E182" s="10"/>
      <c r="F182" s="10"/>
      <c r="G182" s="8"/>
      <c r="H182" s="8"/>
      <c r="I182" s="8"/>
    </row>
    <row r="183" customFormat="false" ht="15" hidden="false" customHeight="true" outlineLevel="0" collapsed="false">
      <c r="A183" s="8"/>
      <c r="B183" s="8"/>
      <c r="C183" s="8"/>
      <c r="D183" s="8"/>
      <c r="E183" s="10"/>
      <c r="F183" s="10"/>
      <c r="G183" s="8"/>
      <c r="H183" s="8"/>
      <c r="I183" s="8"/>
    </row>
    <row r="184" customFormat="false" ht="15" hidden="false" customHeight="true" outlineLevel="0" collapsed="false">
      <c r="A184" s="8"/>
      <c r="B184" s="8"/>
      <c r="C184" s="8"/>
      <c r="D184" s="8"/>
      <c r="E184" s="10"/>
      <c r="F184" s="10"/>
      <c r="G184" s="8"/>
      <c r="H184" s="8"/>
      <c r="I184" s="8"/>
    </row>
    <row r="185" customFormat="false" ht="15" hidden="false" customHeight="true" outlineLevel="0" collapsed="false">
      <c r="A185" s="8"/>
      <c r="B185" s="8"/>
      <c r="C185" s="8"/>
      <c r="D185" s="8"/>
      <c r="E185" s="10"/>
      <c r="F185" s="10"/>
      <c r="G185" s="8"/>
      <c r="H185" s="8"/>
      <c r="I185" s="8"/>
    </row>
    <row r="186" customFormat="false" ht="15" hidden="false" customHeight="true" outlineLevel="0" collapsed="false">
      <c r="A186" s="8"/>
      <c r="B186" s="8"/>
      <c r="C186" s="8"/>
      <c r="D186" s="8"/>
      <c r="E186" s="10"/>
      <c r="F186" s="10"/>
      <c r="G186" s="8"/>
      <c r="H186" s="8"/>
      <c r="I186" s="8"/>
    </row>
    <row r="187" customFormat="false" ht="15" hidden="false" customHeight="true" outlineLevel="0" collapsed="false">
      <c r="A187" s="8"/>
      <c r="B187" s="8"/>
      <c r="C187" s="8"/>
      <c r="D187" s="8"/>
      <c r="E187" s="10"/>
      <c r="F187" s="10"/>
      <c r="G187" s="8"/>
      <c r="H187" s="8"/>
      <c r="I187" s="8"/>
    </row>
    <row r="188" customFormat="false" ht="15" hidden="false" customHeight="true" outlineLevel="0" collapsed="false">
      <c r="A188" s="8"/>
      <c r="B188" s="8"/>
      <c r="C188" s="8"/>
      <c r="D188" s="8"/>
      <c r="E188" s="10"/>
      <c r="F188" s="10"/>
      <c r="G188" s="8"/>
      <c r="H188" s="8"/>
      <c r="I188" s="8"/>
    </row>
    <row r="189" customFormat="false" ht="15" hidden="false" customHeight="true" outlineLevel="0" collapsed="false">
      <c r="A189" s="8"/>
      <c r="B189" s="8"/>
      <c r="C189" s="8"/>
      <c r="D189" s="8"/>
      <c r="E189" s="10"/>
      <c r="F189" s="10"/>
      <c r="G189" s="8"/>
      <c r="H189" s="8"/>
      <c r="I189" s="8"/>
    </row>
    <row r="190" customFormat="false" ht="15" hidden="false" customHeight="true" outlineLevel="0" collapsed="false">
      <c r="A190" s="8"/>
      <c r="B190" s="8"/>
      <c r="C190" s="8"/>
      <c r="D190" s="8"/>
      <c r="E190" s="10"/>
      <c r="F190" s="10"/>
      <c r="G190" s="8"/>
      <c r="H190" s="8"/>
      <c r="I190" s="8"/>
    </row>
    <row r="191" customFormat="false" ht="15" hidden="false" customHeight="true" outlineLevel="0" collapsed="false">
      <c r="A191" s="8"/>
      <c r="B191" s="8"/>
      <c r="C191" s="8"/>
      <c r="D191" s="8"/>
      <c r="E191" s="10"/>
      <c r="F191" s="10"/>
      <c r="G191" s="8"/>
      <c r="H191" s="8"/>
      <c r="I191" s="8"/>
    </row>
    <row r="192" customFormat="false" ht="15" hidden="false" customHeight="true" outlineLevel="0" collapsed="false">
      <c r="A192" s="8"/>
      <c r="B192" s="8"/>
      <c r="C192" s="8"/>
      <c r="D192" s="8"/>
      <c r="E192" s="10"/>
      <c r="F192" s="10"/>
      <c r="G192" s="8"/>
      <c r="H192" s="8"/>
      <c r="I192" s="8"/>
    </row>
    <row r="193" customFormat="false" ht="15" hidden="false" customHeight="true" outlineLevel="0" collapsed="false">
      <c r="A193" s="8"/>
      <c r="B193" s="8"/>
      <c r="C193" s="8"/>
      <c r="D193" s="8"/>
      <c r="E193" s="10"/>
      <c r="F193" s="10"/>
      <c r="G193" s="8"/>
      <c r="H193" s="8"/>
      <c r="I193" s="8"/>
    </row>
    <row r="194" customFormat="false" ht="15" hidden="false" customHeight="true" outlineLevel="0" collapsed="false">
      <c r="A194" s="8"/>
      <c r="B194" s="8"/>
      <c r="C194" s="8"/>
      <c r="D194" s="8"/>
      <c r="E194" s="10"/>
      <c r="F194" s="10"/>
      <c r="G194" s="8"/>
      <c r="H194" s="8"/>
      <c r="I194" s="8"/>
    </row>
    <row r="195" customFormat="false" ht="15" hidden="false" customHeight="true" outlineLevel="0" collapsed="false">
      <c r="A195" s="8"/>
      <c r="B195" s="8"/>
      <c r="C195" s="8"/>
      <c r="D195" s="8"/>
      <c r="E195" s="10"/>
      <c r="F195" s="10"/>
      <c r="G195" s="8"/>
      <c r="H195" s="8"/>
      <c r="I195" s="8"/>
    </row>
    <row r="196" customFormat="false" ht="15" hidden="false" customHeight="true" outlineLevel="0" collapsed="false">
      <c r="A196" s="8"/>
      <c r="B196" s="8"/>
      <c r="C196" s="8"/>
      <c r="D196" s="8"/>
      <c r="E196" s="10"/>
      <c r="F196" s="10"/>
      <c r="G196" s="8"/>
      <c r="H196" s="8"/>
      <c r="I196" s="8"/>
    </row>
    <row r="197" customFormat="false" ht="15" hidden="false" customHeight="true" outlineLevel="0" collapsed="false">
      <c r="A197" s="8"/>
      <c r="B197" s="8"/>
      <c r="C197" s="8"/>
      <c r="D197" s="8"/>
      <c r="E197" s="10"/>
      <c r="F197" s="10"/>
      <c r="G197" s="8"/>
      <c r="H197" s="8"/>
      <c r="I197" s="8"/>
    </row>
    <row r="198" customFormat="false" ht="15" hidden="false" customHeight="true" outlineLevel="0" collapsed="false">
      <c r="A198" s="8"/>
      <c r="B198" s="8"/>
      <c r="C198" s="8"/>
      <c r="D198" s="8"/>
      <c r="E198" s="10"/>
      <c r="F198" s="10"/>
      <c r="G198" s="8"/>
      <c r="H198" s="8"/>
      <c r="I198" s="8"/>
    </row>
    <row r="199" customFormat="false" ht="15" hidden="false" customHeight="true" outlineLevel="0" collapsed="false">
      <c r="A199" s="8"/>
      <c r="B199" s="8"/>
      <c r="C199" s="8"/>
      <c r="D199" s="8"/>
      <c r="E199" s="10"/>
      <c r="F199" s="10"/>
      <c r="G199" s="8"/>
      <c r="H199" s="8"/>
      <c r="I199" s="8"/>
    </row>
    <row r="200" customFormat="false" ht="15" hidden="false" customHeight="true" outlineLevel="0" collapsed="false">
      <c r="A200" s="8"/>
      <c r="B200" s="8"/>
      <c r="C200" s="8"/>
      <c r="D200" s="8"/>
      <c r="E200" s="10"/>
      <c r="F200" s="10"/>
      <c r="G200" s="8"/>
      <c r="H200" s="8"/>
      <c r="I200" s="8"/>
    </row>
    <row r="201" customFormat="false" ht="15" hidden="false" customHeight="true" outlineLevel="0" collapsed="false">
      <c r="A201" s="8"/>
      <c r="B201" s="8"/>
      <c r="C201" s="8"/>
      <c r="D201" s="8"/>
      <c r="E201" s="10"/>
      <c r="F201" s="10"/>
      <c r="G201" s="8"/>
      <c r="H201" s="8"/>
      <c r="I201" s="8"/>
    </row>
    <row r="202" customFormat="false" ht="15" hidden="false" customHeight="true" outlineLevel="0" collapsed="false">
      <c r="A202" s="8"/>
      <c r="B202" s="8"/>
      <c r="C202" s="8"/>
      <c r="D202" s="8"/>
      <c r="E202" s="10"/>
      <c r="F202" s="10"/>
      <c r="G202" s="8"/>
      <c r="H202" s="8"/>
      <c r="I202" s="8"/>
    </row>
    <row r="203" customFormat="false" ht="15" hidden="false" customHeight="true" outlineLevel="0" collapsed="false">
      <c r="A203" s="8"/>
      <c r="B203" s="8"/>
      <c r="C203" s="8"/>
      <c r="D203" s="8"/>
      <c r="E203" s="10"/>
      <c r="F203" s="10"/>
      <c r="G203" s="8"/>
      <c r="H203" s="8"/>
      <c r="I203" s="8"/>
    </row>
    <row r="204" customFormat="false" ht="15" hidden="false" customHeight="true" outlineLevel="0" collapsed="false">
      <c r="A204" s="8"/>
      <c r="B204" s="8"/>
      <c r="C204" s="8"/>
      <c r="D204" s="8"/>
      <c r="E204" s="10"/>
      <c r="F204" s="10"/>
      <c r="G204" s="8"/>
      <c r="H204" s="8"/>
      <c r="I204" s="8"/>
    </row>
    <row r="205" customFormat="false" ht="15" hidden="false" customHeight="true" outlineLevel="0" collapsed="false">
      <c r="A205" s="8"/>
      <c r="B205" s="8"/>
      <c r="C205" s="8"/>
      <c r="D205" s="8"/>
      <c r="E205" s="10"/>
      <c r="F205" s="10"/>
      <c r="G205" s="8"/>
      <c r="H205" s="8"/>
      <c r="I205" s="8"/>
    </row>
    <row r="206" customFormat="false" ht="15" hidden="false" customHeight="true" outlineLevel="0" collapsed="false">
      <c r="A206" s="8"/>
      <c r="B206" s="8"/>
      <c r="C206" s="8"/>
      <c r="D206" s="8"/>
      <c r="E206" s="10"/>
      <c r="F206" s="10"/>
      <c r="G206" s="8"/>
      <c r="H206" s="8"/>
      <c r="I206" s="8"/>
    </row>
    <row r="207" customFormat="false" ht="15" hidden="false" customHeight="true" outlineLevel="0" collapsed="false">
      <c r="A207" s="8"/>
      <c r="B207" s="8"/>
      <c r="C207" s="8"/>
      <c r="D207" s="8"/>
      <c r="E207" s="10"/>
      <c r="F207" s="10"/>
      <c r="G207" s="8"/>
      <c r="H207" s="8"/>
      <c r="I207" s="8"/>
    </row>
    <row r="208" customFormat="false" ht="15" hidden="false" customHeight="true" outlineLevel="0" collapsed="false">
      <c r="A208" s="8"/>
      <c r="B208" s="8"/>
      <c r="C208" s="8"/>
      <c r="D208" s="8"/>
      <c r="E208" s="10"/>
      <c r="F208" s="10"/>
      <c r="G208" s="8"/>
      <c r="H208" s="8"/>
      <c r="I208" s="8"/>
    </row>
    <row r="209" customFormat="false" ht="15" hidden="false" customHeight="true" outlineLevel="0" collapsed="false">
      <c r="A209" s="8"/>
      <c r="B209" s="8"/>
      <c r="C209" s="8"/>
      <c r="D209" s="8"/>
      <c r="E209" s="10"/>
      <c r="F209" s="10"/>
      <c r="G209" s="8"/>
      <c r="H209" s="8"/>
      <c r="I209" s="8"/>
    </row>
    <row r="210" customFormat="false" ht="15" hidden="false" customHeight="true" outlineLevel="0" collapsed="false">
      <c r="A210" s="8"/>
      <c r="B210" s="8"/>
      <c r="C210" s="8"/>
      <c r="D210" s="8"/>
      <c r="E210" s="10"/>
      <c r="F210" s="10"/>
      <c r="G210" s="8"/>
      <c r="H210" s="8"/>
      <c r="I210" s="8"/>
    </row>
    <row r="211" customFormat="false" ht="15" hidden="false" customHeight="true" outlineLevel="0" collapsed="false">
      <c r="A211" s="8"/>
      <c r="B211" s="8"/>
      <c r="C211" s="8"/>
      <c r="D211" s="8"/>
      <c r="E211" s="10"/>
      <c r="F211" s="10"/>
      <c r="G211" s="8"/>
      <c r="H211" s="8"/>
      <c r="I211" s="8"/>
    </row>
    <row r="212" customFormat="false" ht="15" hidden="false" customHeight="true" outlineLevel="0" collapsed="false">
      <c r="A212" s="8"/>
      <c r="B212" s="8"/>
      <c r="C212" s="8"/>
      <c r="D212" s="8"/>
      <c r="E212" s="10"/>
      <c r="F212" s="10"/>
      <c r="G212" s="8"/>
      <c r="H212" s="8"/>
      <c r="I212" s="8"/>
    </row>
    <row r="213" customFormat="false" ht="15" hidden="false" customHeight="true" outlineLevel="0" collapsed="false">
      <c r="A213" s="8"/>
      <c r="B213" s="8"/>
      <c r="C213" s="8"/>
      <c r="D213" s="8"/>
      <c r="E213" s="10"/>
      <c r="F213" s="10"/>
      <c r="G213" s="8"/>
      <c r="H213" s="8"/>
      <c r="I213" s="8"/>
    </row>
    <row r="214" customFormat="false" ht="15" hidden="false" customHeight="true" outlineLevel="0" collapsed="false">
      <c r="A214" s="8"/>
      <c r="B214" s="8"/>
      <c r="C214" s="8"/>
      <c r="D214" s="8"/>
      <c r="E214" s="10"/>
      <c r="F214" s="10"/>
      <c r="G214" s="8"/>
      <c r="H214" s="8"/>
      <c r="I214" s="8"/>
    </row>
    <row r="215" customFormat="false" ht="15" hidden="false" customHeight="true" outlineLevel="0" collapsed="false">
      <c r="A215" s="8"/>
      <c r="B215" s="8"/>
      <c r="C215" s="8"/>
      <c r="D215" s="8"/>
      <c r="E215" s="10"/>
      <c r="F215" s="10"/>
      <c r="G215" s="8"/>
      <c r="H215" s="8"/>
      <c r="I215" s="8"/>
    </row>
    <row r="216" customFormat="false" ht="15" hidden="false" customHeight="true" outlineLevel="0" collapsed="false">
      <c r="A216" s="8"/>
      <c r="B216" s="8"/>
      <c r="C216" s="8"/>
      <c r="D216" s="8"/>
      <c r="E216" s="10"/>
      <c r="F216" s="10"/>
      <c r="G216" s="8"/>
      <c r="H216" s="8"/>
      <c r="I216" s="8"/>
    </row>
    <row r="217" customFormat="false" ht="15" hidden="false" customHeight="true" outlineLevel="0" collapsed="false">
      <c r="A217" s="8"/>
      <c r="B217" s="8"/>
      <c r="C217" s="8"/>
      <c r="D217" s="8"/>
      <c r="E217" s="10"/>
      <c r="F217" s="10"/>
      <c r="G217" s="8"/>
      <c r="H217" s="8"/>
      <c r="I217" s="8"/>
    </row>
    <row r="218" customFormat="false" ht="15" hidden="false" customHeight="true" outlineLevel="0" collapsed="false">
      <c r="A218" s="8"/>
      <c r="B218" s="8"/>
      <c r="C218" s="8"/>
      <c r="D218" s="8"/>
      <c r="E218" s="10"/>
      <c r="F218" s="10"/>
      <c r="G218" s="8"/>
      <c r="H218" s="8"/>
      <c r="I218" s="8"/>
    </row>
    <row r="219" customFormat="false" ht="15" hidden="false" customHeight="true" outlineLevel="0" collapsed="false">
      <c r="A219" s="8"/>
      <c r="B219" s="8"/>
      <c r="C219" s="8"/>
      <c r="D219" s="8"/>
      <c r="E219" s="10"/>
      <c r="F219" s="10"/>
      <c r="G219" s="8"/>
      <c r="H219" s="8"/>
      <c r="I219" s="8"/>
    </row>
    <row r="220" customFormat="false" ht="15" hidden="false" customHeight="true" outlineLevel="0" collapsed="false">
      <c r="A220" s="8"/>
      <c r="B220" s="8"/>
      <c r="C220" s="8"/>
      <c r="D220" s="8"/>
      <c r="E220" s="10"/>
      <c r="F220" s="10"/>
      <c r="G220" s="8"/>
      <c r="H220" s="8"/>
      <c r="I220" s="8"/>
    </row>
    <row r="221" customFormat="false" ht="15" hidden="false" customHeight="true" outlineLevel="0" collapsed="false">
      <c r="A221" s="8"/>
      <c r="B221" s="8"/>
      <c r="C221" s="8"/>
      <c r="D221" s="8"/>
      <c r="E221" s="10"/>
      <c r="F221" s="10"/>
      <c r="G221" s="8"/>
      <c r="H221" s="8"/>
      <c r="I221" s="8"/>
    </row>
    <row r="222" customFormat="false" ht="15" hidden="false" customHeight="true" outlineLevel="0" collapsed="false">
      <c r="A222" s="8"/>
      <c r="B222" s="8"/>
      <c r="C222" s="8"/>
      <c r="D222" s="8"/>
      <c r="E222" s="10"/>
      <c r="F222" s="10"/>
      <c r="G222" s="8"/>
      <c r="H222" s="8"/>
      <c r="I222" s="8"/>
    </row>
    <row r="223" customFormat="false" ht="15" hidden="false" customHeight="true" outlineLevel="0" collapsed="false">
      <c r="A223" s="8"/>
      <c r="B223" s="8"/>
      <c r="C223" s="8"/>
      <c r="D223" s="8"/>
      <c r="E223" s="10"/>
      <c r="F223" s="10"/>
      <c r="G223" s="8"/>
      <c r="H223" s="8"/>
      <c r="I223" s="8"/>
    </row>
    <row r="224" customFormat="false" ht="15" hidden="false" customHeight="true" outlineLevel="0" collapsed="false">
      <c r="A224" s="8"/>
      <c r="B224" s="8"/>
      <c r="C224" s="8"/>
      <c r="D224" s="8"/>
      <c r="E224" s="10"/>
      <c r="F224" s="10"/>
      <c r="G224" s="8"/>
      <c r="H224" s="8"/>
      <c r="I224" s="8"/>
    </row>
    <row r="225" customFormat="false" ht="15" hidden="false" customHeight="true" outlineLevel="0" collapsed="false">
      <c r="A225" s="8"/>
      <c r="B225" s="8"/>
      <c r="C225" s="8"/>
      <c r="D225" s="8"/>
      <c r="E225" s="10"/>
      <c r="F225" s="10"/>
      <c r="G225" s="8"/>
      <c r="H225" s="8"/>
      <c r="I225" s="8"/>
    </row>
    <row r="226" customFormat="false" ht="15" hidden="false" customHeight="true" outlineLevel="0" collapsed="false">
      <c r="A226" s="8"/>
      <c r="B226" s="8"/>
      <c r="C226" s="8"/>
      <c r="D226" s="8"/>
      <c r="E226" s="10"/>
      <c r="F226" s="10"/>
      <c r="G226" s="8"/>
      <c r="H226" s="8"/>
      <c r="I226" s="8"/>
    </row>
    <row r="227" customFormat="false" ht="15" hidden="false" customHeight="true" outlineLevel="0" collapsed="false">
      <c r="A227" s="8"/>
      <c r="B227" s="8"/>
      <c r="C227" s="8"/>
      <c r="D227" s="8"/>
      <c r="E227" s="10"/>
      <c r="F227" s="10"/>
      <c r="G227" s="8"/>
      <c r="H227" s="8"/>
      <c r="I227" s="8"/>
    </row>
    <row r="228" customFormat="false" ht="15" hidden="false" customHeight="true" outlineLevel="0" collapsed="false">
      <c r="A228" s="8"/>
      <c r="B228" s="8"/>
      <c r="C228" s="8"/>
      <c r="D228" s="8"/>
      <c r="E228" s="10"/>
      <c r="F228" s="10"/>
      <c r="G228" s="8"/>
      <c r="H228" s="8"/>
      <c r="I228" s="8"/>
    </row>
    <row r="229" customFormat="false" ht="15" hidden="false" customHeight="true" outlineLevel="0" collapsed="false">
      <c r="A229" s="8"/>
      <c r="B229" s="8"/>
      <c r="C229" s="8"/>
      <c r="D229" s="8"/>
      <c r="E229" s="10"/>
      <c r="F229" s="10"/>
      <c r="G229" s="8"/>
      <c r="H229" s="8"/>
      <c r="I229" s="8"/>
    </row>
    <row r="230" customFormat="false" ht="15" hidden="false" customHeight="true" outlineLevel="0" collapsed="false">
      <c r="A230" s="8"/>
      <c r="B230" s="8"/>
      <c r="C230" s="8"/>
      <c r="D230" s="8"/>
      <c r="E230" s="10"/>
      <c r="F230" s="10"/>
      <c r="G230" s="8"/>
      <c r="H230" s="8"/>
      <c r="I230" s="8"/>
    </row>
    <row r="231" customFormat="false" ht="15" hidden="false" customHeight="true" outlineLevel="0" collapsed="false">
      <c r="A231" s="8"/>
      <c r="B231" s="8"/>
      <c r="C231" s="8"/>
      <c r="D231" s="8"/>
      <c r="E231" s="10"/>
      <c r="F231" s="10"/>
      <c r="G231" s="8"/>
      <c r="H231" s="8"/>
      <c r="I231" s="8"/>
    </row>
    <row r="232" customFormat="false" ht="15" hidden="false" customHeight="true" outlineLevel="0" collapsed="false">
      <c r="A232" s="8"/>
      <c r="B232" s="8"/>
      <c r="C232" s="8"/>
      <c r="D232" s="8"/>
      <c r="E232" s="10"/>
      <c r="F232" s="10"/>
      <c r="G232" s="8"/>
      <c r="H232" s="8"/>
      <c r="I232" s="8"/>
    </row>
    <row r="233" customFormat="false" ht="15" hidden="false" customHeight="true" outlineLevel="0" collapsed="false">
      <c r="A233" s="8"/>
      <c r="B233" s="8"/>
      <c r="C233" s="8"/>
      <c r="D233" s="8"/>
      <c r="E233" s="10"/>
      <c r="F233" s="10"/>
      <c r="G233" s="8"/>
      <c r="H233" s="8"/>
      <c r="I233" s="8"/>
    </row>
    <row r="234" customFormat="false" ht="15" hidden="false" customHeight="true" outlineLevel="0" collapsed="false">
      <c r="A234" s="8"/>
      <c r="B234" s="8"/>
      <c r="C234" s="8"/>
      <c r="D234" s="8"/>
      <c r="E234" s="10"/>
      <c r="F234" s="10"/>
      <c r="G234" s="8"/>
      <c r="H234" s="8"/>
      <c r="I234" s="8"/>
    </row>
    <row r="235" customFormat="false" ht="15" hidden="false" customHeight="true" outlineLevel="0" collapsed="false">
      <c r="A235" s="8"/>
      <c r="B235" s="8"/>
      <c r="C235" s="8"/>
      <c r="D235" s="8"/>
      <c r="E235" s="10"/>
      <c r="F235" s="10"/>
      <c r="G235" s="8"/>
      <c r="H235" s="8"/>
      <c r="I235" s="8"/>
    </row>
    <row r="236" customFormat="false" ht="15" hidden="false" customHeight="true" outlineLevel="0" collapsed="false">
      <c r="A236" s="8"/>
      <c r="B236" s="8"/>
      <c r="C236" s="8"/>
      <c r="D236" s="8"/>
      <c r="E236" s="10"/>
      <c r="F236" s="10"/>
      <c r="G236" s="8"/>
      <c r="H236" s="8"/>
      <c r="I236" s="8"/>
    </row>
    <row r="237" customFormat="false" ht="15" hidden="false" customHeight="true" outlineLevel="0" collapsed="false">
      <c r="A237" s="8"/>
      <c r="B237" s="8"/>
      <c r="C237" s="8"/>
      <c r="D237" s="8"/>
      <c r="E237" s="10"/>
      <c r="F237" s="10"/>
      <c r="G237" s="8"/>
      <c r="H237" s="8"/>
      <c r="I237" s="8"/>
    </row>
    <row r="238" customFormat="false" ht="15" hidden="false" customHeight="true" outlineLevel="0" collapsed="false">
      <c r="A238" s="8"/>
      <c r="B238" s="8"/>
      <c r="C238" s="8"/>
      <c r="D238" s="8"/>
      <c r="E238" s="10"/>
      <c r="F238" s="10"/>
      <c r="G238" s="8"/>
      <c r="H238" s="8"/>
      <c r="I238" s="8"/>
    </row>
    <row r="239" customFormat="false" ht="15" hidden="false" customHeight="true" outlineLevel="0" collapsed="false">
      <c r="A239" s="8"/>
      <c r="B239" s="8"/>
      <c r="C239" s="8"/>
      <c r="D239" s="8"/>
      <c r="E239" s="10"/>
      <c r="F239" s="10"/>
      <c r="G239" s="8"/>
      <c r="H239" s="8"/>
      <c r="I239" s="8"/>
    </row>
    <row r="240" customFormat="false" ht="15" hidden="false" customHeight="true" outlineLevel="0" collapsed="false">
      <c r="A240" s="8"/>
      <c r="B240" s="8"/>
      <c r="C240" s="8"/>
      <c r="D240" s="8"/>
      <c r="E240" s="10"/>
      <c r="F240" s="10"/>
      <c r="G240" s="8"/>
      <c r="H240" s="8"/>
      <c r="I240" s="8"/>
    </row>
    <row r="241" customFormat="false" ht="15" hidden="false" customHeight="true" outlineLevel="0" collapsed="false">
      <c r="A241" s="8"/>
      <c r="B241" s="8"/>
      <c r="C241" s="8"/>
      <c r="D241" s="8"/>
      <c r="E241" s="10"/>
      <c r="F241" s="10"/>
      <c r="G241" s="8"/>
      <c r="H241" s="8"/>
      <c r="I241" s="8"/>
    </row>
    <row r="242" customFormat="false" ht="15" hidden="false" customHeight="true" outlineLevel="0" collapsed="false">
      <c r="A242" s="8"/>
      <c r="B242" s="8"/>
      <c r="C242" s="8"/>
      <c r="D242" s="8"/>
      <c r="E242" s="10"/>
      <c r="F242" s="10"/>
      <c r="G242" s="8"/>
      <c r="H242" s="8"/>
      <c r="I242" s="8"/>
    </row>
    <row r="243" customFormat="false" ht="15" hidden="false" customHeight="true" outlineLevel="0" collapsed="false">
      <c r="A243" s="8"/>
      <c r="B243" s="8"/>
      <c r="C243" s="8"/>
      <c r="D243" s="8"/>
      <c r="E243" s="10"/>
      <c r="F243" s="10"/>
      <c r="G243" s="8"/>
      <c r="H243" s="8"/>
      <c r="I243" s="8"/>
    </row>
    <row r="244" customFormat="false" ht="15" hidden="false" customHeight="true" outlineLevel="0" collapsed="false">
      <c r="A244" s="8"/>
      <c r="B244" s="8"/>
      <c r="C244" s="8"/>
      <c r="D244" s="8"/>
      <c r="E244" s="10"/>
      <c r="F244" s="10"/>
      <c r="G244" s="8"/>
      <c r="H244" s="8"/>
      <c r="I244" s="8"/>
    </row>
    <row r="245" customFormat="false" ht="15" hidden="false" customHeight="true" outlineLevel="0" collapsed="false">
      <c r="A245" s="8"/>
      <c r="B245" s="8"/>
      <c r="C245" s="8"/>
      <c r="D245" s="8"/>
      <c r="E245" s="10"/>
      <c r="F245" s="10"/>
      <c r="G245" s="8"/>
      <c r="H245" s="8"/>
      <c r="I245" s="8"/>
    </row>
    <row r="246" customFormat="false" ht="15" hidden="false" customHeight="true" outlineLevel="0" collapsed="false">
      <c r="A246" s="8"/>
      <c r="B246" s="8"/>
      <c r="C246" s="8"/>
      <c r="D246" s="8"/>
      <c r="E246" s="10"/>
      <c r="F246" s="10"/>
      <c r="G246" s="8"/>
      <c r="H246" s="8"/>
      <c r="I246" s="8"/>
    </row>
    <row r="247" customFormat="false" ht="15" hidden="false" customHeight="true" outlineLevel="0" collapsed="false">
      <c r="A247" s="8"/>
      <c r="B247" s="8"/>
      <c r="C247" s="8"/>
      <c r="D247" s="8"/>
      <c r="E247" s="10"/>
      <c r="F247" s="10"/>
      <c r="G247" s="8"/>
      <c r="H247" s="8"/>
      <c r="I247" s="8"/>
    </row>
    <row r="248" customFormat="false" ht="15" hidden="false" customHeight="true" outlineLevel="0" collapsed="false">
      <c r="A248" s="8"/>
      <c r="B248" s="8"/>
      <c r="C248" s="8"/>
      <c r="D248" s="8"/>
      <c r="E248" s="10"/>
      <c r="F248" s="10"/>
      <c r="G248" s="8"/>
      <c r="H248" s="8"/>
      <c r="I248" s="8"/>
    </row>
    <row r="249" customFormat="false" ht="15" hidden="false" customHeight="true" outlineLevel="0" collapsed="false">
      <c r="A249" s="8"/>
      <c r="B249" s="8"/>
      <c r="C249" s="8"/>
      <c r="D249" s="8"/>
      <c r="E249" s="10"/>
      <c r="F249" s="10"/>
      <c r="G249" s="8"/>
      <c r="H249" s="8"/>
      <c r="I249" s="8"/>
    </row>
    <row r="250" customFormat="false" ht="15" hidden="false" customHeight="true" outlineLevel="0" collapsed="false">
      <c r="A250" s="8"/>
      <c r="B250" s="8"/>
      <c r="C250" s="8"/>
      <c r="D250" s="8"/>
      <c r="E250" s="10"/>
      <c r="F250" s="10"/>
      <c r="G250" s="8"/>
      <c r="H250" s="8"/>
      <c r="I250" s="8"/>
    </row>
    <row r="251" customFormat="false" ht="15" hidden="false" customHeight="true" outlineLevel="0" collapsed="false">
      <c r="A251" s="8"/>
      <c r="B251" s="8"/>
      <c r="C251" s="8"/>
      <c r="D251" s="8"/>
      <c r="E251" s="10"/>
      <c r="F251" s="10"/>
      <c r="G251" s="8"/>
      <c r="H251" s="8"/>
      <c r="I251" s="8"/>
    </row>
    <row r="252" customFormat="false" ht="15" hidden="false" customHeight="true" outlineLevel="0" collapsed="false">
      <c r="A252" s="8"/>
      <c r="B252" s="8"/>
      <c r="C252" s="8"/>
      <c r="D252" s="8"/>
      <c r="E252" s="10"/>
      <c r="F252" s="10"/>
      <c r="G252" s="8"/>
      <c r="H252" s="8"/>
      <c r="I252" s="8"/>
    </row>
    <row r="253" customFormat="false" ht="15" hidden="false" customHeight="true" outlineLevel="0" collapsed="false">
      <c r="A253" s="8"/>
      <c r="B253" s="8"/>
      <c r="C253" s="8"/>
      <c r="D253" s="8"/>
      <c r="E253" s="10"/>
      <c r="F253" s="10"/>
      <c r="G253" s="8"/>
      <c r="H253" s="8"/>
      <c r="I253" s="8"/>
    </row>
    <row r="254" customFormat="false" ht="15" hidden="false" customHeight="true" outlineLevel="0" collapsed="false">
      <c r="A254" s="8"/>
      <c r="B254" s="8"/>
      <c r="C254" s="8"/>
      <c r="D254" s="8"/>
      <c r="E254" s="10"/>
      <c r="F254" s="10"/>
      <c r="G254" s="8"/>
      <c r="H254" s="8"/>
      <c r="I254" s="8"/>
    </row>
    <row r="255" customFormat="false" ht="15" hidden="false" customHeight="true" outlineLevel="0" collapsed="false">
      <c r="A255" s="8"/>
      <c r="B255" s="8"/>
      <c r="C255" s="8"/>
      <c r="D255" s="8"/>
      <c r="E255" s="10"/>
      <c r="F255" s="10"/>
      <c r="G255" s="8"/>
      <c r="H255" s="8"/>
      <c r="I255" s="8"/>
    </row>
    <row r="256" customFormat="false" ht="15" hidden="false" customHeight="true" outlineLevel="0" collapsed="false">
      <c r="A256" s="8"/>
      <c r="B256" s="8"/>
      <c r="C256" s="8"/>
      <c r="D256" s="8"/>
      <c r="E256" s="10"/>
      <c r="F256" s="10"/>
      <c r="G256" s="8"/>
      <c r="H256" s="8"/>
      <c r="I256" s="8"/>
    </row>
    <row r="257" customFormat="false" ht="15" hidden="false" customHeight="true" outlineLevel="0" collapsed="false">
      <c r="A257" s="8"/>
      <c r="B257" s="8"/>
      <c r="C257" s="8"/>
      <c r="D257" s="8"/>
      <c r="E257" s="10"/>
      <c r="F257" s="10"/>
      <c r="G257" s="8"/>
      <c r="H257" s="8"/>
      <c r="I257" s="8"/>
    </row>
    <row r="258" customFormat="false" ht="15" hidden="false" customHeight="true" outlineLevel="0" collapsed="false">
      <c r="A258" s="8"/>
      <c r="B258" s="8"/>
      <c r="C258" s="8"/>
      <c r="D258" s="8"/>
      <c r="E258" s="10"/>
      <c r="F258" s="10"/>
      <c r="G258" s="8"/>
      <c r="H258" s="8"/>
      <c r="I258" s="8"/>
    </row>
    <row r="259" customFormat="false" ht="15" hidden="false" customHeight="true" outlineLevel="0" collapsed="false">
      <c r="A259" s="8"/>
      <c r="B259" s="8"/>
      <c r="C259" s="8"/>
      <c r="D259" s="8"/>
      <c r="E259" s="10"/>
      <c r="F259" s="10"/>
      <c r="G259" s="8"/>
      <c r="H259" s="8"/>
      <c r="I259" s="8"/>
    </row>
    <row r="260" customFormat="false" ht="15" hidden="false" customHeight="true" outlineLevel="0" collapsed="false">
      <c r="A260" s="8"/>
      <c r="B260" s="8"/>
      <c r="C260" s="8"/>
      <c r="D260" s="8"/>
      <c r="E260" s="10"/>
      <c r="F260" s="10"/>
      <c r="G260" s="8"/>
      <c r="H260" s="8"/>
      <c r="I260" s="8"/>
    </row>
    <row r="261" customFormat="false" ht="15" hidden="false" customHeight="true" outlineLevel="0" collapsed="false">
      <c r="A261" s="8"/>
      <c r="B261" s="8"/>
      <c r="C261" s="8"/>
      <c r="D261" s="8"/>
      <c r="E261" s="10"/>
      <c r="F261" s="10"/>
      <c r="G261" s="8"/>
      <c r="H261" s="8"/>
      <c r="I261" s="8"/>
    </row>
    <row r="262" customFormat="false" ht="15" hidden="false" customHeight="true" outlineLevel="0" collapsed="false">
      <c r="A262" s="8"/>
      <c r="B262" s="8"/>
      <c r="C262" s="8"/>
      <c r="D262" s="8"/>
      <c r="E262" s="10"/>
      <c r="F262" s="10"/>
      <c r="G262" s="8"/>
      <c r="H262" s="8"/>
      <c r="I262" s="8"/>
    </row>
    <row r="263" customFormat="false" ht="15" hidden="false" customHeight="true" outlineLevel="0" collapsed="false">
      <c r="A263" s="8"/>
      <c r="B263" s="8"/>
      <c r="C263" s="8"/>
      <c r="D263" s="8"/>
      <c r="E263" s="10"/>
      <c r="F263" s="10"/>
      <c r="G263" s="8"/>
      <c r="H263" s="8"/>
      <c r="I263" s="8"/>
    </row>
    <row r="264" customFormat="false" ht="15" hidden="false" customHeight="true" outlineLevel="0" collapsed="false">
      <c r="A264" s="8"/>
      <c r="B264" s="8"/>
      <c r="C264" s="8"/>
      <c r="D264" s="8"/>
      <c r="E264" s="10"/>
      <c r="F264" s="10"/>
      <c r="G264" s="8"/>
      <c r="H264" s="8"/>
      <c r="I264" s="8"/>
    </row>
    <row r="265" customFormat="false" ht="15" hidden="false" customHeight="true" outlineLevel="0" collapsed="false">
      <c r="A265" s="8"/>
      <c r="B265" s="8"/>
      <c r="C265" s="8"/>
      <c r="D265" s="8"/>
      <c r="E265" s="10"/>
      <c r="F265" s="10"/>
      <c r="G265" s="8"/>
      <c r="H265" s="8"/>
      <c r="I265" s="8"/>
    </row>
    <row r="266" customFormat="false" ht="15" hidden="false" customHeight="true" outlineLevel="0" collapsed="false">
      <c r="A266" s="8"/>
      <c r="B266" s="8"/>
      <c r="C266" s="8"/>
      <c r="D266" s="8"/>
      <c r="E266" s="10"/>
      <c r="F266" s="10"/>
      <c r="G266" s="8"/>
      <c r="H266" s="8"/>
      <c r="I266" s="8"/>
    </row>
    <row r="267" customFormat="false" ht="15" hidden="false" customHeight="true" outlineLevel="0" collapsed="false">
      <c r="A267" s="8"/>
      <c r="B267" s="8"/>
      <c r="C267" s="8"/>
      <c r="D267" s="8"/>
      <c r="E267" s="10"/>
      <c r="F267" s="10"/>
      <c r="G267" s="8"/>
      <c r="H267" s="8"/>
      <c r="I267" s="8"/>
    </row>
    <row r="268" customFormat="false" ht="15" hidden="false" customHeight="true" outlineLevel="0" collapsed="false">
      <c r="A268" s="8"/>
      <c r="B268" s="8"/>
      <c r="C268" s="8"/>
      <c r="D268" s="8"/>
      <c r="E268" s="10"/>
      <c r="F268" s="10"/>
      <c r="G268" s="8"/>
      <c r="H268" s="8"/>
      <c r="I268" s="8"/>
    </row>
    <row r="269" customFormat="false" ht="15" hidden="false" customHeight="true" outlineLevel="0" collapsed="false">
      <c r="A269" s="8"/>
      <c r="B269" s="8"/>
      <c r="C269" s="8"/>
      <c r="D269" s="8"/>
      <c r="E269" s="10"/>
      <c r="F269" s="10"/>
      <c r="G269" s="8"/>
      <c r="H269" s="8"/>
      <c r="I269" s="8"/>
    </row>
    <row r="270" customFormat="false" ht="15" hidden="false" customHeight="true" outlineLevel="0" collapsed="false">
      <c r="A270" s="8"/>
      <c r="B270" s="8"/>
      <c r="C270" s="8"/>
      <c r="D270" s="8"/>
      <c r="E270" s="10"/>
      <c r="F270" s="10"/>
      <c r="G270" s="8"/>
      <c r="H270" s="8"/>
      <c r="I270" s="8"/>
    </row>
    <row r="271" customFormat="false" ht="15" hidden="false" customHeight="true" outlineLevel="0" collapsed="false">
      <c r="A271" s="8"/>
      <c r="B271" s="8"/>
      <c r="C271" s="8"/>
      <c r="D271" s="8"/>
      <c r="E271" s="10"/>
      <c r="F271" s="10"/>
      <c r="G271" s="8"/>
      <c r="H271" s="8"/>
      <c r="I271" s="8"/>
    </row>
    <row r="272" customFormat="false" ht="15" hidden="false" customHeight="true" outlineLevel="0" collapsed="false">
      <c r="A272" s="8"/>
      <c r="B272" s="8"/>
      <c r="C272" s="8"/>
      <c r="D272" s="8"/>
      <c r="E272" s="10"/>
      <c r="F272" s="10"/>
      <c r="G272" s="8"/>
      <c r="H272" s="8"/>
      <c r="I272" s="8"/>
    </row>
    <row r="273" customFormat="false" ht="15" hidden="false" customHeight="true" outlineLevel="0" collapsed="false">
      <c r="A273" s="8"/>
      <c r="B273" s="8"/>
      <c r="C273" s="8"/>
      <c r="D273" s="8"/>
      <c r="E273" s="10"/>
      <c r="F273" s="10"/>
      <c r="G273" s="8"/>
      <c r="H273" s="8"/>
      <c r="I273" s="8"/>
    </row>
    <row r="274" customFormat="false" ht="15" hidden="false" customHeight="true" outlineLevel="0" collapsed="false">
      <c r="A274" s="8"/>
      <c r="B274" s="8"/>
      <c r="C274" s="8"/>
      <c r="D274" s="8"/>
      <c r="E274" s="10"/>
      <c r="F274" s="10"/>
      <c r="G274" s="8"/>
      <c r="H274" s="8"/>
      <c r="I274" s="8"/>
    </row>
    <row r="275" customFormat="false" ht="15" hidden="false" customHeight="true" outlineLevel="0" collapsed="false">
      <c r="A275" s="8"/>
      <c r="B275" s="8"/>
      <c r="C275" s="8"/>
      <c r="D275" s="8"/>
      <c r="E275" s="10"/>
      <c r="F275" s="10"/>
      <c r="G275" s="8"/>
      <c r="H275" s="8"/>
      <c r="I275" s="8"/>
    </row>
    <row r="276" customFormat="false" ht="15" hidden="false" customHeight="true" outlineLevel="0" collapsed="false">
      <c r="A276" s="8"/>
      <c r="B276" s="8"/>
      <c r="C276" s="8"/>
      <c r="D276" s="8"/>
      <c r="E276" s="10"/>
      <c r="F276" s="10"/>
      <c r="G276" s="8"/>
      <c r="H276" s="8"/>
      <c r="I276" s="8"/>
    </row>
    <row r="277" customFormat="false" ht="15" hidden="false" customHeight="true" outlineLevel="0" collapsed="false">
      <c r="A277" s="8"/>
      <c r="B277" s="8"/>
      <c r="C277" s="8"/>
      <c r="D277" s="8"/>
      <c r="E277" s="10"/>
      <c r="F277" s="10"/>
      <c r="G277" s="8"/>
      <c r="H277" s="8"/>
      <c r="I277" s="8"/>
    </row>
    <row r="278" customFormat="false" ht="15" hidden="false" customHeight="true" outlineLevel="0" collapsed="false">
      <c r="A278" s="8"/>
      <c r="B278" s="8"/>
      <c r="C278" s="8"/>
      <c r="D278" s="8"/>
      <c r="E278" s="10"/>
      <c r="F278" s="10"/>
      <c r="G278" s="8"/>
      <c r="H278" s="8"/>
      <c r="I278" s="8"/>
    </row>
    <row r="279" customFormat="false" ht="15" hidden="false" customHeight="true" outlineLevel="0" collapsed="false">
      <c r="A279" s="8"/>
      <c r="B279" s="8"/>
      <c r="C279" s="8"/>
      <c r="D279" s="8"/>
      <c r="E279" s="10"/>
      <c r="F279" s="10"/>
      <c r="G279" s="8"/>
      <c r="H279" s="8"/>
      <c r="I279" s="8"/>
    </row>
    <row r="280" customFormat="false" ht="15" hidden="false" customHeight="true" outlineLevel="0" collapsed="false">
      <c r="A280" s="8"/>
      <c r="B280" s="8"/>
      <c r="C280" s="8"/>
      <c r="D280" s="8"/>
      <c r="E280" s="10"/>
      <c r="F280" s="10"/>
      <c r="G280" s="8"/>
      <c r="H280" s="8"/>
      <c r="I280" s="8"/>
    </row>
    <row r="281" customFormat="false" ht="15" hidden="false" customHeight="true" outlineLevel="0" collapsed="false">
      <c r="A281" s="8"/>
      <c r="B281" s="8"/>
      <c r="C281" s="8"/>
      <c r="D281" s="8"/>
      <c r="E281" s="10"/>
      <c r="F281" s="10"/>
      <c r="G281" s="8"/>
      <c r="H281" s="8"/>
      <c r="I281" s="8"/>
    </row>
    <row r="282" customFormat="false" ht="15" hidden="false" customHeight="true" outlineLevel="0" collapsed="false">
      <c r="A282" s="8"/>
      <c r="B282" s="8"/>
      <c r="C282" s="8"/>
      <c r="D282" s="8"/>
      <c r="E282" s="10"/>
      <c r="F282" s="10"/>
      <c r="G282" s="8"/>
      <c r="H282" s="8"/>
      <c r="I282" s="8"/>
    </row>
    <row r="283" customFormat="false" ht="15" hidden="false" customHeight="true" outlineLevel="0" collapsed="false">
      <c r="A283" s="8"/>
      <c r="B283" s="8"/>
      <c r="C283" s="8"/>
      <c r="D283" s="8"/>
      <c r="E283" s="10"/>
      <c r="F283" s="10"/>
      <c r="G283" s="8"/>
      <c r="H283" s="8"/>
      <c r="I283" s="8"/>
    </row>
    <row r="284" customFormat="false" ht="15" hidden="false" customHeight="true" outlineLevel="0" collapsed="false">
      <c r="A284" s="8"/>
      <c r="B284" s="8"/>
      <c r="C284" s="8"/>
      <c r="D284" s="8"/>
      <c r="E284" s="10"/>
      <c r="F284" s="10"/>
      <c r="G284" s="8"/>
      <c r="H284" s="8"/>
      <c r="I284" s="8"/>
    </row>
    <row r="285" customFormat="false" ht="15" hidden="false" customHeight="true" outlineLevel="0" collapsed="false">
      <c r="A285" s="8"/>
      <c r="B285" s="8"/>
      <c r="C285" s="8"/>
      <c r="D285" s="8"/>
      <c r="E285" s="10"/>
      <c r="F285" s="10"/>
      <c r="G285" s="8"/>
      <c r="H285" s="8"/>
      <c r="I285" s="8"/>
    </row>
    <row r="286" customFormat="false" ht="15" hidden="false" customHeight="true" outlineLevel="0" collapsed="false">
      <c r="A286" s="8"/>
      <c r="B286" s="8"/>
      <c r="C286" s="8"/>
      <c r="D286" s="8"/>
      <c r="E286" s="10"/>
      <c r="F286" s="10"/>
      <c r="G286" s="8"/>
      <c r="H286" s="8"/>
      <c r="I286" s="8"/>
    </row>
    <row r="287" customFormat="false" ht="15" hidden="false" customHeight="true" outlineLevel="0" collapsed="false">
      <c r="A287" s="8"/>
      <c r="B287" s="8"/>
      <c r="C287" s="8"/>
      <c r="D287" s="8"/>
      <c r="E287" s="10"/>
      <c r="F287" s="10"/>
      <c r="G287" s="8"/>
      <c r="H287" s="8"/>
      <c r="I287" s="8"/>
    </row>
    <row r="288" customFormat="false" ht="15" hidden="false" customHeight="true" outlineLevel="0" collapsed="false">
      <c r="A288" s="8"/>
      <c r="B288" s="8"/>
      <c r="C288" s="8"/>
      <c r="D288" s="8"/>
      <c r="E288" s="10"/>
      <c r="F288" s="10"/>
      <c r="G288" s="8"/>
      <c r="H288" s="8"/>
      <c r="I288" s="8"/>
    </row>
    <row r="289" customFormat="false" ht="15" hidden="false" customHeight="true" outlineLevel="0" collapsed="false">
      <c r="A289" s="8"/>
      <c r="B289" s="8"/>
      <c r="C289" s="8"/>
      <c r="D289" s="8"/>
      <c r="E289" s="10"/>
      <c r="F289" s="10"/>
      <c r="G289" s="8"/>
      <c r="H289" s="8"/>
      <c r="I289" s="8"/>
    </row>
    <row r="290" customFormat="false" ht="15" hidden="false" customHeight="true" outlineLevel="0" collapsed="false">
      <c r="A290" s="8"/>
      <c r="B290" s="8"/>
      <c r="C290" s="8"/>
      <c r="D290" s="8"/>
      <c r="E290" s="10"/>
      <c r="F290" s="10"/>
      <c r="G290" s="8"/>
      <c r="H290" s="8"/>
      <c r="I290" s="8"/>
    </row>
    <row r="291" customFormat="false" ht="15" hidden="false" customHeight="true" outlineLevel="0" collapsed="false">
      <c r="A291" s="8"/>
      <c r="B291" s="8"/>
      <c r="C291" s="8"/>
      <c r="D291" s="8"/>
      <c r="E291" s="10"/>
      <c r="F291" s="10"/>
      <c r="G291" s="8"/>
      <c r="H291" s="8"/>
      <c r="I291" s="8"/>
    </row>
    <row r="292" customFormat="false" ht="15" hidden="false" customHeight="true" outlineLevel="0" collapsed="false">
      <c r="A292" s="8"/>
      <c r="B292" s="8"/>
      <c r="C292" s="8"/>
      <c r="D292" s="8"/>
      <c r="E292" s="10"/>
      <c r="F292" s="10"/>
      <c r="G292" s="8"/>
      <c r="H292" s="8"/>
      <c r="I292" s="8"/>
    </row>
    <row r="293" customFormat="false" ht="15" hidden="false" customHeight="true" outlineLevel="0" collapsed="false">
      <c r="A293" s="8"/>
      <c r="B293" s="8"/>
      <c r="C293" s="8"/>
      <c r="D293" s="8"/>
      <c r="E293" s="10"/>
      <c r="F293" s="10"/>
      <c r="G293" s="8"/>
      <c r="H293" s="8"/>
      <c r="I293" s="8"/>
    </row>
    <row r="294" customFormat="false" ht="15" hidden="false" customHeight="true" outlineLevel="0" collapsed="false">
      <c r="A294" s="8"/>
      <c r="B294" s="8"/>
      <c r="C294" s="8"/>
      <c r="D294" s="8"/>
      <c r="E294" s="10"/>
      <c r="F294" s="10"/>
      <c r="G294" s="8"/>
      <c r="H294" s="8"/>
      <c r="I294" s="8"/>
    </row>
    <row r="295" customFormat="false" ht="15" hidden="false" customHeight="true" outlineLevel="0" collapsed="false">
      <c r="A295" s="8"/>
      <c r="B295" s="8"/>
      <c r="C295" s="8"/>
      <c r="D295" s="8"/>
      <c r="E295" s="10"/>
      <c r="F295" s="10"/>
      <c r="G295" s="8"/>
      <c r="H295" s="8"/>
      <c r="I295" s="8"/>
    </row>
    <row r="296" customFormat="false" ht="15" hidden="false" customHeight="true" outlineLevel="0" collapsed="false">
      <c r="A296" s="8"/>
      <c r="B296" s="8"/>
      <c r="C296" s="8"/>
      <c r="D296" s="8"/>
      <c r="E296" s="10"/>
      <c r="F296" s="10"/>
      <c r="G296" s="8"/>
      <c r="H296" s="8"/>
      <c r="I296" s="8"/>
    </row>
    <row r="297" customFormat="false" ht="15" hidden="false" customHeight="true" outlineLevel="0" collapsed="false">
      <c r="A297" s="8"/>
      <c r="B297" s="8"/>
      <c r="C297" s="8"/>
      <c r="D297" s="8"/>
      <c r="E297" s="10"/>
      <c r="F297" s="10"/>
      <c r="G297" s="8"/>
      <c r="H297" s="8"/>
      <c r="I297" s="8"/>
    </row>
    <row r="298" customFormat="false" ht="15" hidden="false" customHeight="true" outlineLevel="0" collapsed="false">
      <c r="A298" s="8"/>
      <c r="B298" s="8"/>
      <c r="C298" s="8"/>
      <c r="D298" s="8"/>
      <c r="E298" s="10"/>
      <c r="F298" s="10"/>
      <c r="G298" s="8"/>
      <c r="H298" s="8"/>
      <c r="I298" s="8"/>
    </row>
    <row r="299" customFormat="false" ht="15" hidden="false" customHeight="true" outlineLevel="0" collapsed="false">
      <c r="A299" s="8"/>
      <c r="B299" s="8"/>
      <c r="C299" s="8"/>
      <c r="D299" s="8"/>
      <c r="E299" s="10"/>
      <c r="F299" s="10"/>
      <c r="G299" s="8"/>
      <c r="H299" s="8"/>
      <c r="I299" s="8"/>
    </row>
    <row r="300" customFormat="false" ht="15" hidden="false" customHeight="true" outlineLevel="0" collapsed="false">
      <c r="A300" s="8"/>
      <c r="B300" s="8"/>
      <c r="C300" s="8"/>
      <c r="D300" s="8"/>
      <c r="E300" s="10"/>
      <c r="F300" s="10"/>
      <c r="G300" s="8"/>
      <c r="H300" s="8"/>
      <c r="I300" s="8"/>
    </row>
  </sheetData>
  <autoFilter ref="A2:I300"/>
  <mergeCells count="1">
    <mergeCell ref="A1:I1"/>
  </mergeCells>
  <dataValidations count="1">
    <dataValidation allowBlank="true" errorStyle="stop" operator="between" showDropDown="false" showErrorMessage="false" showInputMessage="false" sqref="G3:G300" type="list">
      <formula1>"O,N"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8"/>
    <col collapsed="false" customWidth="true" hidden="false" outlineLevel="0" max="4" min="2" style="1" width="14"/>
    <col collapsed="false" customWidth="true" hidden="false" outlineLevel="0" max="5" min="5" style="1" width="32"/>
    <col collapsed="false" customWidth="true" hidden="false" outlineLevel="0" max="6" min="6" style="1" width="23"/>
    <col collapsed="false" customWidth="true" hidden="false" outlineLevel="0" max="7" min="7" style="1" width="22"/>
    <col collapsed="false" customWidth="true" hidden="false" outlineLevel="0" max="8" min="8" style="1" width="15"/>
    <col collapsed="false" customWidth="true" hidden="false" outlineLevel="0" max="9" min="9" style="1" width="26"/>
    <col min="10" max="10" width="18" customWidth="1"/>
    <col min="11" max="11" width="18" customWidth="1"/>
    <col min="12" max="12" width="18" customWidth="1"/>
  </cols>
  <sheetData>
    <row r="1" customFormat="false" ht="30" hidden="false" customHeight="true" outlineLevel="0" collapsed="false">
      <c r="A1" s="2" t="s">
        <v>164</v>
      </c>
      <c r="B1" s="2"/>
      <c r="C1" s="2"/>
      <c r="D1" s="2"/>
      <c r="E1" s="2"/>
      <c r="F1" s="2"/>
      <c r="G1" s="2"/>
      <c r="H1" s="2"/>
      <c r="I1" s="2"/>
    </row>
    <row r="2" customFormat="false" ht="31.5" hidden="false" customHeight="true" outlineLevel="0" collapsed="false">
      <c r="A2" s="7" t="s">
        <v>165</v>
      </c>
      <c r="B2" s="7" t="s">
        <v>118</v>
      </c>
      <c r="C2" s="7" t="s">
        <v>119</v>
      </c>
      <c r="D2" s="7" t="s">
        <v>120</v>
      </c>
      <c r="E2" s="7" t="inlineStr">
        <is>
          <t xml:space="preserve">Statut (*)</t>
        </is>
      </c>
      <c r="F2" s="7" t="s">
        <v>167</v>
      </c>
      <c r="G2" s="7" t="s">
        <v>168</v>
      </c>
      <c r="H2" s="7" t="s">
        <v>169</v>
      </c>
      <c r="I2" s="7" t="s">
        <v>170</v>
      </c>
      <c r="J2" s="7" t="inlineStr">
        <is>
          <t xml:space="preserve">Taux horaire (KMF/h)</t>
        </is>
      </c>
      <c r="K2" s="7" t="inlineStr">
        <is>
          <t xml:space="preserve">Mode de remuneration</t>
        </is>
      </c>
      <c r="L2" s="7" t="inlineStr">
        <is>
          <t xml:space="preserve">Cout mensuel (KMF)</t>
        </is>
      </c>
    </row>
    <row r="3" customFormat="false" ht="15" hidden="false" customHeight="true" outlineLevel="0" collapsed="false">
      <c r="A3" s="8"/>
      <c r="B3" s="8"/>
      <c r="C3" s="8"/>
      <c r="D3" s="8"/>
      <c r="E3" s="8"/>
      <c r="F3" s="8"/>
      <c r="G3" s="8"/>
      <c r="H3" s="8"/>
      <c r="I3" s="8"/>
    </row>
    <row r="4" customFormat="false" ht="15" hidden="false" customHeight="true" outlineLevel="0" collapsed="false">
      <c r="A4" s="8"/>
      <c r="B4" s="8"/>
      <c r="C4" s="8"/>
      <c r="D4" s="8"/>
      <c r="E4" s="8"/>
      <c r="F4" s="8"/>
      <c r="G4" s="8"/>
      <c r="H4" s="8"/>
      <c r="I4" s="8"/>
    </row>
    <row r="5" customFormat="false" ht="15" hidden="false" customHeight="true" outlineLevel="0" collapsed="false">
      <c r="A5" s="8"/>
      <c r="B5" s="8"/>
      <c r="C5" s="8"/>
      <c r="D5" s="8"/>
      <c r="E5" s="8"/>
      <c r="F5" s="8"/>
      <c r="G5" s="8"/>
      <c r="H5" s="8"/>
      <c r="I5" s="8"/>
    </row>
    <row r="6" customFormat="false" ht="15" hidden="false" customHeight="true" outlineLevel="0" collapsed="false">
      <c r="A6" s="8"/>
      <c r="B6" s="8"/>
      <c r="C6" s="8"/>
      <c r="D6" s="8"/>
      <c r="E6" s="8"/>
      <c r="F6" s="8"/>
      <c r="G6" s="8"/>
      <c r="H6" s="8"/>
      <c r="I6" s="8"/>
    </row>
    <row r="7" customFormat="false" ht="15" hidden="false" customHeight="true" outlineLevel="0" collapsed="false">
      <c r="A7" s="8"/>
      <c r="B7" s="8"/>
      <c r="C7" s="8"/>
      <c r="D7" s="8"/>
      <c r="E7" s="8"/>
      <c r="F7" s="8"/>
      <c r="G7" s="8"/>
      <c r="H7" s="8"/>
      <c r="I7" s="8"/>
    </row>
    <row r="8" customFormat="false" ht="15" hidden="false" customHeight="true" outlineLevel="0" collapsed="false">
      <c r="A8" s="8"/>
      <c r="B8" s="8"/>
      <c r="C8" s="8"/>
      <c r="D8" s="8"/>
      <c r="E8" s="8"/>
      <c r="F8" s="8"/>
      <c r="G8" s="8"/>
      <c r="H8" s="8"/>
      <c r="I8" s="8"/>
    </row>
    <row r="9" customFormat="false" ht="15" hidden="false" customHeight="true" outlineLevel="0" collapsed="false">
      <c r="A9" s="8"/>
      <c r="B9" s="8"/>
      <c r="C9" s="8"/>
      <c r="D9" s="8"/>
      <c r="E9" s="8"/>
      <c r="F9" s="8"/>
      <c r="G9" s="8"/>
      <c r="H9" s="8"/>
      <c r="I9" s="8"/>
    </row>
    <row r="10" customFormat="false" ht="15" hidden="false" customHeight="true" outlineLevel="0" collapsed="false">
      <c r="A10" s="8"/>
      <c r="B10" s="8"/>
      <c r="C10" s="8"/>
      <c r="D10" s="8"/>
      <c r="E10" s="8"/>
      <c r="F10" s="8"/>
      <c r="G10" s="8"/>
      <c r="H10" s="8"/>
      <c r="I10" s="8"/>
    </row>
    <row r="11" customFormat="false" ht="15" hidden="false" customHeight="true" outlineLevel="0" collapsed="false">
      <c r="A11" s="8"/>
      <c r="B11" s="8"/>
      <c r="C11" s="8"/>
      <c r="D11" s="8"/>
      <c r="E11" s="8"/>
      <c r="F11" s="8"/>
      <c r="G11" s="8"/>
      <c r="H11" s="8"/>
      <c r="I11" s="8"/>
    </row>
    <row r="12" customFormat="false" ht="15" hidden="false" customHeight="true" outlineLevel="0" collapsed="false">
      <c r="A12" s="8"/>
      <c r="B12" s="8"/>
      <c r="C12" s="8"/>
      <c r="D12" s="8"/>
      <c r="E12" s="8"/>
      <c r="F12" s="8"/>
      <c r="G12" s="8"/>
      <c r="H12" s="8"/>
      <c r="I12" s="8"/>
    </row>
    <row r="13" customFormat="false" ht="15" hidden="false" customHeight="true" outlineLevel="0" collapsed="false">
      <c r="A13" s="8"/>
      <c r="B13" s="8"/>
      <c r="C13" s="8"/>
      <c r="D13" s="8"/>
      <c r="E13" s="8"/>
      <c r="F13" s="8"/>
      <c r="G13" s="8"/>
      <c r="H13" s="8"/>
      <c r="I13" s="8"/>
    </row>
    <row r="14" customFormat="false" ht="15" hidden="false" customHeight="true" outlineLevel="0" collapsed="false">
      <c r="A14" s="8"/>
      <c r="B14" s="8"/>
      <c r="C14" s="8"/>
      <c r="D14" s="8"/>
      <c r="E14" s="8"/>
      <c r="F14" s="8"/>
      <c r="G14" s="8"/>
      <c r="H14" s="8"/>
      <c r="I14" s="8"/>
    </row>
    <row r="15" customFormat="false" ht="15" hidden="false" customHeight="true" outlineLevel="0" collapsed="false">
      <c r="A15" s="8"/>
      <c r="B15" s="8"/>
      <c r="C15" s="8"/>
      <c r="D15" s="8"/>
      <c r="E15" s="8"/>
      <c r="F15" s="8"/>
      <c r="G15" s="8"/>
      <c r="H15" s="8"/>
      <c r="I15" s="8"/>
    </row>
    <row r="16" customFormat="false" ht="15" hidden="false" customHeight="true" outlineLevel="0" collapsed="false">
      <c r="A16" s="8"/>
      <c r="B16" s="8"/>
      <c r="C16" s="8"/>
      <c r="D16" s="8"/>
      <c r="E16" s="8"/>
      <c r="F16" s="8"/>
      <c r="G16" s="8"/>
      <c r="H16" s="8"/>
      <c r="I16" s="8"/>
    </row>
    <row r="17" customFormat="false" ht="15" hidden="false" customHeight="true" outlineLevel="0" collapsed="false">
      <c r="A17" s="8"/>
      <c r="B17" s="8"/>
      <c r="C17" s="8"/>
      <c r="D17" s="8"/>
      <c r="E17" s="8"/>
      <c r="F17" s="8"/>
      <c r="G17" s="8"/>
      <c r="H17" s="8"/>
      <c r="I17" s="8"/>
    </row>
    <row r="18" customFormat="false" ht="15" hidden="false" customHeight="true" outlineLevel="0" collapsed="false">
      <c r="A18" s="8"/>
      <c r="B18" s="8"/>
      <c r="C18" s="8"/>
      <c r="D18" s="8"/>
      <c r="E18" s="8"/>
      <c r="F18" s="8"/>
      <c r="G18" s="8"/>
      <c r="H18" s="8"/>
      <c r="I18" s="8"/>
    </row>
    <row r="19" customFormat="false" ht="15" hidden="false" customHeight="true" outlineLevel="0" collapsed="false">
      <c r="A19" s="8"/>
      <c r="B19" s="8"/>
      <c r="C19" s="8"/>
      <c r="D19" s="8"/>
      <c r="E19" s="8"/>
      <c r="F19" s="8"/>
      <c r="G19" s="8"/>
      <c r="H19" s="8"/>
      <c r="I19" s="8"/>
    </row>
    <row r="20" customFormat="false" ht="15" hidden="false" customHeight="true" outlineLevel="0" collapsed="false">
      <c r="A20" s="8"/>
      <c r="B20" s="8"/>
      <c r="C20" s="8"/>
      <c r="D20" s="8"/>
      <c r="E20" s="8"/>
      <c r="F20" s="8"/>
      <c r="G20" s="8"/>
      <c r="H20" s="8"/>
      <c r="I20" s="8"/>
    </row>
    <row r="21" customFormat="false" ht="15" hidden="false" customHeight="true" outlineLevel="0" collapsed="false">
      <c r="A21" s="8"/>
      <c r="B21" s="8"/>
      <c r="C21" s="8"/>
      <c r="D21" s="8"/>
      <c r="E21" s="8"/>
      <c r="F21" s="8"/>
      <c r="G21" s="8"/>
      <c r="H21" s="8"/>
      <c r="I21" s="8"/>
    </row>
    <row r="22" customFormat="false" ht="15" hidden="false" customHeight="true" outlineLevel="0" collapsed="false">
      <c r="A22" s="8"/>
      <c r="B22" s="8"/>
      <c r="C22" s="8"/>
      <c r="D22" s="8"/>
      <c r="E22" s="8"/>
      <c r="F22" s="8"/>
      <c r="G22" s="8"/>
      <c r="H22" s="8"/>
      <c r="I22" s="8"/>
    </row>
    <row r="23" customFormat="false" ht="15" hidden="false" customHeight="true" outlineLevel="0" collapsed="false">
      <c r="A23" s="8"/>
      <c r="B23" s="8"/>
      <c r="C23" s="8"/>
      <c r="D23" s="8"/>
      <c r="E23" s="8"/>
      <c r="F23" s="8"/>
      <c r="G23" s="8"/>
      <c r="H23" s="8"/>
      <c r="I23" s="8"/>
    </row>
    <row r="24" customFormat="false" ht="15" hidden="false" customHeight="true" outlineLevel="0" collapsed="false">
      <c r="A24" s="8"/>
      <c r="B24" s="8"/>
      <c r="C24" s="8"/>
      <c r="D24" s="8"/>
      <c r="E24" s="8"/>
      <c r="F24" s="8"/>
      <c r="G24" s="8"/>
      <c r="H24" s="8"/>
      <c r="I24" s="8"/>
    </row>
    <row r="25" customFormat="false" ht="15" hidden="false" customHeight="true" outlineLevel="0" collapsed="false">
      <c r="A25" s="8"/>
      <c r="B25" s="8"/>
      <c r="C25" s="8"/>
      <c r="D25" s="8"/>
      <c r="E25" s="8"/>
      <c r="F25" s="8"/>
      <c r="G25" s="8"/>
      <c r="H25" s="8"/>
      <c r="I25" s="8"/>
    </row>
    <row r="26" customFormat="false" ht="15" hidden="false" customHeight="true" outlineLevel="0" collapsed="false">
      <c r="A26" s="8"/>
      <c r="B26" s="8"/>
      <c r="C26" s="8"/>
      <c r="D26" s="8"/>
      <c r="E26" s="8"/>
      <c r="F26" s="8"/>
      <c r="G26" s="8"/>
      <c r="H26" s="8"/>
      <c r="I26" s="8"/>
    </row>
    <row r="27" customFormat="false" ht="15" hidden="false" customHeight="true" outlineLevel="0" collapsed="false">
      <c r="A27" s="8"/>
      <c r="B27" s="8"/>
      <c r="C27" s="8"/>
      <c r="D27" s="8"/>
      <c r="E27" s="8"/>
      <c r="F27" s="8"/>
      <c r="G27" s="8"/>
      <c r="H27" s="8"/>
      <c r="I27" s="8"/>
    </row>
    <row r="28" customFormat="false" ht="15" hidden="false" customHeight="true" outlineLevel="0" collapsed="false">
      <c r="A28" s="8"/>
      <c r="B28" s="8"/>
      <c r="C28" s="8"/>
      <c r="D28" s="8"/>
      <c r="E28" s="8"/>
      <c r="F28" s="8"/>
      <c r="G28" s="8"/>
      <c r="H28" s="8"/>
      <c r="I28" s="8"/>
    </row>
    <row r="29" customFormat="false" ht="15" hidden="false" customHeight="true" outlineLevel="0" collapsed="false">
      <c r="A29" s="8"/>
      <c r="B29" s="8"/>
      <c r="C29" s="8"/>
      <c r="D29" s="8"/>
      <c r="E29" s="8"/>
      <c r="F29" s="8"/>
      <c r="G29" s="8"/>
      <c r="H29" s="8"/>
      <c r="I29" s="8"/>
    </row>
    <row r="30" customFormat="false" ht="15" hidden="false" customHeight="true" outlineLevel="0" collapsed="false">
      <c r="A30" s="8"/>
      <c r="B30" s="8"/>
      <c r="C30" s="8"/>
      <c r="D30" s="8"/>
      <c r="E30" s="8"/>
      <c r="F30" s="8"/>
      <c r="G30" s="8"/>
      <c r="H30" s="8"/>
      <c r="I30" s="8"/>
    </row>
    <row r="31" customFormat="false" ht="15" hidden="false" customHeight="true" outlineLevel="0" collapsed="false">
      <c r="A31" s="8"/>
      <c r="B31" s="8"/>
      <c r="C31" s="8"/>
      <c r="D31" s="8"/>
      <c r="E31" s="8"/>
      <c r="F31" s="8"/>
      <c r="G31" s="8"/>
      <c r="H31" s="8"/>
      <c r="I31" s="8"/>
    </row>
    <row r="32" customFormat="false" ht="15" hidden="false" customHeight="true" outlineLevel="0" collapsed="false">
      <c r="A32" s="8"/>
      <c r="B32" s="8"/>
      <c r="C32" s="8"/>
      <c r="D32" s="8"/>
      <c r="E32" s="8"/>
      <c r="F32" s="8"/>
      <c r="G32" s="8"/>
      <c r="H32" s="8"/>
      <c r="I32" s="8"/>
    </row>
    <row r="33" customFormat="false" ht="15" hidden="false" customHeight="true" outlineLevel="0" collapsed="false">
      <c r="A33" s="8"/>
      <c r="B33" s="8"/>
      <c r="C33" s="8"/>
      <c r="D33" s="8"/>
      <c r="E33" s="8"/>
      <c r="F33" s="8"/>
      <c r="G33" s="8"/>
      <c r="H33" s="8"/>
      <c r="I33" s="8"/>
    </row>
    <row r="34" customFormat="false" ht="15" hidden="false" customHeight="true" outlineLevel="0" collapsed="false">
      <c r="A34" s="8"/>
      <c r="B34" s="8"/>
      <c r="C34" s="8"/>
      <c r="D34" s="8"/>
      <c r="E34" s="8"/>
      <c r="F34" s="8"/>
      <c r="G34" s="8"/>
      <c r="H34" s="8"/>
      <c r="I34" s="8"/>
    </row>
    <row r="35" customFormat="false" ht="15" hidden="false" customHeight="true" outlineLevel="0" collapsed="false">
      <c r="A35" s="8"/>
      <c r="B35" s="8"/>
      <c r="C35" s="8"/>
      <c r="D35" s="8"/>
      <c r="E35" s="8"/>
      <c r="F35" s="8"/>
      <c r="G35" s="8"/>
      <c r="H35" s="8"/>
      <c r="I35" s="8"/>
    </row>
    <row r="36" customFormat="false" ht="15" hidden="false" customHeight="true" outlineLevel="0" collapsed="false">
      <c r="A36" s="8"/>
      <c r="B36" s="8"/>
      <c r="C36" s="8"/>
      <c r="D36" s="8"/>
      <c r="E36" s="8"/>
      <c r="F36" s="8"/>
      <c r="G36" s="8"/>
      <c r="H36" s="8"/>
      <c r="I36" s="8"/>
    </row>
    <row r="37" customFormat="false" ht="15" hidden="false" customHeight="true" outlineLevel="0" collapsed="false">
      <c r="A37" s="8"/>
      <c r="B37" s="8"/>
      <c r="C37" s="8"/>
      <c r="D37" s="8"/>
      <c r="E37" s="8"/>
      <c r="F37" s="8"/>
      <c r="G37" s="8"/>
      <c r="H37" s="8"/>
      <c r="I37" s="8"/>
    </row>
    <row r="38" customFormat="false" ht="15" hidden="false" customHeight="true" outlineLevel="0" collapsed="false">
      <c r="A38" s="8"/>
      <c r="B38" s="8"/>
      <c r="C38" s="8"/>
      <c r="D38" s="8"/>
      <c r="E38" s="8"/>
      <c r="F38" s="8"/>
      <c r="G38" s="8"/>
      <c r="H38" s="8"/>
      <c r="I38" s="8"/>
    </row>
    <row r="39" customFormat="false" ht="15" hidden="false" customHeight="true" outlineLevel="0" collapsed="false">
      <c r="A39" s="8"/>
      <c r="B39" s="8"/>
      <c r="C39" s="8"/>
      <c r="D39" s="8"/>
      <c r="E39" s="8"/>
      <c r="F39" s="8"/>
      <c r="G39" s="8"/>
      <c r="H39" s="8"/>
      <c r="I39" s="8"/>
    </row>
    <row r="40" customFormat="false" ht="15" hidden="false" customHeight="true" outlineLevel="0" collapsed="false">
      <c r="A40" s="8"/>
      <c r="B40" s="8"/>
      <c r="C40" s="8"/>
      <c r="D40" s="8"/>
      <c r="E40" s="8"/>
      <c r="F40" s="8"/>
      <c r="G40" s="8"/>
      <c r="H40" s="8"/>
      <c r="I40" s="8"/>
    </row>
    <row r="41" customFormat="false" ht="15" hidden="false" customHeight="true" outlineLevel="0" collapsed="false">
      <c r="A41" s="8"/>
      <c r="B41" s="8"/>
      <c r="C41" s="8"/>
      <c r="D41" s="8"/>
      <c r="E41" s="8"/>
      <c r="F41" s="8"/>
      <c r="G41" s="8"/>
      <c r="H41" s="8"/>
      <c r="I41" s="8"/>
    </row>
    <row r="42" customFormat="false" ht="15" hidden="false" customHeight="true" outlineLevel="0" collapsed="false">
      <c r="A42" s="8"/>
      <c r="B42" s="8"/>
      <c r="C42" s="8"/>
      <c r="D42" s="8"/>
      <c r="E42" s="8"/>
      <c r="F42" s="8"/>
      <c r="G42" s="8"/>
      <c r="H42" s="8"/>
      <c r="I42" s="8"/>
    </row>
    <row r="43" customFormat="false" ht="15" hidden="false" customHeight="true" outlineLevel="0" collapsed="false">
      <c r="A43" s="8"/>
      <c r="B43" s="8"/>
      <c r="C43" s="8"/>
      <c r="D43" s="8"/>
      <c r="E43" s="8"/>
      <c r="F43" s="8"/>
      <c r="G43" s="8"/>
      <c r="H43" s="8"/>
      <c r="I43" s="8"/>
    </row>
    <row r="44" customFormat="false" ht="15" hidden="false" customHeight="true" outlineLevel="0" collapsed="false">
      <c r="A44" s="8"/>
      <c r="B44" s="8"/>
      <c r="C44" s="8"/>
      <c r="D44" s="8"/>
      <c r="E44" s="8"/>
      <c r="F44" s="8"/>
      <c r="G44" s="8"/>
      <c r="H44" s="8"/>
      <c r="I44" s="8"/>
    </row>
    <row r="45" customFormat="false" ht="15" hidden="false" customHeight="true" outlineLevel="0" collapsed="false">
      <c r="A45" s="8"/>
      <c r="B45" s="8"/>
      <c r="C45" s="8"/>
      <c r="D45" s="8"/>
      <c r="E45" s="8"/>
      <c r="F45" s="8"/>
      <c r="G45" s="8"/>
      <c r="H45" s="8"/>
      <c r="I45" s="8"/>
    </row>
    <row r="46" customFormat="false" ht="15" hidden="false" customHeight="true" outlineLevel="0" collapsed="false">
      <c r="A46" s="8"/>
      <c r="B46" s="8"/>
      <c r="C46" s="8"/>
      <c r="D46" s="8"/>
      <c r="E46" s="8"/>
      <c r="F46" s="8"/>
      <c r="G46" s="8"/>
      <c r="H46" s="8"/>
      <c r="I46" s="8"/>
    </row>
    <row r="47" customFormat="false" ht="15" hidden="false" customHeight="true" outlineLevel="0" collapsed="false">
      <c r="A47" s="8"/>
      <c r="B47" s="8"/>
      <c r="C47" s="8"/>
      <c r="D47" s="8"/>
      <c r="E47" s="8"/>
      <c r="F47" s="8"/>
      <c r="G47" s="8"/>
      <c r="H47" s="8"/>
      <c r="I47" s="8"/>
    </row>
    <row r="48" customFormat="false" ht="15" hidden="false" customHeight="true" outlineLevel="0" collapsed="false">
      <c r="A48" s="8"/>
      <c r="B48" s="8"/>
      <c r="C48" s="8"/>
      <c r="D48" s="8"/>
      <c r="E48" s="8"/>
      <c r="F48" s="8"/>
      <c r="G48" s="8"/>
      <c r="H48" s="8"/>
      <c r="I48" s="8"/>
    </row>
    <row r="49" customFormat="false" ht="15" hidden="false" customHeight="true" outlineLevel="0" collapsed="false">
      <c r="A49" s="8"/>
      <c r="B49" s="8"/>
      <c r="C49" s="8"/>
      <c r="D49" s="8"/>
      <c r="E49" s="8"/>
      <c r="F49" s="8"/>
      <c r="G49" s="8"/>
      <c r="H49" s="8"/>
      <c r="I49" s="8"/>
    </row>
    <row r="50" customFormat="false" ht="15" hidden="false" customHeight="true" outlineLevel="0" collapsed="false">
      <c r="A50" s="8"/>
      <c r="B50" s="8"/>
      <c r="C50" s="8"/>
      <c r="D50" s="8"/>
      <c r="E50" s="8"/>
      <c r="F50" s="8"/>
      <c r="G50" s="8"/>
      <c r="H50" s="8"/>
      <c r="I50" s="8"/>
    </row>
    <row r="51" customFormat="false" ht="15" hidden="false" customHeight="true" outlineLevel="0" collapsed="false">
      <c r="A51" s="8"/>
      <c r="B51" s="8"/>
      <c r="C51" s="8"/>
      <c r="D51" s="8"/>
      <c r="E51" s="8"/>
      <c r="F51" s="8"/>
      <c r="G51" s="8"/>
      <c r="H51" s="8"/>
      <c r="I51" s="8"/>
    </row>
    <row r="52" customFormat="false" ht="15" hidden="false" customHeight="true" outlineLevel="0" collapsed="false">
      <c r="A52" s="8"/>
      <c r="B52" s="8"/>
      <c r="C52" s="8"/>
      <c r="D52" s="8"/>
      <c r="E52" s="8"/>
      <c r="F52" s="8"/>
      <c r="G52" s="8"/>
      <c r="H52" s="8"/>
      <c r="I52" s="8"/>
    </row>
    <row r="53" customFormat="false" ht="15" hidden="false" customHeight="true" outlineLevel="0" collapsed="false">
      <c r="A53" s="8"/>
      <c r="B53" s="8"/>
      <c r="C53" s="8"/>
      <c r="D53" s="8"/>
      <c r="E53" s="8"/>
      <c r="F53" s="8"/>
      <c r="G53" s="8"/>
      <c r="H53" s="8"/>
      <c r="I53" s="8"/>
    </row>
    <row r="54" customFormat="false" ht="15" hidden="false" customHeight="true" outlineLevel="0" collapsed="false">
      <c r="A54" s="8"/>
      <c r="B54" s="8"/>
      <c r="C54" s="8"/>
      <c r="D54" s="8"/>
      <c r="E54" s="8"/>
      <c r="F54" s="8"/>
      <c r="G54" s="8"/>
      <c r="H54" s="8"/>
      <c r="I54" s="8"/>
    </row>
    <row r="55" customFormat="false" ht="15" hidden="false" customHeight="true" outlineLevel="0" collapsed="false">
      <c r="A55" s="8"/>
      <c r="B55" s="8"/>
      <c r="C55" s="8"/>
      <c r="D55" s="8"/>
      <c r="E55" s="8"/>
      <c r="F55" s="8"/>
      <c r="G55" s="8"/>
      <c r="H55" s="8"/>
      <c r="I55" s="8"/>
    </row>
    <row r="56" customFormat="false" ht="15" hidden="false" customHeight="true" outlineLevel="0" collapsed="false">
      <c r="A56" s="8"/>
      <c r="B56" s="8"/>
      <c r="C56" s="8"/>
      <c r="D56" s="8"/>
      <c r="E56" s="8"/>
      <c r="F56" s="8"/>
      <c r="G56" s="8"/>
      <c r="H56" s="8"/>
      <c r="I56" s="8"/>
    </row>
    <row r="57" customFormat="false" ht="15" hidden="false" customHeight="true" outlineLevel="0" collapsed="false">
      <c r="A57" s="8"/>
      <c r="B57" s="8"/>
      <c r="C57" s="8"/>
      <c r="D57" s="8"/>
      <c r="E57" s="8"/>
      <c r="F57" s="8"/>
      <c r="G57" s="8"/>
      <c r="H57" s="8"/>
      <c r="I57" s="8"/>
    </row>
    <row r="58" customFormat="false" ht="15" hidden="false" customHeight="true" outlineLevel="0" collapsed="false">
      <c r="A58" s="8"/>
      <c r="B58" s="8"/>
      <c r="C58" s="8"/>
      <c r="D58" s="8"/>
      <c r="E58" s="8"/>
      <c r="F58" s="8"/>
      <c r="G58" s="8"/>
      <c r="H58" s="8"/>
      <c r="I58" s="8"/>
    </row>
    <row r="59" customFormat="false" ht="15" hidden="false" customHeight="true" outlineLevel="0" collapsed="false">
      <c r="A59" s="8"/>
      <c r="B59" s="8"/>
      <c r="C59" s="8"/>
      <c r="D59" s="8"/>
      <c r="E59" s="8"/>
      <c r="F59" s="8"/>
      <c r="G59" s="8"/>
      <c r="H59" s="8"/>
      <c r="I59" s="8"/>
    </row>
    <row r="60" customFormat="false" ht="15" hidden="false" customHeight="true" outlineLevel="0" collapsed="false">
      <c r="A60" s="8"/>
      <c r="B60" s="8"/>
      <c r="C60" s="8"/>
      <c r="D60" s="8"/>
      <c r="E60" s="8"/>
      <c r="F60" s="8"/>
      <c r="G60" s="8"/>
      <c r="H60" s="8"/>
      <c r="I60" s="8"/>
    </row>
    <row r="61" customFormat="false" ht="15" hidden="false" customHeight="true" outlineLevel="0" collapsed="false">
      <c r="A61" s="8"/>
      <c r="B61" s="8"/>
      <c r="C61" s="8"/>
      <c r="D61" s="8"/>
      <c r="E61" s="8"/>
      <c r="F61" s="8"/>
      <c r="G61" s="8"/>
      <c r="H61" s="8"/>
      <c r="I61" s="8"/>
    </row>
    <row r="62" customFormat="false" ht="15" hidden="false" customHeight="true" outlineLevel="0" collapsed="false">
      <c r="A62" s="8"/>
      <c r="B62" s="8"/>
      <c r="C62" s="8"/>
      <c r="D62" s="8"/>
      <c r="E62" s="8"/>
      <c r="F62" s="8"/>
      <c r="G62" s="8"/>
      <c r="H62" s="8"/>
      <c r="I62" s="8"/>
    </row>
    <row r="63" customFormat="false" ht="15" hidden="false" customHeight="true" outlineLevel="0" collapsed="false">
      <c r="A63" s="8"/>
      <c r="B63" s="8"/>
      <c r="C63" s="8"/>
      <c r="D63" s="8"/>
      <c r="E63" s="8"/>
      <c r="F63" s="8"/>
      <c r="G63" s="8"/>
      <c r="H63" s="8"/>
      <c r="I63" s="8"/>
    </row>
    <row r="64" customFormat="false" ht="15" hidden="false" customHeight="true" outlineLevel="0" collapsed="false">
      <c r="A64" s="8"/>
      <c r="B64" s="8"/>
      <c r="C64" s="8"/>
      <c r="D64" s="8"/>
      <c r="E64" s="8"/>
      <c r="F64" s="8"/>
      <c r="G64" s="8"/>
      <c r="H64" s="8"/>
      <c r="I64" s="8"/>
    </row>
    <row r="65" customFormat="false" ht="15" hidden="false" customHeight="true" outlineLevel="0" collapsed="false">
      <c r="A65" s="8"/>
      <c r="B65" s="8"/>
      <c r="C65" s="8"/>
      <c r="D65" s="8"/>
      <c r="E65" s="8"/>
      <c r="F65" s="8"/>
      <c r="G65" s="8"/>
      <c r="H65" s="8"/>
      <c r="I65" s="8"/>
    </row>
    <row r="66" customFormat="false" ht="15" hidden="false" customHeight="true" outlineLevel="0" collapsed="false">
      <c r="A66" s="8"/>
      <c r="B66" s="8"/>
      <c r="C66" s="8"/>
      <c r="D66" s="8"/>
      <c r="E66" s="8"/>
      <c r="F66" s="8"/>
      <c r="G66" s="8"/>
      <c r="H66" s="8"/>
      <c r="I66" s="8"/>
    </row>
    <row r="67" customFormat="false" ht="15" hidden="false" customHeight="true" outlineLevel="0" collapsed="false">
      <c r="A67" s="8"/>
      <c r="B67" s="8"/>
      <c r="C67" s="8"/>
      <c r="D67" s="8"/>
      <c r="E67" s="8"/>
      <c r="F67" s="8"/>
      <c r="G67" s="8"/>
      <c r="H67" s="8"/>
      <c r="I67" s="8"/>
    </row>
    <row r="68" customFormat="false" ht="15" hidden="false" customHeight="true" outlineLevel="0" collapsed="false">
      <c r="A68" s="8"/>
      <c r="B68" s="8"/>
      <c r="C68" s="8"/>
      <c r="D68" s="8"/>
      <c r="E68" s="8"/>
      <c r="F68" s="8"/>
      <c r="G68" s="8"/>
      <c r="H68" s="8"/>
      <c r="I68" s="8"/>
    </row>
    <row r="69" customFormat="false" ht="15" hidden="false" customHeight="true" outlineLevel="0" collapsed="false">
      <c r="A69" s="8"/>
      <c r="B69" s="8"/>
      <c r="C69" s="8"/>
      <c r="D69" s="8"/>
      <c r="E69" s="8"/>
      <c r="F69" s="8"/>
      <c r="G69" s="8"/>
      <c r="H69" s="8"/>
      <c r="I69" s="8"/>
    </row>
    <row r="70" customFormat="false" ht="15" hidden="false" customHeight="true" outlineLevel="0" collapsed="false">
      <c r="A70" s="8"/>
      <c r="B70" s="8"/>
      <c r="C70" s="8"/>
      <c r="D70" s="8"/>
      <c r="E70" s="8"/>
      <c r="F70" s="8"/>
      <c r="G70" s="8"/>
      <c r="H70" s="8"/>
      <c r="I70" s="8"/>
    </row>
    <row r="71" customFormat="false" ht="15" hidden="false" customHeight="true" outlineLevel="0" collapsed="false">
      <c r="A71" s="8"/>
      <c r="B71" s="8"/>
      <c r="C71" s="8"/>
      <c r="D71" s="8"/>
      <c r="E71" s="8"/>
      <c r="F71" s="8"/>
      <c r="G71" s="8"/>
      <c r="H71" s="8"/>
      <c r="I71" s="8"/>
    </row>
    <row r="72" customFormat="false" ht="15" hidden="false" customHeight="true" outlineLevel="0" collapsed="false">
      <c r="A72" s="8"/>
      <c r="B72" s="8"/>
      <c r="C72" s="8"/>
      <c r="D72" s="8"/>
      <c r="E72" s="8"/>
      <c r="F72" s="8"/>
      <c r="G72" s="8"/>
      <c r="H72" s="8"/>
      <c r="I72" s="8"/>
    </row>
    <row r="73" customFormat="false" ht="15" hidden="false" customHeight="true" outlineLevel="0" collapsed="false">
      <c r="A73" s="8"/>
      <c r="B73" s="8"/>
      <c r="C73" s="8"/>
      <c r="D73" s="8"/>
      <c r="E73" s="8"/>
      <c r="F73" s="8"/>
      <c r="G73" s="8"/>
      <c r="H73" s="8"/>
      <c r="I73" s="8"/>
    </row>
    <row r="74" customFormat="false" ht="15" hidden="false" customHeight="true" outlineLevel="0" collapsed="false">
      <c r="A74" s="8"/>
      <c r="B74" s="8"/>
      <c r="C74" s="8"/>
      <c r="D74" s="8"/>
      <c r="E74" s="8"/>
      <c r="F74" s="8"/>
      <c r="G74" s="8"/>
      <c r="H74" s="8"/>
      <c r="I74" s="8"/>
    </row>
    <row r="75" customFormat="false" ht="15" hidden="false" customHeight="true" outlineLevel="0" collapsed="false">
      <c r="A75" s="8"/>
      <c r="B75" s="8"/>
      <c r="C75" s="8"/>
      <c r="D75" s="8"/>
      <c r="E75" s="8"/>
      <c r="F75" s="8"/>
      <c r="G75" s="8"/>
      <c r="H75" s="8"/>
      <c r="I75" s="8"/>
    </row>
    <row r="76" customFormat="false" ht="15" hidden="false" customHeight="true" outlineLevel="0" collapsed="false">
      <c r="A76" s="8"/>
      <c r="B76" s="8"/>
      <c r="C76" s="8"/>
      <c r="D76" s="8"/>
      <c r="E76" s="8"/>
      <c r="F76" s="8"/>
      <c r="G76" s="8"/>
      <c r="H76" s="8"/>
      <c r="I76" s="8"/>
    </row>
    <row r="77" customFormat="false" ht="15" hidden="false" customHeight="true" outlineLevel="0" collapsed="false">
      <c r="A77" s="8"/>
      <c r="B77" s="8"/>
      <c r="C77" s="8"/>
      <c r="D77" s="8"/>
      <c r="E77" s="8"/>
      <c r="F77" s="8"/>
      <c r="G77" s="8"/>
      <c r="H77" s="8"/>
      <c r="I77" s="8"/>
    </row>
    <row r="78" customFormat="false" ht="15" hidden="false" customHeight="true" outlineLevel="0" collapsed="false">
      <c r="A78" s="8"/>
      <c r="B78" s="8"/>
      <c r="C78" s="8"/>
      <c r="D78" s="8"/>
      <c r="E78" s="8"/>
      <c r="F78" s="8"/>
      <c r="G78" s="8"/>
      <c r="H78" s="8"/>
      <c r="I78" s="8"/>
    </row>
    <row r="79" customFormat="false" ht="15" hidden="false" customHeight="true" outlineLevel="0" collapsed="false">
      <c r="A79" s="8"/>
      <c r="B79" s="8"/>
      <c r="C79" s="8"/>
      <c r="D79" s="8"/>
      <c r="E79" s="8"/>
      <c r="F79" s="8"/>
      <c r="G79" s="8"/>
      <c r="H79" s="8"/>
      <c r="I79" s="8"/>
    </row>
    <row r="80" customFormat="false" ht="15" hidden="false" customHeight="true" outlineLevel="0" collapsed="false">
      <c r="A80" s="8"/>
      <c r="B80" s="8"/>
      <c r="C80" s="8"/>
      <c r="D80" s="8"/>
      <c r="E80" s="8"/>
      <c r="F80" s="8"/>
      <c r="G80" s="8"/>
      <c r="H80" s="8"/>
      <c r="I80" s="8"/>
    </row>
    <row r="81" customFormat="false" ht="15" hidden="false" customHeight="true" outlineLevel="0" collapsed="false">
      <c r="A81" s="8"/>
      <c r="B81" s="8"/>
      <c r="C81" s="8"/>
      <c r="D81" s="8"/>
      <c r="E81" s="8"/>
      <c r="F81" s="8"/>
      <c r="G81" s="8"/>
      <c r="H81" s="8"/>
      <c r="I81" s="8"/>
    </row>
    <row r="82" customFormat="false" ht="15" hidden="false" customHeight="true" outlineLevel="0" collapsed="false">
      <c r="A82" s="8"/>
      <c r="B82" s="8"/>
      <c r="C82" s="8"/>
      <c r="D82" s="8"/>
      <c r="E82" s="8"/>
      <c r="F82" s="8"/>
      <c r="G82" s="8"/>
      <c r="H82" s="8"/>
      <c r="I82" s="8"/>
    </row>
    <row r="83" customFormat="false" ht="15" hidden="false" customHeight="true" outlineLevel="0" collapsed="false">
      <c r="A83" s="8"/>
      <c r="B83" s="8"/>
      <c r="C83" s="8"/>
      <c r="D83" s="8"/>
      <c r="E83" s="8"/>
      <c r="F83" s="8"/>
      <c r="G83" s="8"/>
      <c r="H83" s="8"/>
      <c r="I83" s="8"/>
    </row>
    <row r="84" customFormat="false" ht="15" hidden="false" customHeight="true" outlineLevel="0" collapsed="false">
      <c r="A84" s="8"/>
      <c r="B84" s="8"/>
      <c r="C84" s="8"/>
      <c r="D84" s="8"/>
      <c r="E84" s="8"/>
      <c r="F84" s="8"/>
      <c r="G84" s="8"/>
      <c r="H84" s="8"/>
      <c r="I84" s="8"/>
    </row>
    <row r="85" customFormat="false" ht="15" hidden="false" customHeight="true" outlineLevel="0" collapsed="false">
      <c r="A85" s="8"/>
      <c r="B85" s="8"/>
      <c r="C85" s="8"/>
      <c r="D85" s="8"/>
      <c r="E85" s="8"/>
      <c r="F85" s="8"/>
      <c r="G85" s="8"/>
      <c r="H85" s="8"/>
      <c r="I85" s="8"/>
    </row>
    <row r="86" customFormat="false" ht="15" hidden="false" customHeight="true" outlineLevel="0" collapsed="false">
      <c r="A86" s="8"/>
      <c r="B86" s="8"/>
      <c r="C86" s="8"/>
      <c r="D86" s="8"/>
      <c r="E86" s="8"/>
      <c r="F86" s="8"/>
      <c r="G86" s="8"/>
      <c r="H86" s="8"/>
      <c r="I86" s="8"/>
    </row>
    <row r="87" customFormat="false" ht="15" hidden="false" customHeight="true" outlineLevel="0" collapsed="false">
      <c r="A87" s="8"/>
      <c r="B87" s="8"/>
      <c r="C87" s="8"/>
      <c r="D87" s="8"/>
      <c r="E87" s="8"/>
      <c r="F87" s="8"/>
      <c r="G87" s="8"/>
      <c r="H87" s="8"/>
      <c r="I87" s="8"/>
    </row>
    <row r="88" customFormat="false" ht="15" hidden="false" customHeight="true" outlineLevel="0" collapsed="false">
      <c r="A88" s="8"/>
      <c r="B88" s="8"/>
      <c r="C88" s="8"/>
      <c r="D88" s="8"/>
      <c r="E88" s="8"/>
      <c r="F88" s="8"/>
      <c r="G88" s="8"/>
      <c r="H88" s="8"/>
      <c r="I88" s="8"/>
    </row>
    <row r="89" customFormat="false" ht="15" hidden="false" customHeight="true" outlineLevel="0" collapsed="false">
      <c r="A89" s="8"/>
      <c r="B89" s="8"/>
      <c r="C89" s="8"/>
      <c r="D89" s="8"/>
      <c r="E89" s="8"/>
      <c r="F89" s="8"/>
      <c r="G89" s="8"/>
      <c r="H89" s="8"/>
      <c r="I89" s="8"/>
    </row>
    <row r="90" customFormat="false" ht="15" hidden="false" customHeight="true" outlineLevel="0" collapsed="false">
      <c r="A90" s="8"/>
      <c r="B90" s="8"/>
      <c r="C90" s="8"/>
      <c r="D90" s="8"/>
      <c r="E90" s="8"/>
      <c r="F90" s="8"/>
      <c r="G90" s="8"/>
      <c r="H90" s="8"/>
      <c r="I90" s="8"/>
    </row>
    <row r="91" customFormat="false" ht="15" hidden="false" customHeight="true" outlineLevel="0" collapsed="false">
      <c r="A91" s="8"/>
      <c r="B91" s="8"/>
      <c r="C91" s="8"/>
      <c r="D91" s="8"/>
      <c r="E91" s="8"/>
      <c r="F91" s="8"/>
      <c r="G91" s="8"/>
      <c r="H91" s="8"/>
      <c r="I91" s="8"/>
    </row>
    <row r="92" customFormat="false" ht="15" hidden="false" customHeight="true" outlineLevel="0" collapsed="false">
      <c r="A92" s="8"/>
      <c r="B92" s="8"/>
      <c r="C92" s="8"/>
      <c r="D92" s="8"/>
      <c r="E92" s="8"/>
      <c r="F92" s="8"/>
      <c r="G92" s="8"/>
      <c r="H92" s="8"/>
      <c r="I92" s="8"/>
    </row>
    <row r="93" customFormat="false" ht="15" hidden="false" customHeight="true" outlineLevel="0" collapsed="false">
      <c r="A93" s="8"/>
      <c r="B93" s="8"/>
      <c r="C93" s="8"/>
      <c r="D93" s="8"/>
      <c r="E93" s="8"/>
      <c r="F93" s="8"/>
      <c r="G93" s="8"/>
      <c r="H93" s="8"/>
      <c r="I93" s="8"/>
    </row>
    <row r="94" customFormat="false" ht="15" hidden="false" customHeight="true" outlineLevel="0" collapsed="false">
      <c r="A94" s="8"/>
      <c r="B94" s="8"/>
      <c r="C94" s="8"/>
      <c r="D94" s="8"/>
      <c r="E94" s="8"/>
      <c r="F94" s="8"/>
      <c r="G94" s="8"/>
      <c r="H94" s="8"/>
      <c r="I94" s="8"/>
    </row>
    <row r="95" customFormat="false" ht="15" hidden="false" customHeight="true" outlineLevel="0" collapsed="false">
      <c r="A95" s="8"/>
      <c r="B95" s="8"/>
      <c r="C95" s="8"/>
      <c r="D95" s="8"/>
      <c r="E95" s="8"/>
      <c r="F95" s="8"/>
      <c r="G95" s="8"/>
      <c r="H95" s="8"/>
      <c r="I95" s="8"/>
    </row>
    <row r="96" customFormat="false" ht="15" hidden="false" customHeight="true" outlineLevel="0" collapsed="false">
      <c r="A96" s="8"/>
      <c r="B96" s="8"/>
      <c r="C96" s="8"/>
      <c r="D96" s="8"/>
      <c r="E96" s="8"/>
      <c r="F96" s="8"/>
      <c r="G96" s="8"/>
      <c r="H96" s="8"/>
      <c r="I96" s="8"/>
    </row>
    <row r="97" customFormat="false" ht="15" hidden="false" customHeight="true" outlineLevel="0" collapsed="false">
      <c r="A97" s="8"/>
      <c r="B97" s="8"/>
      <c r="C97" s="8"/>
      <c r="D97" s="8"/>
      <c r="E97" s="8"/>
      <c r="F97" s="8"/>
      <c r="G97" s="8"/>
      <c r="H97" s="8"/>
      <c r="I97" s="8"/>
    </row>
    <row r="98" customFormat="false" ht="15" hidden="false" customHeight="true" outlineLevel="0" collapsed="false">
      <c r="A98" s="8"/>
      <c r="B98" s="8"/>
      <c r="C98" s="8"/>
      <c r="D98" s="8"/>
      <c r="E98" s="8"/>
      <c r="F98" s="8"/>
      <c r="G98" s="8"/>
      <c r="H98" s="8"/>
      <c r="I98" s="8"/>
    </row>
    <row r="99" customFormat="false" ht="15" hidden="false" customHeight="true" outlineLevel="0" collapsed="false">
      <c r="A99" s="8"/>
      <c r="B99" s="8"/>
      <c r="C99" s="8"/>
      <c r="D99" s="8"/>
      <c r="E99" s="8"/>
      <c r="F99" s="8"/>
      <c r="G99" s="8"/>
      <c r="H99" s="8"/>
      <c r="I99" s="8"/>
    </row>
    <row r="100" customFormat="false" ht="15" hidden="false" customHeight="true" outlineLevel="0" collapsed="false">
      <c r="A100" s="8"/>
      <c r="B100" s="8"/>
      <c r="C100" s="8"/>
      <c r="D100" s="8"/>
      <c r="E100" s="8"/>
      <c r="F100" s="8"/>
      <c r="G100" s="8"/>
      <c r="H100" s="8"/>
      <c r="I100" s="8"/>
    </row>
    <row r="101" customFormat="false" ht="15" hidden="false" customHeight="true" outlineLevel="0" collapsed="false">
      <c r="A101" s="8"/>
      <c r="B101" s="8"/>
      <c r="C101" s="8"/>
      <c r="D101" s="8"/>
      <c r="E101" s="8"/>
      <c r="F101" s="8"/>
      <c r="G101" s="8"/>
      <c r="H101" s="8"/>
      <c r="I101" s="8"/>
    </row>
    <row r="102" customFormat="false" ht="15" hidden="false" customHeight="true" outlineLevel="0" collapsed="false">
      <c r="A102" s="8"/>
      <c r="B102" s="8"/>
      <c r="C102" s="8"/>
      <c r="D102" s="8"/>
      <c r="E102" s="8"/>
      <c r="F102" s="8"/>
      <c r="G102" s="8"/>
      <c r="H102" s="8"/>
      <c r="I102" s="8"/>
    </row>
    <row r="103" customFormat="false" ht="15" hidden="false" customHeight="true" outlineLevel="0" collapsed="false">
      <c r="A103" s="8"/>
      <c r="B103" s="8"/>
      <c r="C103" s="8"/>
      <c r="D103" s="8"/>
      <c r="E103" s="8"/>
      <c r="F103" s="8"/>
      <c r="G103" s="8"/>
      <c r="H103" s="8"/>
      <c r="I103" s="8"/>
    </row>
    <row r="104" customFormat="false" ht="15" hidden="false" customHeight="true" outlineLevel="0" collapsed="false">
      <c r="A104" s="8"/>
      <c r="B104" s="8"/>
      <c r="C104" s="8"/>
      <c r="D104" s="8"/>
      <c r="E104" s="8"/>
      <c r="F104" s="8"/>
      <c r="G104" s="8"/>
      <c r="H104" s="8"/>
      <c r="I104" s="8"/>
    </row>
    <row r="105" customFormat="false" ht="15" hidden="false" customHeight="true" outlineLevel="0" collapsed="false">
      <c r="A105" s="8"/>
      <c r="B105" s="8"/>
      <c r="C105" s="8"/>
      <c r="D105" s="8"/>
      <c r="E105" s="8"/>
      <c r="F105" s="8"/>
      <c r="G105" s="8"/>
      <c r="H105" s="8"/>
      <c r="I105" s="8"/>
    </row>
    <row r="106" customFormat="false" ht="15" hidden="false" customHeight="true" outlineLevel="0" collapsed="false">
      <c r="A106" s="8"/>
      <c r="B106" s="8"/>
      <c r="C106" s="8"/>
      <c r="D106" s="8"/>
      <c r="E106" s="8"/>
      <c r="F106" s="8"/>
      <c r="G106" s="8"/>
      <c r="H106" s="8"/>
      <c r="I106" s="8"/>
    </row>
    <row r="107" customFormat="false" ht="15" hidden="false" customHeight="true" outlineLevel="0" collapsed="false">
      <c r="A107" s="8"/>
      <c r="B107" s="8"/>
      <c r="C107" s="8"/>
      <c r="D107" s="8"/>
      <c r="E107" s="8"/>
      <c r="F107" s="8"/>
      <c r="G107" s="8"/>
      <c r="H107" s="8"/>
      <c r="I107" s="8"/>
    </row>
    <row r="108" customFormat="false" ht="15" hidden="false" customHeight="true" outlineLevel="0" collapsed="false">
      <c r="A108" s="8"/>
      <c r="B108" s="8"/>
      <c r="C108" s="8"/>
      <c r="D108" s="8"/>
      <c r="E108" s="8"/>
      <c r="F108" s="8"/>
      <c r="G108" s="8"/>
      <c r="H108" s="8"/>
      <c r="I108" s="8"/>
    </row>
    <row r="109" customFormat="false" ht="15" hidden="false" customHeight="true" outlineLevel="0" collapsed="false">
      <c r="A109" s="8"/>
      <c r="B109" s="8"/>
      <c r="C109" s="8"/>
      <c r="D109" s="8"/>
      <c r="E109" s="8"/>
      <c r="F109" s="8"/>
      <c r="G109" s="8"/>
      <c r="H109" s="8"/>
      <c r="I109" s="8"/>
    </row>
    <row r="110" customFormat="false" ht="15" hidden="false" customHeight="true" outlineLevel="0" collapsed="false">
      <c r="A110" s="8"/>
      <c r="B110" s="8"/>
      <c r="C110" s="8"/>
      <c r="D110" s="8"/>
      <c r="E110" s="8"/>
      <c r="F110" s="8"/>
      <c r="G110" s="8"/>
      <c r="H110" s="8"/>
      <c r="I110" s="8"/>
    </row>
    <row r="111" customFormat="false" ht="15" hidden="false" customHeight="true" outlineLevel="0" collapsed="false">
      <c r="A111" s="8"/>
      <c r="B111" s="8"/>
      <c r="C111" s="8"/>
      <c r="D111" s="8"/>
      <c r="E111" s="8"/>
      <c r="F111" s="8"/>
      <c r="G111" s="8"/>
      <c r="H111" s="8"/>
      <c r="I111" s="8"/>
    </row>
    <row r="112" customFormat="false" ht="15" hidden="false" customHeight="true" outlineLevel="0" collapsed="false">
      <c r="A112" s="8"/>
      <c r="B112" s="8"/>
      <c r="C112" s="8"/>
      <c r="D112" s="8"/>
      <c r="E112" s="8"/>
      <c r="F112" s="8"/>
      <c r="G112" s="8"/>
      <c r="H112" s="8"/>
      <c r="I112" s="8"/>
    </row>
    <row r="113" customFormat="false" ht="15" hidden="false" customHeight="true" outlineLevel="0" collapsed="false">
      <c r="A113" s="8"/>
      <c r="B113" s="8"/>
      <c r="C113" s="8"/>
      <c r="D113" s="8"/>
      <c r="E113" s="8"/>
      <c r="F113" s="8"/>
      <c r="G113" s="8"/>
      <c r="H113" s="8"/>
      <c r="I113" s="8"/>
    </row>
    <row r="114" customFormat="false" ht="15" hidden="false" customHeight="true" outlineLevel="0" collapsed="false">
      <c r="A114" s="8"/>
      <c r="B114" s="8"/>
      <c r="C114" s="8"/>
      <c r="D114" s="8"/>
      <c r="E114" s="8"/>
      <c r="F114" s="8"/>
      <c r="G114" s="8"/>
      <c r="H114" s="8"/>
      <c r="I114" s="8"/>
    </row>
    <row r="115" customFormat="false" ht="15" hidden="false" customHeight="true" outlineLevel="0" collapsed="false">
      <c r="A115" s="8"/>
      <c r="B115" s="8"/>
      <c r="C115" s="8"/>
      <c r="D115" s="8"/>
      <c r="E115" s="8"/>
      <c r="F115" s="8"/>
      <c r="G115" s="8"/>
      <c r="H115" s="8"/>
      <c r="I115" s="8"/>
    </row>
    <row r="116" customFormat="false" ht="15" hidden="false" customHeight="true" outlineLevel="0" collapsed="false">
      <c r="A116" s="8"/>
      <c r="B116" s="8"/>
      <c r="C116" s="8"/>
      <c r="D116" s="8"/>
      <c r="E116" s="8"/>
      <c r="F116" s="8"/>
      <c r="G116" s="8"/>
      <c r="H116" s="8"/>
      <c r="I116" s="8"/>
    </row>
    <row r="117" customFormat="false" ht="15" hidden="false" customHeight="true" outlineLevel="0" collapsed="false">
      <c r="A117" s="8"/>
      <c r="B117" s="8"/>
      <c r="C117" s="8"/>
      <c r="D117" s="8"/>
      <c r="E117" s="8"/>
      <c r="F117" s="8"/>
      <c r="G117" s="8"/>
      <c r="H117" s="8"/>
      <c r="I117" s="8"/>
    </row>
    <row r="118" customFormat="false" ht="15" hidden="false" customHeight="true" outlineLevel="0" collapsed="false">
      <c r="A118" s="8"/>
      <c r="B118" s="8"/>
      <c r="C118" s="8"/>
      <c r="D118" s="8"/>
      <c r="E118" s="8"/>
      <c r="F118" s="8"/>
      <c r="G118" s="8"/>
      <c r="H118" s="8"/>
      <c r="I118" s="8"/>
    </row>
    <row r="119" customFormat="false" ht="15" hidden="false" customHeight="true" outlineLevel="0" collapsed="false">
      <c r="A119" s="8"/>
      <c r="B119" s="8"/>
      <c r="C119" s="8"/>
      <c r="D119" s="8"/>
      <c r="E119" s="8"/>
      <c r="F119" s="8"/>
      <c r="G119" s="8"/>
      <c r="H119" s="8"/>
      <c r="I119" s="8"/>
    </row>
    <row r="120" customFormat="false" ht="15" hidden="false" customHeight="true" outlineLevel="0" collapsed="false">
      <c r="A120" s="8"/>
      <c r="B120" s="8"/>
      <c r="C120" s="8"/>
      <c r="D120" s="8"/>
      <c r="E120" s="8"/>
      <c r="F120" s="8"/>
      <c r="G120" s="8"/>
      <c r="H120" s="8"/>
      <c r="I120" s="8"/>
    </row>
    <row r="121" customFormat="false" ht="15" hidden="false" customHeight="true" outlineLevel="0" collapsed="false">
      <c r="A121" s="8"/>
      <c r="B121" s="8"/>
      <c r="C121" s="8"/>
      <c r="D121" s="8"/>
      <c r="E121" s="8"/>
      <c r="F121" s="8"/>
      <c r="G121" s="8"/>
      <c r="H121" s="8"/>
      <c r="I121" s="8"/>
    </row>
    <row r="122" customFormat="false" ht="15" hidden="false" customHeight="true" outlineLevel="0" collapsed="false">
      <c r="A122" s="8"/>
      <c r="B122" s="8"/>
      <c r="C122" s="8"/>
      <c r="D122" s="8"/>
      <c r="E122" s="8"/>
      <c r="F122" s="8"/>
      <c r="G122" s="8"/>
      <c r="H122" s="8"/>
      <c r="I122" s="8"/>
    </row>
    <row r="123" customFormat="false" ht="15" hidden="false" customHeight="true" outlineLevel="0" collapsed="false">
      <c r="A123" s="8"/>
      <c r="B123" s="8"/>
      <c r="C123" s="8"/>
      <c r="D123" s="8"/>
      <c r="E123" s="8"/>
      <c r="F123" s="8"/>
      <c r="G123" s="8"/>
      <c r="H123" s="8"/>
      <c r="I123" s="8"/>
    </row>
    <row r="124" customFormat="false" ht="15" hidden="false" customHeight="true" outlineLevel="0" collapsed="false">
      <c r="A124" s="8"/>
      <c r="B124" s="8"/>
      <c r="C124" s="8"/>
      <c r="D124" s="8"/>
      <c r="E124" s="8"/>
      <c r="F124" s="8"/>
      <c r="G124" s="8"/>
      <c r="H124" s="8"/>
      <c r="I124" s="8"/>
    </row>
    <row r="125" customFormat="false" ht="15" hidden="false" customHeight="true" outlineLevel="0" collapsed="false">
      <c r="A125" s="8"/>
      <c r="B125" s="8"/>
      <c r="C125" s="8"/>
      <c r="D125" s="8"/>
      <c r="E125" s="8"/>
      <c r="F125" s="8"/>
      <c r="G125" s="8"/>
      <c r="H125" s="8"/>
      <c r="I125" s="8"/>
    </row>
    <row r="126" customFormat="false" ht="15" hidden="false" customHeight="true" outlineLevel="0" collapsed="false">
      <c r="A126" s="8"/>
      <c r="B126" s="8"/>
      <c r="C126" s="8"/>
      <c r="D126" s="8"/>
      <c r="E126" s="8"/>
      <c r="F126" s="8"/>
      <c r="G126" s="8"/>
      <c r="H126" s="8"/>
      <c r="I126" s="8"/>
    </row>
    <row r="127" customFormat="false" ht="15" hidden="false" customHeight="true" outlineLevel="0" collapsed="false">
      <c r="A127" s="8"/>
      <c r="B127" s="8"/>
      <c r="C127" s="8"/>
      <c r="D127" s="8"/>
      <c r="E127" s="8"/>
      <c r="F127" s="8"/>
      <c r="G127" s="8"/>
      <c r="H127" s="8"/>
      <c r="I127" s="8"/>
    </row>
    <row r="128" customFormat="false" ht="15" hidden="false" customHeight="true" outlineLevel="0" collapsed="false">
      <c r="A128" s="8"/>
      <c r="B128" s="8"/>
      <c r="C128" s="8"/>
      <c r="D128" s="8"/>
      <c r="E128" s="8"/>
      <c r="F128" s="8"/>
      <c r="G128" s="8"/>
      <c r="H128" s="8"/>
      <c r="I128" s="8"/>
    </row>
    <row r="129" customFormat="false" ht="15" hidden="false" customHeight="true" outlineLevel="0" collapsed="false">
      <c r="A129" s="8"/>
      <c r="B129" s="8"/>
      <c r="C129" s="8"/>
      <c r="D129" s="8"/>
      <c r="E129" s="8"/>
      <c r="F129" s="8"/>
      <c r="G129" s="8"/>
      <c r="H129" s="8"/>
      <c r="I129" s="8"/>
    </row>
    <row r="130" customFormat="false" ht="15" hidden="false" customHeight="true" outlineLevel="0" collapsed="false">
      <c r="A130" s="8"/>
      <c r="B130" s="8"/>
      <c r="C130" s="8"/>
      <c r="D130" s="8"/>
      <c r="E130" s="8"/>
      <c r="F130" s="8"/>
      <c r="G130" s="8"/>
      <c r="H130" s="8"/>
      <c r="I130" s="8"/>
    </row>
    <row r="131" customFormat="false" ht="15" hidden="false" customHeight="true" outlineLevel="0" collapsed="false">
      <c r="A131" s="8"/>
      <c r="B131" s="8"/>
      <c r="C131" s="8"/>
      <c r="D131" s="8"/>
      <c r="E131" s="8"/>
      <c r="F131" s="8"/>
      <c r="G131" s="8"/>
      <c r="H131" s="8"/>
      <c r="I131" s="8"/>
    </row>
    <row r="132" customFormat="false" ht="15" hidden="false" customHeight="true" outlineLevel="0" collapsed="false">
      <c r="A132" s="8"/>
      <c r="B132" s="8"/>
      <c r="C132" s="8"/>
      <c r="D132" s="8"/>
      <c r="E132" s="8"/>
      <c r="F132" s="8"/>
      <c r="G132" s="8"/>
      <c r="H132" s="8"/>
      <c r="I132" s="8"/>
    </row>
    <row r="133" customFormat="false" ht="15" hidden="false" customHeight="true" outlineLevel="0" collapsed="false">
      <c r="A133" s="8"/>
      <c r="B133" s="8"/>
      <c r="C133" s="8"/>
      <c r="D133" s="8"/>
      <c r="E133" s="8"/>
      <c r="F133" s="8"/>
      <c r="G133" s="8"/>
      <c r="H133" s="8"/>
      <c r="I133" s="8"/>
    </row>
    <row r="134" customFormat="false" ht="15" hidden="false" customHeight="true" outlineLevel="0" collapsed="false">
      <c r="A134" s="8"/>
      <c r="B134" s="8"/>
      <c r="C134" s="8"/>
      <c r="D134" s="8"/>
      <c r="E134" s="8"/>
      <c r="F134" s="8"/>
      <c r="G134" s="8"/>
      <c r="H134" s="8"/>
      <c r="I134" s="8"/>
    </row>
    <row r="135" customFormat="false" ht="15" hidden="false" customHeight="true" outlineLevel="0" collapsed="false">
      <c r="A135" s="8"/>
      <c r="B135" s="8"/>
      <c r="C135" s="8"/>
      <c r="D135" s="8"/>
      <c r="E135" s="8"/>
      <c r="F135" s="8"/>
      <c r="G135" s="8"/>
      <c r="H135" s="8"/>
      <c r="I135" s="8"/>
    </row>
    <row r="136" customFormat="false" ht="15" hidden="false" customHeight="true" outlineLevel="0" collapsed="false">
      <c r="A136" s="8"/>
      <c r="B136" s="8"/>
      <c r="C136" s="8"/>
      <c r="D136" s="8"/>
      <c r="E136" s="8"/>
      <c r="F136" s="8"/>
      <c r="G136" s="8"/>
      <c r="H136" s="8"/>
      <c r="I136" s="8"/>
    </row>
    <row r="137" customFormat="false" ht="15" hidden="false" customHeight="true" outlineLevel="0" collapsed="false">
      <c r="A137" s="8"/>
      <c r="B137" s="8"/>
      <c r="C137" s="8"/>
      <c r="D137" s="8"/>
      <c r="E137" s="8"/>
      <c r="F137" s="8"/>
      <c r="G137" s="8"/>
      <c r="H137" s="8"/>
      <c r="I137" s="8"/>
    </row>
    <row r="138" customFormat="false" ht="15" hidden="false" customHeight="true" outlineLevel="0" collapsed="false">
      <c r="A138" s="8"/>
      <c r="B138" s="8"/>
      <c r="C138" s="8"/>
      <c r="D138" s="8"/>
      <c r="E138" s="8"/>
      <c r="F138" s="8"/>
      <c r="G138" s="8"/>
      <c r="H138" s="8"/>
      <c r="I138" s="8"/>
    </row>
    <row r="139" customFormat="false" ht="15" hidden="false" customHeight="true" outlineLevel="0" collapsed="false">
      <c r="A139" s="8"/>
      <c r="B139" s="8"/>
      <c r="C139" s="8"/>
      <c r="D139" s="8"/>
      <c r="E139" s="8"/>
      <c r="F139" s="8"/>
      <c r="G139" s="8"/>
      <c r="H139" s="8"/>
      <c r="I139" s="8"/>
    </row>
    <row r="140" customFormat="false" ht="15" hidden="false" customHeight="true" outlineLevel="0" collapsed="false">
      <c r="A140" s="8"/>
      <c r="B140" s="8"/>
      <c r="C140" s="8"/>
      <c r="D140" s="8"/>
      <c r="E140" s="8"/>
      <c r="F140" s="8"/>
      <c r="G140" s="8"/>
      <c r="H140" s="8"/>
      <c r="I140" s="8"/>
    </row>
    <row r="141" customFormat="false" ht="15" hidden="false" customHeight="true" outlineLevel="0" collapsed="false">
      <c r="A141" s="8"/>
      <c r="B141" s="8"/>
      <c r="C141" s="8"/>
      <c r="D141" s="8"/>
      <c r="E141" s="8"/>
      <c r="F141" s="8"/>
      <c r="G141" s="8"/>
      <c r="H141" s="8"/>
      <c r="I141" s="8"/>
    </row>
    <row r="142" customFormat="false" ht="15" hidden="false" customHeight="true" outlineLevel="0" collapsed="false">
      <c r="A142" s="8"/>
      <c r="B142" s="8"/>
      <c r="C142" s="8"/>
      <c r="D142" s="8"/>
      <c r="E142" s="8"/>
      <c r="F142" s="8"/>
      <c r="G142" s="8"/>
      <c r="H142" s="8"/>
      <c r="I142" s="8"/>
    </row>
    <row r="143" customFormat="false" ht="15" hidden="false" customHeight="true" outlineLevel="0" collapsed="false">
      <c r="A143" s="8"/>
      <c r="B143" s="8"/>
      <c r="C143" s="8"/>
      <c r="D143" s="8"/>
      <c r="E143" s="8"/>
      <c r="F143" s="8"/>
      <c r="G143" s="8"/>
      <c r="H143" s="8"/>
      <c r="I143" s="8"/>
    </row>
    <row r="144" customFormat="false" ht="15" hidden="false" customHeight="true" outlineLevel="0" collapsed="false">
      <c r="A144" s="8"/>
      <c r="B144" s="8"/>
      <c r="C144" s="8"/>
      <c r="D144" s="8"/>
      <c r="E144" s="8"/>
      <c r="F144" s="8"/>
      <c r="G144" s="8"/>
      <c r="H144" s="8"/>
      <c r="I144" s="8"/>
    </row>
    <row r="145" customFormat="false" ht="15" hidden="false" customHeight="true" outlineLevel="0" collapsed="false">
      <c r="A145" s="8"/>
      <c r="B145" s="8"/>
      <c r="C145" s="8"/>
      <c r="D145" s="8"/>
      <c r="E145" s="8"/>
      <c r="F145" s="8"/>
      <c r="G145" s="8"/>
      <c r="H145" s="8"/>
      <c r="I145" s="8"/>
    </row>
    <row r="146" customFormat="false" ht="15" hidden="false" customHeight="true" outlineLevel="0" collapsed="false">
      <c r="A146" s="8"/>
      <c r="B146" s="8"/>
      <c r="C146" s="8"/>
      <c r="D146" s="8"/>
      <c r="E146" s="8"/>
      <c r="F146" s="8"/>
      <c r="G146" s="8"/>
      <c r="H146" s="8"/>
      <c r="I146" s="8"/>
    </row>
    <row r="147" customFormat="false" ht="15" hidden="false" customHeight="true" outlineLevel="0" collapsed="false">
      <c r="A147" s="8"/>
      <c r="B147" s="8"/>
      <c r="C147" s="8"/>
      <c r="D147" s="8"/>
      <c r="E147" s="8"/>
      <c r="F147" s="8"/>
      <c r="G147" s="8"/>
      <c r="H147" s="8"/>
      <c r="I147" s="8"/>
    </row>
    <row r="148" customFormat="false" ht="15" hidden="false" customHeight="true" outlineLevel="0" collapsed="false">
      <c r="A148" s="8"/>
      <c r="B148" s="8"/>
      <c r="C148" s="8"/>
      <c r="D148" s="8"/>
      <c r="E148" s="8"/>
      <c r="F148" s="8"/>
      <c r="G148" s="8"/>
      <c r="H148" s="8"/>
      <c r="I148" s="8"/>
    </row>
    <row r="149" customFormat="false" ht="15" hidden="false" customHeight="true" outlineLevel="0" collapsed="false">
      <c r="A149" s="8"/>
      <c r="B149" s="8"/>
      <c r="C149" s="8"/>
      <c r="D149" s="8"/>
      <c r="E149" s="8"/>
      <c r="F149" s="8"/>
      <c r="G149" s="8"/>
      <c r="H149" s="8"/>
      <c r="I149" s="8"/>
    </row>
    <row r="150" customFormat="false" ht="15" hidden="false" customHeight="true" outlineLevel="0" collapsed="false">
      <c r="A150" s="8"/>
      <c r="B150" s="8"/>
      <c r="C150" s="8"/>
      <c r="D150" s="8"/>
      <c r="E150" s="8"/>
      <c r="F150" s="8"/>
      <c r="G150" s="8"/>
      <c r="H150" s="8"/>
      <c r="I150" s="8"/>
    </row>
    <row r="151" customFormat="false" ht="15" hidden="false" customHeight="true" outlineLevel="0" collapsed="false">
      <c r="A151" s="8"/>
      <c r="B151" s="8"/>
      <c r="C151" s="8"/>
      <c r="D151" s="8"/>
      <c r="E151" s="8"/>
      <c r="F151" s="8"/>
      <c r="G151" s="8"/>
      <c r="H151" s="8"/>
      <c r="I151" s="8"/>
    </row>
    <row r="152" customFormat="false" ht="15" hidden="false" customHeight="true" outlineLevel="0" collapsed="false">
      <c r="A152" s="8"/>
      <c r="B152" s="8"/>
      <c r="C152" s="8"/>
      <c r="D152" s="8"/>
      <c r="E152" s="8"/>
      <c r="F152" s="8"/>
      <c r="G152" s="8"/>
      <c r="H152" s="8"/>
      <c r="I152" s="8"/>
    </row>
    <row r="153" customFormat="false" ht="15" hidden="false" customHeight="true" outlineLevel="0" collapsed="false">
      <c r="A153" s="8"/>
      <c r="B153" s="8"/>
      <c r="C153" s="8"/>
      <c r="D153" s="8"/>
      <c r="E153" s="8"/>
      <c r="F153" s="8"/>
      <c r="G153" s="8"/>
      <c r="H153" s="8"/>
      <c r="I153" s="8"/>
    </row>
    <row r="154" customFormat="false" ht="15" hidden="false" customHeight="true" outlineLevel="0" collapsed="false">
      <c r="A154" s="8"/>
      <c r="B154" s="8"/>
      <c r="C154" s="8"/>
      <c r="D154" s="8"/>
      <c r="E154" s="8"/>
      <c r="F154" s="8"/>
      <c r="G154" s="8"/>
      <c r="H154" s="8"/>
      <c r="I154" s="8"/>
    </row>
    <row r="155" customFormat="false" ht="15" hidden="false" customHeight="true" outlineLevel="0" collapsed="false">
      <c r="A155" s="8"/>
      <c r="B155" s="8"/>
      <c r="C155" s="8"/>
      <c r="D155" s="8"/>
      <c r="E155" s="8"/>
      <c r="F155" s="8"/>
      <c r="G155" s="8"/>
      <c r="H155" s="8"/>
      <c r="I155" s="8"/>
    </row>
    <row r="156" customFormat="false" ht="15" hidden="false" customHeight="true" outlineLevel="0" collapsed="false">
      <c r="A156" s="8"/>
      <c r="B156" s="8"/>
      <c r="C156" s="8"/>
      <c r="D156" s="8"/>
      <c r="E156" s="8"/>
      <c r="F156" s="8"/>
      <c r="G156" s="8"/>
      <c r="H156" s="8"/>
      <c r="I156" s="8"/>
    </row>
    <row r="157" customFormat="false" ht="15" hidden="false" customHeight="true" outlineLevel="0" collapsed="false">
      <c r="A157" s="8"/>
      <c r="B157" s="8"/>
      <c r="C157" s="8"/>
      <c r="D157" s="8"/>
      <c r="E157" s="8"/>
      <c r="F157" s="8"/>
      <c r="G157" s="8"/>
      <c r="H157" s="8"/>
      <c r="I157" s="8"/>
    </row>
    <row r="158" customFormat="false" ht="15" hidden="false" customHeight="true" outlineLevel="0" collapsed="false">
      <c r="A158" s="8"/>
      <c r="B158" s="8"/>
      <c r="C158" s="8"/>
      <c r="D158" s="8"/>
      <c r="E158" s="8"/>
      <c r="F158" s="8"/>
      <c r="G158" s="8"/>
      <c r="H158" s="8"/>
      <c r="I158" s="8"/>
    </row>
    <row r="159" customFormat="false" ht="15" hidden="false" customHeight="true" outlineLevel="0" collapsed="false">
      <c r="A159" s="8"/>
      <c r="B159" s="8"/>
      <c r="C159" s="8"/>
      <c r="D159" s="8"/>
      <c r="E159" s="8"/>
      <c r="F159" s="8"/>
      <c r="G159" s="8"/>
      <c r="H159" s="8"/>
      <c r="I159" s="8"/>
    </row>
    <row r="160" customFormat="false" ht="15" hidden="false" customHeight="true" outlineLevel="0" collapsed="false">
      <c r="A160" s="8"/>
      <c r="B160" s="8"/>
      <c r="C160" s="8"/>
      <c r="D160" s="8"/>
      <c r="E160" s="8"/>
      <c r="F160" s="8"/>
      <c r="G160" s="8"/>
      <c r="H160" s="8"/>
      <c r="I160" s="8"/>
    </row>
    <row r="161" customFormat="false" ht="15" hidden="false" customHeight="true" outlineLevel="0" collapsed="false">
      <c r="A161" s="8"/>
      <c r="B161" s="8"/>
      <c r="C161" s="8"/>
      <c r="D161" s="8"/>
      <c r="E161" s="8"/>
      <c r="F161" s="8"/>
      <c r="G161" s="8"/>
      <c r="H161" s="8"/>
      <c r="I161" s="8"/>
    </row>
    <row r="162" customFormat="false" ht="15" hidden="false" customHeight="true" outlineLevel="0" collapsed="false">
      <c r="A162" s="8"/>
      <c r="B162" s="8"/>
      <c r="C162" s="8"/>
      <c r="D162" s="8"/>
      <c r="E162" s="8"/>
      <c r="F162" s="8"/>
      <c r="G162" s="8"/>
      <c r="H162" s="8"/>
      <c r="I162" s="8"/>
    </row>
    <row r="163" customFormat="false" ht="15" hidden="false" customHeight="true" outlineLevel="0" collapsed="false">
      <c r="A163" s="8"/>
      <c r="B163" s="8"/>
      <c r="C163" s="8"/>
      <c r="D163" s="8"/>
      <c r="E163" s="8"/>
      <c r="F163" s="8"/>
      <c r="G163" s="8"/>
      <c r="H163" s="8"/>
      <c r="I163" s="8"/>
    </row>
    <row r="164" customFormat="false" ht="15" hidden="false" customHeight="true" outlineLevel="0" collapsed="false">
      <c r="A164" s="8"/>
      <c r="B164" s="8"/>
      <c r="C164" s="8"/>
      <c r="D164" s="8"/>
      <c r="E164" s="8"/>
      <c r="F164" s="8"/>
      <c r="G164" s="8"/>
      <c r="H164" s="8"/>
      <c r="I164" s="8"/>
    </row>
    <row r="165" customFormat="false" ht="15" hidden="false" customHeight="true" outlineLevel="0" collapsed="false">
      <c r="A165" s="8"/>
      <c r="B165" s="8"/>
      <c r="C165" s="8"/>
      <c r="D165" s="8"/>
      <c r="E165" s="8"/>
      <c r="F165" s="8"/>
      <c r="G165" s="8"/>
      <c r="H165" s="8"/>
      <c r="I165" s="8"/>
    </row>
    <row r="166" customFormat="false" ht="15" hidden="false" customHeight="true" outlineLevel="0" collapsed="false">
      <c r="A166" s="8"/>
      <c r="B166" s="8"/>
      <c r="C166" s="8"/>
      <c r="D166" s="8"/>
      <c r="E166" s="8"/>
      <c r="F166" s="8"/>
      <c r="G166" s="8"/>
      <c r="H166" s="8"/>
      <c r="I166" s="8"/>
    </row>
    <row r="167" customFormat="false" ht="15" hidden="false" customHeight="true" outlineLevel="0" collapsed="false">
      <c r="A167" s="8"/>
      <c r="B167" s="8"/>
      <c r="C167" s="8"/>
      <c r="D167" s="8"/>
      <c r="E167" s="8"/>
      <c r="F167" s="8"/>
      <c r="G167" s="8"/>
      <c r="H167" s="8"/>
      <c r="I167" s="8"/>
    </row>
    <row r="168" customFormat="false" ht="15" hidden="false" customHeight="true" outlineLevel="0" collapsed="false">
      <c r="A168" s="8"/>
      <c r="B168" s="8"/>
      <c r="C168" s="8"/>
      <c r="D168" s="8"/>
      <c r="E168" s="8"/>
      <c r="F168" s="8"/>
      <c r="G168" s="8"/>
      <c r="H168" s="8"/>
      <c r="I168" s="8"/>
    </row>
    <row r="169" customFormat="false" ht="15" hidden="false" customHeight="true" outlineLevel="0" collapsed="false">
      <c r="A169" s="8"/>
      <c r="B169" s="8"/>
      <c r="C169" s="8"/>
      <c r="D169" s="8"/>
      <c r="E169" s="8"/>
      <c r="F169" s="8"/>
      <c r="G169" s="8"/>
      <c r="H169" s="8"/>
      <c r="I169" s="8"/>
    </row>
    <row r="170" customFormat="false" ht="15" hidden="false" customHeight="true" outlineLevel="0" collapsed="false">
      <c r="A170" s="8"/>
      <c r="B170" s="8"/>
      <c r="C170" s="8"/>
      <c r="D170" s="8"/>
      <c r="E170" s="8"/>
      <c r="F170" s="8"/>
      <c r="G170" s="8"/>
      <c r="H170" s="8"/>
      <c r="I170" s="8"/>
    </row>
    <row r="171" customFormat="false" ht="15" hidden="false" customHeight="true" outlineLevel="0" collapsed="false">
      <c r="A171" s="8"/>
      <c r="B171" s="8"/>
      <c r="C171" s="8"/>
      <c r="D171" s="8"/>
      <c r="E171" s="8"/>
      <c r="F171" s="8"/>
      <c r="G171" s="8"/>
      <c r="H171" s="8"/>
      <c r="I171" s="8"/>
    </row>
    <row r="172" customFormat="false" ht="15" hidden="false" customHeight="true" outlineLevel="0" collapsed="false">
      <c r="A172" s="8"/>
      <c r="B172" s="8"/>
      <c r="C172" s="8"/>
      <c r="D172" s="8"/>
      <c r="E172" s="8"/>
      <c r="F172" s="8"/>
      <c r="G172" s="8"/>
      <c r="H172" s="8"/>
      <c r="I172" s="8"/>
    </row>
    <row r="173" customFormat="false" ht="15" hidden="false" customHeight="true" outlineLevel="0" collapsed="false">
      <c r="A173" s="8"/>
      <c r="B173" s="8"/>
      <c r="C173" s="8"/>
      <c r="D173" s="8"/>
      <c r="E173" s="8"/>
      <c r="F173" s="8"/>
      <c r="G173" s="8"/>
      <c r="H173" s="8"/>
      <c r="I173" s="8"/>
    </row>
    <row r="174" customFormat="false" ht="15" hidden="false" customHeight="true" outlineLevel="0" collapsed="false">
      <c r="A174" s="8"/>
      <c r="B174" s="8"/>
      <c r="C174" s="8"/>
      <c r="D174" s="8"/>
      <c r="E174" s="8"/>
      <c r="F174" s="8"/>
      <c r="G174" s="8"/>
      <c r="H174" s="8"/>
      <c r="I174" s="8"/>
    </row>
    <row r="175" customFormat="false" ht="15" hidden="false" customHeight="true" outlineLevel="0" collapsed="false">
      <c r="A175" s="8"/>
      <c r="B175" s="8"/>
      <c r="C175" s="8"/>
      <c r="D175" s="8"/>
      <c r="E175" s="8"/>
      <c r="F175" s="8"/>
      <c r="G175" s="8"/>
      <c r="H175" s="8"/>
      <c r="I175" s="8"/>
    </row>
    <row r="176" customFormat="false" ht="15" hidden="false" customHeight="true" outlineLevel="0" collapsed="false">
      <c r="A176" s="8"/>
      <c r="B176" s="8"/>
      <c r="C176" s="8"/>
      <c r="D176" s="8"/>
      <c r="E176" s="8"/>
      <c r="F176" s="8"/>
      <c r="G176" s="8"/>
      <c r="H176" s="8"/>
      <c r="I176" s="8"/>
    </row>
    <row r="177" customFormat="false" ht="15" hidden="false" customHeight="true" outlineLevel="0" collapsed="false">
      <c r="A177" s="8"/>
      <c r="B177" s="8"/>
      <c r="C177" s="8"/>
      <c r="D177" s="8"/>
      <c r="E177" s="8"/>
      <c r="F177" s="8"/>
      <c r="G177" s="8"/>
      <c r="H177" s="8"/>
      <c r="I177" s="8"/>
    </row>
    <row r="178" customFormat="false" ht="15" hidden="false" customHeight="true" outlineLevel="0" collapsed="false">
      <c r="A178" s="8"/>
      <c r="B178" s="8"/>
      <c r="C178" s="8"/>
      <c r="D178" s="8"/>
      <c r="E178" s="8"/>
      <c r="F178" s="8"/>
      <c r="G178" s="8"/>
      <c r="H178" s="8"/>
      <c r="I178" s="8"/>
    </row>
    <row r="179" customFormat="false" ht="15" hidden="false" customHeight="true" outlineLevel="0" collapsed="false">
      <c r="A179" s="8"/>
      <c r="B179" s="8"/>
      <c r="C179" s="8"/>
      <c r="D179" s="8"/>
      <c r="E179" s="8"/>
      <c r="F179" s="8"/>
      <c r="G179" s="8"/>
      <c r="H179" s="8"/>
      <c r="I179" s="8"/>
    </row>
    <row r="180" customFormat="false" ht="15" hidden="false" customHeight="true" outlineLevel="0" collapsed="false">
      <c r="A180" s="8"/>
      <c r="B180" s="8"/>
      <c r="C180" s="8"/>
      <c r="D180" s="8"/>
      <c r="E180" s="8"/>
      <c r="F180" s="8"/>
      <c r="G180" s="8"/>
      <c r="H180" s="8"/>
      <c r="I180" s="8"/>
    </row>
    <row r="181" customFormat="false" ht="15" hidden="false" customHeight="true" outlineLevel="0" collapsed="false">
      <c r="A181" s="8"/>
      <c r="B181" s="8"/>
      <c r="C181" s="8"/>
      <c r="D181" s="8"/>
      <c r="E181" s="8"/>
      <c r="F181" s="8"/>
      <c r="G181" s="8"/>
      <c r="H181" s="8"/>
      <c r="I181" s="8"/>
    </row>
    <row r="182" customFormat="false" ht="15" hidden="false" customHeight="true" outlineLevel="0" collapsed="false">
      <c r="A182" s="8"/>
      <c r="B182" s="8"/>
      <c r="C182" s="8"/>
      <c r="D182" s="8"/>
      <c r="E182" s="8"/>
      <c r="F182" s="8"/>
      <c r="G182" s="8"/>
      <c r="H182" s="8"/>
      <c r="I182" s="8"/>
    </row>
    <row r="183" customFormat="false" ht="15" hidden="false" customHeight="true" outlineLevel="0" collapsed="false">
      <c r="A183" s="8"/>
      <c r="B183" s="8"/>
      <c r="C183" s="8"/>
      <c r="D183" s="8"/>
      <c r="E183" s="8"/>
      <c r="F183" s="8"/>
      <c r="G183" s="8"/>
      <c r="H183" s="8"/>
      <c r="I183" s="8"/>
    </row>
    <row r="184" customFormat="false" ht="15" hidden="false" customHeight="true" outlineLevel="0" collapsed="false">
      <c r="A184" s="8"/>
      <c r="B184" s="8"/>
      <c r="C184" s="8"/>
      <c r="D184" s="8"/>
      <c r="E184" s="8"/>
      <c r="F184" s="8"/>
      <c r="G184" s="8"/>
      <c r="H184" s="8"/>
      <c r="I184" s="8"/>
    </row>
    <row r="185" customFormat="false" ht="15" hidden="false" customHeight="true" outlineLevel="0" collapsed="false">
      <c r="A185" s="8"/>
      <c r="B185" s="8"/>
      <c r="C185" s="8"/>
      <c r="D185" s="8"/>
      <c r="E185" s="8"/>
      <c r="F185" s="8"/>
      <c r="G185" s="8"/>
      <c r="H185" s="8"/>
      <c r="I185" s="8"/>
    </row>
    <row r="186" customFormat="false" ht="15" hidden="false" customHeight="true" outlineLevel="0" collapsed="false">
      <c r="A186" s="8"/>
      <c r="B186" s="8"/>
      <c r="C186" s="8"/>
      <c r="D186" s="8"/>
      <c r="E186" s="8"/>
      <c r="F186" s="8"/>
      <c r="G186" s="8"/>
      <c r="H186" s="8"/>
      <c r="I186" s="8"/>
    </row>
    <row r="187" customFormat="false" ht="15" hidden="false" customHeight="true" outlineLevel="0" collapsed="false">
      <c r="A187" s="8"/>
      <c r="B187" s="8"/>
      <c r="C187" s="8"/>
      <c r="D187" s="8"/>
      <c r="E187" s="8"/>
      <c r="F187" s="8"/>
      <c r="G187" s="8"/>
      <c r="H187" s="8"/>
      <c r="I187" s="8"/>
    </row>
    <row r="188" customFormat="false" ht="15" hidden="false" customHeight="true" outlineLevel="0" collapsed="false">
      <c r="A188" s="8"/>
      <c r="B188" s="8"/>
      <c r="C188" s="8"/>
      <c r="D188" s="8"/>
      <c r="E188" s="8"/>
      <c r="F188" s="8"/>
      <c r="G188" s="8"/>
      <c r="H188" s="8"/>
      <c r="I188" s="8"/>
    </row>
    <row r="189" customFormat="false" ht="15" hidden="false" customHeight="true" outlineLevel="0" collapsed="false">
      <c r="A189" s="8"/>
      <c r="B189" s="8"/>
      <c r="C189" s="8"/>
      <c r="D189" s="8"/>
      <c r="E189" s="8"/>
      <c r="F189" s="8"/>
      <c r="G189" s="8"/>
      <c r="H189" s="8"/>
      <c r="I189" s="8"/>
    </row>
    <row r="190" customFormat="false" ht="15" hidden="false" customHeight="true" outlineLevel="0" collapsed="false">
      <c r="A190" s="8"/>
      <c r="B190" s="8"/>
      <c r="C190" s="8"/>
      <c r="D190" s="8"/>
      <c r="E190" s="8"/>
      <c r="F190" s="8"/>
      <c r="G190" s="8"/>
      <c r="H190" s="8"/>
      <c r="I190" s="8"/>
    </row>
    <row r="191" customFormat="false" ht="15" hidden="false" customHeight="true" outlineLevel="0" collapsed="false">
      <c r="A191" s="8"/>
      <c r="B191" s="8"/>
      <c r="C191" s="8"/>
      <c r="D191" s="8"/>
      <c r="E191" s="8"/>
      <c r="F191" s="8"/>
      <c r="G191" s="8"/>
      <c r="H191" s="8"/>
      <c r="I191" s="8"/>
    </row>
    <row r="192" customFormat="false" ht="15" hidden="false" customHeight="true" outlineLevel="0" collapsed="false">
      <c r="A192" s="8"/>
      <c r="B192" s="8"/>
      <c r="C192" s="8"/>
      <c r="D192" s="8"/>
      <c r="E192" s="8"/>
      <c r="F192" s="8"/>
      <c r="G192" s="8"/>
      <c r="H192" s="8"/>
      <c r="I192" s="8"/>
    </row>
    <row r="193" customFormat="false" ht="15" hidden="false" customHeight="true" outlineLevel="0" collapsed="false">
      <c r="A193" s="8"/>
      <c r="B193" s="8"/>
      <c r="C193" s="8"/>
      <c r="D193" s="8"/>
      <c r="E193" s="8"/>
      <c r="F193" s="8"/>
      <c r="G193" s="8"/>
      <c r="H193" s="8"/>
      <c r="I193" s="8"/>
    </row>
    <row r="194" customFormat="false" ht="15" hidden="false" customHeight="true" outlineLevel="0" collapsed="false">
      <c r="A194" s="8"/>
      <c r="B194" s="8"/>
      <c r="C194" s="8"/>
      <c r="D194" s="8"/>
      <c r="E194" s="8"/>
      <c r="F194" s="8"/>
      <c r="G194" s="8"/>
      <c r="H194" s="8"/>
      <c r="I194" s="8"/>
    </row>
    <row r="195" customFormat="false" ht="15" hidden="false" customHeight="true" outlineLevel="0" collapsed="false">
      <c r="A195" s="8"/>
      <c r="B195" s="8"/>
      <c r="C195" s="8"/>
      <c r="D195" s="8"/>
      <c r="E195" s="8"/>
      <c r="F195" s="8"/>
      <c r="G195" s="8"/>
      <c r="H195" s="8"/>
      <c r="I195" s="8"/>
    </row>
    <row r="196" customFormat="false" ht="15" hidden="false" customHeight="true" outlineLevel="0" collapsed="false">
      <c r="A196" s="8"/>
      <c r="B196" s="8"/>
      <c r="C196" s="8"/>
      <c r="D196" s="8"/>
      <c r="E196" s="8"/>
      <c r="F196" s="8"/>
      <c r="G196" s="8"/>
      <c r="H196" s="8"/>
      <c r="I196" s="8"/>
    </row>
    <row r="197" customFormat="false" ht="15" hidden="false" customHeight="true" outlineLevel="0" collapsed="false">
      <c r="A197" s="8"/>
      <c r="B197" s="8"/>
      <c r="C197" s="8"/>
      <c r="D197" s="8"/>
      <c r="E197" s="8"/>
      <c r="F197" s="8"/>
      <c r="G197" s="8"/>
      <c r="H197" s="8"/>
      <c r="I197" s="8"/>
    </row>
    <row r="198" customFormat="false" ht="15" hidden="false" customHeight="true" outlineLevel="0" collapsed="false">
      <c r="A198" s="8"/>
      <c r="B198" s="8"/>
      <c r="C198" s="8"/>
      <c r="D198" s="8"/>
      <c r="E198" s="8"/>
      <c r="F198" s="8"/>
      <c r="G198" s="8"/>
      <c r="H198" s="8"/>
      <c r="I198" s="8"/>
    </row>
    <row r="199" customFormat="false" ht="15" hidden="false" customHeight="true" outlineLevel="0" collapsed="false">
      <c r="A199" s="8"/>
      <c r="B199" s="8"/>
      <c r="C199" s="8"/>
      <c r="D199" s="8"/>
      <c r="E199" s="8"/>
      <c r="F199" s="8"/>
      <c r="G199" s="8"/>
      <c r="H199" s="8"/>
      <c r="I199" s="8"/>
    </row>
    <row r="200" customFormat="false" ht="15" hidden="false" customHeight="true" outlineLevel="0" collapsed="false">
      <c r="A200" s="8"/>
      <c r="B200" s="8"/>
      <c r="C200" s="8"/>
      <c r="D200" s="8"/>
      <c r="E200" s="8"/>
      <c r="F200" s="8"/>
      <c r="G200" s="8"/>
      <c r="H200" s="8"/>
      <c r="I200" s="8"/>
    </row>
    <row r="201" customFormat="false" ht="15" hidden="false" customHeight="true" outlineLevel="0" collapsed="false">
      <c r="A201" s="8"/>
      <c r="B201" s="8"/>
      <c r="C201" s="8"/>
      <c r="D201" s="8"/>
      <c r="E201" s="8"/>
      <c r="F201" s="8"/>
      <c r="G201" s="8"/>
      <c r="H201" s="8"/>
      <c r="I201" s="8"/>
    </row>
    <row r="202" customFormat="false" ht="15" hidden="false" customHeight="true" outlineLevel="0" collapsed="false">
      <c r="A202" s="8"/>
      <c r="B202" s="8"/>
      <c r="C202" s="8"/>
      <c r="D202" s="8"/>
      <c r="E202" s="8"/>
      <c r="F202" s="8"/>
      <c r="G202" s="8"/>
      <c r="H202" s="8"/>
      <c r="I202" s="8"/>
    </row>
    <row r="203" customFormat="false" ht="15" hidden="false" customHeight="true" outlineLevel="0" collapsed="false">
      <c r="A203" s="8"/>
      <c r="B203" s="8"/>
      <c r="C203" s="8"/>
      <c r="D203" s="8"/>
      <c r="E203" s="8"/>
      <c r="F203" s="8"/>
      <c r="G203" s="8"/>
      <c r="H203" s="8"/>
      <c r="I203" s="8"/>
    </row>
    <row r="204" customFormat="false" ht="15" hidden="false" customHeight="true" outlineLevel="0" collapsed="false">
      <c r="A204" s="8"/>
      <c r="B204" s="8"/>
      <c r="C204" s="8"/>
      <c r="D204" s="8"/>
      <c r="E204" s="8"/>
      <c r="F204" s="8"/>
      <c r="G204" s="8"/>
      <c r="H204" s="8"/>
      <c r="I204" s="8"/>
    </row>
    <row r="205" customFormat="false" ht="15" hidden="false" customHeight="true" outlineLevel="0" collapsed="false">
      <c r="A205" s="8"/>
      <c r="B205" s="8"/>
      <c r="C205" s="8"/>
      <c r="D205" s="8"/>
      <c r="E205" s="8"/>
      <c r="F205" s="8"/>
      <c r="G205" s="8"/>
      <c r="H205" s="8"/>
      <c r="I205" s="8"/>
    </row>
    <row r="206" customFormat="false" ht="15" hidden="false" customHeight="true" outlineLevel="0" collapsed="false">
      <c r="A206" s="8"/>
      <c r="B206" s="8"/>
      <c r="C206" s="8"/>
      <c r="D206" s="8"/>
      <c r="E206" s="8"/>
      <c r="F206" s="8"/>
      <c r="G206" s="8"/>
      <c r="H206" s="8"/>
      <c r="I206" s="8"/>
    </row>
    <row r="207" customFormat="false" ht="15" hidden="false" customHeight="true" outlineLevel="0" collapsed="false">
      <c r="A207" s="8"/>
      <c r="B207" s="8"/>
      <c r="C207" s="8"/>
      <c r="D207" s="8"/>
      <c r="E207" s="8"/>
      <c r="F207" s="8"/>
      <c r="G207" s="8"/>
      <c r="H207" s="8"/>
      <c r="I207" s="8"/>
    </row>
    <row r="208" customFormat="false" ht="15" hidden="false" customHeight="true" outlineLevel="0" collapsed="false">
      <c r="A208" s="8"/>
      <c r="B208" s="8"/>
      <c r="C208" s="8"/>
      <c r="D208" s="8"/>
      <c r="E208" s="8"/>
      <c r="F208" s="8"/>
      <c r="G208" s="8"/>
      <c r="H208" s="8"/>
      <c r="I208" s="8"/>
    </row>
    <row r="209" customFormat="false" ht="15" hidden="false" customHeight="true" outlineLevel="0" collapsed="false">
      <c r="A209" s="8"/>
      <c r="B209" s="8"/>
      <c r="C209" s="8"/>
      <c r="D209" s="8"/>
      <c r="E209" s="8"/>
      <c r="F209" s="8"/>
      <c r="G209" s="8"/>
      <c r="H209" s="8"/>
      <c r="I209" s="8"/>
    </row>
    <row r="210" customFormat="false" ht="15" hidden="false" customHeight="true" outlineLevel="0" collapsed="false">
      <c r="A210" s="8"/>
      <c r="B210" s="8"/>
      <c r="C210" s="8"/>
      <c r="D210" s="8"/>
      <c r="E210" s="8"/>
      <c r="F210" s="8"/>
      <c r="G210" s="8"/>
      <c r="H210" s="8"/>
      <c r="I210" s="8"/>
    </row>
    <row r="211" customFormat="false" ht="15" hidden="false" customHeight="true" outlineLevel="0" collapsed="false">
      <c r="A211" s="8"/>
      <c r="B211" s="8"/>
      <c r="C211" s="8"/>
      <c r="D211" s="8"/>
      <c r="E211" s="8"/>
      <c r="F211" s="8"/>
      <c r="G211" s="8"/>
      <c r="H211" s="8"/>
      <c r="I211" s="8"/>
    </row>
    <row r="212" customFormat="false" ht="15" hidden="false" customHeight="true" outlineLevel="0" collapsed="false">
      <c r="A212" s="8"/>
      <c r="B212" s="8"/>
      <c r="C212" s="8"/>
      <c r="D212" s="8"/>
      <c r="E212" s="8"/>
      <c r="F212" s="8"/>
      <c r="G212" s="8"/>
      <c r="H212" s="8"/>
      <c r="I212" s="8"/>
    </row>
    <row r="213" customFormat="false" ht="15" hidden="false" customHeight="true" outlineLevel="0" collapsed="false">
      <c r="A213" s="8"/>
      <c r="B213" s="8"/>
      <c r="C213" s="8"/>
      <c r="D213" s="8"/>
      <c r="E213" s="8"/>
      <c r="F213" s="8"/>
      <c r="G213" s="8"/>
      <c r="H213" s="8"/>
      <c r="I213" s="8"/>
    </row>
    <row r="214" customFormat="false" ht="15" hidden="false" customHeight="true" outlineLevel="0" collapsed="false">
      <c r="A214" s="8"/>
      <c r="B214" s="8"/>
      <c r="C214" s="8"/>
      <c r="D214" s="8"/>
      <c r="E214" s="8"/>
      <c r="F214" s="8"/>
      <c r="G214" s="8"/>
      <c r="H214" s="8"/>
      <c r="I214" s="8"/>
    </row>
    <row r="215" customFormat="false" ht="15" hidden="false" customHeight="true" outlineLevel="0" collapsed="false">
      <c r="A215" s="8"/>
      <c r="B215" s="8"/>
      <c r="C215" s="8"/>
      <c r="D215" s="8"/>
      <c r="E215" s="8"/>
      <c r="F215" s="8"/>
      <c r="G215" s="8"/>
      <c r="H215" s="8"/>
      <c r="I215" s="8"/>
    </row>
    <row r="216" customFormat="false" ht="15" hidden="false" customHeight="true" outlineLevel="0" collapsed="false">
      <c r="A216" s="8"/>
      <c r="B216" s="8"/>
      <c r="C216" s="8"/>
      <c r="D216" s="8"/>
      <c r="E216" s="8"/>
      <c r="F216" s="8"/>
      <c r="G216" s="8"/>
      <c r="H216" s="8"/>
      <c r="I216" s="8"/>
    </row>
    <row r="217" customFormat="false" ht="15" hidden="false" customHeight="true" outlineLevel="0" collapsed="false">
      <c r="A217" s="8"/>
      <c r="B217" s="8"/>
      <c r="C217" s="8"/>
      <c r="D217" s="8"/>
      <c r="E217" s="8"/>
      <c r="F217" s="8"/>
      <c r="G217" s="8"/>
      <c r="H217" s="8"/>
      <c r="I217" s="8"/>
    </row>
    <row r="218" customFormat="false" ht="15" hidden="false" customHeight="true" outlineLevel="0" collapsed="false">
      <c r="A218" s="8"/>
      <c r="B218" s="8"/>
      <c r="C218" s="8"/>
      <c r="D218" s="8"/>
      <c r="E218" s="8"/>
      <c r="F218" s="8"/>
      <c r="G218" s="8"/>
      <c r="H218" s="8"/>
      <c r="I218" s="8"/>
    </row>
    <row r="219" customFormat="false" ht="15" hidden="false" customHeight="true" outlineLevel="0" collapsed="false">
      <c r="A219" s="8"/>
      <c r="B219" s="8"/>
      <c r="C219" s="8"/>
      <c r="D219" s="8"/>
      <c r="E219" s="8"/>
      <c r="F219" s="8"/>
      <c r="G219" s="8"/>
      <c r="H219" s="8"/>
      <c r="I219" s="8"/>
    </row>
    <row r="220" customFormat="false" ht="15" hidden="false" customHeight="true" outlineLevel="0" collapsed="false">
      <c r="A220" s="8"/>
      <c r="B220" s="8"/>
      <c r="C220" s="8"/>
      <c r="D220" s="8"/>
      <c r="E220" s="8"/>
      <c r="F220" s="8"/>
      <c r="G220" s="8"/>
      <c r="H220" s="8"/>
      <c r="I220" s="8"/>
    </row>
    <row r="221" customFormat="false" ht="15" hidden="false" customHeight="true" outlineLevel="0" collapsed="false">
      <c r="A221" s="8"/>
      <c r="B221" s="8"/>
      <c r="C221" s="8"/>
      <c r="D221" s="8"/>
      <c r="E221" s="8"/>
      <c r="F221" s="8"/>
      <c r="G221" s="8"/>
      <c r="H221" s="8"/>
      <c r="I221" s="8"/>
    </row>
    <row r="222" customFormat="false" ht="15" hidden="false" customHeight="true" outlineLevel="0" collapsed="false">
      <c r="A222" s="8"/>
      <c r="B222" s="8"/>
      <c r="C222" s="8"/>
      <c r="D222" s="8"/>
      <c r="E222" s="8"/>
      <c r="F222" s="8"/>
      <c r="G222" s="8"/>
      <c r="H222" s="8"/>
      <c r="I222" s="8"/>
    </row>
    <row r="223" customFormat="false" ht="15" hidden="false" customHeight="true" outlineLevel="0" collapsed="false">
      <c r="A223" s="8"/>
      <c r="B223" s="8"/>
      <c r="C223" s="8"/>
      <c r="D223" s="8"/>
      <c r="E223" s="8"/>
      <c r="F223" s="8"/>
      <c r="G223" s="8"/>
      <c r="H223" s="8"/>
      <c r="I223" s="8"/>
    </row>
    <row r="224" customFormat="false" ht="15" hidden="false" customHeight="true" outlineLevel="0" collapsed="false">
      <c r="A224" s="8"/>
      <c r="B224" s="8"/>
      <c r="C224" s="8"/>
      <c r="D224" s="8"/>
      <c r="E224" s="8"/>
      <c r="F224" s="8"/>
      <c r="G224" s="8"/>
      <c r="H224" s="8"/>
      <c r="I224" s="8"/>
    </row>
    <row r="225" customFormat="false" ht="15" hidden="false" customHeight="true" outlineLevel="0" collapsed="false">
      <c r="A225" s="8"/>
      <c r="B225" s="8"/>
      <c r="C225" s="8"/>
      <c r="D225" s="8"/>
      <c r="E225" s="8"/>
      <c r="F225" s="8"/>
      <c r="G225" s="8"/>
      <c r="H225" s="8"/>
      <c r="I225" s="8"/>
    </row>
    <row r="226" customFormat="false" ht="15" hidden="false" customHeight="true" outlineLevel="0" collapsed="false">
      <c r="A226" s="8"/>
      <c r="B226" s="8"/>
      <c r="C226" s="8"/>
      <c r="D226" s="8"/>
      <c r="E226" s="8"/>
      <c r="F226" s="8"/>
      <c r="G226" s="8"/>
      <c r="H226" s="8"/>
      <c r="I226" s="8"/>
    </row>
    <row r="227" customFormat="false" ht="15" hidden="false" customHeight="true" outlineLevel="0" collapsed="false">
      <c r="A227" s="8"/>
      <c r="B227" s="8"/>
      <c r="C227" s="8"/>
      <c r="D227" s="8"/>
      <c r="E227" s="8"/>
      <c r="F227" s="8"/>
      <c r="G227" s="8"/>
      <c r="H227" s="8"/>
      <c r="I227" s="8"/>
    </row>
    <row r="228" customFormat="false" ht="15" hidden="false" customHeight="true" outlineLevel="0" collapsed="false">
      <c r="A228" s="8"/>
      <c r="B228" s="8"/>
      <c r="C228" s="8"/>
      <c r="D228" s="8"/>
      <c r="E228" s="8"/>
      <c r="F228" s="8"/>
      <c r="G228" s="8"/>
      <c r="H228" s="8"/>
      <c r="I228" s="8"/>
    </row>
    <row r="229" customFormat="false" ht="15" hidden="false" customHeight="true" outlineLevel="0" collapsed="false">
      <c r="A229" s="8"/>
      <c r="B229" s="8"/>
      <c r="C229" s="8"/>
      <c r="D229" s="8"/>
      <c r="E229" s="8"/>
      <c r="F229" s="8"/>
      <c r="G229" s="8"/>
      <c r="H229" s="8"/>
      <c r="I229" s="8"/>
    </row>
    <row r="230" customFormat="false" ht="15" hidden="false" customHeight="true" outlineLevel="0" collapsed="false">
      <c r="A230" s="8"/>
      <c r="B230" s="8"/>
      <c r="C230" s="8"/>
      <c r="D230" s="8"/>
      <c r="E230" s="8"/>
      <c r="F230" s="8"/>
      <c r="G230" s="8"/>
      <c r="H230" s="8"/>
      <c r="I230" s="8"/>
    </row>
    <row r="231" customFormat="false" ht="15" hidden="false" customHeight="true" outlineLevel="0" collapsed="false">
      <c r="A231" s="8"/>
      <c r="B231" s="8"/>
      <c r="C231" s="8"/>
      <c r="D231" s="8"/>
      <c r="E231" s="8"/>
      <c r="F231" s="8"/>
      <c r="G231" s="8"/>
      <c r="H231" s="8"/>
      <c r="I231" s="8"/>
    </row>
    <row r="232" customFormat="false" ht="15" hidden="false" customHeight="true" outlineLevel="0" collapsed="false">
      <c r="A232" s="8"/>
      <c r="B232" s="8"/>
      <c r="C232" s="8"/>
      <c r="D232" s="8"/>
      <c r="E232" s="8"/>
      <c r="F232" s="8"/>
      <c r="G232" s="8"/>
      <c r="H232" s="8"/>
      <c r="I232" s="8"/>
    </row>
    <row r="233" customFormat="false" ht="15" hidden="false" customHeight="true" outlineLevel="0" collapsed="false">
      <c r="A233" s="8"/>
      <c r="B233" s="8"/>
      <c r="C233" s="8"/>
      <c r="D233" s="8"/>
      <c r="E233" s="8"/>
      <c r="F233" s="8"/>
      <c r="G233" s="8"/>
      <c r="H233" s="8"/>
      <c r="I233" s="8"/>
    </row>
    <row r="234" customFormat="false" ht="15" hidden="false" customHeight="true" outlineLevel="0" collapsed="false">
      <c r="A234" s="8"/>
      <c r="B234" s="8"/>
      <c r="C234" s="8"/>
      <c r="D234" s="8"/>
      <c r="E234" s="8"/>
      <c r="F234" s="8"/>
      <c r="G234" s="8"/>
      <c r="H234" s="8"/>
      <c r="I234" s="8"/>
    </row>
    <row r="235" customFormat="false" ht="15" hidden="false" customHeight="true" outlineLevel="0" collapsed="false">
      <c r="A235" s="8"/>
      <c r="B235" s="8"/>
      <c r="C235" s="8"/>
      <c r="D235" s="8"/>
      <c r="E235" s="8"/>
      <c r="F235" s="8"/>
      <c r="G235" s="8"/>
      <c r="H235" s="8"/>
      <c r="I235" s="8"/>
    </row>
    <row r="236" customFormat="false" ht="15" hidden="false" customHeight="true" outlineLevel="0" collapsed="false">
      <c r="A236" s="8"/>
      <c r="B236" s="8"/>
      <c r="C236" s="8"/>
      <c r="D236" s="8"/>
      <c r="E236" s="8"/>
      <c r="F236" s="8"/>
      <c r="G236" s="8"/>
      <c r="H236" s="8"/>
      <c r="I236" s="8"/>
    </row>
    <row r="237" customFormat="false" ht="15" hidden="false" customHeight="true" outlineLevel="0" collapsed="false">
      <c r="A237" s="8"/>
      <c r="B237" s="8"/>
      <c r="C237" s="8"/>
      <c r="D237" s="8"/>
      <c r="E237" s="8"/>
      <c r="F237" s="8"/>
      <c r="G237" s="8"/>
      <c r="H237" s="8"/>
      <c r="I237" s="8"/>
    </row>
    <row r="238" customFormat="false" ht="15" hidden="false" customHeight="true" outlineLevel="0" collapsed="false">
      <c r="A238" s="8"/>
      <c r="B238" s="8"/>
      <c r="C238" s="8"/>
      <c r="D238" s="8"/>
      <c r="E238" s="8"/>
      <c r="F238" s="8"/>
      <c r="G238" s="8"/>
      <c r="H238" s="8"/>
      <c r="I238" s="8"/>
    </row>
    <row r="239" customFormat="false" ht="15" hidden="false" customHeight="true" outlineLevel="0" collapsed="false">
      <c r="A239" s="8"/>
      <c r="B239" s="8"/>
      <c r="C239" s="8"/>
      <c r="D239" s="8"/>
      <c r="E239" s="8"/>
      <c r="F239" s="8"/>
      <c r="G239" s="8"/>
      <c r="H239" s="8"/>
      <c r="I239" s="8"/>
    </row>
    <row r="240" customFormat="false" ht="15" hidden="false" customHeight="true" outlineLevel="0" collapsed="false">
      <c r="A240" s="8"/>
      <c r="B240" s="8"/>
      <c r="C240" s="8"/>
      <c r="D240" s="8"/>
      <c r="E240" s="8"/>
      <c r="F240" s="8"/>
      <c r="G240" s="8"/>
      <c r="H240" s="8"/>
      <c r="I240" s="8"/>
    </row>
    <row r="241" customFormat="false" ht="15" hidden="false" customHeight="true" outlineLevel="0" collapsed="false">
      <c r="A241" s="8"/>
      <c r="B241" s="8"/>
      <c r="C241" s="8"/>
      <c r="D241" s="8"/>
      <c r="E241" s="8"/>
      <c r="F241" s="8"/>
      <c r="G241" s="8"/>
      <c r="H241" s="8"/>
      <c r="I241" s="8"/>
    </row>
    <row r="242" customFormat="false" ht="15" hidden="false" customHeight="true" outlineLevel="0" collapsed="false">
      <c r="A242" s="8"/>
      <c r="B242" s="8"/>
      <c r="C242" s="8"/>
      <c r="D242" s="8"/>
      <c r="E242" s="8"/>
      <c r="F242" s="8"/>
      <c r="G242" s="8"/>
      <c r="H242" s="8"/>
      <c r="I242" s="8"/>
    </row>
    <row r="243" customFormat="false" ht="15" hidden="false" customHeight="true" outlineLevel="0" collapsed="false">
      <c r="A243" s="8"/>
      <c r="B243" s="8"/>
      <c r="C243" s="8"/>
      <c r="D243" s="8"/>
      <c r="E243" s="8"/>
      <c r="F243" s="8"/>
      <c r="G243" s="8"/>
      <c r="H243" s="8"/>
      <c r="I243" s="8"/>
    </row>
    <row r="244" customFormat="false" ht="15" hidden="false" customHeight="true" outlineLevel="0" collapsed="false">
      <c r="A244" s="8"/>
      <c r="B244" s="8"/>
      <c r="C244" s="8"/>
      <c r="D244" s="8"/>
      <c r="E244" s="8"/>
      <c r="F244" s="8"/>
      <c r="G244" s="8"/>
      <c r="H244" s="8"/>
      <c r="I244" s="8"/>
    </row>
    <row r="245" customFormat="false" ht="15" hidden="false" customHeight="true" outlineLevel="0" collapsed="false">
      <c r="A245" s="8"/>
      <c r="B245" s="8"/>
      <c r="C245" s="8"/>
      <c r="D245" s="8"/>
      <c r="E245" s="8"/>
      <c r="F245" s="8"/>
      <c r="G245" s="8"/>
      <c r="H245" s="8"/>
      <c r="I245" s="8"/>
    </row>
    <row r="246" customFormat="false" ht="15" hidden="false" customHeight="true" outlineLevel="0" collapsed="false">
      <c r="A246" s="8"/>
      <c r="B246" s="8"/>
      <c r="C246" s="8"/>
      <c r="D246" s="8"/>
      <c r="E246" s="8"/>
      <c r="F246" s="8"/>
      <c r="G246" s="8"/>
      <c r="H246" s="8"/>
      <c r="I246" s="8"/>
    </row>
    <row r="247" customFormat="false" ht="15" hidden="false" customHeight="true" outlineLevel="0" collapsed="false">
      <c r="A247" s="8"/>
      <c r="B247" s="8"/>
      <c r="C247" s="8"/>
      <c r="D247" s="8"/>
      <c r="E247" s="8"/>
      <c r="F247" s="8"/>
      <c r="G247" s="8"/>
      <c r="H247" s="8"/>
      <c r="I247" s="8"/>
    </row>
    <row r="248" customFormat="false" ht="15" hidden="false" customHeight="true" outlineLevel="0" collapsed="false">
      <c r="A248" s="8"/>
      <c r="B248" s="8"/>
      <c r="C248" s="8"/>
      <c r="D248" s="8"/>
      <c r="E248" s="8"/>
      <c r="F248" s="8"/>
      <c r="G248" s="8"/>
      <c r="H248" s="8"/>
      <c r="I248" s="8"/>
    </row>
    <row r="249" customFormat="false" ht="15" hidden="false" customHeight="true" outlineLevel="0" collapsed="false">
      <c r="A249" s="8"/>
      <c r="B249" s="8"/>
      <c r="C249" s="8"/>
      <c r="D249" s="8"/>
      <c r="E249" s="8"/>
      <c r="F249" s="8"/>
      <c r="G249" s="8"/>
      <c r="H249" s="8"/>
      <c r="I249" s="8"/>
    </row>
    <row r="250" customFormat="false" ht="15" hidden="false" customHeight="true" outlineLevel="0" collapsed="false">
      <c r="A250" s="8"/>
      <c r="B250" s="8"/>
      <c r="C250" s="8"/>
      <c r="D250" s="8"/>
      <c r="E250" s="8"/>
      <c r="F250" s="8"/>
      <c r="G250" s="8"/>
      <c r="H250" s="8"/>
      <c r="I250" s="8"/>
    </row>
    <row r="251" customFormat="false" ht="15" hidden="false" customHeight="true" outlineLevel="0" collapsed="false">
      <c r="A251" s="8"/>
      <c r="B251" s="8"/>
      <c r="C251" s="8"/>
      <c r="D251" s="8"/>
      <c r="E251" s="8"/>
      <c r="F251" s="8"/>
      <c r="G251" s="8"/>
      <c r="H251" s="8"/>
      <c r="I251" s="8"/>
    </row>
    <row r="252" customFormat="false" ht="15" hidden="false" customHeight="true" outlineLevel="0" collapsed="false">
      <c r="A252" s="8"/>
      <c r="B252" s="8"/>
      <c r="C252" s="8"/>
      <c r="D252" s="8"/>
      <c r="E252" s="8"/>
      <c r="F252" s="8"/>
      <c r="G252" s="8"/>
      <c r="H252" s="8"/>
      <c r="I252" s="8"/>
    </row>
    <row r="253" customFormat="false" ht="15" hidden="false" customHeight="true" outlineLevel="0" collapsed="false">
      <c r="A253" s="8"/>
      <c r="B253" s="8"/>
      <c r="C253" s="8"/>
      <c r="D253" s="8"/>
      <c r="E253" s="8"/>
      <c r="F253" s="8"/>
      <c r="G253" s="8"/>
      <c r="H253" s="8"/>
      <c r="I253" s="8"/>
    </row>
    <row r="254" customFormat="false" ht="15" hidden="false" customHeight="true" outlineLevel="0" collapsed="false">
      <c r="A254" s="8"/>
      <c r="B254" s="8"/>
      <c r="C254" s="8"/>
      <c r="D254" s="8"/>
      <c r="E254" s="8"/>
      <c r="F254" s="8"/>
      <c r="G254" s="8"/>
      <c r="H254" s="8"/>
      <c r="I254" s="8"/>
    </row>
    <row r="255" customFormat="false" ht="15" hidden="false" customHeight="true" outlineLevel="0" collapsed="false">
      <c r="A255" s="8"/>
      <c r="B255" s="8"/>
      <c r="C255" s="8"/>
      <c r="D255" s="8"/>
      <c r="E255" s="8"/>
      <c r="F255" s="8"/>
      <c r="G255" s="8"/>
      <c r="H255" s="8"/>
      <c r="I255" s="8"/>
    </row>
    <row r="256" customFormat="false" ht="15" hidden="false" customHeight="true" outlineLevel="0" collapsed="false">
      <c r="A256" s="8"/>
      <c r="B256" s="8"/>
      <c r="C256" s="8"/>
      <c r="D256" s="8"/>
      <c r="E256" s="8"/>
      <c r="F256" s="8"/>
      <c r="G256" s="8"/>
      <c r="H256" s="8"/>
      <c r="I256" s="8"/>
    </row>
    <row r="257" customFormat="false" ht="15" hidden="false" customHeight="true" outlineLevel="0" collapsed="false">
      <c r="A257" s="8"/>
      <c r="B257" s="8"/>
      <c r="C257" s="8"/>
      <c r="D257" s="8"/>
      <c r="E257" s="8"/>
      <c r="F257" s="8"/>
      <c r="G257" s="8"/>
      <c r="H257" s="8"/>
      <c r="I257" s="8"/>
    </row>
    <row r="258" customFormat="false" ht="15" hidden="false" customHeight="true" outlineLevel="0" collapsed="false">
      <c r="A258" s="8"/>
      <c r="B258" s="8"/>
      <c r="C258" s="8"/>
      <c r="D258" s="8"/>
      <c r="E258" s="8"/>
      <c r="F258" s="8"/>
      <c r="G258" s="8"/>
      <c r="H258" s="8"/>
      <c r="I258" s="8"/>
    </row>
    <row r="259" customFormat="false" ht="15" hidden="false" customHeight="true" outlineLevel="0" collapsed="false">
      <c r="A259" s="8"/>
      <c r="B259" s="8"/>
      <c r="C259" s="8"/>
      <c r="D259" s="8"/>
      <c r="E259" s="8"/>
      <c r="F259" s="8"/>
      <c r="G259" s="8"/>
      <c r="H259" s="8"/>
      <c r="I259" s="8"/>
    </row>
    <row r="260" customFormat="false" ht="15" hidden="false" customHeight="true" outlineLevel="0" collapsed="false">
      <c r="A260" s="8"/>
      <c r="B260" s="8"/>
      <c r="C260" s="8"/>
      <c r="D260" s="8"/>
      <c r="E260" s="8"/>
      <c r="F260" s="8"/>
      <c r="G260" s="8"/>
      <c r="H260" s="8"/>
      <c r="I260" s="8"/>
    </row>
    <row r="261" customFormat="false" ht="15" hidden="false" customHeight="true" outlineLevel="0" collapsed="false">
      <c r="A261" s="8"/>
      <c r="B261" s="8"/>
      <c r="C261" s="8"/>
      <c r="D261" s="8"/>
      <c r="E261" s="8"/>
      <c r="F261" s="8"/>
      <c r="G261" s="8"/>
      <c r="H261" s="8"/>
      <c r="I261" s="8"/>
    </row>
    <row r="262" customFormat="false" ht="15" hidden="false" customHeight="true" outlineLevel="0" collapsed="false">
      <c r="A262" s="8"/>
      <c r="B262" s="8"/>
      <c r="C262" s="8"/>
      <c r="D262" s="8"/>
      <c r="E262" s="8"/>
      <c r="F262" s="8"/>
      <c r="G262" s="8"/>
      <c r="H262" s="8"/>
      <c r="I262" s="8"/>
    </row>
    <row r="263" customFormat="false" ht="15" hidden="false" customHeight="true" outlineLevel="0" collapsed="false">
      <c r="A263" s="8"/>
      <c r="B263" s="8"/>
      <c r="C263" s="8"/>
      <c r="D263" s="8"/>
      <c r="E263" s="8"/>
      <c r="F263" s="8"/>
      <c r="G263" s="8"/>
      <c r="H263" s="8"/>
      <c r="I263" s="8"/>
    </row>
    <row r="264" customFormat="false" ht="15" hidden="false" customHeight="true" outlineLevel="0" collapsed="false">
      <c r="A264" s="8"/>
      <c r="B264" s="8"/>
      <c r="C264" s="8"/>
      <c r="D264" s="8"/>
      <c r="E264" s="8"/>
      <c r="F264" s="8"/>
      <c r="G264" s="8"/>
      <c r="H264" s="8"/>
      <c r="I264" s="8"/>
    </row>
    <row r="265" customFormat="false" ht="15" hidden="false" customHeight="true" outlineLevel="0" collapsed="false">
      <c r="A265" s="8"/>
      <c r="B265" s="8"/>
      <c r="C265" s="8"/>
      <c r="D265" s="8"/>
      <c r="E265" s="8"/>
      <c r="F265" s="8"/>
      <c r="G265" s="8"/>
      <c r="H265" s="8"/>
      <c r="I265" s="8"/>
    </row>
    <row r="266" customFormat="false" ht="15" hidden="false" customHeight="true" outlineLevel="0" collapsed="false">
      <c r="A266" s="8"/>
      <c r="B266" s="8"/>
      <c r="C266" s="8"/>
      <c r="D266" s="8"/>
      <c r="E266" s="8"/>
      <c r="F266" s="8"/>
      <c r="G266" s="8"/>
      <c r="H266" s="8"/>
      <c r="I266" s="8"/>
    </row>
    <row r="267" customFormat="false" ht="15" hidden="false" customHeight="true" outlineLevel="0" collapsed="false">
      <c r="A267" s="8"/>
      <c r="B267" s="8"/>
      <c r="C267" s="8"/>
      <c r="D267" s="8"/>
      <c r="E267" s="8"/>
      <c r="F267" s="8"/>
      <c r="G267" s="8"/>
      <c r="H267" s="8"/>
      <c r="I267" s="8"/>
    </row>
    <row r="268" customFormat="false" ht="15" hidden="false" customHeight="true" outlineLevel="0" collapsed="false">
      <c r="A268" s="8"/>
      <c r="B268" s="8"/>
      <c r="C268" s="8"/>
      <c r="D268" s="8"/>
      <c r="E268" s="8"/>
      <c r="F268" s="8"/>
      <c r="G268" s="8"/>
      <c r="H268" s="8"/>
      <c r="I268" s="8"/>
    </row>
    <row r="269" customFormat="false" ht="15" hidden="false" customHeight="true" outlineLevel="0" collapsed="false">
      <c r="A269" s="8"/>
      <c r="B269" s="8"/>
      <c r="C269" s="8"/>
      <c r="D269" s="8"/>
      <c r="E269" s="8"/>
      <c r="F269" s="8"/>
      <c r="G269" s="8"/>
      <c r="H269" s="8"/>
      <c r="I269" s="8"/>
    </row>
    <row r="270" customFormat="false" ht="15" hidden="false" customHeight="true" outlineLevel="0" collapsed="false">
      <c r="A270" s="8"/>
      <c r="B270" s="8"/>
      <c r="C270" s="8"/>
      <c r="D270" s="8"/>
      <c r="E270" s="8"/>
      <c r="F270" s="8"/>
      <c r="G270" s="8"/>
      <c r="H270" s="8"/>
      <c r="I270" s="8"/>
    </row>
    <row r="271" customFormat="false" ht="15" hidden="false" customHeight="true" outlineLevel="0" collapsed="false">
      <c r="A271" s="8"/>
      <c r="B271" s="8"/>
      <c r="C271" s="8"/>
      <c r="D271" s="8"/>
      <c r="E271" s="8"/>
      <c r="F271" s="8"/>
      <c r="G271" s="8"/>
      <c r="H271" s="8"/>
      <c r="I271" s="8"/>
    </row>
    <row r="272" customFormat="false" ht="15" hidden="false" customHeight="true" outlineLevel="0" collapsed="false">
      <c r="A272" s="8"/>
      <c r="B272" s="8"/>
      <c r="C272" s="8"/>
      <c r="D272" s="8"/>
      <c r="E272" s="8"/>
      <c r="F272" s="8"/>
      <c r="G272" s="8"/>
      <c r="H272" s="8"/>
      <c r="I272" s="8"/>
    </row>
    <row r="273" customFormat="false" ht="15" hidden="false" customHeight="true" outlineLevel="0" collapsed="false">
      <c r="A273" s="8"/>
      <c r="B273" s="8"/>
      <c r="C273" s="8"/>
      <c r="D273" s="8"/>
      <c r="E273" s="8"/>
      <c r="F273" s="8"/>
      <c r="G273" s="8"/>
      <c r="H273" s="8"/>
      <c r="I273" s="8"/>
    </row>
    <row r="274" customFormat="false" ht="15" hidden="false" customHeight="true" outlineLevel="0" collapsed="false">
      <c r="A274" s="8"/>
      <c r="B274" s="8"/>
      <c r="C274" s="8"/>
      <c r="D274" s="8"/>
      <c r="E274" s="8"/>
      <c r="F274" s="8"/>
      <c r="G274" s="8"/>
      <c r="H274" s="8"/>
      <c r="I274" s="8"/>
    </row>
    <row r="275" customFormat="false" ht="15" hidden="false" customHeight="true" outlineLevel="0" collapsed="false">
      <c r="A275" s="8"/>
      <c r="B275" s="8"/>
      <c r="C275" s="8"/>
      <c r="D275" s="8"/>
      <c r="E275" s="8"/>
      <c r="F275" s="8"/>
      <c r="G275" s="8"/>
      <c r="H275" s="8"/>
      <c r="I275" s="8"/>
    </row>
    <row r="276" customFormat="false" ht="15" hidden="false" customHeight="true" outlineLevel="0" collapsed="false">
      <c r="A276" s="8"/>
      <c r="B276" s="8"/>
      <c r="C276" s="8"/>
      <c r="D276" s="8"/>
      <c r="E276" s="8"/>
      <c r="F276" s="8"/>
      <c r="G276" s="8"/>
      <c r="H276" s="8"/>
      <c r="I276" s="8"/>
    </row>
    <row r="277" customFormat="false" ht="15" hidden="false" customHeight="true" outlineLevel="0" collapsed="false">
      <c r="A277" s="8"/>
      <c r="B277" s="8"/>
      <c r="C277" s="8"/>
      <c r="D277" s="8"/>
      <c r="E277" s="8"/>
      <c r="F277" s="8"/>
      <c r="G277" s="8"/>
      <c r="H277" s="8"/>
      <c r="I277" s="8"/>
    </row>
    <row r="278" customFormat="false" ht="15" hidden="false" customHeight="true" outlineLevel="0" collapsed="false">
      <c r="A278" s="8"/>
      <c r="B278" s="8"/>
      <c r="C278" s="8"/>
      <c r="D278" s="8"/>
      <c r="E278" s="8"/>
      <c r="F278" s="8"/>
      <c r="G278" s="8"/>
      <c r="H278" s="8"/>
      <c r="I278" s="8"/>
    </row>
    <row r="279" customFormat="false" ht="15" hidden="false" customHeight="true" outlineLevel="0" collapsed="false">
      <c r="A279" s="8"/>
      <c r="B279" s="8"/>
      <c r="C279" s="8"/>
      <c r="D279" s="8"/>
      <c r="E279" s="8"/>
      <c r="F279" s="8"/>
      <c r="G279" s="8"/>
      <c r="H279" s="8"/>
      <c r="I279" s="8"/>
    </row>
    <row r="280" customFormat="false" ht="15" hidden="false" customHeight="true" outlineLevel="0" collapsed="false">
      <c r="A280" s="8"/>
      <c r="B280" s="8"/>
      <c r="C280" s="8"/>
      <c r="D280" s="8"/>
      <c r="E280" s="8"/>
      <c r="F280" s="8"/>
      <c r="G280" s="8"/>
      <c r="H280" s="8"/>
      <c r="I280" s="8"/>
    </row>
    <row r="281" customFormat="false" ht="15" hidden="false" customHeight="true" outlineLevel="0" collapsed="false">
      <c r="A281" s="8"/>
      <c r="B281" s="8"/>
      <c r="C281" s="8"/>
      <c r="D281" s="8"/>
      <c r="E281" s="8"/>
      <c r="F281" s="8"/>
      <c r="G281" s="8"/>
      <c r="H281" s="8"/>
      <c r="I281" s="8"/>
    </row>
    <row r="282" customFormat="false" ht="15" hidden="false" customHeight="true" outlineLevel="0" collapsed="false">
      <c r="A282" s="8"/>
      <c r="B282" s="8"/>
      <c r="C282" s="8"/>
      <c r="D282" s="8"/>
      <c r="E282" s="8"/>
      <c r="F282" s="8"/>
      <c r="G282" s="8"/>
      <c r="H282" s="8"/>
      <c r="I282" s="8"/>
    </row>
    <row r="283" customFormat="false" ht="15" hidden="false" customHeight="true" outlineLevel="0" collapsed="false">
      <c r="A283" s="8"/>
      <c r="B283" s="8"/>
      <c r="C283" s="8"/>
      <c r="D283" s="8"/>
      <c r="E283" s="8"/>
      <c r="F283" s="8"/>
      <c r="G283" s="8"/>
      <c r="H283" s="8"/>
      <c r="I283" s="8"/>
    </row>
    <row r="284" customFormat="false" ht="15" hidden="false" customHeight="true" outlineLevel="0" collapsed="false">
      <c r="A284" s="8"/>
      <c r="B284" s="8"/>
      <c r="C284" s="8"/>
      <c r="D284" s="8"/>
      <c r="E284" s="8"/>
      <c r="F284" s="8"/>
      <c r="G284" s="8"/>
      <c r="H284" s="8"/>
      <c r="I284" s="8"/>
    </row>
    <row r="285" customFormat="false" ht="15" hidden="false" customHeight="true" outlineLevel="0" collapsed="false">
      <c r="A285" s="8"/>
      <c r="B285" s="8"/>
      <c r="C285" s="8"/>
      <c r="D285" s="8"/>
      <c r="E285" s="8"/>
      <c r="F285" s="8"/>
      <c r="G285" s="8"/>
      <c r="H285" s="8"/>
      <c r="I285" s="8"/>
    </row>
    <row r="286" customFormat="false" ht="15" hidden="false" customHeight="true" outlineLevel="0" collapsed="false">
      <c r="A286" s="8"/>
      <c r="B286" s="8"/>
      <c r="C286" s="8"/>
      <c r="D286" s="8"/>
      <c r="E286" s="8"/>
      <c r="F286" s="8"/>
      <c r="G286" s="8"/>
      <c r="H286" s="8"/>
      <c r="I286" s="8"/>
    </row>
    <row r="287" customFormat="false" ht="15" hidden="false" customHeight="true" outlineLevel="0" collapsed="false">
      <c r="A287" s="8"/>
      <c r="B287" s="8"/>
      <c r="C287" s="8"/>
      <c r="D287" s="8"/>
      <c r="E287" s="8"/>
      <c r="F287" s="8"/>
      <c r="G287" s="8"/>
      <c r="H287" s="8"/>
      <c r="I287" s="8"/>
    </row>
    <row r="288" customFormat="false" ht="15" hidden="false" customHeight="true" outlineLevel="0" collapsed="false">
      <c r="A288" s="8"/>
      <c r="B288" s="8"/>
      <c r="C288" s="8"/>
      <c r="D288" s="8"/>
      <c r="E288" s="8"/>
      <c r="F288" s="8"/>
      <c r="G288" s="8"/>
      <c r="H288" s="8"/>
      <c r="I288" s="8"/>
    </row>
    <row r="289" customFormat="false" ht="15" hidden="false" customHeight="true" outlineLevel="0" collapsed="false">
      <c r="A289" s="8"/>
      <c r="B289" s="8"/>
      <c r="C289" s="8"/>
      <c r="D289" s="8"/>
      <c r="E289" s="8"/>
      <c r="F289" s="8"/>
      <c r="G289" s="8"/>
      <c r="H289" s="8"/>
      <c r="I289" s="8"/>
    </row>
    <row r="290" customFormat="false" ht="15" hidden="false" customHeight="true" outlineLevel="0" collapsed="false">
      <c r="A290" s="8"/>
      <c r="B290" s="8"/>
      <c r="C290" s="8"/>
      <c r="D290" s="8"/>
      <c r="E290" s="8"/>
      <c r="F290" s="8"/>
      <c r="G290" s="8"/>
      <c r="H290" s="8"/>
      <c r="I290" s="8"/>
    </row>
    <row r="291" customFormat="false" ht="15" hidden="false" customHeight="true" outlineLevel="0" collapsed="false">
      <c r="A291" s="8"/>
      <c r="B291" s="8"/>
      <c r="C291" s="8"/>
      <c r="D291" s="8"/>
      <c r="E291" s="8"/>
      <c r="F291" s="8"/>
      <c r="G291" s="8"/>
      <c r="H291" s="8"/>
      <c r="I291" s="8"/>
    </row>
    <row r="292" customFormat="false" ht="15" hidden="false" customHeight="true" outlineLevel="0" collapsed="false">
      <c r="A292" s="8"/>
      <c r="B292" s="8"/>
      <c r="C292" s="8"/>
      <c r="D292" s="8"/>
      <c r="E292" s="8"/>
      <c r="F292" s="8"/>
      <c r="G292" s="8"/>
      <c r="H292" s="8"/>
      <c r="I292" s="8"/>
    </row>
    <row r="293" customFormat="false" ht="15" hidden="false" customHeight="true" outlineLevel="0" collapsed="false">
      <c r="A293" s="8"/>
      <c r="B293" s="8"/>
      <c r="C293" s="8"/>
      <c r="D293" s="8"/>
      <c r="E293" s="8"/>
      <c r="F293" s="8"/>
      <c r="G293" s="8"/>
      <c r="H293" s="8"/>
      <c r="I293" s="8"/>
    </row>
    <row r="294" customFormat="false" ht="15" hidden="false" customHeight="true" outlineLevel="0" collapsed="false">
      <c r="A294" s="8"/>
      <c r="B294" s="8"/>
      <c r="C294" s="8"/>
      <c r="D294" s="8"/>
      <c r="E294" s="8"/>
      <c r="F294" s="8"/>
      <c r="G294" s="8"/>
      <c r="H294" s="8"/>
      <c r="I294" s="8"/>
    </row>
    <row r="295" customFormat="false" ht="15" hidden="false" customHeight="true" outlineLevel="0" collapsed="false">
      <c r="A295" s="8"/>
      <c r="B295" s="8"/>
      <c r="C295" s="8"/>
      <c r="D295" s="8"/>
      <c r="E295" s="8"/>
      <c r="F295" s="8"/>
      <c r="G295" s="8"/>
      <c r="H295" s="8"/>
      <c r="I295" s="8"/>
    </row>
    <row r="296" customFormat="false" ht="15" hidden="false" customHeight="true" outlineLevel="0" collapsed="false">
      <c r="A296" s="8"/>
      <c r="B296" s="8"/>
      <c r="C296" s="8"/>
      <c r="D296" s="8"/>
      <c r="E296" s="8"/>
      <c r="F296" s="8"/>
      <c r="G296" s="8"/>
      <c r="H296" s="8"/>
      <c r="I296" s="8"/>
    </row>
    <row r="297" customFormat="false" ht="15" hidden="false" customHeight="true" outlineLevel="0" collapsed="false">
      <c r="A297" s="8"/>
      <c r="B297" s="8"/>
      <c r="C297" s="8"/>
      <c r="D297" s="8"/>
      <c r="E297" s="8"/>
      <c r="F297" s="8"/>
      <c r="G297" s="8"/>
      <c r="H297" s="8"/>
      <c r="I297" s="8"/>
    </row>
    <row r="298" customFormat="false" ht="15" hidden="false" customHeight="true" outlineLevel="0" collapsed="false">
      <c r="A298" s="8"/>
      <c r="B298" s="8"/>
      <c r="C298" s="8"/>
      <c r="D298" s="8"/>
      <c r="E298" s="8"/>
      <c r="F298" s="8"/>
      <c r="G298" s="8"/>
      <c r="H298" s="8"/>
      <c r="I298" s="8"/>
    </row>
    <row r="299" customFormat="false" ht="15" hidden="false" customHeight="true" outlineLevel="0" collapsed="false">
      <c r="A299" s="8"/>
      <c r="B299" s="8"/>
      <c r="C299" s="8"/>
      <c r="D299" s="8"/>
      <c r="E299" s="8"/>
      <c r="F299" s="8"/>
      <c r="G299" s="8"/>
      <c r="H299" s="8"/>
      <c r="I299" s="8"/>
    </row>
    <row r="300" customFormat="false" ht="15" hidden="false" customHeight="true" outlineLevel="0" collapsed="false">
      <c r="A300" s="8"/>
      <c r="B300" s="8"/>
      <c r="C300" s="8"/>
      <c r="D300" s="8"/>
      <c r="E300" s="8"/>
      <c r="F300" s="8"/>
      <c r="G300" s="8"/>
      <c r="H300" s="8"/>
      <c r="I300" s="8"/>
    </row>
  </sheetData>
  <autoFilter ref="A2:I300"/>
  <mergeCells count="1">
    <mergeCell ref="A1:I1"/>
  </mergeCells>
  <dataValidations count="1">
    <dataValidation allowBlank="true" errorStyle="stop" operator="between" showDropDown="false" showErrorMessage="false" showInputMessage="false" sqref="E3:E300" type="list">
      <formula1>"Titulaire,Vacataire"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6"/>
    <col collapsed="false" customWidth="true" hidden="false" outlineLevel="0" max="4" min="4" style="1" width="29"/>
    <col collapsed="false" customWidth="true" hidden="false" outlineLevel="0" max="5" min="5" style="1" width="28"/>
  </cols>
  <sheetData>
    <row r="1" customFormat="false" ht="30" hidden="false" customHeight="true" outlineLevel="0" collapsed="false">
      <c r="A1" s="2" t="s">
        <v>171</v>
      </c>
      <c r="B1" s="2"/>
      <c r="C1" s="2"/>
      <c r="D1" s="2"/>
      <c r="E1" s="2"/>
    </row>
    <row r="2" customFormat="false" ht="31.5" hidden="false" customHeight="true" outlineLevel="0" collapsed="false">
      <c r="A2" s="7" t="s">
        <v>172</v>
      </c>
      <c r="B2" s="7" t="s">
        <v>173</v>
      </c>
      <c r="C2" s="7" t="s">
        <v>147</v>
      </c>
      <c r="D2" s="7" t="s">
        <v>174</v>
      </c>
      <c r="E2" s="7" t="s">
        <v>175</v>
      </c>
    </row>
    <row r="3" customFormat="false" ht="15" hidden="false" customHeight="true" outlineLevel="0" collapsed="false">
      <c r="A3" s="8"/>
      <c r="B3" s="8"/>
      <c r="C3" s="8"/>
      <c r="D3" s="8"/>
      <c r="E3" s="8" t="str">
        <f aca="false">IF(D3="","",D3)</f>
        <v/>
      </c>
    </row>
    <row r="4" customFormat="false" ht="15" hidden="false" customHeight="true" outlineLevel="0" collapsed="false">
      <c r="A4" s="8"/>
      <c r="B4" s="8"/>
      <c r="C4" s="8"/>
      <c r="D4" s="8"/>
      <c r="E4" s="8" t="str">
        <f aca="false">IF(D4="","",D4)</f>
        <v/>
      </c>
    </row>
    <row r="5" customFormat="false" ht="15" hidden="false" customHeight="true" outlineLevel="0" collapsed="false">
      <c r="A5" s="8"/>
      <c r="B5" s="8"/>
      <c r="C5" s="8"/>
      <c r="D5" s="8"/>
      <c r="E5" s="8" t="str">
        <f aca="false">IF(D5="","",D5)</f>
        <v/>
      </c>
    </row>
    <row r="6" customFormat="false" ht="15" hidden="false" customHeight="true" outlineLevel="0" collapsed="false">
      <c r="A6" s="8"/>
      <c r="B6" s="8"/>
      <c r="C6" s="8"/>
      <c r="D6" s="8"/>
      <c r="E6" s="8" t="str">
        <f aca="false">IF(D6="","",D6)</f>
        <v/>
      </c>
    </row>
    <row r="7" customFormat="false" ht="15" hidden="false" customHeight="true" outlineLevel="0" collapsed="false">
      <c r="A7" s="8"/>
      <c r="B7" s="8"/>
      <c r="C7" s="8"/>
      <c r="D7" s="8"/>
      <c r="E7" s="8" t="str">
        <f aca="false">IF(D7="","",D7)</f>
        <v/>
      </c>
    </row>
    <row r="8" customFormat="false" ht="15" hidden="false" customHeight="true" outlineLevel="0" collapsed="false">
      <c r="A8" s="8"/>
      <c r="B8" s="8"/>
      <c r="C8" s="8"/>
      <c r="D8" s="8"/>
      <c r="E8" s="8" t="str">
        <f aca="false">IF(D8="","",D8)</f>
        <v/>
      </c>
    </row>
    <row r="9" customFormat="false" ht="15" hidden="false" customHeight="true" outlineLevel="0" collapsed="false">
      <c r="A9" s="8"/>
      <c r="B9" s="8"/>
      <c r="C9" s="8"/>
      <c r="D9" s="8"/>
      <c r="E9" s="8" t="str">
        <f aca="false">IF(D9="","",D9)</f>
        <v/>
      </c>
    </row>
    <row r="10" customFormat="false" ht="15" hidden="false" customHeight="true" outlineLevel="0" collapsed="false">
      <c r="A10" s="8"/>
      <c r="B10" s="8"/>
      <c r="C10" s="8"/>
      <c r="D10" s="8"/>
      <c r="E10" s="8" t="str">
        <f aca="false">IF(D10="","",D10)</f>
        <v/>
      </c>
    </row>
    <row r="11" customFormat="false" ht="15" hidden="false" customHeight="true" outlineLevel="0" collapsed="false">
      <c r="A11" s="8"/>
      <c r="B11" s="8"/>
      <c r="C11" s="8"/>
      <c r="D11" s="8"/>
      <c r="E11" s="8" t="str">
        <f aca="false">IF(D11="","",D11)</f>
        <v/>
      </c>
    </row>
    <row r="12" customFormat="false" ht="15" hidden="false" customHeight="true" outlineLevel="0" collapsed="false">
      <c r="A12" s="8"/>
      <c r="B12" s="8"/>
      <c r="C12" s="8"/>
      <c r="D12" s="8"/>
      <c r="E12" s="8" t="str">
        <f aca="false">IF(D12="","",D12)</f>
        <v/>
      </c>
    </row>
    <row r="13" customFormat="false" ht="15" hidden="false" customHeight="true" outlineLevel="0" collapsed="false">
      <c r="A13" s="8"/>
      <c r="B13" s="8"/>
      <c r="C13" s="8"/>
      <c r="D13" s="8"/>
      <c r="E13" s="8" t="str">
        <f aca="false">IF(D13="","",D13)</f>
        <v/>
      </c>
    </row>
    <row r="14" customFormat="false" ht="15" hidden="false" customHeight="true" outlineLevel="0" collapsed="false">
      <c r="A14" s="8"/>
      <c r="B14" s="8"/>
      <c r="C14" s="8"/>
      <c r="D14" s="8"/>
      <c r="E14" s="8" t="str">
        <f aca="false">IF(D14="","",D14)</f>
        <v/>
      </c>
    </row>
    <row r="15" customFormat="false" ht="15" hidden="false" customHeight="true" outlineLevel="0" collapsed="false">
      <c r="A15" s="8"/>
      <c r="B15" s="8"/>
      <c r="C15" s="8"/>
      <c r="D15" s="8"/>
      <c r="E15" s="8" t="str">
        <f aca="false">IF(D15="","",D15)</f>
        <v/>
      </c>
    </row>
    <row r="16" customFormat="false" ht="15" hidden="false" customHeight="true" outlineLevel="0" collapsed="false">
      <c r="A16" s="8"/>
      <c r="B16" s="8"/>
      <c r="C16" s="8"/>
      <c r="D16" s="8"/>
      <c r="E16" s="8" t="str">
        <f aca="false">IF(D16="","",D16)</f>
        <v/>
      </c>
    </row>
    <row r="17" customFormat="false" ht="15" hidden="false" customHeight="true" outlineLevel="0" collapsed="false">
      <c r="A17" s="8"/>
      <c r="B17" s="8"/>
      <c r="C17" s="8"/>
      <c r="D17" s="8"/>
      <c r="E17" s="8" t="str">
        <f aca="false">IF(D17="","",D17)</f>
        <v/>
      </c>
    </row>
    <row r="18" customFormat="false" ht="15" hidden="false" customHeight="true" outlineLevel="0" collapsed="false">
      <c r="A18" s="8"/>
      <c r="B18" s="8"/>
      <c r="C18" s="8"/>
      <c r="D18" s="8"/>
      <c r="E18" s="8" t="str">
        <f aca="false">IF(D18="","",D18)</f>
        <v/>
      </c>
    </row>
    <row r="19" customFormat="false" ht="15" hidden="false" customHeight="true" outlineLevel="0" collapsed="false">
      <c r="A19" s="8"/>
      <c r="B19" s="8"/>
      <c r="C19" s="8"/>
      <c r="D19" s="8"/>
      <c r="E19" s="8" t="str">
        <f aca="false">IF(D19="","",D19)</f>
        <v/>
      </c>
    </row>
    <row r="20" customFormat="false" ht="15" hidden="false" customHeight="true" outlineLevel="0" collapsed="false">
      <c r="A20" s="8"/>
      <c r="B20" s="8"/>
      <c r="C20" s="8"/>
      <c r="D20" s="8"/>
      <c r="E20" s="8" t="str">
        <f aca="false">IF(D20="","",D20)</f>
        <v/>
      </c>
    </row>
    <row r="21" customFormat="false" ht="15" hidden="false" customHeight="true" outlineLevel="0" collapsed="false">
      <c r="A21" s="8"/>
      <c r="B21" s="8"/>
      <c r="C21" s="8"/>
      <c r="D21" s="8"/>
      <c r="E21" s="8" t="str">
        <f aca="false">IF(D21="","",D21)</f>
        <v/>
      </c>
    </row>
    <row r="22" customFormat="false" ht="15" hidden="false" customHeight="true" outlineLevel="0" collapsed="false">
      <c r="A22" s="8"/>
      <c r="B22" s="8"/>
      <c r="C22" s="8"/>
      <c r="D22" s="8"/>
      <c r="E22" s="8" t="str">
        <f aca="false">IF(D22="","",D22)</f>
        <v/>
      </c>
    </row>
    <row r="23" customFormat="false" ht="15" hidden="false" customHeight="true" outlineLevel="0" collapsed="false">
      <c r="A23" s="8"/>
      <c r="B23" s="8"/>
      <c r="C23" s="8"/>
      <c r="D23" s="8"/>
      <c r="E23" s="8" t="str">
        <f aca="false">IF(D23="","",D23)</f>
        <v/>
      </c>
    </row>
    <row r="24" customFormat="false" ht="15" hidden="false" customHeight="true" outlineLevel="0" collapsed="false">
      <c r="A24" s="8"/>
      <c r="B24" s="8"/>
      <c r="C24" s="8"/>
      <c r="D24" s="8"/>
      <c r="E24" s="8" t="str">
        <f aca="false">IF(D24="","",D24)</f>
        <v/>
      </c>
    </row>
    <row r="25" customFormat="false" ht="15" hidden="false" customHeight="true" outlineLevel="0" collapsed="false">
      <c r="A25" s="8"/>
      <c r="B25" s="8"/>
      <c r="C25" s="8"/>
      <c r="D25" s="8"/>
      <c r="E25" s="8" t="str">
        <f aca="false">IF(D25="","",D25)</f>
        <v/>
      </c>
    </row>
    <row r="26" customFormat="false" ht="15" hidden="false" customHeight="true" outlineLevel="0" collapsed="false">
      <c r="A26" s="8"/>
      <c r="B26" s="8"/>
      <c r="C26" s="8"/>
      <c r="D26" s="8"/>
      <c r="E26" s="8" t="str">
        <f aca="false">IF(D26="","",D26)</f>
        <v/>
      </c>
    </row>
    <row r="27" customFormat="false" ht="15" hidden="false" customHeight="true" outlineLevel="0" collapsed="false">
      <c r="A27" s="8"/>
      <c r="B27" s="8"/>
      <c r="C27" s="8"/>
      <c r="D27" s="8"/>
      <c r="E27" s="8" t="str">
        <f aca="false">IF(D27="","",D27)</f>
        <v/>
      </c>
    </row>
    <row r="28" customFormat="false" ht="15" hidden="false" customHeight="true" outlineLevel="0" collapsed="false">
      <c r="A28" s="8"/>
      <c r="B28" s="8"/>
      <c r="C28" s="8"/>
      <c r="D28" s="8"/>
      <c r="E28" s="8" t="str">
        <f aca="false">IF(D28="","",D28)</f>
        <v/>
      </c>
    </row>
    <row r="29" customFormat="false" ht="15" hidden="false" customHeight="true" outlineLevel="0" collapsed="false">
      <c r="A29" s="8"/>
      <c r="B29" s="8"/>
      <c r="C29" s="8"/>
      <c r="D29" s="8"/>
      <c r="E29" s="8" t="str">
        <f aca="false">IF(D29="","",D29)</f>
        <v/>
      </c>
    </row>
    <row r="30" customFormat="false" ht="15" hidden="false" customHeight="true" outlineLevel="0" collapsed="false">
      <c r="A30" s="8"/>
      <c r="B30" s="8"/>
      <c r="C30" s="8"/>
      <c r="D30" s="8"/>
      <c r="E30" s="8" t="str">
        <f aca="false">IF(D30="","",D30)</f>
        <v/>
      </c>
    </row>
    <row r="31" customFormat="false" ht="15" hidden="false" customHeight="true" outlineLevel="0" collapsed="false">
      <c r="A31" s="8"/>
      <c r="B31" s="8"/>
      <c r="C31" s="8"/>
      <c r="D31" s="8"/>
      <c r="E31" s="8" t="str">
        <f aca="false">IF(D31="","",D31)</f>
        <v/>
      </c>
    </row>
    <row r="32" customFormat="false" ht="15" hidden="false" customHeight="true" outlineLevel="0" collapsed="false">
      <c r="A32" s="8"/>
      <c r="B32" s="8"/>
      <c r="C32" s="8"/>
      <c r="D32" s="8"/>
      <c r="E32" s="8" t="str">
        <f aca="false">IF(D32="","",D32)</f>
        <v/>
      </c>
    </row>
    <row r="33" customFormat="false" ht="15" hidden="false" customHeight="true" outlineLevel="0" collapsed="false">
      <c r="A33" s="8"/>
      <c r="B33" s="8"/>
      <c r="C33" s="8"/>
      <c r="D33" s="8"/>
      <c r="E33" s="8" t="str">
        <f aca="false">IF(D33="","",D33)</f>
        <v/>
      </c>
    </row>
    <row r="34" customFormat="false" ht="15" hidden="false" customHeight="true" outlineLevel="0" collapsed="false">
      <c r="A34" s="8"/>
      <c r="B34" s="8"/>
      <c r="C34" s="8"/>
      <c r="D34" s="8"/>
      <c r="E34" s="8" t="str">
        <f aca="false">IF(D34="","",D34)</f>
        <v/>
      </c>
    </row>
    <row r="35" customFormat="false" ht="15" hidden="false" customHeight="true" outlineLevel="0" collapsed="false">
      <c r="A35" s="8"/>
      <c r="B35" s="8"/>
      <c r="C35" s="8"/>
      <c r="D35" s="8"/>
      <c r="E35" s="8" t="str">
        <f aca="false">IF(D35="","",D35)</f>
        <v/>
      </c>
    </row>
    <row r="36" customFormat="false" ht="15" hidden="false" customHeight="true" outlineLevel="0" collapsed="false">
      <c r="A36" s="8"/>
      <c r="B36" s="8"/>
      <c r="C36" s="8"/>
      <c r="D36" s="8"/>
      <c r="E36" s="8" t="str">
        <f aca="false">IF(D36="","",D36)</f>
        <v/>
      </c>
    </row>
    <row r="37" customFormat="false" ht="15" hidden="false" customHeight="true" outlineLevel="0" collapsed="false">
      <c r="A37" s="8"/>
      <c r="B37" s="8"/>
      <c r="C37" s="8"/>
      <c r="D37" s="8"/>
      <c r="E37" s="8" t="str">
        <f aca="false">IF(D37="","",D37)</f>
        <v/>
      </c>
    </row>
    <row r="38" customFormat="false" ht="15" hidden="false" customHeight="true" outlineLevel="0" collapsed="false">
      <c r="A38" s="8"/>
      <c r="B38" s="8"/>
      <c r="C38" s="8"/>
      <c r="D38" s="8"/>
      <c r="E38" s="8" t="str">
        <f aca="false">IF(D38="","",D38)</f>
        <v/>
      </c>
    </row>
    <row r="39" customFormat="false" ht="15" hidden="false" customHeight="true" outlineLevel="0" collapsed="false">
      <c r="A39" s="8"/>
      <c r="B39" s="8"/>
      <c r="C39" s="8"/>
      <c r="D39" s="8"/>
      <c r="E39" s="8" t="str">
        <f aca="false">IF(D39="","",D39)</f>
        <v/>
      </c>
    </row>
    <row r="40" customFormat="false" ht="15" hidden="false" customHeight="true" outlineLevel="0" collapsed="false">
      <c r="A40" s="8"/>
      <c r="B40" s="8"/>
      <c r="C40" s="8"/>
      <c r="D40" s="8"/>
      <c r="E40" s="8" t="str">
        <f aca="false">IF(D40="","",D40)</f>
        <v/>
      </c>
    </row>
    <row r="41" customFormat="false" ht="15" hidden="false" customHeight="true" outlineLevel="0" collapsed="false">
      <c r="A41" s="8"/>
      <c r="B41" s="8"/>
      <c r="C41" s="8"/>
      <c r="D41" s="8"/>
      <c r="E41" s="8" t="str">
        <f aca="false">IF(D41="","",D41)</f>
        <v/>
      </c>
    </row>
    <row r="42" customFormat="false" ht="15" hidden="false" customHeight="true" outlineLevel="0" collapsed="false">
      <c r="A42" s="8"/>
      <c r="B42" s="8"/>
      <c r="C42" s="8"/>
      <c r="D42" s="8"/>
      <c r="E42" s="8" t="str">
        <f aca="false">IF(D42="","",D42)</f>
        <v/>
      </c>
    </row>
    <row r="43" customFormat="false" ht="15" hidden="false" customHeight="true" outlineLevel="0" collapsed="false">
      <c r="A43" s="8"/>
      <c r="B43" s="8"/>
      <c r="C43" s="8"/>
      <c r="D43" s="8"/>
      <c r="E43" s="8" t="str">
        <f aca="false">IF(D43="","",D43)</f>
        <v/>
      </c>
    </row>
    <row r="44" customFormat="false" ht="15" hidden="false" customHeight="true" outlineLevel="0" collapsed="false">
      <c r="A44" s="8"/>
      <c r="B44" s="8"/>
      <c r="C44" s="8"/>
      <c r="D44" s="8"/>
      <c r="E44" s="8" t="str">
        <f aca="false">IF(D44="","",D44)</f>
        <v/>
      </c>
    </row>
    <row r="45" customFormat="false" ht="15" hidden="false" customHeight="true" outlineLevel="0" collapsed="false">
      <c r="A45" s="8"/>
      <c r="B45" s="8"/>
      <c r="C45" s="8"/>
      <c r="D45" s="8"/>
      <c r="E45" s="8" t="str">
        <f aca="false">IF(D45="","",D45)</f>
        <v/>
      </c>
    </row>
    <row r="46" customFormat="false" ht="15" hidden="false" customHeight="true" outlineLevel="0" collapsed="false">
      <c r="A46" s="8"/>
      <c r="B46" s="8"/>
      <c r="C46" s="8"/>
      <c r="D46" s="8"/>
      <c r="E46" s="8" t="str">
        <f aca="false">IF(D46="","",D46)</f>
        <v/>
      </c>
    </row>
    <row r="47" customFormat="false" ht="15" hidden="false" customHeight="true" outlineLevel="0" collapsed="false">
      <c r="A47" s="8"/>
      <c r="B47" s="8"/>
      <c r="C47" s="8"/>
      <c r="D47" s="8"/>
      <c r="E47" s="8" t="str">
        <f aca="false">IF(D47="","",D47)</f>
        <v/>
      </c>
    </row>
    <row r="48" customFormat="false" ht="15" hidden="false" customHeight="true" outlineLevel="0" collapsed="false">
      <c r="A48" s="8"/>
      <c r="B48" s="8"/>
      <c r="C48" s="8"/>
      <c r="D48" s="8"/>
      <c r="E48" s="8" t="str">
        <f aca="false">IF(D48="","",D48)</f>
        <v/>
      </c>
    </row>
    <row r="49" customFormat="false" ht="15" hidden="false" customHeight="true" outlineLevel="0" collapsed="false">
      <c r="A49" s="8"/>
      <c r="B49" s="8"/>
      <c r="C49" s="8"/>
      <c r="D49" s="8"/>
      <c r="E49" s="8" t="str">
        <f aca="false">IF(D49="","",D49)</f>
        <v/>
      </c>
    </row>
    <row r="50" customFormat="false" ht="15" hidden="false" customHeight="true" outlineLevel="0" collapsed="false">
      <c r="A50" s="8"/>
      <c r="B50" s="8"/>
      <c r="C50" s="8"/>
      <c r="D50" s="8"/>
      <c r="E50" s="8" t="str">
        <f aca="false">IF(D50="","",D50)</f>
        <v/>
      </c>
    </row>
    <row r="51" customFormat="false" ht="15" hidden="false" customHeight="true" outlineLevel="0" collapsed="false">
      <c r="A51" s="8"/>
      <c r="B51" s="8"/>
      <c r="C51" s="8"/>
      <c r="D51" s="8"/>
      <c r="E51" s="8" t="str">
        <f aca="false">IF(D51="","",D51)</f>
        <v/>
      </c>
    </row>
    <row r="52" customFormat="false" ht="15" hidden="false" customHeight="true" outlineLevel="0" collapsed="false">
      <c r="A52" s="8"/>
      <c r="B52" s="8"/>
      <c r="C52" s="8"/>
      <c r="D52" s="8"/>
      <c r="E52" s="8" t="str">
        <f aca="false">IF(D52="","",D52)</f>
        <v/>
      </c>
    </row>
    <row r="53" customFormat="false" ht="15" hidden="false" customHeight="true" outlineLevel="0" collapsed="false">
      <c r="A53" s="8"/>
      <c r="B53" s="8"/>
      <c r="C53" s="8"/>
      <c r="D53" s="8"/>
      <c r="E53" s="8" t="str">
        <f aca="false">IF(D53="","",D53)</f>
        <v/>
      </c>
    </row>
    <row r="54" customFormat="false" ht="15" hidden="false" customHeight="true" outlineLevel="0" collapsed="false">
      <c r="A54" s="8"/>
      <c r="B54" s="8"/>
      <c r="C54" s="8"/>
      <c r="D54" s="8"/>
      <c r="E54" s="8" t="str">
        <f aca="false">IF(D54="","",D54)</f>
        <v/>
      </c>
    </row>
    <row r="55" customFormat="false" ht="15" hidden="false" customHeight="true" outlineLevel="0" collapsed="false">
      <c r="A55" s="8"/>
      <c r="B55" s="8"/>
      <c r="C55" s="8"/>
      <c r="D55" s="8"/>
      <c r="E55" s="8" t="str">
        <f aca="false">IF(D55="","",D55)</f>
        <v/>
      </c>
    </row>
    <row r="56" customFormat="false" ht="15" hidden="false" customHeight="true" outlineLevel="0" collapsed="false">
      <c r="A56" s="8"/>
      <c r="B56" s="8"/>
      <c r="C56" s="8"/>
      <c r="D56" s="8"/>
      <c r="E56" s="8" t="str">
        <f aca="false">IF(D56="","",D56)</f>
        <v/>
      </c>
    </row>
    <row r="57" customFormat="false" ht="15" hidden="false" customHeight="true" outlineLevel="0" collapsed="false">
      <c r="A57" s="8"/>
      <c r="B57" s="8"/>
      <c r="C57" s="8"/>
      <c r="D57" s="8"/>
      <c r="E57" s="8" t="str">
        <f aca="false">IF(D57="","",D57)</f>
        <v/>
      </c>
    </row>
    <row r="58" customFormat="false" ht="15" hidden="false" customHeight="true" outlineLevel="0" collapsed="false">
      <c r="A58" s="8"/>
      <c r="B58" s="8"/>
      <c r="C58" s="8"/>
      <c r="D58" s="8"/>
      <c r="E58" s="8" t="str">
        <f aca="false">IF(D58="","",D58)</f>
        <v/>
      </c>
    </row>
    <row r="59" customFormat="false" ht="15" hidden="false" customHeight="true" outlineLevel="0" collapsed="false">
      <c r="A59" s="8"/>
      <c r="B59" s="8"/>
      <c r="C59" s="8"/>
      <c r="D59" s="8"/>
      <c r="E59" s="8" t="str">
        <f aca="false">IF(D59="","",D59)</f>
        <v/>
      </c>
    </row>
    <row r="60" customFormat="false" ht="15" hidden="false" customHeight="true" outlineLevel="0" collapsed="false">
      <c r="A60" s="8"/>
      <c r="B60" s="8"/>
      <c r="C60" s="8"/>
      <c r="D60" s="8"/>
      <c r="E60" s="8" t="str">
        <f aca="false">IF(D60="","",D60)</f>
        <v/>
      </c>
    </row>
    <row r="61" customFormat="false" ht="15" hidden="false" customHeight="true" outlineLevel="0" collapsed="false">
      <c r="A61" s="8"/>
      <c r="B61" s="8"/>
      <c r="C61" s="8"/>
      <c r="D61" s="8"/>
      <c r="E61" s="8" t="str">
        <f aca="false">IF(D61="","",D61)</f>
        <v/>
      </c>
    </row>
    <row r="62" customFormat="false" ht="15" hidden="false" customHeight="true" outlineLevel="0" collapsed="false">
      <c r="A62" s="8"/>
      <c r="B62" s="8"/>
      <c r="C62" s="8"/>
      <c r="D62" s="8"/>
      <c r="E62" s="8" t="str">
        <f aca="false">IF(D62="","",D62)</f>
        <v/>
      </c>
    </row>
    <row r="63" customFormat="false" ht="15" hidden="false" customHeight="true" outlineLevel="0" collapsed="false">
      <c r="A63" s="8"/>
      <c r="B63" s="8"/>
      <c r="C63" s="8"/>
      <c r="D63" s="8"/>
      <c r="E63" s="8" t="str">
        <f aca="false">IF(D63="","",D63)</f>
        <v/>
      </c>
    </row>
    <row r="64" customFormat="false" ht="15" hidden="false" customHeight="true" outlineLevel="0" collapsed="false">
      <c r="A64" s="8"/>
      <c r="B64" s="8"/>
      <c r="C64" s="8"/>
      <c r="D64" s="8"/>
      <c r="E64" s="8" t="str">
        <f aca="false">IF(D64="","",D64)</f>
        <v/>
      </c>
    </row>
    <row r="65" customFormat="false" ht="15" hidden="false" customHeight="true" outlineLevel="0" collapsed="false">
      <c r="A65" s="8"/>
      <c r="B65" s="8"/>
      <c r="C65" s="8"/>
      <c r="D65" s="8"/>
      <c r="E65" s="8" t="str">
        <f aca="false">IF(D65="","",D65)</f>
        <v/>
      </c>
    </row>
    <row r="66" customFormat="false" ht="15" hidden="false" customHeight="true" outlineLevel="0" collapsed="false">
      <c r="A66" s="8"/>
      <c r="B66" s="8"/>
      <c r="C66" s="8"/>
      <c r="D66" s="8"/>
      <c r="E66" s="8" t="str">
        <f aca="false">IF(D66="","",D66)</f>
        <v/>
      </c>
    </row>
    <row r="67" customFormat="false" ht="15" hidden="false" customHeight="true" outlineLevel="0" collapsed="false">
      <c r="A67" s="8"/>
      <c r="B67" s="8"/>
      <c r="C67" s="8"/>
      <c r="D67" s="8"/>
      <c r="E67" s="8" t="str">
        <f aca="false">IF(D67="","",D67)</f>
        <v/>
      </c>
    </row>
    <row r="68" customFormat="false" ht="15" hidden="false" customHeight="true" outlineLevel="0" collapsed="false">
      <c r="A68" s="8"/>
      <c r="B68" s="8"/>
      <c r="C68" s="8"/>
      <c r="D68" s="8"/>
      <c r="E68" s="8" t="str">
        <f aca="false">IF(D68="","",D68)</f>
        <v/>
      </c>
    </row>
    <row r="69" customFormat="false" ht="15" hidden="false" customHeight="true" outlineLevel="0" collapsed="false">
      <c r="A69" s="8"/>
      <c r="B69" s="8"/>
      <c r="C69" s="8"/>
      <c r="D69" s="8"/>
      <c r="E69" s="8" t="str">
        <f aca="false">IF(D69="","",D69)</f>
        <v/>
      </c>
    </row>
    <row r="70" customFormat="false" ht="15" hidden="false" customHeight="true" outlineLevel="0" collapsed="false">
      <c r="A70" s="8"/>
      <c r="B70" s="8"/>
      <c r="C70" s="8"/>
      <c r="D70" s="8"/>
      <c r="E70" s="8" t="str">
        <f aca="false">IF(D70="","",D70)</f>
        <v/>
      </c>
    </row>
    <row r="71" customFormat="false" ht="15" hidden="false" customHeight="true" outlineLevel="0" collapsed="false">
      <c r="A71" s="8"/>
      <c r="B71" s="8"/>
      <c r="C71" s="8"/>
      <c r="D71" s="8"/>
      <c r="E71" s="8" t="str">
        <f aca="false">IF(D71="","",D71)</f>
        <v/>
      </c>
    </row>
    <row r="72" customFormat="false" ht="15" hidden="false" customHeight="true" outlineLevel="0" collapsed="false">
      <c r="A72" s="8"/>
      <c r="B72" s="8"/>
      <c r="C72" s="8"/>
      <c r="D72" s="8"/>
      <c r="E72" s="8" t="str">
        <f aca="false">IF(D72="","",D72)</f>
        <v/>
      </c>
    </row>
    <row r="73" customFormat="false" ht="15" hidden="false" customHeight="true" outlineLevel="0" collapsed="false">
      <c r="A73" s="8"/>
      <c r="B73" s="8"/>
      <c r="C73" s="8"/>
      <c r="D73" s="8"/>
      <c r="E73" s="8" t="str">
        <f aca="false">IF(D73="","",D73)</f>
        <v/>
      </c>
    </row>
    <row r="74" customFormat="false" ht="15" hidden="false" customHeight="true" outlineLevel="0" collapsed="false">
      <c r="A74" s="8"/>
      <c r="B74" s="8"/>
      <c r="C74" s="8"/>
      <c r="D74" s="8"/>
      <c r="E74" s="8" t="str">
        <f aca="false">IF(D74="","",D74)</f>
        <v/>
      </c>
    </row>
    <row r="75" customFormat="false" ht="15" hidden="false" customHeight="true" outlineLevel="0" collapsed="false">
      <c r="A75" s="8"/>
      <c r="B75" s="8"/>
      <c r="C75" s="8"/>
      <c r="D75" s="8"/>
      <c r="E75" s="8" t="str">
        <f aca="false">IF(D75="","",D75)</f>
        <v/>
      </c>
    </row>
    <row r="76" customFormat="false" ht="15" hidden="false" customHeight="true" outlineLevel="0" collapsed="false">
      <c r="A76" s="8"/>
      <c r="B76" s="8"/>
      <c r="C76" s="8"/>
      <c r="D76" s="8"/>
      <c r="E76" s="8" t="str">
        <f aca="false">IF(D76="","",D76)</f>
        <v/>
      </c>
    </row>
    <row r="77" customFormat="false" ht="15" hidden="false" customHeight="true" outlineLevel="0" collapsed="false">
      <c r="A77" s="8"/>
      <c r="B77" s="8"/>
      <c r="C77" s="8"/>
      <c r="D77" s="8"/>
      <c r="E77" s="8" t="str">
        <f aca="false">IF(D77="","",D77)</f>
        <v/>
      </c>
    </row>
    <row r="78" customFormat="false" ht="15" hidden="false" customHeight="true" outlineLevel="0" collapsed="false">
      <c r="A78" s="8"/>
      <c r="B78" s="8"/>
      <c r="C78" s="8"/>
      <c r="D78" s="8"/>
      <c r="E78" s="8" t="str">
        <f aca="false">IF(D78="","",D78)</f>
        <v/>
      </c>
    </row>
    <row r="79" customFormat="false" ht="15" hidden="false" customHeight="true" outlineLevel="0" collapsed="false">
      <c r="A79" s="8"/>
      <c r="B79" s="8"/>
      <c r="C79" s="8"/>
      <c r="D79" s="8"/>
      <c r="E79" s="8" t="str">
        <f aca="false">IF(D79="","",D79)</f>
        <v/>
      </c>
    </row>
    <row r="80" customFormat="false" ht="15" hidden="false" customHeight="true" outlineLevel="0" collapsed="false">
      <c r="A80" s="8"/>
      <c r="B80" s="8"/>
      <c r="C80" s="8"/>
      <c r="D80" s="8"/>
      <c r="E80" s="8" t="str">
        <f aca="false">IF(D80="","",D80)</f>
        <v/>
      </c>
    </row>
    <row r="81" customFormat="false" ht="15" hidden="false" customHeight="true" outlineLevel="0" collapsed="false">
      <c r="A81" s="8"/>
      <c r="B81" s="8"/>
      <c r="C81" s="8"/>
      <c r="D81" s="8"/>
      <c r="E81" s="8" t="str">
        <f aca="false">IF(D81="","",D81)</f>
        <v/>
      </c>
    </row>
    <row r="82" customFormat="false" ht="15" hidden="false" customHeight="true" outlineLevel="0" collapsed="false">
      <c r="A82" s="8"/>
      <c r="B82" s="8"/>
      <c r="C82" s="8"/>
      <c r="D82" s="8"/>
      <c r="E82" s="8" t="str">
        <f aca="false">IF(D82="","",D82)</f>
        <v/>
      </c>
    </row>
    <row r="83" customFormat="false" ht="15" hidden="false" customHeight="true" outlineLevel="0" collapsed="false">
      <c r="A83" s="8"/>
      <c r="B83" s="8"/>
      <c r="C83" s="8"/>
      <c r="D83" s="8"/>
      <c r="E83" s="8" t="str">
        <f aca="false">IF(D83="","",D83)</f>
        <v/>
      </c>
    </row>
    <row r="84" customFormat="false" ht="15" hidden="false" customHeight="true" outlineLevel="0" collapsed="false">
      <c r="A84" s="8"/>
      <c r="B84" s="8"/>
      <c r="C84" s="8"/>
      <c r="D84" s="8"/>
      <c r="E84" s="8" t="str">
        <f aca="false">IF(D84="","",D84)</f>
        <v/>
      </c>
    </row>
    <row r="85" customFormat="false" ht="15" hidden="false" customHeight="true" outlineLevel="0" collapsed="false">
      <c r="A85" s="8"/>
      <c r="B85" s="8"/>
      <c r="C85" s="8"/>
      <c r="D85" s="8"/>
      <c r="E85" s="8" t="str">
        <f aca="false">IF(D85="","",D85)</f>
        <v/>
      </c>
    </row>
    <row r="86" customFormat="false" ht="15" hidden="false" customHeight="true" outlineLevel="0" collapsed="false">
      <c r="A86" s="8"/>
      <c r="B86" s="8"/>
      <c r="C86" s="8"/>
      <c r="D86" s="8"/>
      <c r="E86" s="8" t="str">
        <f aca="false">IF(D86="","",D86)</f>
        <v/>
      </c>
    </row>
    <row r="87" customFormat="false" ht="15" hidden="false" customHeight="true" outlineLevel="0" collapsed="false">
      <c r="A87" s="8"/>
      <c r="B87" s="8"/>
      <c r="C87" s="8"/>
      <c r="D87" s="8"/>
      <c r="E87" s="8" t="str">
        <f aca="false">IF(D87="","",D87)</f>
        <v/>
      </c>
    </row>
    <row r="88" customFormat="false" ht="15" hidden="false" customHeight="true" outlineLevel="0" collapsed="false">
      <c r="A88" s="8"/>
      <c r="B88" s="8"/>
      <c r="C88" s="8"/>
      <c r="D88" s="8"/>
      <c r="E88" s="8" t="str">
        <f aca="false">IF(D88="","",D88)</f>
        <v/>
      </c>
    </row>
    <row r="89" customFormat="false" ht="15" hidden="false" customHeight="true" outlineLevel="0" collapsed="false">
      <c r="A89" s="8"/>
      <c r="B89" s="8"/>
      <c r="C89" s="8"/>
      <c r="D89" s="8"/>
      <c r="E89" s="8" t="str">
        <f aca="false">IF(D89="","",D89)</f>
        <v/>
      </c>
    </row>
    <row r="90" customFormat="false" ht="15" hidden="false" customHeight="true" outlineLevel="0" collapsed="false">
      <c r="A90" s="8"/>
      <c r="B90" s="8"/>
      <c r="C90" s="8"/>
      <c r="D90" s="8"/>
      <c r="E90" s="8" t="str">
        <f aca="false">IF(D90="","",D90)</f>
        <v/>
      </c>
    </row>
    <row r="91" customFormat="false" ht="15" hidden="false" customHeight="true" outlineLevel="0" collapsed="false">
      <c r="A91" s="8"/>
      <c r="B91" s="8"/>
      <c r="C91" s="8"/>
      <c r="D91" s="8"/>
      <c r="E91" s="8" t="str">
        <f aca="false">IF(D91="","",D91)</f>
        <v/>
      </c>
    </row>
    <row r="92" customFormat="false" ht="15" hidden="false" customHeight="true" outlineLevel="0" collapsed="false">
      <c r="A92" s="8"/>
      <c r="B92" s="8"/>
      <c r="C92" s="8"/>
      <c r="D92" s="8"/>
      <c r="E92" s="8" t="str">
        <f aca="false">IF(D92="","",D92)</f>
        <v/>
      </c>
    </row>
    <row r="93" customFormat="false" ht="15" hidden="false" customHeight="true" outlineLevel="0" collapsed="false">
      <c r="A93" s="8"/>
      <c r="B93" s="8"/>
      <c r="C93" s="8"/>
      <c r="D93" s="8"/>
      <c r="E93" s="8" t="str">
        <f aca="false">IF(D93="","",D93)</f>
        <v/>
      </c>
    </row>
    <row r="94" customFormat="false" ht="15" hidden="false" customHeight="true" outlineLevel="0" collapsed="false">
      <c r="A94" s="8"/>
      <c r="B94" s="8"/>
      <c r="C94" s="8"/>
      <c r="D94" s="8"/>
      <c r="E94" s="8" t="str">
        <f aca="false">IF(D94="","",D94)</f>
        <v/>
      </c>
    </row>
    <row r="95" customFormat="false" ht="15" hidden="false" customHeight="true" outlineLevel="0" collapsed="false">
      <c r="A95" s="8"/>
      <c r="B95" s="8"/>
      <c r="C95" s="8"/>
      <c r="D95" s="8"/>
      <c r="E95" s="8" t="str">
        <f aca="false">IF(D95="","",D95)</f>
        <v/>
      </c>
    </row>
    <row r="96" customFormat="false" ht="15" hidden="false" customHeight="true" outlineLevel="0" collapsed="false">
      <c r="A96" s="8"/>
      <c r="B96" s="8"/>
      <c r="C96" s="8"/>
      <c r="D96" s="8"/>
      <c r="E96" s="8" t="str">
        <f aca="false">IF(D96="","",D96)</f>
        <v/>
      </c>
    </row>
    <row r="97" customFormat="false" ht="15" hidden="false" customHeight="true" outlineLevel="0" collapsed="false">
      <c r="A97" s="8"/>
      <c r="B97" s="8"/>
      <c r="C97" s="8"/>
      <c r="D97" s="8"/>
      <c r="E97" s="8" t="str">
        <f aca="false">IF(D97="","",D97)</f>
        <v/>
      </c>
    </row>
    <row r="98" customFormat="false" ht="15" hidden="false" customHeight="true" outlineLevel="0" collapsed="false">
      <c r="A98" s="8"/>
      <c r="B98" s="8"/>
      <c r="C98" s="8"/>
      <c r="D98" s="8"/>
      <c r="E98" s="8" t="str">
        <f aca="false">IF(D98="","",D98)</f>
        <v/>
      </c>
    </row>
    <row r="99" customFormat="false" ht="15" hidden="false" customHeight="true" outlineLevel="0" collapsed="false">
      <c r="A99" s="8"/>
      <c r="B99" s="8"/>
      <c r="C99" s="8"/>
      <c r="D99" s="8"/>
      <c r="E99" s="8" t="str">
        <f aca="false">IF(D99="","",D99)</f>
        <v/>
      </c>
    </row>
    <row r="100" customFormat="false" ht="15" hidden="false" customHeight="true" outlineLevel="0" collapsed="false">
      <c r="A100" s="8"/>
      <c r="B100" s="8"/>
      <c r="C100" s="8"/>
      <c r="D100" s="8"/>
      <c r="E100" s="8" t="str">
        <f aca="false">IF(D100="","",D100)</f>
        <v/>
      </c>
    </row>
    <row r="101" customFormat="false" ht="15" hidden="false" customHeight="true" outlineLevel="0" collapsed="false">
      <c r="A101" s="8"/>
      <c r="B101" s="8"/>
      <c r="C101" s="8"/>
      <c r="D101" s="8"/>
      <c r="E101" s="8" t="str">
        <f aca="false">IF(D101="","",D101)</f>
        <v/>
      </c>
    </row>
    <row r="102" customFormat="false" ht="15" hidden="false" customHeight="true" outlineLevel="0" collapsed="false">
      <c r="A102" s="8"/>
      <c r="B102" s="8"/>
      <c r="C102" s="8"/>
      <c r="D102" s="8"/>
      <c r="E102" s="8" t="str">
        <f aca="false">IF(D102="","",D102)</f>
        <v/>
      </c>
    </row>
    <row r="103" customFormat="false" ht="15" hidden="false" customHeight="true" outlineLevel="0" collapsed="false">
      <c r="A103" s="8"/>
      <c r="B103" s="8"/>
      <c r="C103" s="8"/>
      <c r="D103" s="8"/>
      <c r="E103" s="8" t="str">
        <f aca="false">IF(D103="","",D103)</f>
        <v/>
      </c>
    </row>
    <row r="104" customFormat="false" ht="15" hidden="false" customHeight="true" outlineLevel="0" collapsed="false">
      <c r="A104" s="8"/>
      <c r="B104" s="8"/>
      <c r="C104" s="8"/>
      <c r="D104" s="8"/>
      <c r="E104" s="8" t="str">
        <f aca="false">IF(D104="","",D104)</f>
        <v/>
      </c>
    </row>
    <row r="105" customFormat="false" ht="15" hidden="false" customHeight="true" outlineLevel="0" collapsed="false">
      <c r="A105" s="8"/>
      <c r="B105" s="8"/>
      <c r="C105" s="8"/>
      <c r="D105" s="8"/>
      <c r="E105" s="8" t="str">
        <f aca="false">IF(D105="","",D105)</f>
        <v/>
      </c>
    </row>
    <row r="106" customFormat="false" ht="15" hidden="false" customHeight="true" outlineLevel="0" collapsed="false">
      <c r="A106" s="8"/>
      <c r="B106" s="8"/>
      <c r="C106" s="8"/>
      <c r="D106" s="8"/>
      <c r="E106" s="8" t="str">
        <f aca="false">IF(D106="","",D106)</f>
        <v/>
      </c>
    </row>
    <row r="107" customFormat="false" ht="15" hidden="false" customHeight="true" outlineLevel="0" collapsed="false">
      <c r="A107" s="8"/>
      <c r="B107" s="8"/>
      <c r="C107" s="8"/>
      <c r="D107" s="8"/>
      <c r="E107" s="8" t="str">
        <f aca="false">IF(D107="","",D107)</f>
        <v/>
      </c>
    </row>
    <row r="108" customFormat="false" ht="15" hidden="false" customHeight="true" outlineLevel="0" collapsed="false">
      <c r="A108" s="8"/>
      <c r="B108" s="8"/>
      <c r="C108" s="8"/>
      <c r="D108" s="8"/>
      <c r="E108" s="8" t="str">
        <f aca="false">IF(D108="","",D108)</f>
        <v/>
      </c>
    </row>
    <row r="109" customFormat="false" ht="15" hidden="false" customHeight="true" outlineLevel="0" collapsed="false">
      <c r="A109" s="8"/>
      <c r="B109" s="8"/>
      <c r="C109" s="8"/>
      <c r="D109" s="8"/>
      <c r="E109" s="8" t="str">
        <f aca="false">IF(D109="","",D109)</f>
        <v/>
      </c>
    </row>
    <row r="110" customFormat="false" ht="15" hidden="false" customHeight="true" outlineLevel="0" collapsed="false">
      <c r="A110" s="8"/>
      <c r="B110" s="8"/>
      <c r="C110" s="8"/>
      <c r="D110" s="8"/>
      <c r="E110" s="8" t="str">
        <f aca="false">IF(D110="","",D110)</f>
        <v/>
      </c>
    </row>
    <row r="111" customFormat="false" ht="15" hidden="false" customHeight="true" outlineLevel="0" collapsed="false">
      <c r="A111" s="8"/>
      <c r="B111" s="8"/>
      <c r="C111" s="8"/>
      <c r="D111" s="8"/>
      <c r="E111" s="8" t="str">
        <f aca="false">IF(D111="","",D111)</f>
        <v/>
      </c>
    </row>
    <row r="112" customFormat="false" ht="15" hidden="false" customHeight="true" outlineLevel="0" collapsed="false">
      <c r="A112" s="8"/>
      <c r="B112" s="8"/>
      <c r="C112" s="8"/>
      <c r="D112" s="8"/>
      <c r="E112" s="8" t="str">
        <f aca="false">IF(D112="","",D112)</f>
        <v/>
      </c>
    </row>
    <row r="113" customFormat="false" ht="15" hidden="false" customHeight="true" outlineLevel="0" collapsed="false">
      <c r="A113" s="8"/>
      <c r="B113" s="8"/>
      <c r="C113" s="8"/>
      <c r="D113" s="8"/>
      <c r="E113" s="8" t="str">
        <f aca="false">IF(D113="","",D113)</f>
        <v/>
      </c>
    </row>
    <row r="114" customFormat="false" ht="15" hidden="false" customHeight="true" outlineLevel="0" collapsed="false">
      <c r="A114" s="8"/>
      <c r="B114" s="8"/>
      <c r="C114" s="8"/>
      <c r="D114" s="8"/>
      <c r="E114" s="8" t="str">
        <f aca="false">IF(D114="","",D114)</f>
        <v/>
      </c>
    </row>
    <row r="115" customFormat="false" ht="15" hidden="false" customHeight="true" outlineLevel="0" collapsed="false">
      <c r="A115" s="8"/>
      <c r="B115" s="8"/>
      <c r="C115" s="8"/>
      <c r="D115" s="8"/>
      <c r="E115" s="8" t="str">
        <f aca="false">IF(D115="","",D115)</f>
        <v/>
      </c>
    </row>
    <row r="116" customFormat="false" ht="15" hidden="false" customHeight="true" outlineLevel="0" collapsed="false">
      <c r="A116" s="8"/>
      <c r="B116" s="8"/>
      <c r="C116" s="8"/>
      <c r="D116" s="8"/>
      <c r="E116" s="8" t="str">
        <f aca="false">IF(D116="","",D116)</f>
        <v/>
      </c>
    </row>
    <row r="117" customFormat="false" ht="15" hidden="false" customHeight="true" outlineLevel="0" collapsed="false">
      <c r="A117" s="8"/>
      <c r="B117" s="8"/>
      <c r="C117" s="8"/>
      <c r="D117" s="8"/>
      <c r="E117" s="8" t="str">
        <f aca="false">IF(D117="","",D117)</f>
        <v/>
      </c>
    </row>
    <row r="118" customFormat="false" ht="15" hidden="false" customHeight="true" outlineLevel="0" collapsed="false">
      <c r="A118" s="8"/>
      <c r="B118" s="8"/>
      <c r="C118" s="8"/>
      <c r="D118" s="8"/>
      <c r="E118" s="8" t="str">
        <f aca="false">IF(D118="","",D118)</f>
        <v/>
      </c>
    </row>
    <row r="119" customFormat="false" ht="15" hidden="false" customHeight="true" outlineLevel="0" collapsed="false">
      <c r="A119" s="8"/>
      <c r="B119" s="8"/>
      <c r="C119" s="8"/>
      <c r="D119" s="8"/>
      <c r="E119" s="8" t="str">
        <f aca="false">IF(D119="","",D119)</f>
        <v/>
      </c>
    </row>
    <row r="120" customFormat="false" ht="15" hidden="false" customHeight="true" outlineLevel="0" collapsed="false">
      <c r="A120" s="8"/>
      <c r="B120" s="8"/>
      <c r="C120" s="8"/>
      <c r="D120" s="8"/>
      <c r="E120" s="8" t="str">
        <f aca="false">IF(D120="","",D120)</f>
        <v/>
      </c>
    </row>
    <row r="121" customFormat="false" ht="15" hidden="false" customHeight="true" outlineLevel="0" collapsed="false">
      <c r="A121" s="8"/>
      <c r="B121" s="8"/>
      <c r="C121" s="8"/>
      <c r="D121" s="8"/>
      <c r="E121" s="8" t="str">
        <f aca="false">IF(D121="","",D121)</f>
        <v/>
      </c>
    </row>
    <row r="122" customFormat="false" ht="15" hidden="false" customHeight="true" outlineLevel="0" collapsed="false">
      <c r="A122" s="8"/>
      <c r="B122" s="8"/>
      <c r="C122" s="8"/>
      <c r="D122" s="8"/>
      <c r="E122" s="8" t="str">
        <f aca="false">IF(D122="","",D122)</f>
        <v/>
      </c>
    </row>
    <row r="123" customFormat="false" ht="15" hidden="false" customHeight="true" outlineLevel="0" collapsed="false">
      <c r="A123" s="8"/>
      <c r="B123" s="8"/>
      <c r="C123" s="8"/>
      <c r="D123" s="8"/>
      <c r="E123" s="8" t="str">
        <f aca="false">IF(D123="","",D123)</f>
        <v/>
      </c>
    </row>
    <row r="124" customFormat="false" ht="15" hidden="false" customHeight="true" outlineLevel="0" collapsed="false">
      <c r="A124" s="8"/>
      <c r="B124" s="8"/>
      <c r="C124" s="8"/>
      <c r="D124" s="8"/>
      <c r="E124" s="8" t="str">
        <f aca="false">IF(D124="","",D124)</f>
        <v/>
      </c>
    </row>
    <row r="125" customFormat="false" ht="15" hidden="false" customHeight="true" outlineLevel="0" collapsed="false">
      <c r="A125" s="8"/>
      <c r="B125" s="8"/>
      <c r="C125" s="8"/>
      <c r="D125" s="8"/>
      <c r="E125" s="8" t="str">
        <f aca="false">IF(D125="","",D125)</f>
        <v/>
      </c>
    </row>
    <row r="126" customFormat="false" ht="15" hidden="false" customHeight="true" outlineLevel="0" collapsed="false">
      <c r="A126" s="8"/>
      <c r="B126" s="8"/>
      <c r="C126" s="8"/>
      <c r="D126" s="8"/>
      <c r="E126" s="8" t="str">
        <f aca="false">IF(D126="","",D126)</f>
        <v/>
      </c>
    </row>
    <row r="127" customFormat="false" ht="15" hidden="false" customHeight="true" outlineLevel="0" collapsed="false">
      <c r="A127" s="8"/>
      <c r="B127" s="8"/>
      <c r="C127" s="8"/>
      <c r="D127" s="8"/>
      <c r="E127" s="8" t="str">
        <f aca="false">IF(D127="","",D127)</f>
        <v/>
      </c>
    </row>
    <row r="128" customFormat="false" ht="15" hidden="false" customHeight="true" outlineLevel="0" collapsed="false">
      <c r="A128" s="8"/>
      <c r="B128" s="8"/>
      <c r="C128" s="8"/>
      <c r="D128" s="8"/>
      <c r="E128" s="8" t="str">
        <f aca="false">IF(D128="","",D128)</f>
        <v/>
      </c>
    </row>
    <row r="129" customFormat="false" ht="15" hidden="false" customHeight="true" outlineLevel="0" collapsed="false">
      <c r="A129" s="8"/>
      <c r="B129" s="8"/>
      <c r="C129" s="8"/>
      <c r="D129" s="8"/>
      <c r="E129" s="8" t="str">
        <f aca="false">IF(D129="","",D129)</f>
        <v/>
      </c>
    </row>
    <row r="130" customFormat="false" ht="15" hidden="false" customHeight="true" outlineLevel="0" collapsed="false">
      <c r="A130" s="8"/>
      <c r="B130" s="8"/>
      <c r="C130" s="8"/>
      <c r="D130" s="8"/>
      <c r="E130" s="8" t="str">
        <f aca="false">IF(D130="","",D130)</f>
        <v/>
      </c>
    </row>
    <row r="131" customFormat="false" ht="15" hidden="false" customHeight="true" outlineLevel="0" collapsed="false">
      <c r="A131" s="8"/>
      <c r="B131" s="8"/>
      <c r="C131" s="8"/>
      <c r="D131" s="8"/>
      <c r="E131" s="8" t="str">
        <f aca="false">IF(D131="","",D131)</f>
        <v/>
      </c>
    </row>
    <row r="132" customFormat="false" ht="15" hidden="false" customHeight="true" outlineLevel="0" collapsed="false">
      <c r="A132" s="8"/>
      <c r="B132" s="8"/>
      <c r="C132" s="8"/>
      <c r="D132" s="8"/>
      <c r="E132" s="8" t="str">
        <f aca="false">IF(D132="","",D132)</f>
        <v/>
      </c>
    </row>
    <row r="133" customFormat="false" ht="15" hidden="false" customHeight="true" outlineLevel="0" collapsed="false">
      <c r="A133" s="8"/>
      <c r="B133" s="8"/>
      <c r="C133" s="8"/>
      <c r="D133" s="8"/>
      <c r="E133" s="8" t="str">
        <f aca="false">IF(D133="","",D133)</f>
        <v/>
      </c>
    </row>
    <row r="134" customFormat="false" ht="15" hidden="false" customHeight="true" outlineLevel="0" collapsed="false">
      <c r="A134" s="8"/>
      <c r="B134" s="8"/>
      <c r="C134" s="8"/>
      <c r="D134" s="8"/>
      <c r="E134" s="8" t="str">
        <f aca="false">IF(D134="","",D134)</f>
        <v/>
      </c>
    </row>
    <row r="135" customFormat="false" ht="15" hidden="false" customHeight="true" outlineLevel="0" collapsed="false">
      <c r="A135" s="8"/>
      <c r="B135" s="8"/>
      <c r="C135" s="8"/>
      <c r="D135" s="8"/>
      <c r="E135" s="8" t="str">
        <f aca="false">IF(D135="","",D135)</f>
        <v/>
      </c>
    </row>
    <row r="136" customFormat="false" ht="15" hidden="false" customHeight="true" outlineLevel="0" collapsed="false">
      <c r="A136" s="8"/>
      <c r="B136" s="8"/>
      <c r="C136" s="8"/>
      <c r="D136" s="8"/>
      <c r="E136" s="8" t="str">
        <f aca="false">IF(D136="","",D136)</f>
        <v/>
      </c>
    </row>
    <row r="137" customFormat="false" ht="15" hidden="false" customHeight="true" outlineLevel="0" collapsed="false">
      <c r="A137" s="8"/>
      <c r="B137" s="8"/>
      <c r="C137" s="8"/>
      <c r="D137" s="8"/>
      <c r="E137" s="8" t="str">
        <f aca="false">IF(D137="","",D137)</f>
        <v/>
      </c>
    </row>
    <row r="138" customFormat="false" ht="15" hidden="false" customHeight="true" outlineLevel="0" collapsed="false">
      <c r="A138" s="8"/>
      <c r="B138" s="8"/>
      <c r="C138" s="8"/>
      <c r="D138" s="8"/>
      <c r="E138" s="8" t="str">
        <f aca="false">IF(D138="","",D138)</f>
        <v/>
      </c>
    </row>
    <row r="139" customFormat="false" ht="15" hidden="false" customHeight="true" outlineLevel="0" collapsed="false">
      <c r="A139" s="8"/>
      <c r="B139" s="8"/>
      <c r="C139" s="8"/>
      <c r="D139" s="8"/>
      <c r="E139" s="8" t="str">
        <f aca="false">IF(D139="","",D139)</f>
        <v/>
      </c>
    </row>
    <row r="140" customFormat="false" ht="15" hidden="false" customHeight="true" outlineLevel="0" collapsed="false">
      <c r="A140" s="8"/>
      <c r="B140" s="8"/>
      <c r="C140" s="8"/>
      <c r="D140" s="8"/>
      <c r="E140" s="8" t="str">
        <f aca="false">IF(D140="","",D140)</f>
        <v/>
      </c>
    </row>
    <row r="141" customFormat="false" ht="15" hidden="false" customHeight="true" outlineLevel="0" collapsed="false">
      <c r="A141" s="8"/>
      <c r="B141" s="8"/>
      <c r="C141" s="8"/>
      <c r="D141" s="8"/>
      <c r="E141" s="8" t="str">
        <f aca="false">IF(D141="","",D141)</f>
        <v/>
      </c>
    </row>
    <row r="142" customFormat="false" ht="15" hidden="false" customHeight="true" outlineLevel="0" collapsed="false">
      <c r="A142" s="8"/>
      <c r="B142" s="8"/>
      <c r="C142" s="8"/>
      <c r="D142" s="8"/>
      <c r="E142" s="8" t="str">
        <f aca="false">IF(D142="","",D142)</f>
        <v/>
      </c>
    </row>
    <row r="143" customFormat="false" ht="15" hidden="false" customHeight="true" outlineLevel="0" collapsed="false">
      <c r="A143" s="8"/>
      <c r="B143" s="8"/>
      <c r="C143" s="8"/>
      <c r="D143" s="8"/>
      <c r="E143" s="8" t="str">
        <f aca="false">IF(D143="","",D143)</f>
        <v/>
      </c>
    </row>
    <row r="144" customFormat="false" ht="15" hidden="false" customHeight="true" outlineLevel="0" collapsed="false">
      <c r="A144" s="8"/>
      <c r="B144" s="8"/>
      <c r="C144" s="8"/>
      <c r="D144" s="8"/>
      <c r="E144" s="8" t="str">
        <f aca="false">IF(D144="","",D144)</f>
        <v/>
      </c>
    </row>
    <row r="145" customFormat="false" ht="15" hidden="false" customHeight="true" outlineLevel="0" collapsed="false">
      <c r="A145" s="8"/>
      <c r="B145" s="8"/>
      <c r="C145" s="8"/>
      <c r="D145" s="8"/>
      <c r="E145" s="8" t="str">
        <f aca="false">IF(D145="","",D145)</f>
        <v/>
      </c>
    </row>
    <row r="146" customFormat="false" ht="15" hidden="false" customHeight="true" outlineLevel="0" collapsed="false">
      <c r="A146" s="8"/>
      <c r="B146" s="8"/>
      <c r="C146" s="8"/>
      <c r="D146" s="8"/>
      <c r="E146" s="8" t="str">
        <f aca="false">IF(D146="","",D146)</f>
        <v/>
      </c>
    </row>
    <row r="147" customFormat="false" ht="15" hidden="false" customHeight="true" outlineLevel="0" collapsed="false">
      <c r="A147" s="8"/>
      <c r="B147" s="8"/>
      <c r="C147" s="8"/>
      <c r="D147" s="8"/>
      <c r="E147" s="8" t="str">
        <f aca="false">IF(D147="","",D147)</f>
        <v/>
      </c>
    </row>
    <row r="148" customFormat="false" ht="15" hidden="false" customHeight="true" outlineLevel="0" collapsed="false">
      <c r="A148" s="8"/>
      <c r="B148" s="8"/>
      <c r="C148" s="8"/>
      <c r="D148" s="8"/>
      <c r="E148" s="8" t="str">
        <f aca="false">IF(D148="","",D148)</f>
        <v/>
      </c>
    </row>
    <row r="149" customFormat="false" ht="15" hidden="false" customHeight="true" outlineLevel="0" collapsed="false">
      <c r="A149" s="8"/>
      <c r="B149" s="8"/>
      <c r="C149" s="8"/>
      <c r="D149" s="8"/>
      <c r="E149" s="8" t="str">
        <f aca="false">IF(D149="","",D149)</f>
        <v/>
      </c>
    </row>
    <row r="150" customFormat="false" ht="15" hidden="false" customHeight="true" outlineLevel="0" collapsed="false">
      <c r="A150" s="8"/>
      <c r="B150" s="8"/>
      <c r="C150" s="8"/>
      <c r="D150" s="8"/>
      <c r="E150" s="8" t="str">
        <f aca="false">IF(D150="","",D150)</f>
        <v/>
      </c>
    </row>
    <row r="151" customFormat="false" ht="15" hidden="false" customHeight="true" outlineLevel="0" collapsed="false">
      <c r="A151" s="8"/>
      <c r="B151" s="8"/>
      <c r="C151" s="8"/>
      <c r="D151" s="8"/>
      <c r="E151" s="8" t="str">
        <f aca="false">IF(D151="","",D151)</f>
        <v/>
      </c>
    </row>
    <row r="152" customFormat="false" ht="15" hidden="false" customHeight="true" outlineLevel="0" collapsed="false">
      <c r="A152" s="8"/>
      <c r="B152" s="8"/>
      <c r="C152" s="8"/>
      <c r="D152" s="8"/>
      <c r="E152" s="8" t="str">
        <f aca="false">IF(D152="","",D152)</f>
        <v/>
      </c>
    </row>
    <row r="153" customFormat="false" ht="15" hidden="false" customHeight="true" outlineLevel="0" collapsed="false">
      <c r="A153" s="8"/>
      <c r="B153" s="8"/>
      <c r="C153" s="8"/>
      <c r="D153" s="8"/>
      <c r="E153" s="8" t="str">
        <f aca="false">IF(D153="","",D153)</f>
        <v/>
      </c>
    </row>
    <row r="154" customFormat="false" ht="15" hidden="false" customHeight="true" outlineLevel="0" collapsed="false">
      <c r="A154" s="8"/>
      <c r="B154" s="8"/>
      <c r="C154" s="8"/>
      <c r="D154" s="8"/>
      <c r="E154" s="8" t="str">
        <f aca="false">IF(D154="","",D154)</f>
        <v/>
      </c>
    </row>
    <row r="155" customFormat="false" ht="15" hidden="false" customHeight="true" outlineLevel="0" collapsed="false">
      <c r="A155" s="8"/>
      <c r="B155" s="8"/>
      <c r="C155" s="8"/>
      <c r="D155" s="8"/>
      <c r="E155" s="8" t="str">
        <f aca="false">IF(D155="","",D155)</f>
        <v/>
      </c>
    </row>
    <row r="156" customFormat="false" ht="15" hidden="false" customHeight="true" outlineLevel="0" collapsed="false">
      <c r="A156" s="8"/>
      <c r="B156" s="8"/>
      <c r="C156" s="8"/>
      <c r="D156" s="8"/>
      <c r="E156" s="8" t="str">
        <f aca="false">IF(D156="","",D156)</f>
        <v/>
      </c>
    </row>
    <row r="157" customFormat="false" ht="15" hidden="false" customHeight="true" outlineLevel="0" collapsed="false">
      <c r="A157" s="8"/>
      <c r="B157" s="8"/>
      <c r="C157" s="8"/>
      <c r="D157" s="8"/>
      <c r="E157" s="8" t="str">
        <f aca="false">IF(D157="","",D157)</f>
        <v/>
      </c>
    </row>
    <row r="158" customFormat="false" ht="15" hidden="false" customHeight="true" outlineLevel="0" collapsed="false">
      <c r="A158" s="8"/>
      <c r="B158" s="8"/>
      <c r="C158" s="8"/>
      <c r="D158" s="8"/>
      <c r="E158" s="8" t="str">
        <f aca="false">IF(D158="","",D158)</f>
        <v/>
      </c>
    </row>
    <row r="159" customFormat="false" ht="15" hidden="false" customHeight="true" outlineLevel="0" collapsed="false">
      <c r="A159" s="8"/>
      <c r="B159" s="8"/>
      <c r="C159" s="8"/>
      <c r="D159" s="8"/>
      <c r="E159" s="8" t="str">
        <f aca="false">IF(D159="","",D159)</f>
        <v/>
      </c>
    </row>
    <row r="160" customFormat="false" ht="15" hidden="false" customHeight="true" outlineLevel="0" collapsed="false">
      <c r="A160" s="8"/>
      <c r="B160" s="8"/>
      <c r="C160" s="8"/>
      <c r="D160" s="8"/>
      <c r="E160" s="8" t="str">
        <f aca="false">IF(D160="","",D160)</f>
        <v/>
      </c>
    </row>
    <row r="161" customFormat="false" ht="15" hidden="false" customHeight="true" outlineLevel="0" collapsed="false">
      <c r="A161" s="8"/>
      <c r="B161" s="8"/>
      <c r="C161" s="8"/>
      <c r="D161" s="8"/>
      <c r="E161" s="8" t="str">
        <f aca="false">IF(D161="","",D161)</f>
        <v/>
      </c>
    </row>
    <row r="162" customFormat="false" ht="15" hidden="false" customHeight="true" outlineLevel="0" collapsed="false">
      <c r="A162" s="8"/>
      <c r="B162" s="8"/>
      <c r="C162" s="8"/>
      <c r="D162" s="8"/>
      <c r="E162" s="8" t="str">
        <f aca="false">IF(D162="","",D162)</f>
        <v/>
      </c>
    </row>
    <row r="163" customFormat="false" ht="15" hidden="false" customHeight="true" outlineLevel="0" collapsed="false">
      <c r="A163" s="8"/>
      <c r="B163" s="8"/>
      <c r="C163" s="8"/>
      <c r="D163" s="8"/>
      <c r="E163" s="8" t="str">
        <f aca="false">IF(D163="","",D163)</f>
        <v/>
      </c>
    </row>
    <row r="164" customFormat="false" ht="15" hidden="false" customHeight="true" outlineLevel="0" collapsed="false">
      <c r="A164" s="8"/>
      <c r="B164" s="8"/>
      <c r="C164" s="8"/>
      <c r="D164" s="8"/>
      <c r="E164" s="8" t="str">
        <f aca="false">IF(D164="","",D164)</f>
        <v/>
      </c>
    </row>
    <row r="165" customFormat="false" ht="15" hidden="false" customHeight="true" outlineLevel="0" collapsed="false">
      <c r="A165" s="8"/>
      <c r="B165" s="8"/>
      <c r="C165" s="8"/>
      <c r="D165" s="8"/>
      <c r="E165" s="8" t="str">
        <f aca="false">IF(D165="","",D165)</f>
        <v/>
      </c>
    </row>
    <row r="166" customFormat="false" ht="15" hidden="false" customHeight="true" outlineLevel="0" collapsed="false">
      <c r="A166" s="8"/>
      <c r="B166" s="8"/>
      <c r="C166" s="8"/>
      <c r="D166" s="8"/>
      <c r="E166" s="8" t="str">
        <f aca="false">IF(D166="","",D166)</f>
        <v/>
      </c>
    </row>
    <row r="167" customFormat="false" ht="15" hidden="false" customHeight="true" outlineLevel="0" collapsed="false">
      <c r="A167" s="8"/>
      <c r="B167" s="8"/>
      <c r="C167" s="8"/>
      <c r="D167" s="8"/>
      <c r="E167" s="8" t="str">
        <f aca="false">IF(D167="","",D167)</f>
        <v/>
      </c>
    </row>
    <row r="168" customFormat="false" ht="15" hidden="false" customHeight="true" outlineLevel="0" collapsed="false">
      <c r="A168" s="8"/>
      <c r="B168" s="8"/>
      <c r="C168" s="8"/>
      <c r="D168" s="8"/>
      <c r="E168" s="8" t="str">
        <f aca="false">IF(D168="","",D168)</f>
        <v/>
      </c>
    </row>
    <row r="169" customFormat="false" ht="15" hidden="false" customHeight="true" outlineLevel="0" collapsed="false">
      <c r="A169" s="8"/>
      <c r="B169" s="8"/>
      <c r="C169" s="8"/>
      <c r="D169" s="8"/>
      <c r="E169" s="8" t="str">
        <f aca="false">IF(D169="","",D169)</f>
        <v/>
      </c>
    </row>
    <row r="170" customFormat="false" ht="15" hidden="false" customHeight="true" outlineLevel="0" collapsed="false">
      <c r="A170" s="8"/>
      <c r="B170" s="8"/>
      <c r="C170" s="8"/>
      <c r="D170" s="8"/>
      <c r="E170" s="8" t="str">
        <f aca="false">IF(D170="","",D170)</f>
        <v/>
      </c>
    </row>
    <row r="171" customFormat="false" ht="15" hidden="false" customHeight="true" outlineLevel="0" collapsed="false">
      <c r="A171" s="8"/>
      <c r="B171" s="8"/>
      <c r="C171" s="8"/>
      <c r="D171" s="8"/>
      <c r="E171" s="8" t="str">
        <f aca="false">IF(D171="","",D171)</f>
        <v/>
      </c>
    </row>
    <row r="172" customFormat="false" ht="15" hidden="false" customHeight="true" outlineLevel="0" collapsed="false">
      <c r="A172" s="8"/>
      <c r="B172" s="8"/>
      <c r="C172" s="8"/>
      <c r="D172" s="8"/>
      <c r="E172" s="8" t="str">
        <f aca="false">IF(D172="","",D172)</f>
        <v/>
      </c>
    </row>
    <row r="173" customFormat="false" ht="15" hidden="false" customHeight="true" outlineLevel="0" collapsed="false">
      <c r="A173" s="8"/>
      <c r="B173" s="8"/>
      <c r="C173" s="8"/>
      <c r="D173" s="8"/>
      <c r="E173" s="8" t="str">
        <f aca="false">IF(D173="","",D173)</f>
        <v/>
      </c>
    </row>
    <row r="174" customFormat="false" ht="15" hidden="false" customHeight="true" outlineLevel="0" collapsed="false">
      <c r="A174" s="8"/>
      <c r="B174" s="8"/>
      <c r="C174" s="8"/>
      <c r="D174" s="8"/>
      <c r="E174" s="8" t="str">
        <f aca="false">IF(D174="","",D174)</f>
        <v/>
      </c>
    </row>
    <row r="175" customFormat="false" ht="15" hidden="false" customHeight="true" outlineLevel="0" collapsed="false">
      <c r="A175" s="8"/>
      <c r="B175" s="8"/>
      <c r="C175" s="8"/>
      <c r="D175" s="8"/>
      <c r="E175" s="8" t="str">
        <f aca="false">IF(D175="","",D175)</f>
        <v/>
      </c>
    </row>
    <row r="176" customFormat="false" ht="15" hidden="false" customHeight="true" outlineLevel="0" collapsed="false">
      <c r="A176" s="8"/>
      <c r="B176" s="8"/>
      <c r="C176" s="8"/>
      <c r="D176" s="8"/>
      <c r="E176" s="8" t="str">
        <f aca="false">IF(D176="","",D176)</f>
        <v/>
      </c>
    </row>
    <row r="177" customFormat="false" ht="15" hidden="false" customHeight="true" outlineLevel="0" collapsed="false">
      <c r="A177" s="8"/>
      <c r="B177" s="8"/>
      <c r="C177" s="8"/>
      <c r="D177" s="8"/>
      <c r="E177" s="8" t="str">
        <f aca="false">IF(D177="","",D177)</f>
        <v/>
      </c>
    </row>
    <row r="178" customFormat="false" ht="15" hidden="false" customHeight="true" outlineLevel="0" collapsed="false">
      <c r="A178" s="8"/>
      <c r="B178" s="8"/>
      <c r="C178" s="8"/>
      <c r="D178" s="8"/>
      <c r="E178" s="8" t="str">
        <f aca="false">IF(D178="","",D178)</f>
        <v/>
      </c>
    </row>
    <row r="179" customFormat="false" ht="15" hidden="false" customHeight="true" outlineLevel="0" collapsed="false">
      <c r="A179" s="8"/>
      <c r="B179" s="8"/>
      <c r="C179" s="8"/>
      <c r="D179" s="8"/>
      <c r="E179" s="8" t="str">
        <f aca="false">IF(D179="","",D179)</f>
        <v/>
      </c>
    </row>
    <row r="180" customFormat="false" ht="15" hidden="false" customHeight="true" outlineLevel="0" collapsed="false">
      <c r="A180" s="8"/>
      <c r="B180" s="8"/>
      <c r="C180" s="8"/>
      <c r="D180" s="8"/>
      <c r="E180" s="8" t="str">
        <f aca="false">IF(D180="","",D180)</f>
        <v/>
      </c>
    </row>
    <row r="181" customFormat="false" ht="15" hidden="false" customHeight="true" outlineLevel="0" collapsed="false">
      <c r="A181" s="8"/>
      <c r="B181" s="8"/>
      <c r="C181" s="8"/>
      <c r="D181" s="8"/>
      <c r="E181" s="8" t="str">
        <f aca="false">IF(D181="","",D181)</f>
        <v/>
      </c>
    </row>
    <row r="182" customFormat="false" ht="15" hidden="false" customHeight="true" outlineLevel="0" collapsed="false">
      <c r="A182" s="8"/>
      <c r="B182" s="8"/>
      <c r="C182" s="8"/>
      <c r="D182" s="8"/>
      <c r="E182" s="8" t="str">
        <f aca="false">IF(D182="","",D182)</f>
        <v/>
      </c>
    </row>
    <row r="183" customFormat="false" ht="15" hidden="false" customHeight="true" outlineLevel="0" collapsed="false">
      <c r="A183" s="8"/>
      <c r="B183" s="8"/>
      <c r="C183" s="8"/>
      <c r="D183" s="8"/>
      <c r="E183" s="8" t="str">
        <f aca="false">IF(D183="","",D183)</f>
        <v/>
      </c>
    </row>
    <row r="184" customFormat="false" ht="15" hidden="false" customHeight="true" outlineLevel="0" collapsed="false">
      <c r="A184" s="8"/>
      <c r="B184" s="8"/>
      <c r="C184" s="8"/>
      <c r="D184" s="8"/>
      <c r="E184" s="8" t="str">
        <f aca="false">IF(D184="","",D184)</f>
        <v/>
      </c>
    </row>
    <row r="185" customFormat="false" ht="15" hidden="false" customHeight="true" outlineLevel="0" collapsed="false">
      <c r="A185" s="8"/>
      <c r="B185" s="8"/>
      <c r="C185" s="8"/>
      <c r="D185" s="8"/>
      <c r="E185" s="8" t="str">
        <f aca="false">IF(D185="","",D185)</f>
        <v/>
      </c>
    </row>
    <row r="186" customFormat="false" ht="15" hidden="false" customHeight="true" outlineLevel="0" collapsed="false">
      <c r="A186" s="8"/>
      <c r="B186" s="8"/>
      <c r="C186" s="8"/>
      <c r="D186" s="8"/>
      <c r="E186" s="8" t="str">
        <f aca="false">IF(D186="","",D186)</f>
        <v/>
      </c>
    </row>
    <row r="187" customFormat="false" ht="15" hidden="false" customHeight="true" outlineLevel="0" collapsed="false">
      <c r="A187" s="8"/>
      <c r="B187" s="8"/>
      <c r="C187" s="8"/>
      <c r="D187" s="8"/>
      <c r="E187" s="8" t="str">
        <f aca="false">IF(D187="","",D187)</f>
        <v/>
      </c>
    </row>
    <row r="188" customFormat="false" ht="15" hidden="false" customHeight="true" outlineLevel="0" collapsed="false">
      <c r="A188" s="8"/>
      <c r="B188" s="8"/>
      <c r="C188" s="8"/>
      <c r="D188" s="8"/>
      <c r="E188" s="8" t="str">
        <f aca="false">IF(D188="","",D188)</f>
        <v/>
      </c>
    </row>
    <row r="189" customFormat="false" ht="15" hidden="false" customHeight="true" outlineLevel="0" collapsed="false">
      <c r="A189" s="8"/>
      <c r="B189" s="8"/>
      <c r="C189" s="8"/>
      <c r="D189" s="8"/>
      <c r="E189" s="8" t="str">
        <f aca="false">IF(D189="","",D189)</f>
        <v/>
      </c>
    </row>
    <row r="190" customFormat="false" ht="15" hidden="false" customHeight="true" outlineLevel="0" collapsed="false">
      <c r="A190" s="8"/>
      <c r="B190" s="8"/>
      <c r="C190" s="8"/>
      <c r="D190" s="8"/>
      <c r="E190" s="8" t="str">
        <f aca="false">IF(D190="","",D190)</f>
        <v/>
      </c>
    </row>
    <row r="191" customFormat="false" ht="15" hidden="false" customHeight="true" outlineLevel="0" collapsed="false">
      <c r="A191" s="8"/>
      <c r="B191" s="8"/>
      <c r="C191" s="8"/>
      <c r="D191" s="8"/>
      <c r="E191" s="8" t="str">
        <f aca="false">IF(D191="","",D191)</f>
        <v/>
      </c>
    </row>
    <row r="192" customFormat="false" ht="15" hidden="false" customHeight="true" outlineLevel="0" collapsed="false">
      <c r="A192" s="8"/>
      <c r="B192" s="8"/>
      <c r="C192" s="8"/>
      <c r="D192" s="8"/>
      <c r="E192" s="8" t="str">
        <f aca="false">IF(D192="","",D192)</f>
        <v/>
      </c>
    </row>
    <row r="193" customFormat="false" ht="15" hidden="false" customHeight="true" outlineLevel="0" collapsed="false">
      <c r="A193" s="8"/>
      <c r="B193" s="8"/>
      <c r="C193" s="8"/>
      <c r="D193" s="8"/>
      <c r="E193" s="8" t="str">
        <f aca="false">IF(D193="","",D193)</f>
        <v/>
      </c>
    </row>
    <row r="194" customFormat="false" ht="15" hidden="false" customHeight="true" outlineLevel="0" collapsed="false">
      <c r="A194" s="8"/>
      <c r="B194" s="8"/>
      <c r="C194" s="8"/>
      <c r="D194" s="8"/>
      <c r="E194" s="8" t="str">
        <f aca="false">IF(D194="","",D194)</f>
        <v/>
      </c>
    </row>
    <row r="195" customFormat="false" ht="15" hidden="false" customHeight="true" outlineLevel="0" collapsed="false">
      <c r="A195" s="8"/>
      <c r="B195" s="8"/>
      <c r="C195" s="8"/>
      <c r="D195" s="8"/>
      <c r="E195" s="8" t="str">
        <f aca="false">IF(D195="","",D195)</f>
        <v/>
      </c>
    </row>
    <row r="196" customFormat="false" ht="15" hidden="false" customHeight="true" outlineLevel="0" collapsed="false">
      <c r="A196" s="8"/>
      <c r="B196" s="8"/>
      <c r="C196" s="8"/>
      <c r="D196" s="8"/>
      <c r="E196" s="8" t="str">
        <f aca="false">IF(D196="","",D196)</f>
        <v/>
      </c>
    </row>
    <row r="197" customFormat="false" ht="15" hidden="false" customHeight="true" outlineLevel="0" collapsed="false">
      <c r="A197" s="8"/>
      <c r="B197" s="8"/>
      <c r="C197" s="8"/>
      <c r="D197" s="8"/>
      <c r="E197" s="8" t="str">
        <f aca="false">IF(D197="","",D197)</f>
        <v/>
      </c>
    </row>
    <row r="198" customFormat="false" ht="15" hidden="false" customHeight="true" outlineLevel="0" collapsed="false">
      <c r="A198" s="8"/>
      <c r="B198" s="8"/>
      <c r="C198" s="8"/>
      <c r="D198" s="8"/>
      <c r="E198" s="8" t="str">
        <f aca="false">IF(D198="","",D198)</f>
        <v/>
      </c>
    </row>
    <row r="199" customFormat="false" ht="15" hidden="false" customHeight="true" outlineLevel="0" collapsed="false">
      <c r="A199" s="8"/>
      <c r="B199" s="8"/>
      <c r="C199" s="8"/>
      <c r="D199" s="8"/>
      <c r="E199" s="8" t="str">
        <f aca="false">IF(D199="","",D199)</f>
        <v/>
      </c>
    </row>
    <row r="200" customFormat="false" ht="15" hidden="false" customHeight="true" outlineLevel="0" collapsed="false">
      <c r="A200" s="8"/>
      <c r="B200" s="8"/>
      <c r="C200" s="8"/>
      <c r="D200" s="8"/>
      <c r="E200" s="8" t="str">
        <f aca="false">IF(D200="","",D200)</f>
        <v/>
      </c>
    </row>
    <row r="201" customFormat="false" ht="15" hidden="false" customHeight="true" outlineLevel="0" collapsed="false">
      <c r="A201" s="8"/>
      <c r="B201" s="8"/>
      <c r="C201" s="8"/>
      <c r="D201" s="8"/>
      <c r="E201" s="8" t="str">
        <f aca="false">IF(D201="","",D201)</f>
        <v/>
      </c>
    </row>
    <row r="202" customFormat="false" ht="15" hidden="false" customHeight="true" outlineLevel="0" collapsed="false">
      <c r="A202" s="8"/>
      <c r="B202" s="8"/>
      <c r="C202" s="8"/>
      <c r="D202" s="8"/>
      <c r="E202" s="8" t="str">
        <f aca="false">IF(D202="","",D202)</f>
        <v/>
      </c>
    </row>
    <row r="203" customFormat="false" ht="15" hidden="false" customHeight="true" outlineLevel="0" collapsed="false">
      <c r="A203" s="8"/>
      <c r="B203" s="8"/>
      <c r="C203" s="8"/>
      <c r="D203" s="8"/>
      <c r="E203" s="8" t="str">
        <f aca="false">IF(D203="","",D203)</f>
        <v/>
      </c>
    </row>
    <row r="204" customFormat="false" ht="15" hidden="false" customHeight="true" outlineLevel="0" collapsed="false">
      <c r="A204" s="8"/>
      <c r="B204" s="8"/>
      <c r="C204" s="8"/>
      <c r="D204" s="8"/>
      <c r="E204" s="8" t="str">
        <f aca="false">IF(D204="","",D204)</f>
        <v/>
      </c>
    </row>
    <row r="205" customFormat="false" ht="15" hidden="false" customHeight="true" outlineLevel="0" collapsed="false">
      <c r="A205" s="8"/>
      <c r="B205" s="8"/>
      <c r="C205" s="8"/>
      <c r="D205" s="8"/>
      <c r="E205" s="8" t="str">
        <f aca="false">IF(D205="","",D205)</f>
        <v/>
      </c>
    </row>
    <row r="206" customFormat="false" ht="15" hidden="false" customHeight="true" outlineLevel="0" collapsed="false">
      <c r="A206" s="8"/>
      <c r="B206" s="8"/>
      <c r="C206" s="8"/>
      <c r="D206" s="8"/>
      <c r="E206" s="8" t="str">
        <f aca="false">IF(D206="","",D206)</f>
        <v/>
      </c>
    </row>
    <row r="207" customFormat="false" ht="15" hidden="false" customHeight="true" outlineLevel="0" collapsed="false">
      <c r="A207" s="8"/>
      <c r="B207" s="8"/>
      <c r="C207" s="8"/>
      <c r="D207" s="8"/>
      <c r="E207" s="8" t="str">
        <f aca="false">IF(D207="","",D207)</f>
        <v/>
      </c>
    </row>
    <row r="208" customFormat="false" ht="15" hidden="false" customHeight="true" outlineLevel="0" collapsed="false">
      <c r="A208" s="8"/>
      <c r="B208" s="8"/>
      <c r="C208" s="8"/>
      <c r="D208" s="8"/>
      <c r="E208" s="8" t="str">
        <f aca="false">IF(D208="","",D208)</f>
        <v/>
      </c>
    </row>
    <row r="209" customFormat="false" ht="15" hidden="false" customHeight="true" outlineLevel="0" collapsed="false">
      <c r="A209" s="8"/>
      <c r="B209" s="8"/>
      <c r="C209" s="8"/>
      <c r="D209" s="8"/>
      <c r="E209" s="8" t="str">
        <f aca="false">IF(D209="","",D209)</f>
        <v/>
      </c>
    </row>
    <row r="210" customFormat="false" ht="15" hidden="false" customHeight="true" outlineLevel="0" collapsed="false">
      <c r="A210" s="8"/>
      <c r="B210" s="8"/>
      <c r="C210" s="8"/>
      <c r="D210" s="8"/>
      <c r="E210" s="8" t="str">
        <f aca="false">IF(D210="","",D210)</f>
        <v/>
      </c>
    </row>
    <row r="211" customFormat="false" ht="15" hidden="false" customHeight="true" outlineLevel="0" collapsed="false">
      <c r="A211" s="8"/>
      <c r="B211" s="8"/>
      <c r="C211" s="8"/>
      <c r="D211" s="8"/>
      <c r="E211" s="8" t="str">
        <f aca="false">IF(D211="","",D211)</f>
        <v/>
      </c>
    </row>
    <row r="212" customFormat="false" ht="15" hidden="false" customHeight="true" outlineLevel="0" collapsed="false">
      <c r="A212" s="8"/>
      <c r="B212" s="8"/>
      <c r="C212" s="8"/>
      <c r="D212" s="8"/>
      <c r="E212" s="8" t="str">
        <f aca="false">IF(D212="","",D212)</f>
        <v/>
      </c>
    </row>
    <row r="213" customFormat="false" ht="15" hidden="false" customHeight="true" outlineLevel="0" collapsed="false">
      <c r="A213" s="8"/>
      <c r="B213" s="8"/>
      <c r="C213" s="8"/>
      <c r="D213" s="8"/>
      <c r="E213" s="8" t="str">
        <f aca="false">IF(D213="","",D213)</f>
        <v/>
      </c>
    </row>
    <row r="214" customFormat="false" ht="15" hidden="false" customHeight="true" outlineLevel="0" collapsed="false">
      <c r="A214" s="8"/>
      <c r="B214" s="8"/>
      <c r="C214" s="8"/>
      <c r="D214" s="8"/>
      <c r="E214" s="8" t="str">
        <f aca="false">IF(D214="","",D214)</f>
        <v/>
      </c>
    </row>
    <row r="215" customFormat="false" ht="15" hidden="false" customHeight="true" outlineLevel="0" collapsed="false">
      <c r="A215" s="8"/>
      <c r="B215" s="8"/>
      <c r="C215" s="8"/>
      <c r="D215" s="8"/>
      <c r="E215" s="8" t="str">
        <f aca="false">IF(D215="","",D215)</f>
        <v/>
      </c>
    </row>
    <row r="216" customFormat="false" ht="15" hidden="false" customHeight="true" outlineLevel="0" collapsed="false">
      <c r="A216" s="8"/>
      <c r="B216" s="8"/>
      <c r="C216" s="8"/>
      <c r="D216" s="8"/>
      <c r="E216" s="8" t="str">
        <f aca="false">IF(D216="","",D216)</f>
        <v/>
      </c>
    </row>
    <row r="217" customFormat="false" ht="15" hidden="false" customHeight="true" outlineLevel="0" collapsed="false">
      <c r="A217" s="8"/>
      <c r="B217" s="8"/>
      <c r="C217" s="8"/>
      <c r="D217" s="8"/>
      <c r="E217" s="8" t="str">
        <f aca="false">IF(D217="","",D217)</f>
        <v/>
      </c>
    </row>
    <row r="218" customFormat="false" ht="15" hidden="false" customHeight="true" outlineLevel="0" collapsed="false">
      <c r="A218" s="8"/>
      <c r="B218" s="8"/>
      <c r="C218" s="8"/>
      <c r="D218" s="8"/>
      <c r="E218" s="8" t="str">
        <f aca="false">IF(D218="","",D218)</f>
        <v/>
      </c>
    </row>
    <row r="219" customFormat="false" ht="15" hidden="false" customHeight="true" outlineLevel="0" collapsed="false">
      <c r="A219" s="8"/>
      <c r="B219" s="8"/>
      <c r="C219" s="8"/>
      <c r="D219" s="8"/>
      <c r="E219" s="8" t="str">
        <f aca="false">IF(D219="","",D219)</f>
        <v/>
      </c>
    </row>
    <row r="220" customFormat="false" ht="15" hidden="false" customHeight="true" outlineLevel="0" collapsed="false">
      <c r="A220" s="8"/>
      <c r="B220" s="8"/>
      <c r="C220" s="8"/>
      <c r="D220" s="8"/>
      <c r="E220" s="8" t="str">
        <f aca="false">IF(D220="","",D220)</f>
        <v/>
      </c>
    </row>
    <row r="221" customFormat="false" ht="15" hidden="false" customHeight="true" outlineLevel="0" collapsed="false">
      <c r="A221" s="8"/>
      <c r="B221" s="8"/>
      <c r="C221" s="8"/>
      <c r="D221" s="8"/>
      <c r="E221" s="8" t="str">
        <f aca="false">IF(D221="","",D221)</f>
        <v/>
      </c>
    </row>
    <row r="222" customFormat="false" ht="15" hidden="false" customHeight="true" outlineLevel="0" collapsed="false">
      <c r="A222" s="8"/>
      <c r="B222" s="8"/>
      <c r="C222" s="8"/>
      <c r="D222" s="8"/>
      <c r="E222" s="8" t="str">
        <f aca="false">IF(D222="","",D222)</f>
        <v/>
      </c>
    </row>
    <row r="223" customFormat="false" ht="15" hidden="false" customHeight="true" outlineLevel="0" collapsed="false">
      <c r="A223" s="8"/>
      <c r="B223" s="8"/>
      <c r="C223" s="8"/>
      <c r="D223" s="8"/>
      <c r="E223" s="8" t="str">
        <f aca="false">IF(D223="","",D223)</f>
        <v/>
      </c>
    </row>
    <row r="224" customFormat="false" ht="15" hidden="false" customHeight="true" outlineLevel="0" collapsed="false">
      <c r="A224" s="8"/>
      <c r="B224" s="8"/>
      <c r="C224" s="8"/>
      <c r="D224" s="8"/>
      <c r="E224" s="8" t="str">
        <f aca="false">IF(D224="","",D224)</f>
        <v/>
      </c>
    </row>
    <row r="225" customFormat="false" ht="15" hidden="false" customHeight="true" outlineLevel="0" collapsed="false">
      <c r="A225" s="8"/>
      <c r="B225" s="8"/>
      <c r="C225" s="8"/>
      <c r="D225" s="8"/>
      <c r="E225" s="8" t="str">
        <f aca="false">IF(D225="","",D225)</f>
        <v/>
      </c>
    </row>
    <row r="226" customFormat="false" ht="15" hidden="false" customHeight="true" outlineLevel="0" collapsed="false">
      <c r="A226" s="8"/>
      <c r="B226" s="8"/>
      <c r="C226" s="8"/>
      <c r="D226" s="8"/>
      <c r="E226" s="8" t="str">
        <f aca="false">IF(D226="","",D226)</f>
        <v/>
      </c>
    </row>
    <row r="227" customFormat="false" ht="15" hidden="false" customHeight="true" outlineLevel="0" collapsed="false">
      <c r="A227" s="8"/>
      <c r="B227" s="8"/>
      <c r="C227" s="8"/>
      <c r="D227" s="8"/>
      <c r="E227" s="8" t="str">
        <f aca="false">IF(D227="","",D227)</f>
        <v/>
      </c>
    </row>
    <row r="228" customFormat="false" ht="15" hidden="false" customHeight="true" outlineLevel="0" collapsed="false">
      <c r="A228" s="8"/>
      <c r="B228" s="8"/>
      <c r="C228" s="8"/>
      <c r="D228" s="8"/>
      <c r="E228" s="8" t="str">
        <f aca="false">IF(D228="","",D228)</f>
        <v/>
      </c>
    </row>
    <row r="229" customFormat="false" ht="15" hidden="false" customHeight="true" outlineLevel="0" collapsed="false">
      <c r="A229" s="8"/>
      <c r="B229" s="8"/>
      <c r="C229" s="8"/>
      <c r="D229" s="8"/>
      <c r="E229" s="8" t="str">
        <f aca="false">IF(D229="","",D229)</f>
        <v/>
      </c>
    </row>
    <row r="230" customFormat="false" ht="15" hidden="false" customHeight="true" outlineLevel="0" collapsed="false">
      <c r="A230" s="8"/>
      <c r="B230" s="8"/>
      <c r="C230" s="8"/>
      <c r="D230" s="8"/>
      <c r="E230" s="8" t="str">
        <f aca="false">IF(D230="","",D230)</f>
        <v/>
      </c>
    </row>
    <row r="231" customFormat="false" ht="15" hidden="false" customHeight="true" outlineLevel="0" collapsed="false">
      <c r="A231" s="8"/>
      <c r="B231" s="8"/>
      <c r="C231" s="8"/>
      <c r="D231" s="8"/>
      <c r="E231" s="8" t="str">
        <f aca="false">IF(D231="","",D231)</f>
        <v/>
      </c>
    </row>
    <row r="232" customFormat="false" ht="15" hidden="false" customHeight="true" outlineLevel="0" collapsed="false">
      <c r="A232" s="8"/>
      <c r="B232" s="8"/>
      <c r="C232" s="8"/>
      <c r="D232" s="8"/>
      <c r="E232" s="8" t="str">
        <f aca="false">IF(D232="","",D232)</f>
        <v/>
      </c>
    </row>
    <row r="233" customFormat="false" ht="15" hidden="false" customHeight="true" outlineLevel="0" collapsed="false">
      <c r="A233" s="8"/>
      <c r="B233" s="8"/>
      <c r="C233" s="8"/>
      <c r="D233" s="8"/>
      <c r="E233" s="8" t="str">
        <f aca="false">IF(D233="","",D233)</f>
        <v/>
      </c>
    </row>
    <row r="234" customFormat="false" ht="15" hidden="false" customHeight="true" outlineLevel="0" collapsed="false">
      <c r="A234" s="8"/>
      <c r="B234" s="8"/>
      <c r="C234" s="8"/>
      <c r="D234" s="8"/>
      <c r="E234" s="8" t="str">
        <f aca="false">IF(D234="","",D234)</f>
        <v/>
      </c>
    </row>
    <row r="235" customFormat="false" ht="15" hidden="false" customHeight="true" outlineLevel="0" collapsed="false">
      <c r="A235" s="8"/>
      <c r="B235" s="8"/>
      <c r="C235" s="8"/>
      <c r="D235" s="8"/>
      <c r="E235" s="8" t="str">
        <f aca="false">IF(D235="","",D235)</f>
        <v/>
      </c>
    </row>
    <row r="236" customFormat="false" ht="15" hidden="false" customHeight="true" outlineLevel="0" collapsed="false">
      <c r="A236" s="8"/>
      <c r="B236" s="8"/>
      <c r="C236" s="8"/>
      <c r="D236" s="8"/>
      <c r="E236" s="8" t="str">
        <f aca="false">IF(D236="","",D236)</f>
        <v/>
      </c>
    </row>
    <row r="237" customFormat="false" ht="15" hidden="false" customHeight="true" outlineLevel="0" collapsed="false">
      <c r="A237" s="8"/>
      <c r="B237" s="8"/>
      <c r="C237" s="8"/>
      <c r="D237" s="8"/>
      <c r="E237" s="8" t="str">
        <f aca="false">IF(D237="","",D237)</f>
        <v/>
      </c>
    </row>
    <row r="238" customFormat="false" ht="15" hidden="false" customHeight="true" outlineLevel="0" collapsed="false">
      <c r="A238" s="8"/>
      <c r="B238" s="8"/>
      <c r="C238" s="8"/>
      <c r="D238" s="8"/>
      <c r="E238" s="8" t="str">
        <f aca="false">IF(D238="","",D238)</f>
        <v/>
      </c>
    </row>
    <row r="239" customFormat="false" ht="15" hidden="false" customHeight="true" outlineLevel="0" collapsed="false">
      <c r="A239" s="8"/>
      <c r="B239" s="8"/>
      <c r="C239" s="8"/>
      <c r="D239" s="8"/>
      <c r="E239" s="8" t="str">
        <f aca="false">IF(D239="","",D239)</f>
        <v/>
      </c>
    </row>
    <row r="240" customFormat="false" ht="15" hidden="false" customHeight="true" outlineLevel="0" collapsed="false">
      <c r="A240" s="8"/>
      <c r="B240" s="8"/>
      <c r="C240" s="8"/>
      <c r="D240" s="8"/>
      <c r="E240" s="8" t="str">
        <f aca="false">IF(D240="","",D240)</f>
        <v/>
      </c>
    </row>
    <row r="241" customFormat="false" ht="15" hidden="false" customHeight="true" outlineLevel="0" collapsed="false">
      <c r="A241" s="8"/>
      <c r="B241" s="8"/>
      <c r="C241" s="8"/>
      <c r="D241" s="8"/>
      <c r="E241" s="8" t="str">
        <f aca="false">IF(D241="","",D241)</f>
        <v/>
      </c>
    </row>
    <row r="242" customFormat="false" ht="15" hidden="false" customHeight="true" outlineLevel="0" collapsed="false">
      <c r="A242" s="8"/>
      <c r="B242" s="8"/>
      <c r="C242" s="8"/>
      <c r="D242" s="8"/>
      <c r="E242" s="8" t="str">
        <f aca="false">IF(D242="","",D242)</f>
        <v/>
      </c>
    </row>
    <row r="243" customFormat="false" ht="15" hidden="false" customHeight="true" outlineLevel="0" collapsed="false">
      <c r="A243" s="8"/>
      <c r="B243" s="8"/>
      <c r="C243" s="8"/>
      <c r="D243" s="8"/>
      <c r="E243" s="8" t="str">
        <f aca="false">IF(D243="","",D243)</f>
        <v/>
      </c>
    </row>
    <row r="244" customFormat="false" ht="15" hidden="false" customHeight="true" outlineLevel="0" collapsed="false">
      <c r="A244" s="8"/>
      <c r="B244" s="8"/>
      <c r="C244" s="8"/>
      <c r="D244" s="8"/>
      <c r="E244" s="8" t="str">
        <f aca="false">IF(D244="","",D244)</f>
        <v/>
      </c>
    </row>
    <row r="245" customFormat="false" ht="15" hidden="false" customHeight="true" outlineLevel="0" collapsed="false">
      <c r="A245" s="8"/>
      <c r="B245" s="8"/>
      <c r="C245" s="8"/>
      <c r="D245" s="8"/>
      <c r="E245" s="8" t="str">
        <f aca="false">IF(D245="","",D245)</f>
        <v/>
      </c>
    </row>
    <row r="246" customFormat="false" ht="15" hidden="false" customHeight="true" outlineLevel="0" collapsed="false">
      <c r="A246" s="8"/>
      <c r="B246" s="8"/>
      <c r="C246" s="8"/>
      <c r="D246" s="8"/>
      <c r="E246" s="8" t="str">
        <f aca="false">IF(D246="","",D246)</f>
        <v/>
      </c>
    </row>
    <row r="247" customFormat="false" ht="15" hidden="false" customHeight="true" outlineLevel="0" collapsed="false">
      <c r="A247" s="8"/>
      <c r="B247" s="8"/>
      <c r="C247" s="8"/>
      <c r="D247" s="8"/>
      <c r="E247" s="8" t="str">
        <f aca="false">IF(D247="","",D247)</f>
        <v/>
      </c>
    </row>
    <row r="248" customFormat="false" ht="15" hidden="false" customHeight="true" outlineLevel="0" collapsed="false">
      <c r="A248" s="8"/>
      <c r="B248" s="8"/>
      <c r="C248" s="8"/>
      <c r="D248" s="8"/>
      <c r="E248" s="8" t="str">
        <f aca="false">IF(D248="","",D248)</f>
        <v/>
      </c>
    </row>
    <row r="249" customFormat="false" ht="15" hidden="false" customHeight="true" outlineLevel="0" collapsed="false">
      <c r="A249" s="8"/>
      <c r="B249" s="8"/>
      <c r="C249" s="8"/>
      <c r="D249" s="8"/>
      <c r="E249" s="8" t="str">
        <f aca="false">IF(D249="","",D249)</f>
        <v/>
      </c>
    </row>
    <row r="250" customFormat="false" ht="15" hidden="false" customHeight="true" outlineLevel="0" collapsed="false">
      <c r="A250" s="8"/>
      <c r="B250" s="8"/>
      <c r="C250" s="8"/>
      <c r="D250" s="8"/>
      <c r="E250" s="8" t="str">
        <f aca="false">IF(D250="","",D250)</f>
        <v/>
      </c>
    </row>
    <row r="251" customFormat="false" ht="15" hidden="false" customHeight="true" outlineLevel="0" collapsed="false">
      <c r="A251" s="8"/>
      <c r="B251" s="8"/>
      <c r="C251" s="8"/>
      <c r="D251" s="8"/>
      <c r="E251" s="8" t="str">
        <f aca="false">IF(D251="","",D251)</f>
        <v/>
      </c>
    </row>
    <row r="252" customFormat="false" ht="15" hidden="false" customHeight="true" outlineLevel="0" collapsed="false">
      <c r="A252" s="8"/>
      <c r="B252" s="8"/>
      <c r="C252" s="8"/>
      <c r="D252" s="8"/>
      <c r="E252" s="8" t="str">
        <f aca="false">IF(D252="","",D252)</f>
        <v/>
      </c>
    </row>
    <row r="253" customFormat="false" ht="15" hidden="false" customHeight="true" outlineLevel="0" collapsed="false">
      <c r="A253" s="8"/>
      <c r="B253" s="8"/>
      <c r="C253" s="8"/>
      <c r="D253" s="8"/>
      <c r="E253" s="8" t="str">
        <f aca="false">IF(D253="","",D253)</f>
        <v/>
      </c>
    </row>
    <row r="254" customFormat="false" ht="15" hidden="false" customHeight="true" outlineLevel="0" collapsed="false">
      <c r="A254" s="8"/>
      <c r="B254" s="8"/>
      <c r="C254" s="8"/>
      <c r="D254" s="8"/>
      <c r="E254" s="8" t="str">
        <f aca="false">IF(D254="","",D254)</f>
        <v/>
      </c>
    </row>
    <row r="255" customFormat="false" ht="15" hidden="false" customHeight="true" outlineLevel="0" collapsed="false">
      <c r="A255" s="8"/>
      <c r="B255" s="8"/>
      <c r="C255" s="8"/>
      <c r="D255" s="8"/>
      <c r="E255" s="8" t="str">
        <f aca="false">IF(D255="","",D255)</f>
        <v/>
      </c>
    </row>
    <row r="256" customFormat="false" ht="15" hidden="false" customHeight="true" outlineLevel="0" collapsed="false">
      <c r="A256" s="8"/>
      <c r="B256" s="8"/>
      <c r="C256" s="8"/>
      <c r="D256" s="8"/>
      <c r="E256" s="8" t="str">
        <f aca="false">IF(D256="","",D256)</f>
        <v/>
      </c>
    </row>
    <row r="257" customFormat="false" ht="15" hidden="false" customHeight="true" outlineLevel="0" collapsed="false">
      <c r="A257" s="8"/>
      <c r="B257" s="8"/>
      <c r="C257" s="8"/>
      <c r="D257" s="8"/>
      <c r="E257" s="8" t="str">
        <f aca="false">IF(D257="","",D257)</f>
        <v/>
      </c>
    </row>
    <row r="258" customFormat="false" ht="15" hidden="false" customHeight="true" outlineLevel="0" collapsed="false">
      <c r="A258" s="8"/>
      <c r="B258" s="8"/>
      <c r="C258" s="8"/>
      <c r="D258" s="8"/>
      <c r="E258" s="8" t="str">
        <f aca="false">IF(D258="","",D258)</f>
        <v/>
      </c>
    </row>
    <row r="259" customFormat="false" ht="15" hidden="false" customHeight="true" outlineLevel="0" collapsed="false">
      <c r="A259" s="8"/>
      <c r="B259" s="8"/>
      <c r="C259" s="8"/>
      <c r="D259" s="8"/>
      <c r="E259" s="8" t="str">
        <f aca="false">IF(D259="","",D259)</f>
        <v/>
      </c>
    </row>
    <row r="260" customFormat="false" ht="15" hidden="false" customHeight="true" outlineLevel="0" collapsed="false">
      <c r="A260" s="8"/>
      <c r="B260" s="8"/>
      <c r="C260" s="8"/>
      <c r="D260" s="8"/>
      <c r="E260" s="8" t="str">
        <f aca="false">IF(D260="","",D260)</f>
        <v/>
      </c>
    </row>
    <row r="261" customFormat="false" ht="15" hidden="false" customHeight="true" outlineLevel="0" collapsed="false">
      <c r="A261" s="8"/>
      <c r="B261" s="8"/>
      <c r="C261" s="8"/>
      <c r="D261" s="8"/>
      <c r="E261" s="8" t="str">
        <f aca="false">IF(D261="","",D261)</f>
        <v/>
      </c>
    </row>
    <row r="262" customFormat="false" ht="15" hidden="false" customHeight="true" outlineLevel="0" collapsed="false">
      <c r="A262" s="8"/>
      <c r="B262" s="8"/>
      <c r="C262" s="8"/>
      <c r="D262" s="8"/>
      <c r="E262" s="8" t="str">
        <f aca="false">IF(D262="","",D262)</f>
        <v/>
      </c>
    </row>
    <row r="263" customFormat="false" ht="15" hidden="false" customHeight="true" outlineLevel="0" collapsed="false">
      <c r="A263" s="8"/>
      <c r="B263" s="8"/>
      <c r="C263" s="8"/>
      <c r="D263" s="8"/>
      <c r="E263" s="8" t="str">
        <f aca="false">IF(D263="","",D263)</f>
        <v/>
      </c>
    </row>
    <row r="264" customFormat="false" ht="15" hidden="false" customHeight="true" outlineLevel="0" collapsed="false">
      <c r="A264" s="8"/>
      <c r="B264" s="8"/>
      <c r="C264" s="8"/>
      <c r="D264" s="8"/>
      <c r="E264" s="8" t="str">
        <f aca="false">IF(D264="","",D264)</f>
        <v/>
      </c>
    </row>
    <row r="265" customFormat="false" ht="15" hidden="false" customHeight="true" outlineLevel="0" collapsed="false">
      <c r="A265" s="8"/>
      <c r="B265" s="8"/>
      <c r="C265" s="8"/>
      <c r="D265" s="8"/>
      <c r="E265" s="8" t="str">
        <f aca="false">IF(D265="","",D265)</f>
        <v/>
      </c>
    </row>
    <row r="266" customFormat="false" ht="15" hidden="false" customHeight="true" outlineLevel="0" collapsed="false">
      <c r="A266" s="8"/>
      <c r="B266" s="8"/>
      <c r="C266" s="8"/>
      <c r="D266" s="8"/>
      <c r="E266" s="8" t="str">
        <f aca="false">IF(D266="","",D266)</f>
        <v/>
      </c>
    </row>
    <row r="267" customFormat="false" ht="15" hidden="false" customHeight="true" outlineLevel="0" collapsed="false">
      <c r="A267" s="8"/>
      <c r="B267" s="8"/>
      <c r="C267" s="8"/>
      <c r="D267" s="8"/>
      <c r="E267" s="8" t="str">
        <f aca="false">IF(D267="","",D267)</f>
        <v/>
      </c>
    </row>
    <row r="268" customFormat="false" ht="15" hidden="false" customHeight="true" outlineLevel="0" collapsed="false">
      <c r="A268" s="8"/>
      <c r="B268" s="8"/>
      <c r="C268" s="8"/>
      <c r="D268" s="8"/>
      <c r="E268" s="8" t="str">
        <f aca="false">IF(D268="","",D268)</f>
        <v/>
      </c>
    </row>
    <row r="269" customFormat="false" ht="15" hidden="false" customHeight="true" outlineLevel="0" collapsed="false">
      <c r="A269" s="8"/>
      <c r="B269" s="8"/>
      <c r="C269" s="8"/>
      <c r="D269" s="8"/>
      <c r="E269" s="8" t="str">
        <f aca="false">IF(D269="","",D269)</f>
        <v/>
      </c>
    </row>
    <row r="270" customFormat="false" ht="15" hidden="false" customHeight="true" outlineLevel="0" collapsed="false">
      <c r="A270" s="8"/>
      <c r="B270" s="8"/>
      <c r="C270" s="8"/>
      <c r="D270" s="8"/>
      <c r="E270" s="8" t="str">
        <f aca="false">IF(D270="","",D270)</f>
        <v/>
      </c>
    </row>
    <row r="271" customFormat="false" ht="15" hidden="false" customHeight="true" outlineLevel="0" collapsed="false">
      <c r="A271" s="8"/>
      <c r="B271" s="8"/>
      <c r="C271" s="8"/>
      <c r="D271" s="8"/>
      <c r="E271" s="8" t="str">
        <f aca="false">IF(D271="","",D271)</f>
        <v/>
      </c>
    </row>
    <row r="272" customFormat="false" ht="15" hidden="false" customHeight="true" outlineLevel="0" collapsed="false">
      <c r="A272" s="8"/>
      <c r="B272" s="8"/>
      <c r="C272" s="8"/>
      <c r="D272" s="8"/>
      <c r="E272" s="8" t="str">
        <f aca="false">IF(D272="","",D272)</f>
        <v/>
      </c>
    </row>
    <row r="273" customFormat="false" ht="15" hidden="false" customHeight="true" outlineLevel="0" collapsed="false">
      <c r="A273" s="8"/>
      <c r="B273" s="8"/>
      <c r="C273" s="8"/>
      <c r="D273" s="8"/>
      <c r="E273" s="8" t="str">
        <f aca="false">IF(D273="","",D273)</f>
        <v/>
      </c>
    </row>
    <row r="274" customFormat="false" ht="15" hidden="false" customHeight="true" outlineLevel="0" collapsed="false">
      <c r="A274" s="8"/>
      <c r="B274" s="8"/>
      <c r="C274" s="8"/>
      <c r="D274" s="8"/>
      <c r="E274" s="8" t="str">
        <f aca="false">IF(D274="","",D274)</f>
        <v/>
      </c>
    </row>
    <row r="275" customFormat="false" ht="15" hidden="false" customHeight="true" outlineLevel="0" collapsed="false">
      <c r="A275" s="8"/>
      <c r="B275" s="8"/>
      <c r="C275" s="8"/>
      <c r="D275" s="8"/>
      <c r="E275" s="8" t="str">
        <f aca="false">IF(D275="","",D275)</f>
        <v/>
      </c>
    </row>
    <row r="276" customFormat="false" ht="15" hidden="false" customHeight="true" outlineLevel="0" collapsed="false">
      <c r="A276" s="8"/>
      <c r="B276" s="8"/>
      <c r="C276" s="8"/>
      <c r="D276" s="8"/>
      <c r="E276" s="8" t="str">
        <f aca="false">IF(D276="","",D276)</f>
        <v/>
      </c>
    </row>
    <row r="277" customFormat="false" ht="15" hidden="false" customHeight="true" outlineLevel="0" collapsed="false">
      <c r="A277" s="8"/>
      <c r="B277" s="8"/>
      <c r="C277" s="8"/>
      <c r="D277" s="8"/>
      <c r="E277" s="8" t="str">
        <f aca="false">IF(D277="","",D277)</f>
        <v/>
      </c>
    </row>
    <row r="278" customFormat="false" ht="15" hidden="false" customHeight="true" outlineLevel="0" collapsed="false">
      <c r="A278" s="8"/>
      <c r="B278" s="8"/>
      <c r="C278" s="8"/>
      <c r="D278" s="8"/>
      <c r="E278" s="8" t="str">
        <f aca="false">IF(D278="","",D278)</f>
        <v/>
      </c>
    </row>
    <row r="279" customFormat="false" ht="15" hidden="false" customHeight="true" outlineLevel="0" collapsed="false">
      <c r="A279" s="8"/>
      <c r="B279" s="8"/>
      <c r="C279" s="8"/>
      <c r="D279" s="8"/>
      <c r="E279" s="8" t="str">
        <f aca="false">IF(D279="","",D279)</f>
        <v/>
      </c>
    </row>
    <row r="280" customFormat="false" ht="15" hidden="false" customHeight="true" outlineLevel="0" collapsed="false">
      <c r="A280" s="8"/>
      <c r="B280" s="8"/>
      <c r="C280" s="8"/>
      <c r="D280" s="8"/>
      <c r="E280" s="8" t="str">
        <f aca="false">IF(D280="","",D280)</f>
        <v/>
      </c>
    </row>
    <row r="281" customFormat="false" ht="15" hidden="false" customHeight="true" outlineLevel="0" collapsed="false">
      <c r="A281" s="8"/>
      <c r="B281" s="8"/>
      <c r="C281" s="8"/>
      <c r="D281" s="8"/>
      <c r="E281" s="8" t="str">
        <f aca="false">IF(D281="","",D281)</f>
        <v/>
      </c>
    </row>
    <row r="282" customFormat="false" ht="15" hidden="false" customHeight="true" outlineLevel="0" collapsed="false">
      <c r="A282" s="8"/>
      <c r="B282" s="8"/>
      <c r="C282" s="8"/>
      <c r="D282" s="8"/>
      <c r="E282" s="8" t="str">
        <f aca="false">IF(D282="","",D282)</f>
        <v/>
      </c>
    </row>
    <row r="283" customFormat="false" ht="15" hidden="false" customHeight="true" outlineLevel="0" collapsed="false">
      <c r="A283" s="8"/>
      <c r="B283" s="8"/>
      <c r="C283" s="8"/>
      <c r="D283" s="8"/>
      <c r="E283" s="8" t="str">
        <f aca="false">IF(D283="","",D283)</f>
        <v/>
      </c>
    </row>
    <row r="284" customFormat="false" ht="15" hidden="false" customHeight="true" outlineLevel="0" collapsed="false">
      <c r="A284" s="8"/>
      <c r="B284" s="8"/>
      <c r="C284" s="8"/>
      <c r="D284" s="8"/>
      <c r="E284" s="8" t="str">
        <f aca="false">IF(D284="","",D284)</f>
        <v/>
      </c>
    </row>
    <row r="285" customFormat="false" ht="15" hidden="false" customHeight="true" outlineLevel="0" collapsed="false">
      <c r="A285" s="8"/>
      <c r="B285" s="8"/>
      <c r="C285" s="8"/>
      <c r="D285" s="8"/>
      <c r="E285" s="8" t="str">
        <f aca="false">IF(D285="","",D285)</f>
        <v/>
      </c>
    </row>
    <row r="286" customFormat="false" ht="15" hidden="false" customHeight="true" outlineLevel="0" collapsed="false">
      <c r="A286" s="8"/>
      <c r="B286" s="8"/>
      <c r="C286" s="8"/>
      <c r="D286" s="8"/>
      <c r="E286" s="8" t="str">
        <f aca="false">IF(D286="","",D286)</f>
        <v/>
      </c>
    </row>
    <row r="287" customFormat="false" ht="15" hidden="false" customHeight="true" outlineLevel="0" collapsed="false">
      <c r="A287" s="8"/>
      <c r="B287" s="8"/>
      <c r="C287" s="8"/>
      <c r="D287" s="8"/>
      <c r="E287" s="8" t="str">
        <f aca="false">IF(D287="","",D287)</f>
        <v/>
      </c>
    </row>
    <row r="288" customFormat="false" ht="15" hidden="false" customHeight="true" outlineLevel="0" collapsed="false">
      <c r="A288" s="8"/>
      <c r="B288" s="8"/>
      <c r="C288" s="8"/>
      <c r="D288" s="8"/>
      <c r="E288" s="8" t="str">
        <f aca="false">IF(D288="","",D288)</f>
        <v/>
      </c>
    </row>
    <row r="289" customFormat="false" ht="15" hidden="false" customHeight="true" outlineLevel="0" collapsed="false">
      <c r="A289" s="8"/>
      <c r="B289" s="8"/>
      <c r="C289" s="8"/>
      <c r="D289" s="8"/>
      <c r="E289" s="8" t="str">
        <f aca="false">IF(D289="","",D289)</f>
        <v/>
      </c>
    </row>
    <row r="290" customFormat="false" ht="15" hidden="false" customHeight="true" outlineLevel="0" collapsed="false">
      <c r="A290" s="8"/>
      <c r="B290" s="8"/>
      <c r="C290" s="8"/>
      <c r="D290" s="8"/>
      <c r="E290" s="8" t="str">
        <f aca="false">IF(D290="","",D290)</f>
        <v/>
      </c>
    </row>
    <row r="291" customFormat="false" ht="15" hidden="false" customHeight="true" outlineLevel="0" collapsed="false">
      <c r="A291" s="8"/>
      <c r="B291" s="8"/>
      <c r="C291" s="8"/>
      <c r="D291" s="8"/>
      <c r="E291" s="8" t="str">
        <f aca="false">IF(D291="","",D291)</f>
        <v/>
      </c>
    </row>
    <row r="292" customFormat="false" ht="15" hidden="false" customHeight="true" outlineLevel="0" collapsed="false">
      <c r="A292" s="8"/>
      <c r="B292" s="8"/>
      <c r="C292" s="8"/>
      <c r="D292" s="8"/>
      <c r="E292" s="8" t="str">
        <f aca="false">IF(D292="","",D292)</f>
        <v/>
      </c>
    </row>
    <row r="293" customFormat="false" ht="15" hidden="false" customHeight="true" outlineLevel="0" collapsed="false">
      <c r="A293" s="8"/>
      <c r="B293" s="8"/>
      <c r="C293" s="8"/>
      <c r="D293" s="8"/>
      <c r="E293" s="8" t="str">
        <f aca="false">IF(D293="","",D293)</f>
        <v/>
      </c>
    </row>
    <row r="294" customFormat="false" ht="15" hidden="false" customHeight="true" outlineLevel="0" collapsed="false">
      <c r="A294" s="8"/>
      <c r="B294" s="8"/>
      <c r="C294" s="8"/>
      <c r="D294" s="8"/>
      <c r="E294" s="8" t="str">
        <f aca="false">IF(D294="","",D294)</f>
        <v/>
      </c>
    </row>
    <row r="295" customFormat="false" ht="15" hidden="false" customHeight="true" outlineLevel="0" collapsed="false">
      <c r="A295" s="8"/>
      <c r="B295" s="8"/>
      <c r="C295" s="8"/>
      <c r="D295" s="8"/>
      <c r="E295" s="8" t="str">
        <f aca="false">IF(D295="","",D295)</f>
        <v/>
      </c>
    </row>
    <row r="296" customFormat="false" ht="15" hidden="false" customHeight="true" outlineLevel="0" collapsed="false">
      <c r="A296" s="8"/>
      <c r="B296" s="8"/>
      <c r="C296" s="8"/>
      <c r="D296" s="8"/>
      <c r="E296" s="8" t="str">
        <f aca="false">IF(D296="","",D296)</f>
        <v/>
      </c>
    </row>
    <row r="297" customFormat="false" ht="15" hidden="false" customHeight="true" outlineLevel="0" collapsed="false">
      <c r="A297" s="8"/>
      <c r="B297" s="8"/>
      <c r="C297" s="8"/>
      <c r="D297" s="8"/>
      <c r="E297" s="8" t="str">
        <f aca="false">IF(D297="","",D297)</f>
        <v/>
      </c>
    </row>
    <row r="298" customFormat="false" ht="15" hidden="false" customHeight="true" outlineLevel="0" collapsed="false">
      <c r="A298" s="8"/>
      <c r="B298" s="8"/>
      <c r="C298" s="8"/>
      <c r="D298" s="8"/>
      <c r="E298" s="8" t="str">
        <f aca="false">IF(D298="","",D298)</f>
        <v/>
      </c>
    </row>
    <row r="299" customFormat="false" ht="15" hidden="false" customHeight="true" outlineLevel="0" collapsed="false">
      <c r="A299" s="8"/>
      <c r="B299" s="8"/>
      <c r="C299" s="8"/>
      <c r="D299" s="8"/>
      <c r="E299" s="8" t="str">
        <f aca="false">IF(D299="","",D299)</f>
        <v/>
      </c>
    </row>
    <row r="300" customFormat="false" ht="15" hidden="false" customHeight="true" outlineLevel="0" collapsed="false">
      <c r="A300" s="8"/>
      <c r="B300" s="8"/>
      <c r="C300" s="8"/>
      <c r="D300" s="8"/>
      <c r="E300" s="8" t="str">
        <f aca="false">IF(D300="","",D300)</f>
        <v/>
      </c>
    </row>
  </sheetData>
  <autoFilter ref="A2:E300"/>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4"/>
    <col collapsed="false" customWidth="true" hidden="false" outlineLevel="0" max="2" min="2" style="1" width="17"/>
    <col collapsed="false" customWidth="true" hidden="false" outlineLevel="0" max="4" min="3" style="1" width="14"/>
    <col collapsed="false" customWidth="true" hidden="false" outlineLevel="0" max="5" min="5" style="1" width="19"/>
    <col collapsed="false" customWidth="true" hidden="false" outlineLevel="0" max="6" min="6" style="1" width="31"/>
  </cols>
  <sheetData>
    <row r="1" customFormat="false" ht="30" hidden="false" customHeight="true" outlineLevel="0" collapsed="false">
      <c r="A1" s="2" t="s">
        <v>176</v>
      </c>
      <c r="B1" s="2"/>
      <c r="C1" s="2"/>
      <c r="D1" s="2"/>
      <c r="E1" s="2"/>
      <c r="F1" s="2"/>
    </row>
    <row r="2" customFormat="false" ht="31.5" hidden="false" customHeight="true" outlineLevel="0" collapsed="false">
      <c r="A2" s="7" t="s">
        <v>177</v>
      </c>
      <c r="B2" s="7" t="s">
        <v>178</v>
      </c>
      <c r="C2" s="7" t="s">
        <v>146</v>
      </c>
      <c r="D2" s="7" t="s">
        <v>179</v>
      </c>
      <c r="E2" s="7" t="s">
        <v>180</v>
      </c>
      <c r="F2" s="7" t="s">
        <v>181</v>
      </c>
    </row>
    <row r="3" customFormat="false" ht="15" hidden="false" customHeight="true" outlineLevel="0" collapsed="false">
      <c r="A3" s="8"/>
      <c r="B3" s="8"/>
      <c r="C3" s="8"/>
      <c r="D3" s="8"/>
      <c r="E3" s="8"/>
      <c r="F3" s="8"/>
    </row>
    <row r="4" customFormat="false" ht="15" hidden="false" customHeight="true" outlineLevel="0" collapsed="false">
      <c r="A4" s="8"/>
      <c r="B4" s="8"/>
      <c r="C4" s="8"/>
      <c r="D4" s="8"/>
      <c r="E4" s="8"/>
      <c r="F4" s="8"/>
    </row>
    <row r="5" customFormat="false" ht="15" hidden="false" customHeight="true" outlineLevel="0" collapsed="false">
      <c r="A5" s="8"/>
      <c r="B5" s="8"/>
      <c r="C5" s="8"/>
      <c r="D5" s="8"/>
      <c r="E5" s="8"/>
      <c r="F5" s="8"/>
    </row>
    <row r="6" customFormat="false" ht="15" hidden="false" customHeight="true" outlineLevel="0" collapsed="false">
      <c r="A6" s="8"/>
      <c r="B6" s="8"/>
      <c r="C6" s="8"/>
      <c r="D6" s="8"/>
      <c r="E6" s="8"/>
      <c r="F6" s="8"/>
    </row>
    <row r="7" customFormat="false" ht="15" hidden="false" customHeight="true" outlineLevel="0" collapsed="false">
      <c r="A7" s="8"/>
      <c r="B7" s="8"/>
      <c r="C7" s="8"/>
      <c r="D7" s="8"/>
      <c r="E7" s="8"/>
      <c r="F7" s="8"/>
    </row>
    <row r="8" customFormat="false" ht="15" hidden="false" customHeight="true" outlineLevel="0" collapsed="false">
      <c r="A8" s="8"/>
      <c r="B8" s="8"/>
      <c r="C8" s="8"/>
      <c r="D8" s="8"/>
      <c r="E8" s="8"/>
      <c r="F8" s="8"/>
    </row>
    <row r="9" customFormat="false" ht="15" hidden="false" customHeight="true" outlineLevel="0" collapsed="false">
      <c r="A9" s="8"/>
      <c r="B9" s="8"/>
      <c r="C9" s="8"/>
      <c r="D9" s="8"/>
      <c r="E9" s="8"/>
      <c r="F9" s="8"/>
    </row>
    <row r="10" customFormat="false" ht="15" hidden="false" customHeight="true" outlineLevel="0" collapsed="false">
      <c r="A10" s="8"/>
      <c r="B10" s="8"/>
      <c r="C10" s="8"/>
      <c r="D10" s="8"/>
      <c r="E10" s="8"/>
      <c r="F10" s="8"/>
    </row>
    <row r="11" customFormat="false" ht="15" hidden="false" customHeight="true" outlineLevel="0" collapsed="false">
      <c r="A11" s="8"/>
      <c r="B11" s="8"/>
      <c r="C11" s="8"/>
      <c r="D11" s="8"/>
      <c r="E11" s="8"/>
      <c r="F11" s="8"/>
    </row>
    <row r="12" customFormat="false" ht="15" hidden="false" customHeight="true" outlineLevel="0" collapsed="false">
      <c r="A12" s="8"/>
      <c r="B12" s="8"/>
      <c r="C12" s="8"/>
      <c r="D12" s="8"/>
      <c r="E12" s="8"/>
      <c r="F12" s="8"/>
    </row>
    <row r="13" customFormat="false" ht="15" hidden="false" customHeight="true" outlineLevel="0" collapsed="false">
      <c r="A13" s="8"/>
      <c r="B13" s="8"/>
      <c r="C13" s="8"/>
      <c r="D13" s="8"/>
      <c r="E13" s="8"/>
      <c r="F13" s="8"/>
    </row>
    <row r="14" customFormat="false" ht="15" hidden="false" customHeight="true" outlineLevel="0" collapsed="false">
      <c r="A14" s="8"/>
      <c r="B14" s="8"/>
      <c r="C14" s="8"/>
      <c r="D14" s="8"/>
      <c r="E14" s="8"/>
      <c r="F14" s="8"/>
    </row>
    <row r="15" customFormat="false" ht="15" hidden="false" customHeight="true" outlineLevel="0" collapsed="false">
      <c r="A15" s="8"/>
      <c r="B15" s="8"/>
      <c r="C15" s="8"/>
      <c r="D15" s="8"/>
      <c r="E15" s="8"/>
      <c r="F15" s="8"/>
    </row>
    <row r="16" customFormat="false" ht="15" hidden="false" customHeight="true" outlineLevel="0" collapsed="false">
      <c r="A16" s="8"/>
      <c r="B16" s="8"/>
      <c r="C16" s="8"/>
      <c r="D16" s="8"/>
      <c r="E16" s="8"/>
      <c r="F16" s="8"/>
    </row>
    <row r="17" customFormat="false" ht="15" hidden="false" customHeight="true" outlineLevel="0" collapsed="false">
      <c r="A17" s="8"/>
      <c r="B17" s="8"/>
      <c r="C17" s="8"/>
      <c r="D17" s="8"/>
      <c r="E17" s="8"/>
      <c r="F17" s="8"/>
    </row>
    <row r="18" customFormat="false" ht="15" hidden="false" customHeight="true" outlineLevel="0" collapsed="false">
      <c r="A18" s="8"/>
      <c r="B18" s="8"/>
      <c r="C18" s="8"/>
      <c r="D18" s="8"/>
      <c r="E18" s="8"/>
      <c r="F18" s="8"/>
    </row>
    <row r="19" customFormat="false" ht="15" hidden="false" customHeight="true" outlineLevel="0" collapsed="false">
      <c r="A19" s="8"/>
      <c r="B19" s="8"/>
      <c r="C19" s="8"/>
      <c r="D19" s="8"/>
      <c r="E19" s="8"/>
      <c r="F19" s="8"/>
    </row>
    <row r="20" customFormat="false" ht="15" hidden="false" customHeight="true" outlineLevel="0" collapsed="false">
      <c r="A20" s="8"/>
      <c r="B20" s="8"/>
      <c r="C20" s="8"/>
      <c r="D20" s="8"/>
      <c r="E20" s="8"/>
      <c r="F20" s="8"/>
    </row>
    <row r="21" customFormat="false" ht="15" hidden="false" customHeight="true" outlineLevel="0" collapsed="false">
      <c r="A21" s="8"/>
      <c r="B21" s="8"/>
      <c r="C21" s="8"/>
      <c r="D21" s="8"/>
      <c r="E21" s="8"/>
      <c r="F21" s="8"/>
    </row>
    <row r="22" customFormat="false" ht="15" hidden="false" customHeight="true" outlineLevel="0" collapsed="false">
      <c r="A22" s="8"/>
      <c r="B22" s="8"/>
      <c r="C22" s="8"/>
      <c r="D22" s="8"/>
      <c r="E22" s="8"/>
      <c r="F22" s="8"/>
    </row>
    <row r="23" customFormat="false" ht="15" hidden="false" customHeight="true" outlineLevel="0" collapsed="false">
      <c r="A23" s="8"/>
      <c r="B23" s="8"/>
      <c r="C23" s="8"/>
      <c r="D23" s="8"/>
      <c r="E23" s="8"/>
      <c r="F23" s="8"/>
    </row>
    <row r="24" customFormat="false" ht="15" hidden="false" customHeight="true" outlineLevel="0" collapsed="false">
      <c r="A24" s="8"/>
      <c r="B24" s="8"/>
      <c r="C24" s="8"/>
      <c r="D24" s="8"/>
      <c r="E24" s="8"/>
      <c r="F24" s="8"/>
    </row>
    <row r="25" customFormat="false" ht="15" hidden="false" customHeight="true" outlineLevel="0" collapsed="false">
      <c r="A25" s="8"/>
      <c r="B25" s="8"/>
      <c r="C25" s="8"/>
      <c r="D25" s="8"/>
      <c r="E25" s="8"/>
      <c r="F25" s="8"/>
    </row>
    <row r="26" customFormat="false" ht="15" hidden="false" customHeight="true" outlineLevel="0" collapsed="false">
      <c r="A26" s="8"/>
      <c r="B26" s="8"/>
      <c r="C26" s="8"/>
      <c r="D26" s="8"/>
      <c r="E26" s="8"/>
      <c r="F26" s="8"/>
    </row>
    <row r="27" customFormat="false" ht="15" hidden="false" customHeight="true" outlineLevel="0" collapsed="false">
      <c r="A27" s="8"/>
      <c r="B27" s="8"/>
      <c r="C27" s="8"/>
      <c r="D27" s="8"/>
      <c r="E27" s="8"/>
      <c r="F27" s="8"/>
    </row>
    <row r="28" customFormat="false" ht="15" hidden="false" customHeight="true" outlineLevel="0" collapsed="false">
      <c r="A28" s="8"/>
      <c r="B28" s="8"/>
      <c r="C28" s="8"/>
      <c r="D28" s="8"/>
      <c r="E28" s="8"/>
      <c r="F28" s="8"/>
    </row>
    <row r="29" customFormat="false" ht="15" hidden="false" customHeight="true" outlineLevel="0" collapsed="false">
      <c r="A29" s="8"/>
      <c r="B29" s="8"/>
      <c r="C29" s="8"/>
      <c r="D29" s="8"/>
      <c r="E29" s="8"/>
      <c r="F29" s="8"/>
    </row>
    <row r="30" customFormat="false" ht="15" hidden="false" customHeight="true" outlineLevel="0" collapsed="false">
      <c r="A30" s="8"/>
      <c r="B30" s="8"/>
      <c r="C30" s="8"/>
      <c r="D30" s="8"/>
      <c r="E30" s="8"/>
      <c r="F30" s="8"/>
    </row>
    <row r="31" customFormat="false" ht="15" hidden="false" customHeight="true" outlineLevel="0" collapsed="false">
      <c r="A31" s="8"/>
      <c r="B31" s="8"/>
      <c r="C31" s="8"/>
      <c r="D31" s="8"/>
      <c r="E31" s="8"/>
      <c r="F31" s="8"/>
    </row>
    <row r="32" customFormat="false" ht="15" hidden="false" customHeight="true" outlineLevel="0" collapsed="false">
      <c r="A32" s="8"/>
      <c r="B32" s="8"/>
      <c r="C32" s="8"/>
      <c r="D32" s="8"/>
      <c r="E32" s="8"/>
      <c r="F32" s="8"/>
    </row>
    <row r="33" customFormat="false" ht="15" hidden="false" customHeight="true" outlineLevel="0" collapsed="false">
      <c r="A33" s="8"/>
      <c r="B33" s="8"/>
      <c r="C33" s="8"/>
      <c r="D33" s="8"/>
      <c r="E33" s="8"/>
      <c r="F33" s="8"/>
    </row>
    <row r="34" customFormat="false" ht="15" hidden="false" customHeight="true" outlineLevel="0" collapsed="false">
      <c r="A34" s="8"/>
      <c r="B34" s="8"/>
      <c r="C34" s="8"/>
      <c r="D34" s="8"/>
      <c r="E34" s="8"/>
      <c r="F34" s="8"/>
    </row>
    <row r="35" customFormat="false" ht="15" hidden="false" customHeight="true" outlineLevel="0" collapsed="false">
      <c r="A35" s="8"/>
      <c r="B35" s="8"/>
      <c r="C35" s="8"/>
      <c r="D35" s="8"/>
      <c r="E35" s="8"/>
      <c r="F35" s="8"/>
    </row>
    <row r="36" customFormat="false" ht="15" hidden="false" customHeight="true" outlineLevel="0" collapsed="false">
      <c r="A36" s="8"/>
      <c r="B36" s="8"/>
      <c r="C36" s="8"/>
      <c r="D36" s="8"/>
      <c r="E36" s="8"/>
      <c r="F36" s="8"/>
    </row>
    <row r="37" customFormat="false" ht="15" hidden="false" customHeight="true" outlineLevel="0" collapsed="false">
      <c r="A37" s="8"/>
      <c r="B37" s="8"/>
      <c r="C37" s="8"/>
      <c r="D37" s="8"/>
      <c r="E37" s="8"/>
      <c r="F37" s="8"/>
    </row>
    <row r="38" customFormat="false" ht="15" hidden="false" customHeight="true" outlineLevel="0" collapsed="false">
      <c r="A38" s="8"/>
      <c r="B38" s="8"/>
      <c r="C38" s="8"/>
      <c r="D38" s="8"/>
      <c r="E38" s="8"/>
      <c r="F38" s="8"/>
    </row>
    <row r="39" customFormat="false" ht="15" hidden="false" customHeight="true" outlineLevel="0" collapsed="false">
      <c r="A39" s="8"/>
      <c r="B39" s="8"/>
      <c r="C39" s="8"/>
      <c r="D39" s="8"/>
      <c r="E39" s="8"/>
      <c r="F39" s="8"/>
    </row>
    <row r="40" customFormat="false" ht="15" hidden="false" customHeight="true" outlineLevel="0" collapsed="false">
      <c r="A40" s="8"/>
      <c r="B40" s="8"/>
      <c r="C40" s="8"/>
      <c r="D40" s="8"/>
      <c r="E40" s="8"/>
      <c r="F40" s="8"/>
    </row>
    <row r="41" customFormat="false" ht="15" hidden="false" customHeight="true" outlineLevel="0" collapsed="false">
      <c r="A41" s="8"/>
      <c r="B41" s="8"/>
      <c r="C41" s="8"/>
      <c r="D41" s="8"/>
      <c r="E41" s="8"/>
      <c r="F41" s="8"/>
    </row>
    <row r="42" customFormat="false" ht="15" hidden="false" customHeight="true" outlineLevel="0" collapsed="false">
      <c r="A42" s="8"/>
      <c r="B42" s="8"/>
      <c r="C42" s="8"/>
      <c r="D42" s="8"/>
      <c r="E42" s="8"/>
      <c r="F42" s="8"/>
    </row>
    <row r="43" customFormat="false" ht="15" hidden="false" customHeight="true" outlineLevel="0" collapsed="false">
      <c r="A43" s="8"/>
      <c r="B43" s="8"/>
      <c r="C43" s="8"/>
      <c r="D43" s="8"/>
      <c r="E43" s="8"/>
      <c r="F43" s="8"/>
    </row>
    <row r="44" customFormat="false" ht="15" hidden="false" customHeight="true" outlineLevel="0" collapsed="false">
      <c r="A44" s="8"/>
      <c r="B44" s="8"/>
      <c r="C44" s="8"/>
      <c r="D44" s="8"/>
      <c r="E44" s="8"/>
      <c r="F44" s="8"/>
    </row>
    <row r="45" customFormat="false" ht="15" hidden="false" customHeight="true" outlineLevel="0" collapsed="false">
      <c r="A45" s="8"/>
      <c r="B45" s="8"/>
      <c r="C45" s="8"/>
      <c r="D45" s="8"/>
      <c r="E45" s="8"/>
      <c r="F45" s="8"/>
    </row>
    <row r="46" customFormat="false" ht="15" hidden="false" customHeight="true" outlineLevel="0" collapsed="false">
      <c r="A46" s="8"/>
      <c r="B46" s="8"/>
      <c r="C46" s="8"/>
      <c r="D46" s="8"/>
      <c r="E46" s="8"/>
      <c r="F46" s="8"/>
    </row>
    <row r="47" customFormat="false" ht="15" hidden="false" customHeight="true" outlineLevel="0" collapsed="false">
      <c r="A47" s="8"/>
      <c r="B47" s="8"/>
      <c r="C47" s="8"/>
      <c r="D47" s="8"/>
      <c r="E47" s="8"/>
      <c r="F47" s="8"/>
    </row>
    <row r="48" customFormat="false" ht="15" hidden="false" customHeight="true" outlineLevel="0" collapsed="false">
      <c r="A48" s="8"/>
      <c r="B48" s="8"/>
      <c r="C48" s="8"/>
      <c r="D48" s="8"/>
      <c r="E48" s="8"/>
      <c r="F48" s="8"/>
    </row>
    <row r="49" customFormat="false" ht="15" hidden="false" customHeight="true" outlineLevel="0" collapsed="false">
      <c r="A49" s="8"/>
      <c r="B49" s="8"/>
      <c r="C49" s="8"/>
      <c r="D49" s="8"/>
      <c r="E49" s="8"/>
      <c r="F49" s="8"/>
    </row>
    <row r="50" customFormat="false" ht="15" hidden="false" customHeight="true" outlineLevel="0" collapsed="false">
      <c r="A50" s="8"/>
      <c r="B50" s="8"/>
      <c r="C50" s="8"/>
      <c r="D50" s="8"/>
      <c r="E50" s="8"/>
      <c r="F50" s="8"/>
    </row>
    <row r="51" customFormat="false" ht="15" hidden="false" customHeight="true" outlineLevel="0" collapsed="false">
      <c r="A51" s="8"/>
      <c r="B51" s="8"/>
      <c r="C51" s="8"/>
      <c r="D51" s="8"/>
      <c r="E51" s="8"/>
      <c r="F51" s="8"/>
    </row>
    <row r="52" customFormat="false" ht="15" hidden="false" customHeight="true" outlineLevel="0" collapsed="false">
      <c r="A52" s="8"/>
      <c r="B52" s="8"/>
      <c r="C52" s="8"/>
      <c r="D52" s="8"/>
      <c r="E52" s="8"/>
      <c r="F52" s="8"/>
    </row>
    <row r="53" customFormat="false" ht="15" hidden="false" customHeight="true" outlineLevel="0" collapsed="false">
      <c r="A53" s="8"/>
      <c r="B53" s="8"/>
      <c r="C53" s="8"/>
      <c r="D53" s="8"/>
      <c r="E53" s="8"/>
      <c r="F53" s="8"/>
    </row>
    <row r="54" customFormat="false" ht="15" hidden="false" customHeight="true" outlineLevel="0" collapsed="false">
      <c r="A54" s="8"/>
      <c r="B54" s="8"/>
      <c r="C54" s="8"/>
      <c r="D54" s="8"/>
      <c r="E54" s="8"/>
      <c r="F54" s="8"/>
    </row>
    <row r="55" customFormat="false" ht="15" hidden="false" customHeight="true" outlineLevel="0" collapsed="false">
      <c r="A55" s="8"/>
      <c r="B55" s="8"/>
      <c r="C55" s="8"/>
      <c r="D55" s="8"/>
      <c r="E55" s="8"/>
      <c r="F55" s="8"/>
    </row>
    <row r="56" customFormat="false" ht="15" hidden="false" customHeight="true" outlineLevel="0" collapsed="false">
      <c r="A56" s="8"/>
      <c r="B56" s="8"/>
      <c r="C56" s="8"/>
      <c r="D56" s="8"/>
      <c r="E56" s="8"/>
      <c r="F56" s="8"/>
    </row>
    <row r="57" customFormat="false" ht="15" hidden="false" customHeight="true" outlineLevel="0" collapsed="false">
      <c r="A57" s="8"/>
      <c r="B57" s="8"/>
      <c r="C57" s="8"/>
      <c r="D57" s="8"/>
      <c r="E57" s="8"/>
      <c r="F57" s="8"/>
    </row>
    <row r="58" customFormat="false" ht="15" hidden="false" customHeight="true" outlineLevel="0" collapsed="false">
      <c r="A58" s="8"/>
      <c r="B58" s="8"/>
      <c r="C58" s="8"/>
      <c r="D58" s="8"/>
      <c r="E58" s="8"/>
      <c r="F58" s="8"/>
    </row>
    <row r="59" customFormat="false" ht="15" hidden="false" customHeight="true" outlineLevel="0" collapsed="false">
      <c r="A59" s="8"/>
      <c r="B59" s="8"/>
      <c r="C59" s="8"/>
      <c r="D59" s="8"/>
      <c r="E59" s="8"/>
      <c r="F59" s="8"/>
    </row>
    <row r="60" customFormat="false" ht="15" hidden="false" customHeight="true" outlineLevel="0" collapsed="false">
      <c r="A60" s="8"/>
      <c r="B60" s="8"/>
      <c r="C60" s="8"/>
      <c r="D60" s="8"/>
      <c r="E60" s="8"/>
      <c r="F60" s="8"/>
    </row>
    <row r="61" customFormat="false" ht="15" hidden="false" customHeight="true" outlineLevel="0" collapsed="false">
      <c r="A61" s="8"/>
      <c r="B61" s="8"/>
      <c r="C61" s="8"/>
      <c r="D61" s="8"/>
      <c r="E61" s="8"/>
      <c r="F61" s="8"/>
    </row>
    <row r="62" customFormat="false" ht="15" hidden="false" customHeight="true" outlineLevel="0" collapsed="false">
      <c r="A62" s="8"/>
      <c r="B62" s="8"/>
      <c r="C62" s="8"/>
      <c r="D62" s="8"/>
      <c r="E62" s="8"/>
      <c r="F62" s="8"/>
    </row>
    <row r="63" customFormat="false" ht="15" hidden="false" customHeight="true" outlineLevel="0" collapsed="false">
      <c r="A63" s="8"/>
      <c r="B63" s="8"/>
      <c r="C63" s="8"/>
      <c r="D63" s="8"/>
      <c r="E63" s="8"/>
      <c r="F63" s="8"/>
    </row>
    <row r="64" customFormat="false" ht="15" hidden="false" customHeight="true" outlineLevel="0" collapsed="false">
      <c r="A64" s="8"/>
      <c r="B64" s="8"/>
      <c r="C64" s="8"/>
      <c r="D64" s="8"/>
      <c r="E64" s="8"/>
      <c r="F64" s="8"/>
    </row>
    <row r="65" customFormat="false" ht="15" hidden="false" customHeight="true" outlineLevel="0" collapsed="false">
      <c r="A65" s="8"/>
      <c r="B65" s="8"/>
      <c r="C65" s="8"/>
      <c r="D65" s="8"/>
      <c r="E65" s="8"/>
      <c r="F65" s="8"/>
    </row>
    <row r="66" customFormat="false" ht="15" hidden="false" customHeight="true" outlineLevel="0" collapsed="false">
      <c r="A66" s="8"/>
      <c r="B66" s="8"/>
      <c r="C66" s="8"/>
      <c r="D66" s="8"/>
      <c r="E66" s="8"/>
      <c r="F66" s="8"/>
    </row>
    <row r="67" customFormat="false" ht="15" hidden="false" customHeight="true" outlineLevel="0" collapsed="false">
      <c r="A67" s="8"/>
      <c r="B67" s="8"/>
      <c r="C67" s="8"/>
      <c r="D67" s="8"/>
      <c r="E67" s="8"/>
      <c r="F67" s="8"/>
    </row>
    <row r="68" customFormat="false" ht="15" hidden="false" customHeight="true" outlineLevel="0" collapsed="false">
      <c r="A68" s="8"/>
      <c r="B68" s="8"/>
      <c r="C68" s="8"/>
      <c r="D68" s="8"/>
      <c r="E68" s="8"/>
      <c r="F68" s="8"/>
    </row>
    <row r="69" customFormat="false" ht="15" hidden="false" customHeight="true" outlineLevel="0" collapsed="false">
      <c r="A69" s="8"/>
      <c r="B69" s="8"/>
      <c r="C69" s="8"/>
      <c r="D69" s="8"/>
      <c r="E69" s="8"/>
      <c r="F69" s="8"/>
    </row>
    <row r="70" customFormat="false" ht="15" hidden="false" customHeight="true" outlineLevel="0" collapsed="false">
      <c r="A70" s="8"/>
      <c r="B70" s="8"/>
      <c r="C70" s="8"/>
      <c r="D70" s="8"/>
      <c r="E70" s="8"/>
      <c r="F70" s="8"/>
    </row>
    <row r="71" customFormat="false" ht="15" hidden="false" customHeight="true" outlineLevel="0" collapsed="false">
      <c r="A71" s="8"/>
      <c r="B71" s="8"/>
      <c r="C71" s="8"/>
      <c r="D71" s="8"/>
      <c r="E71" s="8"/>
      <c r="F71" s="8"/>
    </row>
    <row r="72" customFormat="false" ht="15" hidden="false" customHeight="true" outlineLevel="0" collapsed="false">
      <c r="A72" s="8"/>
      <c r="B72" s="8"/>
      <c r="C72" s="8"/>
      <c r="D72" s="8"/>
      <c r="E72" s="8"/>
      <c r="F72" s="8"/>
    </row>
    <row r="73" customFormat="false" ht="15" hidden="false" customHeight="true" outlineLevel="0" collapsed="false">
      <c r="A73" s="8"/>
      <c r="B73" s="8"/>
      <c r="C73" s="8"/>
      <c r="D73" s="8"/>
      <c r="E73" s="8"/>
      <c r="F73" s="8"/>
    </row>
    <row r="74" customFormat="false" ht="15" hidden="false" customHeight="true" outlineLevel="0" collapsed="false">
      <c r="A74" s="8"/>
      <c r="B74" s="8"/>
      <c r="C74" s="8"/>
      <c r="D74" s="8"/>
      <c r="E74" s="8"/>
      <c r="F74" s="8"/>
    </row>
    <row r="75" customFormat="false" ht="15" hidden="false" customHeight="true" outlineLevel="0" collapsed="false">
      <c r="A75" s="8"/>
      <c r="B75" s="8"/>
      <c r="C75" s="8"/>
      <c r="D75" s="8"/>
      <c r="E75" s="8"/>
      <c r="F75" s="8"/>
    </row>
    <row r="76" customFormat="false" ht="15" hidden="false" customHeight="true" outlineLevel="0" collapsed="false">
      <c r="A76" s="8"/>
      <c r="B76" s="8"/>
      <c r="C76" s="8"/>
      <c r="D76" s="8"/>
      <c r="E76" s="8"/>
      <c r="F76" s="8"/>
    </row>
    <row r="77" customFormat="false" ht="15" hidden="false" customHeight="true" outlineLevel="0" collapsed="false">
      <c r="A77" s="8"/>
      <c r="B77" s="8"/>
      <c r="C77" s="8"/>
      <c r="D77" s="8"/>
      <c r="E77" s="8"/>
      <c r="F77" s="8"/>
    </row>
    <row r="78" customFormat="false" ht="15" hidden="false" customHeight="true" outlineLevel="0" collapsed="false">
      <c r="A78" s="8"/>
      <c r="B78" s="8"/>
      <c r="C78" s="8"/>
      <c r="D78" s="8"/>
      <c r="E78" s="8"/>
      <c r="F78" s="8"/>
    </row>
    <row r="79" customFormat="false" ht="15" hidden="false" customHeight="true" outlineLevel="0" collapsed="false">
      <c r="A79" s="8"/>
      <c r="B79" s="8"/>
      <c r="C79" s="8"/>
      <c r="D79" s="8"/>
      <c r="E79" s="8"/>
      <c r="F79" s="8"/>
    </row>
    <row r="80" customFormat="false" ht="15" hidden="false" customHeight="true" outlineLevel="0" collapsed="false">
      <c r="A80" s="8"/>
      <c r="B80" s="8"/>
      <c r="C80" s="8"/>
      <c r="D80" s="8"/>
      <c r="E80" s="8"/>
      <c r="F80" s="8"/>
    </row>
    <row r="81" customFormat="false" ht="15" hidden="false" customHeight="true" outlineLevel="0" collapsed="false">
      <c r="A81" s="8"/>
      <c r="B81" s="8"/>
      <c r="C81" s="8"/>
      <c r="D81" s="8"/>
      <c r="E81" s="8"/>
      <c r="F81" s="8"/>
    </row>
    <row r="82" customFormat="false" ht="15" hidden="false" customHeight="true" outlineLevel="0" collapsed="false">
      <c r="A82" s="8"/>
      <c r="B82" s="8"/>
      <c r="C82" s="8"/>
      <c r="D82" s="8"/>
      <c r="E82" s="8"/>
      <c r="F82" s="8"/>
    </row>
    <row r="83" customFormat="false" ht="15" hidden="false" customHeight="true" outlineLevel="0" collapsed="false">
      <c r="A83" s="8"/>
      <c r="B83" s="8"/>
      <c r="C83" s="8"/>
      <c r="D83" s="8"/>
      <c r="E83" s="8"/>
      <c r="F83" s="8"/>
    </row>
    <row r="84" customFormat="false" ht="15" hidden="false" customHeight="true" outlineLevel="0" collapsed="false">
      <c r="A84" s="8"/>
      <c r="B84" s="8"/>
      <c r="C84" s="8"/>
      <c r="D84" s="8"/>
      <c r="E84" s="8"/>
      <c r="F84" s="8"/>
    </row>
    <row r="85" customFormat="false" ht="15" hidden="false" customHeight="true" outlineLevel="0" collapsed="false">
      <c r="A85" s="8"/>
      <c r="B85" s="8"/>
      <c r="C85" s="8"/>
      <c r="D85" s="8"/>
      <c r="E85" s="8"/>
      <c r="F85" s="8"/>
    </row>
    <row r="86" customFormat="false" ht="15" hidden="false" customHeight="true" outlineLevel="0" collapsed="false">
      <c r="A86" s="8"/>
      <c r="B86" s="8"/>
      <c r="C86" s="8"/>
      <c r="D86" s="8"/>
      <c r="E86" s="8"/>
      <c r="F86" s="8"/>
    </row>
    <row r="87" customFormat="false" ht="15" hidden="false" customHeight="true" outlineLevel="0" collapsed="false">
      <c r="A87" s="8"/>
      <c r="B87" s="8"/>
      <c r="C87" s="8"/>
      <c r="D87" s="8"/>
      <c r="E87" s="8"/>
      <c r="F87" s="8"/>
    </row>
    <row r="88" customFormat="false" ht="15" hidden="false" customHeight="true" outlineLevel="0" collapsed="false">
      <c r="A88" s="8"/>
      <c r="B88" s="8"/>
      <c r="C88" s="8"/>
      <c r="D88" s="8"/>
      <c r="E88" s="8"/>
      <c r="F88" s="8"/>
    </row>
    <row r="89" customFormat="false" ht="15" hidden="false" customHeight="true" outlineLevel="0" collapsed="false">
      <c r="A89" s="8"/>
      <c r="B89" s="8"/>
      <c r="C89" s="8"/>
      <c r="D89" s="8"/>
      <c r="E89" s="8"/>
      <c r="F89" s="8"/>
    </row>
    <row r="90" customFormat="false" ht="15" hidden="false" customHeight="true" outlineLevel="0" collapsed="false">
      <c r="A90" s="8"/>
      <c r="B90" s="8"/>
      <c r="C90" s="8"/>
      <c r="D90" s="8"/>
      <c r="E90" s="8"/>
      <c r="F90" s="8"/>
    </row>
    <row r="91" customFormat="false" ht="15" hidden="false" customHeight="true" outlineLevel="0" collapsed="false">
      <c r="A91" s="8"/>
      <c r="B91" s="8"/>
      <c r="C91" s="8"/>
      <c r="D91" s="8"/>
      <c r="E91" s="8"/>
      <c r="F91" s="8"/>
    </row>
    <row r="92" customFormat="false" ht="15" hidden="false" customHeight="true" outlineLevel="0" collapsed="false">
      <c r="A92" s="8"/>
      <c r="B92" s="8"/>
      <c r="C92" s="8"/>
      <c r="D92" s="8"/>
      <c r="E92" s="8"/>
      <c r="F92" s="8"/>
    </row>
    <row r="93" customFormat="false" ht="15" hidden="false" customHeight="true" outlineLevel="0" collapsed="false">
      <c r="A93" s="8"/>
      <c r="B93" s="8"/>
      <c r="C93" s="8"/>
      <c r="D93" s="8"/>
      <c r="E93" s="8"/>
      <c r="F93" s="8"/>
    </row>
    <row r="94" customFormat="false" ht="15" hidden="false" customHeight="true" outlineLevel="0" collapsed="false">
      <c r="A94" s="8"/>
      <c r="B94" s="8"/>
      <c r="C94" s="8"/>
      <c r="D94" s="8"/>
      <c r="E94" s="8"/>
      <c r="F94" s="8"/>
    </row>
    <row r="95" customFormat="false" ht="15" hidden="false" customHeight="true" outlineLevel="0" collapsed="false">
      <c r="A95" s="8"/>
      <c r="B95" s="8"/>
      <c r="C95" s="8"/>
      <c r="D95" s="8"/>
      <c r="E95" s="8"/>
      <c r="F95" s="8"/>
    </row>
    <row r="96" customFormat="false" ht="15" hidden="false" customHeight="true" outlineLevel="0" collapsed="false">
      <c r="A96" s="8"/>
      <c r="B96" s="8"/>
      <c r="C96" s="8"/>
      <c r="D96" s="8"/>
      <c r="E96" s="8"/>
      <c r="F96" s="8"/>
    </row>
    <row r="97" customFormat="false" ht="15" hidden="false" customHeight="true" outlineLevel="0" collapsed="false">
      <c r="A97" s="8"/>
      <c r="B97" s="8"/>
      <c r="C97" s="8"/>
      <c r="D97" s="8"/>
      <c r="E97" s="8"/>
      <c r="F97" s="8"/>
    </row>
    <row r="98" customFormat="false" ht="15" hidden="false" customHeight="true" outlineLevel="0" collapsed="false">
      <c r="A98" s="8"/>
      <c r="B98" s="8"/>
      <c r="C98" s="8"/>
      <c r="D98" s="8"/>
      <c r="E98" s="8"/>
      <c r="F98" s="8"/>
    </row>
    <row r="99" customFormat="false" ht="15" hidden="false" customHeight="true" outlineLevel="0" collapsed="false">
      <c r="A99" s="8"/>
      <c r="B99" s="8"/>
      <c r="C99" s="8"/>
      <c r="D99" s="8"/>
      <c r="E99" s="8"/>
      <c r="F99" s="8"/>
    </row>
    <row r="100" customFormat="false" ht="15" hidden="false" customHeight="true" outlineLevel="0" collapsed="false">
      <c r="A100" s="8"/>
      <c r="B100" s="8"/>
      <c r="C100" s="8"/>
      <c r="D100" s="8"/>
      <c r="E100" s="8"/>
      <c r="F100" s="8"/>
    </row>
    <row r="101" customFormat="false" ht="15" hidden="false" customHeight="true" outlineLevel="0" collapsed="false">
      <c r="A101" s="8"/>
      <c r="B101" s="8"/>
      <c r="C101" s="8"/>
      <c r="D101" s="8"/>
      <c r="E101" s="8"/>
      <c r="F101" s="8"/>
    </row>
    <row r="102" customFormat="false" ht="15" hidden="false" customHeight="true" outlineLevel="0" collapsed="false">
      <c r="A102" s="8"/>
      <c r="B102" s="8"/>
      <c r="C102" s="8"/>
      <c r="D102" s="8"/>
      <c r="E102" s="8"/>
      <c r="F102" s="8"/>
    </row>
    <row r="103" customFormat="false" ht="15" hidden="false" customHeight="true" outlineLevel="0" collapsed="false">
      <c r="A103" s="8"/>
      <c r="B103" s="8"/>
      <c r="C103" s="8"/>
      <c r="D103" s="8"/>
      <c r="E103" s="8"/>
      <c r="F103" s="8"/>
    </row>
    <row r="104" customFormat="false" ht="15" hidden="false" customHeight="true" outlineLevel="0" collapsed="false">
      <c r="A104" s="8"/>
      <c r="B104" s="8"/>
      <c r="C104" s="8"/>
      <c r="D104" s="8"/>
      <c r="E104" s="8"/>
      <c r="F104" s="8"/>
    </row>
    <row r="105" customFormat="false" ht="15" hidden="false" customHeight="true" outlineLevel="0" collapsed="false">
      <c r="A105" s="8"/>
      <c r="B105" s="8"/>
      <c r="C105" s="8"/>
      <c r="D105" s="8"/>
      <c r="E105" s="8"/>
      <c r="F105" s="8"/>
    </row>
    <row r="106" customFormat="false" ht="15" hidden="false" customHeight="true" outlineLevel="0" collapsed="false">
      <c r="A106" s="8"/>
      <c r="B106" s="8"/>
      <c r="C106" s="8"/>
      <c r="D106" s="8"/>
      <c r="E106" s="8"/>
      <c r="F106" s="8"/>
    </row>
    <row r="107" customFormat="false" ht="15" hidden="false" customHeight="true" outlineLevel="0" collapsed="false">
      <c r="A107" s="8"/>
      <c r="B107" s="8"/>
      <c r="C107" s="8"/>
      <c r="D107" s="8"/>
      <c r="E107" s="8"/>
      <c r="F107" s="8"/>
    </row>
    <row r="108" customFormat="false" ht="15" hidden="false" customHeight="true" outlineLevel="0" collapsed="false">
      <c r="A108" s="8"/>
      <c r="B108" s="8"/>
      <c r="C108" s="8"/>
      <c r="D108" s="8"/>
      <c r="E108" s="8"/>
      <c r="F108" s="8"/>
    </row>
    <row r="109" customFormat="false" ht="15" hidden="false" customHeight="true" outlineLevel="0" collapsed="false">
      <c r="A109" s="8"/>
      <c r="B109" s="8"/>
      <c r="C109" s="8"/>
      <c r="D109" s="8"/>
      <c r="E109" s="8"/>
      <c r="F109" s="8"/>
    </row>
    <row r="110" customFormat="false" ht="15" hidden="false" customHeight="true" outlineLevel="0" collapsed="false">
      <c r="A110" s="8"/>
      <c r="B110" s="8"/>
      <c r="C110" s="8"/>
      <c r="D110" s="8"/>
      <c r="E110" s="8"/>
      <c r="F110" s="8"/>
    </row>
    <row r="111" customFormat="false" ht="15" hidden="false" customHeight="true" outlineLevel="0" collapsed="false">
      <c r="A111" s="8"/>
      <c r="B111" s="8"/>
      <c r="C111" s="8"/>
      <c r="D111" s="8"/>
      <c r="E111" s="8"/>
      <c r="F111" s="8"/>
    </row>
    <row r="112" customFormat="false" ht="15" hidden="false" customHeight="true" outlineLevel="0" collapsed="false">
      <c r="A112" s="8"/>
      <c r="B112" s="8"/>
      <c r="C112" s="8"/>
      <c r="D112" s="8"/>
      <c r="E112" s="8"/>
      <c r="F112" s="8"/>
    </row>
    <row r="113" customFormat="false" ht="15" hidden="false" customHeight="true" outlineLevel="0" collapsed="false">
      <c r="A113" s="8"/>
      <c r="B113" s="8"/>
      <c r="C113" s="8"/>
      <c r="D113" s="8"/>
      <c r="E113" s="8"/>
      <c r="F113" s="8"/>
    </row>
    <row r="114" customFormat="false" ht="15" hidden="false" customHeight="true" outlineLevel="0" collapsed="false">
      <c r="A114" s="8"/>
      <c r="B114" s="8"/>
      <c r="C114" s="8"/>
      <c r="D114" s="8"/>
      <c r="E114" s="8"/>
      <c r="F114" s="8"/>
    </row>
    <row r="115" customFormat="false" ht="15" hidden="false" customHeight="true" outlineLevel="0" collapsed="false">
      <c r="A115" s="8"/>
      <c r="B115" s="8"/>
      <c r="C115" s="8"/>
      <c r="D115" s="8"/>
      <c r="E115" s="8"/>
      <c r="F115" s="8"/>
    </row>
    <row r="116" customFormat="false" ht="15" hidden="false" customHeight="true" outlineLevel="0" collapsed="false">
      <c r="A116" s="8"/>
      <c r="B116" s="8"/>
      <c r="C116" s="8"/>
      <c r="D116" s="8"/>
      <c r="E116" s="8"/>
      <c r="F116" s="8"/>
    </row>
    <row r="117" customFormat="false" ht="15" hidden="false" customHeight="true" outlineLevel="0" collapsed="false">
      <c r="A117" s="8"/>
      <c r="B117" s="8"/>
      <c r="C117" s="8"/>
      <c r="D117" s="8"/>
      <c r="E117" s="8"/>
      <c r="F117" s="8"/>
    </row>
    <row r="118" customFormat="false" ht="15" hidden="false" customHeight="true" outlineLevel="0" collapsed="false">
      <c r="A118" s="8"/>
      <c r="B118" s="8"/>
      <c r="C118" s="8"/>
      <c r="D118" s="8"/>
      <c r="E118" s="8"/>
      <c r="F118" s="8"/>
    </row>
    <row r="119" customFormat="false" ht="15" hidden="false" customHeight="true" outlineLevel="0" collapsed="false">
      <c r="A119" s="8"/>
      <c r="B119" s="8"/>
      <c r="C119" s="8"/>
      <c r="D119" s="8"/>
      <c r="E119" s="8"/>
      <c r="F119" s="8"/>
    </row>
    <row r="120" customFormat="false" ht="15" hidden="false" customHeight="true" outlineLevel="0" collapsed="false">
      <c r="A120" s="8"/>
      <c r="B120" s="8"/>
      <c r="C120" s="8"/>
      <c r="D120" s="8"/>
      <c r="E120" s="8"/>
      <c r="F120" s="8"/>
    </row>
    <row r="121" customFormat="false" ht="15" hidden="false" customHeight="true" outlineLevel="0" collapsed="false">
      <c r="A121" s="8"/>
      <c r="B121" s="8"/>
      <c r="C121" s="8"/>
      <c r="D121" s="8"/>
      <c r="E121" s="8"/>
      <c r="F121" s="8"/>
    </row>
    <row r="122" customFormat="false" ht="15" hidden="false" customHeight="true" outlineLevel="0" collapsed="false">
      <c r="A122" s="8"/>
      <c r="B122" s="8"/>
      <c r="C122" s="8"/>
      <c r="D122" s="8"/>
      <c r="E122" s="8"/>
      <c r="F122" s="8"/>
    </row>
    <row r="123" customFormat="false" ht="15" hidden="false" customHeight="true" outlineLevel="0" collapsed="false">
      <c r="A123" s="8"/>
      <c r="B123" s="8"/>
      <c r="C123" s="8"/>
      <c r="D123" s="8"/>
      <c r="E123" s="8"/>
      <c r="F123" s="8"/>
    </row>
    <row r="124" customFormat="false" ht="15" hidden="false" customHeight="true" outlineLevel="0" collapsed="false">
      <c r="A124" s="8"/>
      <c r="B124" s="8"/>
      <c r="C124" s="8"/>
      <c r="D124" s="8"/>
      <c r="E124" s="8"/>
      <c r="F124" s="8"/>
    </row>
    <row r="125" customFormat="false" ht="15" hidden="false" customHeight="true" outlineLevel="0" collapsed="false">
      <c r="A125" s="8"/>
      <c r="B125" s="8"/>
      <c r="C125" s="8"/>
      <c r="D125" s="8"/>
      <c r="E125" s="8"/>
      <c r="F125" s="8"/>
    </row>
    <row r="126" customFormat="false" ht="15" hidden="false" customHeight="true" outlineLevel="0" collapsed="false">
      <c r="A126" s="8"/>
      <c r="B126" s="8"/>
      <c r="C126" s="8"/>
      <c r="D126" s="8"/>
      <c r="E126" s="8"/>
      <c r="F126" s="8"/>
    </row>
    <row r="127" customFormat="false" ht="15" hidden="false" customHeight="true" outlineLevel="0" collapsed="false">
      <c r="A127" s="8"/>
      <c r="B127" s="8"/>
      <c r="C127" s="8"/>
      <c r="D127" s="8"/>
      <c r="E127" s="8"/>
      <c r="F127" s="8"/>
    </row>
    <row r="128" customFormat="false" ht="15" hidden="false" customHeight="true" outlineLevel="0" collapsed="false">
      <c r="A128" s="8"/>
      <c r="B128" s="8"/>
      <c r="C128" s="8"/>
      <c r="D128" s="8"/>
      <c r="E128" s="8"/>
      <c r="F128" s="8"/>
    </row>
    <row r="129" customFormat="false" ht="15" hidden="false" customHeight="true" outlineLevel="0" collapsed="false">
      <c r="A129" s="8"/>
      <c r="B129" s="8"/>
      <c r="C129" s="8"/>
      <c r="D129" s="8"/>
      <c r="E129" s="8"/>
      <c r="F129" s="8"/>
    </row>
    <row r="130" customFormat="false" ht="15" hidden="false" customHeight="true" outlineLevel="0" collapsed="false">
      <c r="A130" s="8"/>
      <c r="B130" s="8"/>
      <c r="C130" s="8"/>
      <c r="D130" s="8"/>
      <c r="E130" s="8"/>
      <c r="F130" s="8"/>
    </row>
    <row r="131" customFormat="false" ht="15" hidden="false" customHeight="true" outlineLevel="0" collapsed="false">
      <c r="A131" s="8"/>
      <c r="B131" s="8"/>
      <c r="C131" s="8"/>
      <c r="D131" s="8"/>
      <c r="E131" s="8"/>
      <c r="F131" s="8"/>
    </row>
    <row r="132" customFormat="false" ht="15" hidden="false" customHeight="true" outlineLevel="0" collapsed="false">
      <c r="A132" s="8"/>
      <c r="B132" s="8"/>
      <c r="C132" s="8"/>
      <c r="D132" s="8"/>
      <c r="E132" s="8"/>
      <c r="F132" s="8"/>
    </row>
    <row r="133" customFormat="false" ht="15" hidden="false" customHeight="true" outlineLevel="0" collapsed="false">
      <c r="A133" s="8"/>
      <c r="B133" s="8"/>
      <c r="C133" s="8"/>
      <c r="D133" s="8"/>
      <c r="E133" s="8"/>
      <c r="F133" s="8"/>
    </row>
    <row r="134" customFormat="false" ht="15" hidden="false" customHeight="true" outlineLevel="0" collapsed="false">
      <c r="A134" s="8"/>
      <c r="B134" s="8"/>
      <c r="C134" s="8"/>
      <c r="D134" s="8"/>
      <c r="E134" s="8"/>
      <c r="F134" s="8"/>
    </row>
    <row r="135" customFormat="false" ht="15" hidden="false" customHeight="true" outlineLevel="0" collapsed="false">
      <c r="A135" s="8"/>
      <c r="B135" s="8"/>
      <c r="C135" s="8"/>
      <c r="D135" s="8"/>
      <c r="E135" s="8"/>
      <c r="F135" s="8"/>
    </row>
    <row r="136" customFormat="false" ht="15" hidden="false" customHeight="true" outlineLevel="0" collapsed="false">
      <c r="A136" s="8"/>
      <c r="B136" s="8"/>
      <c r="C136" s="8"/>
      <c r="D136" s="8"/>
      <c r="E136" s="8"/>
      <c r="F136" s="8"/>
    </row>
    <row r="137" customFormat="false" ht="15" hidden="false" customHeight="true" outlineLevel="0" collapsed="false">
      <c r="A137" s="8"/>
      <c r="B137" s="8"/>
      <c r="C137" s="8"/>
      <c r="D137" s="8"/>
      <c r="E137" s="8"/>
      <c r="F137" s="8"/>
    </row>
    <row r="138" customFormat="false" ht="15" hidden="false" customHeight="true" outlineLevel="0" collapsed="false">
      <c r="A138" s="8"/>
      <c r="B138" s="8"/>
      <c r="C138" s="8"/>
      <c r="D138" s="8"/>
      <c r="E138" s="8"/>
      <c r="F138" s="8"/>
    </row>
    <row r="139" customFormat="false" ht="15" hidden="false" customHeight="true" outlineLevel="0" collapsed="false">
      <c r="A139" s="8"/>
      <c r="B139" s="8"/>
      <c r="C139" s="8"/>
      <c r="D139" s="8"/>
      <c r="E139" s="8"/>
      <c r="F139" s="8"/>
    </row>
    <row r="140" customFormat="false" ht="15" hidden="false" customHeight="true" outlineLevel="0" collapsed="false">
      <c r="A140" s="8"/>
      <c r="B140" s="8"/>
      <c r="C140" s="8"/>
      <c r="D140" s="8"/>
      <c r="E140" s="8"/>
      <c r="F140" s="8"/>
    </row>
    <row r="141" customFormat="false" ht="15" hidden="false" customHeight="true" outlineLevel="0" collapsed="false">
      <c r="A141" s="8"/>
      <c r="B141" s="8"/>
      <c r="C141" s="8"/>
      <c r="D141" s="8"/>
      <c r="E141" s="8"/>
      <c r="F141" s="8"/>
    </row>
    <row r="142" customFormat="false" ht="15" hidden="false" customHeight="true" outlineLevel="0" collapsed="false">
      <c r="A142" s="8"/>
      <c r="B142" s="8"/>
      <c r="C142" s="8"/>
      <c r="D142" s="8"/>
      <c r="E142" s="8"/>
      <c r="F142" s="8"/>
    </row>
    <row r="143" customFormat="false" ht="15" hidden="false" customHeight="true" outlineLevel="0" collapsed="false">
      <c r="A143" s="8"/>
      <c r="B143" s="8"/>
      <c r="C143" s="8"/>
      <c r="D143" s="8"/>
      <c r="E143" s="8"/>
      <c r="F143" s="8"/>
    </row>
    <row r="144" customFormat="false" ht="15" hidden="false" customHeight="true" outlineLevel="0" collapsed="false">
      <c r="A144" s="8"/>
      <c r="B144" s="8"/>
      <c r="C144" s="8"/>
      <c r="D144" s="8"/>
      <c r="E144" s="8"/>
      <c r="F144" s="8"/>
    </row>
    <row r="145" customFormat="false" ht="15" hidden="false" customHeight="true" outlineLevel="0" collapsed="false">
      <c r="A145" s="8"/>
      <c r="B145" s="8"/>
      <c r="C145" s="8"/>
      <c r="D145" s="8"/>
      <c r="E145" s="8"/>
      <c r="F145" s="8"/>
    </row>
    <row r="146" customFormat="false" ht="15" hidden="false" customHeight="true" outlineLevel="0" collapsed="false">
      <c r="A146" s="8"/>
      <c r="B146" s="8"/>
      <c r="C146" s="8"/>
      <c r="D146" s="8"/>
      <c r="E146" s="8"/>
      <c r="F146" s="8"/>
    </row>
    <row r="147" customFormat="false" ht="15" hidden="false" customHeight="true" outlineLevel="0" collapsed="false">
      <c r="A147" s="8"/>
      <c r="B147" s="8"/>
      <c r="C147" s="8"/>
      <c r="D147" s="8"/>
      <c r="E147" s="8"/>
      <c r="F147" s="8"/>
    </row>
    <row r="148" customFormat="false" ht="15" hidden="false" customHeight="true" outlineLevel="0" collapsed="false">
      <c r="A148" s="8"/>
      <c r="B148" s="8"/>
      <c r="C148" s="8"/>
      <c r="D148" s="8"/>
      <c r="E148" s="8"/>
      <c r="F148" s="8"/>
    </row>
    <row r="149" customFormat="false" ht="15" hidden="false" customHeight="true" outlineLevel="0" collapsed="false">
      <c r="A149" s="8"/>
      <c r="B149" s="8"/>
      <c r="C149" s="8"/>
      <c r="D149" s="8"/>
      <c r="E149" s="8"/>
      <c r="F149" s="8"/>
    </row>
    <row r="150" customFormat="false" ht="15" hidden="false" customHeight="true" outlineLevel="0" collapsed="false">
      <c r="A150" s="8"/>
      <c r="B150" s="8"/>
      <c r="C150" s="8"/>
      <c r="D150" s="8"/>
      <c r="E150" s="8"/>
      <c r="F150" s="8"/>
    </row>
    <row r="151" customFormat="false" ht="15" hidden="false" customHeight="true" outlineLevel="0" collapsed="false">
      <c r="A151" s="8"/>
      <c r="B151" s="8"/>
      <c r="C151" s="8"/>
      <c r="D151" s="8"/>
      <c r="E151" s="8"/>
      <c r="F151" s="8"/>
    </row>
    <row r="152" customFormat="false" ht="15" hidden="false" customHeight="true" outlineLevel="0" collapsed="false">
      <c r="A152" s="8"/>
      <c r="B152" s="8"/>
      <c r="C152" s="8"/>
      <c r="D152" s="8"/>
      <c r="E152" s="8"/>
      <c r="F152" s="8"/>
    </row>
    <row r="153" customFormat="false" ht="15" hidden="false" customHeight="true" outlineLevel="0" collapsed="false">
      <c r="A153" s="8"/>
      <c r="B153" s="8"/>
      <c r="C153" s="8"/>
      <c r="D153" s="8"/>
      <c r="E153" s="8"/>
      <c r="F153" s="8"/>
    </row>
    <row r="154" customFormat="false" ht="15" hidden="false" customHeight="true" outlineLevel="0" collapsed="false">
      <c r="A154" s="8"/>
      <c r="B154" s="8"/>
      <c r="C154" s="8"/>
      <c r="D154" s="8"/>
      <c r="E154" s="8"/>
      <c r="F154" s="8"/>
    </row>
    <row r="155" customFormat="false" ht="15" hidden="false" customHeight="true" outlineLevel="0" collapsed="false">
      <c r="A155" s="8"/>
      <c r="B155" s="8"/>
      <c r="C155" s="8"/>
      <c r="D155" s="8"/>
      <c r="E155" s="8"/>
      <c r="F155" s="8"/>
    </row>
    <row r="156" customFormat="false" ht="15" hidden="false" customHeight="true" outlineLevel="0" collapsed="false">
      <c r="A156" s="8"/>
      <c r="B156" s="8"/>
      <c r="C156" s="8"/>
      <c r="D156" s="8"/>
      <c r="E156" s="8"/>
      <c r="F156" s="8"/>
    </row>
    <row r="157" customFormat="false" ht="15" hidden="false" customHeight="true" outlineLevel="0" collapsed="false">
      <c r="A157" s="8"/>
      <c r="B157" s="8"/>
      <c r="C157" s="8"/>
      <c r="D157" s="8"/>
      <c r="E157" s="8"/>
      <c r="F157" s="8"/>
    </row>
    <row r="158" customFormat="false" ht="15" hidden="false" customHeight="true" outlineLevel="0" collapsed="false">
      <c r="A158" s="8"/>
      <c r="B158" s="8"/>
      <c r="C158" s="8"/>
      <c r="D158" s="8"/>
      <c r="E158" s="8"/>
      <c r="F158" s="8"/>
    </row>
    <row r="159" customFormat="false" ht="15" hidden="false" customHeight="true" outlineLevel="0" collapsed="false">
      <c r="A159" s="8"/>
      <c r="B159" s="8"/>
      <c r="C159" s="8"/>
      <c r="D159" s="8"/>
      <c r="E159" s="8"/>
      <c r="F159" s="8"/>
    </row>
    <row r="160" customFormat="false" ht="15" hidden="false" customHeight="true" outlineLevel="0" collapsed="false">
      <c r="A160" s="8"/>
      <c r="B160" s="8"/>
      <c r="C160" s="8"/>
      <c r="D160" s="8"/>
      <c r="E160" s="8"/>
      <c r="F160" s="8"/>
    </row>
    <row r="161" customFormat="false" ht="15" hidden="false" customHeight="true" outlineLevel="0" collapsed="false">
      <c r="A161" s="8"/>
      <c r="B161" s="8"/>
      <c r="C161" s="8"/>
      <c r="D161" s="8"/>
      <c r="E161" s="8"/>
      <c r="F161" s="8"/>
    </row>
    <row r="162" customFormat="false" ht="15" hidden="false" customHeight="true" outlineLevel="0" collapsed="false">
      <c r="A162" s="8"/>
      <c r="B162" s="8"/>
      <c r="C162" s="8"/>
      <c r="D162" s="8"/>
      <c r="E162" s="8"/>
      <c r="F162" s="8"/>
    </row>
    <row r="163" customFormat="false" ht="15" hidden="false" customHeight="true" outlineLevel="0" collapsed="false">
      <c r="A163" s="8"/>
      <c r="B163" s="8"/>
      <c r="C163" s="8"/>
      <c r="D163" s="8"/>
      <c r="E163" s="8"/>
      <c r="F163" s="8"/>
    </row>
    <row r="164" customFormat="false" ht="15" hidden="false" customHeight="true" outlineLevel="0" collapsed="false">
      <c r="A164" s="8"/>
      <c r="B164" s="8"/>
      <c r="C164" s="8"/>
      <c r="D164" s="8"/>
      <c r="E164" s="8"/>
      <c r="F164" s="8"/>
    </row>
    <row r="165" customFormat="false" ht="15" hidden="false" customHeight="true" outlineLevel="0" collapsed="false">
      <c r="A165" s="8"/>
      <c r="B165" s="8"/>
      <c r="C165" s="8"/>
      <c r="D165" s="8"/>
      <c r="E165" s="8"/>
      <c r="F165" s="8"/>
    </row>
    <row r="166" customFormat="false" ht="15" hidden="false" customHeight="true" outlineLevel="0" collapsed="false">
      <c r="A166" s="8"/>
      <c r="B166" s="8"/>
      <c r="C166" s="8"/>
      <c r="D166" s="8"/>
      <c r="E166" s="8"/>
      <c r="F166" s="8"/>
    </row>
    <row r="167" customFormat="false" ht="15" hidden="false" customHeight="true" outlineLevel="0" collapsed="false">
      <c r="A167" s="8"/>
      <c r="B167" s="8"/>
      <c r="C167" s="8"/>
      <c r="D167" s="8"/>
      <c r="E167" s="8"/>
      <c r="F167" s="8"/>
    </row>
    <row r="168" customFormat="false" ht="15" hidden="false" customHeight="true" outlineLevel="0" collapsed="false">
      <c r="A168" s="8"/>
      <c r="B168" s="8"/>
      <c r="C168" s="8"/>
      <c r="D168" s="8"/>
      <c r="E168" s="8"/>
      <c r="F168" s="8"/>
    </row>
    <row r="169" customFormat="false" ht="15" hidden="false" customHeight="true" outlineLevel="0" collapsed="false">
      <c r="A169" s="8"/>
      <c r="B169" s="8"/>
      <c r="C169" s="8"/>
      <c r="D169" s="8"/>
      <c r="E169" s="8"/>
      <c r="F169" s="8"/>
    </row>
    <row r="170" customFormat="false" ht="15" hidden="false" customHeight="true" outlineLevel="0" collapsed="false">
      <c r="A170" s="8"/>
      <c r="B170" s="8"/>
      <c r="C170" s="8"/>
      <c r="D170" s="8"/>
      <c r="E170" s="8"/>
      <c r="F170" s="8"/>
    </row>
    <row r="171" customFormat="false" ht="15" hidden="false" customHeight="true" outlineLevel="0" collapsed="false">
      <c r="A171" s="8"/>
      <c r="B171" s="8"/>
      <c r="C171" s="8"/>
      <c r="D171" s="8"/>
      <c r="E171" s="8"/>
      <c r="F171" s="8"/>
    </row>
    <row r="172" customFormat="false" ht="15" hidden="false" customHeight="true" outlineLevel="0" collapsed="false">
      <c r="A172" s="8"/>
      <c r="B172" s="8"/>
      <c r="C172" s="8"/>
      <c r="D172" s="8"/>
      <c r="E172" s="8"/>
      <c r="F172" s="8"/>
    </row>
    <row r="173" customFormat="false" ht="15" hidden="false" customHeight="true" outlineLevel="0" collapsed="false">
      <c r="A173" s="8"/>
      <c r="B173" s="8"/>
      <c r="C173" s="8"/>
      <c r="D173" s="8"/>
      <c r="E173" s="8"/>
      <c r="F173" s="8"/>
    </row>
    <row r="174" customFormat="false" ht="15" hidden="false" customHeight="true" outlineLevel="0" collapsed="false">
      <c r="A174" s="8"/>
      <c r="B174" s="8"/>
      <c r="C174" s="8"/>
      <c r="D174" s="8"/>
      <c r="E174" s="8"/>
      <c r="F174" s="8"/>
    </row>
    <row r="175" customFormat="false" ht="15" hidden="false" customHeight="true" outlineLevel="0" collapsed="false">
      <c r="A175" s="8"/>
      <c r="B175" s="8"/>
      <c r="C175" s="8"/>
      <c r="D175" s="8"/>
      <c r="E175" s="8"/>
      <c r="F175" s="8"/>
    </row>
    <row r="176" customFormat="false" ht="15" hidden="false" customHeight="true" outlineLevel="0" collapsed="false">
      <c r="A176" s="8"/>
      <c r="B176" s="8"/>
      <c r="C176" s="8"/>
      <c r="D176" s="8"/>
      <c r="E176" s="8"/>
      <c r="F176" s="8"/>
    </row>
    <row r="177" customFormat="false" ht="15" hidden="false" customHeight="true" outlineLevel="0" collapsed="false">
      <c r="A177" s="8"/>
      <c r="B177" s="8"/>
      <c r="C177" s="8"/>
      <c r="D177" s="8"/>
      <c r="E177" s="8"/>
      <c r="F177" s="8"/>
    </row>
    <row r="178" customFormat="false" ht="15" hidden="false" customHeight="true" outlineLevel="0" collapsed="false">
      <c r="A178" s="8"/>
      <c r="B178" s="8"/>
      <c r="C178" s="8"/>
      <c r="D178" s="8"/>
      <c r="E178" s="8"/>
      <c r="F178" s="8"/>
    </row>
    <row r="179" customFormat="false" ht="15" hidden="false" customHeight="true" outlineLevel="0" collapsed="false">
      <c r="A179" s="8"/>
      <c r="B179" s="8"/>
      <c r="C179" s="8"/>
      <c r="D179" s="8"/>
      <c r="E179" s="8"/>
      <c r="F179" s="8"/>
    </row>
    <row r="180" customFormat="false" ht="15" hidden="false" customHeight="true" outlineLevel="0" collapsed="false">
      <c r="A180" s="8"/>
      <c r="B180" s="8"/>
      <c r="C180" s="8"/>
      <c r="D180" s="8"/>
      <c r="E180" s="8"/>
      <c r="F180" s="8"/>
    </row>
    <row r="181" customFormat="false" ht="15" hidden="false" customHeight="true" outlineLevel="0" collapsed="false">
      <c r="A181" s="8"/>
      <c r="B181" s="8"/>
      <c r="C181" s="8"/>
      <c r="D181" s="8"/>
      <c r="E181" s="8"/>
      <c r="F181" s="8"/>
    </row>
    <row r="182" customFormat="false" ht="15" hidden="false" customHeight="true" outlineLevel="0" collapsed="false">
      <c r="A182" s="8"/>
      <c r="B182" s="8"/>
      <c r="C182" s="8"/>
      <c r="D182" s="8"/>
      <c r="E182" s="8"/>
      <c r="F182" s="8"/>
    </row>
    <row r="183" customFormat="false" ht="15" hidden="false" customHeight="true" outlineLevel="0" collapsed="false">
      <c r="A183" s="8"/>
      <c r="B183" s="8"/>
      <c r="C183" s="8"/>
      <c r="D183" s="8"/>
      <c r="E183" s="8"/>
      <c r="F183" s="8"/>
    </row>
    <row r="184" customFormat="false" ht="15" hidden="false" customHeight="true" outlineLevel="0" collapsed="false">
      <c r="A184" s="8"/>
      <c r="B184" s="8"/>
      <c r="C184" s="8"/>
      <c r="D184" s="8"/>
      <c r="E184" s="8"/>
      <c r="F184" s="8"/>
    </row>
    <row r="185" customFormat="false" ht="15" hidden="false" customHeight="true" outlineLevel="0" collapsed="false">
      <c r="A185" s="8"/>
      <c r="B185" s="8"/>
      <c r="C185" s="8"/>
      <c r="D185" s="8"/>
      <c r="E185" s="8"/>
      <c r="F185" s="8"/>
    </row>
    <row r="186" customFormat="false" ht="15" hidden="false" customHeight="true" outlineLevel="0" collapsed="false">
      <c r="A186" s="8"/>
      <c r="B186" s="8"/>
      <c r="C186" s="8"/>
      <c r="D186" s="8"/>
      <c r="E186" s="8"/>
      <c r="F186" s="8"/>
    </row>
    <row r="187" customFormat="false" ht="15" hidden="false" customHeight="true" outlineLevel="0" collapsed="false">
      <c r="A187" s="8"/>
      <c r="B187" s="8"/>
      <c r="C187" s="8"/>
      <c r="D187" s="8"/>
      <c r="E187" s="8"/>
      <c r="F187" s="8"/>
    </row>
    <row r="188" customFormat="false" ht="15" hidden="false" customHeight="true" outlineLevel="0" collapsed="false">
      <c r="A188" s="8"/>
      <c r="B188" s="8"/>
      <c r="C188" s="8"/>
      <c r="D188" s="8"/>
      <c r="E188" s="8"/>
      <c r="F188" s="8"/>
    </row>
    <row r="189" customFormat="false" ht="15" hidden="false" customHeight="true" outlineLevel="0" collapsed="false">
      <c r="A189" s="8"/>
      <c r="B189" s="8"/>
      <c r="C189" s="8"/>
      <c r="D189" s="8"/>
      <c r="E189" s="8"/>
      <c r="F189" s="8"/>
    </row>
    <row r="190" customFormat="false" ht="15" hidden="false" customHeight="true" outlineLevel="0" collapsed="false">
      <c r="A190" s="8"/>
      <c r="B190" s="8"/>
      <c r="C190" s="8"/>
      <c r="D190" s="8"/>
      <c r="E190" s="8"/>
      <c r="F190" s="8"/>
    </row>
    <row r="191" customFormat="false" ht="15" hidden="false" customHeight="true" outlineLevel="0" collapsed="false">
      <c r="A191" s="8"/>
      <c r="B191" s="8"/>
      <c r="C191" s="8"/>
      <c r="D191" s="8"/>
      <c r="E191" s="8"/>
      <c r="F191" s="8"/>
    </row>
    <row r="192" customFormat="false" ht="15" hidden="false" customHeight="true" outlineLevel="0" collapsed="false">
      <c r="A192" s="8"/>
      <c r="B192" s="8"/>
      <c r="C192" s="8"/>
      <c r="D192" s="8"/>
      <c r="E192" s="8"/>
      <c r="F192" s="8"/>
    </row>
    <row r="193" customFormat="false" ht="15" hidden="false" customHeight="true" outlineLevel="0" collapsed="false">
      <c r="A193" s="8"/>
      <c r="B193" s="8"/>
      <c r="C193" s="8"/>
      <c r="D193" s="8"/>
      <c r="E193" s="8"/>
      <c r="F193" s="8"/>
    </row>
    <row r="194" customFormat="false" ht="15" hidden="false" customHeight="true" outlineLevel="0" collapsed="false">
      <c r="A194" s="8"/>
      <c r="B194" s="8"/>
      <c r="C194" s="8"/>
      <c r="D194" s="8"/>
      <c r="E194" s="8"/>
      <c r="F194" s="8"/>
    </row>
    <row r="195" customFormat="false" ht="15" hidden="false" customHeight="true" outlineLevel="0" collapsed="false">
      <c r="A195" s="8"/>
      <c r="B195" s="8"/>
      <c r="C195" s="8"/>
      <c r="D195" s="8"/>
      <c r="E195" s="8"/>
      <c r="F195" s="8"/>
    </row>
    <row r="196" customFormat="false" ht="15" hidden="false" customHeight="true" outlineLevel="0" collapsed="false">
      <c r="A196" s="8"/>
      <c r="B196" s="8"/>
      <c r="C196" s="8"/>
      <c r="D196" s="8"/>
      <c r="E196" s="8"/>
      <c r="F196" s="8"/>
    </row>
    <row r="197" customFormat="false" ht="15" hidden="false" customHeight="true" outlineLevel="0" collapsed="false">
      <c r="A197" s="8"/>
      <c r="B197" s="8"/>
      <c r="C197" s="8"/>
      <c r="D197" s="8"/>
      <c r="E197" s="8"/>
      <c r="F197" s="8"/>
    </row>
    <row r="198" customFormat="false" ht="15" hidden="false" customHeight="true" outlineLevel="0" collapsed="false">
      <c r="A198" s="8"/>
      <c r="B198" s="8"/>
      <c r="C198" s="8"/>
      <c r="D198" s="8"/>
      <c r="E198" s="8"/>
      <c r="F198" s="8"/>
    </row>
    <row r="199" customFormat="false" ht="15" hidden="false" customHeight="true" outlineLevel="0" collapsed="false">
      <c r="A199" s="8"/>
      <c r="B199" s="8"/>
      <c r="C199" s="8"/>
      <c r="D199" s="8"/>
      <c r="E199" s="8"/>
      <c r="F199" s="8"/>
    </row>
    <row r="200" customFormat="false" ht="15" hidden="false" customHeight="true" outlineLevel="0" collapsed="false">
      <c r="A200" s="8"/>
      <c r="B200" s="8"/>
      <c r="C200" s="8"/>
      <c r="D200" s="8"/>
      <c r="E200" s="8"/>
      <c r="F200" s="8"/>
    </row>
    <row r="201" customFormat="false" ht="15" hidden="false" customHeight="true" outlineLevel="0" collapsed="false">
      <c r="A201" s="8"/>
      <c r="B201" s="8"/>
      <c r="C201" s="8"/>
      <c r="D201" s="8"/>
      <c r="E201" s="8"/>
      <c r="F201" s="8"/>
    </row>
    <row r="202" customFormat="false" ht="15" hidden="false" customHeight="true" outlineLevel="0" collapsed="false">
      <c r="A202" s="8"/>
      <c r="B202" s="8"/>
      <c r="C202" s="8"/>
      <c r="D202" s="8"/>
      <c r="E202" s="8"/>
      <c r="F202" s="8"/>
    </row>
    <row r="203" customFormat="false" ht="15" hidden="false" customHeight="true" outlineLevel="0" collapsed="false">
      <c r="A203" s="8"/>
      <c r="B203" s="8"/>
      <c r="C203" s="8"/>
      <c r="D203" s="8"/>
      <c r="E203" s="8"/>
      <c r="F203" s="8"/>
    </row>
    <row r="204" customFormat="false" ht="15" hidden="false" customHeight="true" outlineLevel="0" collapsed="false">
      <c r="A204" s="8"/>
      <c r="B204" s="8"/>
      <c r="C204" s="8"/>
      <c r="D204" s="8"/>
      <c r="E204" s="8"/>
      <c r="F204" s="8"/>
    </row>
    <row r="205" customFormat="false" ht="15" hidden="false" customHeight="true" outlineLevel="0" collapsed="false">
      <c r="A205" s="8"/>
      <c r="B205" s="8"/>
      <c r="C205" s="8"/>
      <c r="D205" s="8"/>
      <c r="E205" s="8"/>
      <c r="F205" s="8"/>
    </row>
    <row r="206" customFormat="false" ht="15" hidden="false" customHeight="true" outlineLevel="0" collapsed="false">
      <c r="A206" s="8"/>
      <c r="B206" s="8"/>
      <c r="C206" s="8"/>
      <c r="D206" s="8"/>
      <c r="E206" s="8"/>
      <c r="F206" s="8"/>
    </row>
    <row r="207" customFormat="false" ht="15" hidden="false" customHeight="true" outlineLevel="0" collapsed="false">
      <c r="A207" s="8"/>
      <c r="B207" s="8"/>
      <c r="C207" s="8"/>
      <c r="D207" s="8"/>
      <c r="E207" s="8"/>
      <c r="F207" s="8"/>
    </row>
    <row r="208" customFormat="false" ht="15" hidden="false" customHeight="true" outlineLevel="0" collapsed="false">
      <c r="A208" s="8"/>
      <c r="B208" s="8"/>
      <c r="C208" s="8"/>
      <c r="D208" s="8"/>
      <c r="E208" s="8"/>
      <c r="F208" s="8"/>
    </row>
    <row r="209" customFormat="false" ht="15" hidden="false" customHeight="true" outlineLevel="0" collapsed="false">
      <c r="A209" s="8"/>
      <c r="B209" s="8"/>
      <c r="C209" s="8"/>
      <c r="D209" s="8"/>
      <c r="E209" s="8"/>
      <c r="F209" s="8"/>
    </row>
    <row r="210" customFormat="false" ht="15" hidden="false" customHeight="true" outlineLevel="0" collapsed="false">
      <c r="A210" s="8"/>
      <c r="B210" s="8"/>
      <c r="C210" s="8"/>
      <c r="D210" s="8"/>
      <c r="E210" s="8"/>
      <c r="F210" s="8"/>
    </row>
    <row r="211" customFormat="false" ht="15" hidden="false" customHeight="true" outlineLevel="0" collapsed="false">
      <c r="A211" s="8"/>
      <c r="B211" s="8"/>
      <c r="C211" s="8"/>
      <c r="D211" s="8"/>
      <c r="E211" s="8"/>
      <c r="F211" s="8"/>
    </row>
    <row r="212" customFormat="false" ht="15" hidden="false" customHeight="true" outlineLevel="0" collapsed="false">
      <c r="A212" s="8"/>
      <c r="B212" s="8"/>
      <c r="C212" s="8"/>
      <c r="D212" s="8"/>
      <c r="E212" s="8"/>
      <c r="F212" s="8"/>
    </row>
    <row r="213" customFormat="false" ht="15" hidden="false" customHeight="true" outlineLevel="0" collapsed="false">
      <c r="A213" s="8"/>
      <c r="B213" s="8"/>
      <c r="C213" s="8"/>
      <c r="D213" s="8"/>
      <c r="E213" s="8"/>
      <c r="F213" s="8"/>
    </row>
    <row r="214" customFormat="false" ht="15" hidden="false" customHeight="true" outlineLevel="0" collapsed="false">
      <c r="A214" s="8"/>
      <c r="B214" s="8"/>
      <c r="C214" s="8"/>
      <c r="D214" s="8"/>
      <c r="E214" s="8"/>
      <c r="F214" s="8"/>
    </row>
    <row r="215" customFormat="false" ht="15" hidden="false" customHeight="true" outlineLevel="0" collapsed="false">
      <c r="A215" s="8"/>
      <c r="B215" s="8"/>
      <c r="C215" s="8"/>
      <c r="D215" s="8"/>
      <c r="E215" s="8"/>
      <c r="F215" s="8"/>
    </row>
    <row r="216" customFormat="false" ht="15" hidden="false" customHeight="true" outlineLevel="0" collapsed="false">
      <c r="A216" s="8"/>
      <c r="B216" s="8"/>
      <c r="C216" s="8"/>
      <c r="D216" s="8"/>
      <c r="E216" s="8"/>
      <c r="F216" s="8"/>
    </row>
    <row r="217" customFormat="false" ht="15" hidden="false" customHeight="true" outlineLevel="0" collapsed="false">
      <c r="A217" s="8"/>
      <c r="B217" s="8"/>
      <c r="C217" s="8"/>
      <c r="D217" s="8"/>
      <c r="E217" s="8"/>
      <c r="F217" s="8"/>
    </row>
    <row r="218" customFormat="false" ht="15" hidden="false" customHeight="true" outlineLevel="0" collapsed="false">
      <c r="A218" s="8"/>
      <c r="B218" s="8"/>
      <c r="C218" s="8"/>
      <c r="D218" s="8"/>
      <c r="E218" s="8"/>
      <c r="F218" s="8"/>
    </row>
    <row r="219" customFormat="false" ht="15" hidden="false" customHeight="true" outlineLevel="0" collapsed="false">
      <c r="A219" s="8"/>
      <c r="B219" s="8"/>
      <c r="C219" s="8"/>
      <c r="D219" s="8"/>
      <c r="E219" s="8"/>
      <c r="F219" s="8"/>
    </row>
    <row r="220" customFormat="false" ht="15" hidden="false" customHeight="true" outlineLevel="0" collapsed="false">
      <c r="A220" s="8"/>
      <c r="B220" s="8"/>
      <c r="C220" s="8"/>
      <c r="D220" s="8"/>
      <c r="E220" s="8"/>
      <c r="F220" s="8"/>
    </row>
    <row r="221" customFormat="false" ht="15" hidden="false" customHeight="true" outlineLevel="0" collapsed="false">
      <c r="A221" s="8"/>
      <c r="B221" s="8"/>
      <c r="C221" s="8"/>
      <c r="D221" s="8"/>
      <c r="E221" s="8"/>
      <c r="F221" s="8"/>
    </row>
    <row r="222" customFormat="false" ht="15" hidden="false" customHeight="true" outlineLevel="0" collapsed="false">
      <c r="A222" s="8"/>
      <c r="B222" s="8"/>
      <c r="C222" s="8"/>
      <c r="D222" s="8"/>
      <c r="E222" s="8"/>
      <c r="F222" s="8"/>
    </row>
    <row r="223" customFormat="false" ht="15" hidden="false" customHeight="true" outlineLevel="0" collapsed="false">
      <c r="A223" s="8"/>
      <c r="B223" s="8"/>
      <c r="C223" s="8"/>
      <c r="D223" s="8"/>
      <c r="E223" s="8"/>
      <c r="F223" s="8"/>
    </row>
    <row r="224" customFormat="false" ht="15" hidden="false" customHeight="true" outlineLevel="0" collapsed="false">
      <c r="A224" s="8"/>
      <c r="B224" s="8"/>
      <c r="C224" s="8"/>
      <c r="D224" s="8"/>
      <c r="E224" s="8"/>
      <c r="F224" s="8"/>
    </row>
    <row r="225" customFormat="false" ht="15" hidden="false" customHeight="true" outlineLevel="0" collapsed="false">
      <c r="A225" s="8"/>
      <c r="B225" s="8"/>
      <c r="C225" s="8"/>
      <c r="D225" s="8"/>
      <c r="E225" s="8"/>
      <c r="F225" s="8"/>
    </row>
    <row r="226" customFormat="false" ht="15" hidden="false" customHeight="true" outlineLevel="0" collapsed="false">
      <c r="A226" s="8"/>
      <c r="B226" s="8"/>
      <c r="C226" s="8"/>
      <c r="D226" s="8"/>
      <c r="E226" s="8"/>
      <c r="F226" s="8"/>
    </row>
    <row r="227" customFormat="false" ht="15" hidden="false" customHeight="true" outlineLevel="0" collapsed="false">
      <c r="A227" s="8"/>
      <c r="B227" s="8"/>
      <c r="C227" s="8"/>
      <c r="D227" s="8"/>
      <c r="E227" s="8"/>
      <c r="F227" s="8"/>
    </row>
    <row r="228" customFormat="false" ht="15" hidden="false" customHeight="true" outlineLevel="0" collapsed="false">
      <c r="A228" s="8"/>
      <c r="B228" s="8"/>
      <c r="C228" s="8"/>
      <c r="D228" s="8"/>
      <c r="E228" s="8"/>
      <c r="F228" s="8"/>
    </row>
    <row r="229" customFormat="false" ht="15" hidden="false" customHeight="true" outlineLevel="0" collapsed="false">
      <c r="A229" s="8"/>
      <c r="B229" s="8"/>
      <c r="C229" s="8"/>
      <c r="D229" s="8"/>
      <c r="E229" s="8"/>
      <c r="F229" s="8"/>
    </row>
    <row r="230" customFormat="false" ht="15" hidden="false" customHeight="true" outlineLevel="0" collapsed="false">
      <c r="A230" s="8"/>
      <c r="B230" s="8"/>
      <c r="C230" s="8"/>
      <c r="D230" s="8"/>
      <c r="E230" s="8"/>
      <c r="F230" s="8"/>
    </row>
    <row r="231" customFormat="false" ht="15" hidden="false" customHeight="true" outlineLevel="0" collapsed="false">
      <c r="A231" s="8"/>
      <c r="B231" s="8"/>
      <c r="C231" s="8"/>
      <c r="D231" s="8"/>
      <c r="E231" s="8"/>
      <c r="F231" s="8"/>
    </row>
    <row r="232" customFormat="false" ht="15" hidden="false" customHeight="true" outlineLevel="0" collapsed="false">
      <c r="A232" s="8"/>
      <c r="B232" s="8"/>
      <c r="C232" s="8"/>
      <c r="D232" s="8"/>
      <c r="E232" s="8"/>
      <c r="F232" s="8"/>
    </row>
    <row r="233" customFormat="false" ht="15" hidden="false" customHeight="true" outlineLevel="0" collapsed="false">
      <c r="A233" s="8"/>
      <c r="B233" s="8"/>
      <c r="C233" s="8"/>
      <c r="D233" s="8"/>
      <c r="E233" s="8"/>
      <c r="F233" s="8"/>
    </row>
    <row r="234" customFormat="false" ht="15" hidden="false" customHeight="true" outlineLevel="0" collapsed="false">
      <c r="A234" s="8"/>
      <c r="B234" s="8"/>
      <c r="C234" s="8"/>
      <c r="D234" s="8"/>
      <c r="E234" s="8"/>
      <c r="F234" s="8"/>
    </row>
    <row r="235" customFormat="false" ht="15" hidden="false" customHeight="true" outlineLevel="0" collapsed="false">
      <c r="A235" s="8"/>
      <c r="B235" s="8"/>
      <c r="C235" s="8"/>
      <c r="D235" s="8"/>
      <c r="E235" s="8"/>
      <c r="F235" s="8"/>
    </row>
    <row r="236" customFormat="false" ht="15" hidden="false" customHeight="true" outlineLevel="0" collapsed="false">
      <c r="A236" s="8"/>
      <c r="B236" s="8"/>
      <c r="C236" s="8"/>
      <c r="D236" s="8"/>
      <c r="E236" s="8"/>
      <c r="F236" s="8"/>
    </row>
    <row r="237" customFormat="false" ht="15" hidden="false" customHeight="true" outlineLevel="0" collapsed="false">
      <c r="A237" s="8"/>
      <c r="B237" s="8"/>
      <c r="C237" s="8"/>
      <c r="D237" s="8"/>
      <c r="E237" s="8"/>
      <c r="F237" s="8"/>
    </row>
    <row r="238" customFormat="false" ht="15" hidden="false" customHeight="true" outlineLevel="0" collapsed="false">
      <c r="A238" s="8"/>
      <c r="B238" s="8"/>
      <c r="C238" s="8"/>
      <c r="D238" s="8"/>
      <c r="E238" s="8"/>
      <c r="F238" s="8"/>
    </row>
    <row r="239" customFormat="false" ht="15" hidden="false" customHeight="true" outlineLevel="0" collapsed="false">
      <c r="A239" s="8"/>
      <c r="B239" s="8"/>
      <c r="C239" s="8"/>
      <c r="D239" s="8"/>
      <c r="E239" s="8"/>
      <c r="F239" s="8"/>
    </row>
    <row r="240" customFormat="false" ht="15" hidden="false" customHeight="true" outlineLevel="0" collapsed="false">
      <c r="A240" s="8"/>
      <c r="B240" s="8"/>
      <c r="C240" s="8"/>
      <c r="D240" s="8"/>
      <c r="E240" s="8"/>
      <c r="F240" s="8"/>
    </row>
    <row r="241" customFormat="false" ht="15" hidden="false" customHeight="true" outlineLevel="0" collapsed="false">
      <c r="A241" s="8"/>
      <c r="B241" s="8"/>
      <c r="C241" s="8"/>
      <c r="D241" s="8"/>
      <c r="E241" s="8"/>
      <c r="F241" s="8"/>
    </row>
    <row r="242" customFormat="false" ht="15" hidden="false" customHeight="true" outlineLevel="0" collapsed="false">
      <c r="A242" s="8"/>
      <c r="B242" s="8"/>
      <c r="C242" s="8"/>
      <c r="D242" s="8"/>
      <c r="E242" s="8"/>
      <c r="F242" s="8"/>
    </row>
    <row r="243" customFormat="false" ht="15" hidden="false" customHeight="true" outlineLevel="0" collapsed="false">
      <c r="A243" s="8"/>
      <c r="B243" s="8"/>
      <c r="C243" s="8"/>
      <c r="D243" s="8"/>
      <c r="E243" s="8"/>
      <c r="F243" s="8"/>
    </row>
    <row r="244" customFormat="false" ht="15" hidden="false" customHeight="true" outlineLevel="0" collapsed="false">
      <c r="A244" s="8"/>
      <c r="B244" s="8"/>
      <c r="C244" s="8"/>
      <c r="D244" s="8"/>
      <c r="E244" s="8"/>
      <c r="F244" s="8"/>
    </row>
    <row r="245" customFormat="false" ht="15" hidden="false" customHeight="true" outlineLevel="0" collapsed="false">
      <c r="A245" s="8"/>
      <c r="B245" s="8"/>
      <c r="C245" s="8"/>
      <c r="D245" s="8"/>
      <c r="E245" s="8"/>
      <c r="F245" s="8"/>
    </row>
    <row r="246" customFormat="false" ht="15" hidden="false" customHeight="true" outlineLevel="0" collapsed="false">
      <c r="A246" s="8"/>
      <c r="B246" s="8"/>
      <c r="C246" s="8"/>
      <c r="D246" s="8"/>
      <c r="E246" s="8"/>
      <c r="F246" s="8"/>
    </row>
    <row r="247" customFormat="false" ht="15" hidden="false" customHeight="true" outlineLevel="0" collapsed="false">
      <c r="A247" s="8"/>
      <c r="B247" s="8"/>
      <c r="C247" s="8"/>
      <c r="D247" s="8"/>
      <c r="E247" s="8"/>
      <c r="F247" s="8"/>
    </row>
    <row r="248" customFormat="false" ht="15" hidden="false" customHeight="true" outlineLevel="0" collapsed="false">
      <c r="A248" s="8"/>
      <c r="B248" s="8"/>
      <c r="C248" s="8"/>
      <c r="D248" s="8"/>
      <c r="E248" s="8"/>
      <c r="F248" s="8"/>
    </row>
    <row r="249" customFormat="false" ht="15" hidden="false" customHeight="true" outlineLevel="0" collapsed="false">
      <c r="A249" s="8"/>
      <c r="B249" s="8"/>
      <c r="C249" s="8"/>
      <c r="D249" s="8"/>
      <c r="E249" s="8"/>
      <c r="F249" s="8"/>
    </row>
    <row r="250" customFormat="false" ht="15" hidden="false" customHeight="true" outlineLevel="0" collapsed="false">
      <c r="A250" s="8"/>
      <c r="B250" s="8"/>
      <c r="C250" s="8"/>
      <c r="D250" s="8"/>
      <c r="E250" s="8"/>
      <c r="F250" s="8"/>
    </row>
    <row r="251" customFormat="false" ht="15" hidden="false" customHeight="true" outlineLevel="0" collapsed="false">
      <c r="A251" s="8"/>
      <c r="B251" s="8"/>
      <c r="C251" s="8"/>
      <c r="D251" s="8"/>
      <c r="E251" s="8"/>
      <c r="F251" s="8"/>
    </row>
    <row r="252" customFormat="false" ht="15" hidden="false" customHeight="true" outlineLevel="0" collapsed="false">
      <c r="A252" s="8"/>
      <c r="B252" s="8"/>
      <c r="C252" s="8"/>
      <c r="D252" s="8"/>
      <c r="E252" s="8"/>
      <c r="F252" s="8"/>
    </row>
    <row r="253" customFormat="false" ht="15" hidden="false" customHeight="true" outlineLevel="0" collapsed="false">
      <c r="A253" s="8"/>
      <c r="B253" s="8"/>
      <c r="C253" s="8"/>
      <c r="D253" s="8"/>
      <c r="E253" s="8"/>
      <c r="F253" s="8"/>
    </row>
    <row r="254" customFormat="false" ht="15" hidden="false" customHeight="true" outlineLevel="0" collapsed="false">
      <c r="A254" s="8"/>
      <c r="B254" s="8"/>
      <c r="C254" s="8"/>
      <c r="D254" s="8"/>
      <c r="E254" s="8"/>
      <c r="F254" s="8"/>
    </row>
    <row r="255" customFormat="false" ht="15" hidden="false" customHeight="true" outlineLevel="0" collapsed="false">
      <c r="A255" s="8"/>
      <c r="B255" s="8"/>
      <c r="C255" s="8"/>
      <c r="D255" s="8"/>
      <c r="E255" s="8"/>
      <c r="F255" s="8"/>
    </row>
    <row r="256" customFormat="false" ht="15" hidden="false" customHeight="true" outlineLevel="0" collapsed="false">
      <c r="A256" s="8"/>
      <c r="B256" s="8"/>
      <c r="C256" s="8"/>
      <c r="D256" s="8"/>
      <c r="E256" s="8"/>
      <c r="F256" s="8"/>
    </row>
    <row r="257" customFormat="false" ht="15" hidden="false" customHeight="true" outlineLevel="0" collapsed="false">
      <c r="A257" s="8"/>
      <c r="B257" s="8"/>
      <c r="C257" s="8"/>
      <c r="D257" s="8"/>
      <c r="E257" s="8"/>
      <c r="F257" s="8"/>
    </row>
    <row r="258" customFormat="false" ht="15" hidden="false" customHeight="true" outlineLevel="0" collapsed="false">
      <c r="A258" s="8"/>
      <c r="B258" s="8"/>
      <c r="C258" s="8"/>
      <c r="D258" s="8"/>
      <c r="E258" s="8"/>
      <c r="F258" s="8"/>
    </row>
    <row r="259" customFormat="false" ht="15" hidden="false" customHeight="true" outlineLevel="0" collapsed="false">
      <c r="A259" s="8"/>
      <c r="B259" s="8"/>
      <c r="C259" s="8"/>
      <c r="D259" s="8"/>
      <c r="E259" s="8"/>
      <c r="F259" s="8"/>
    </row>
    <row r="260" customFormat="false" ht="15" hidden="false" customHeight="true" outlineLevel="0" collapsed="false">
      <c r="A260" s="8"/>
      <c r="B260" s="8"/>
      <c r="C260" s="8"/>
      <c r="D260" s="8"/>
      <c r="E260" s="8"/>
      <c r="F260" s="8"/>
    </row>
    <row r="261" customFormat="false" ht="15" hidden="false" customHeight="true" outlineLevel="0" collapsed="false">
      <c r="A261" s="8"/>
      <c r="B261" s="8"/>
      <c r="C261" s="8"/>
      <c r="D261" s="8"/>
      <c r="E261" s="8"/>
      <c r="F261" s="8"/>
    </row>
    <row r="262" customFormat="false" ht="15" hidden="false" customHeight="true" outlineLevel="0" collapsed="false">
      <c r="A262" s="8"/>
      <c r="B262" s="8"/>
      <c r="C262" s="8"/>
      <c r="D262" s="8"/>
      <c r="E262" s="8"/>
      <c r="F262" s="8"/>
    </row>
    <row r="263" customFormat="false" ht="15" hidden="false" customHeight="true" outlineLevel="0" collapsed="false">
      <c r="A263" s="8"/>
      <c r="B263" s="8"/>
      <c r="C263" s="8"/>
      <c r="D263" s="8"/>
      <c r="E263" s="8"/>
      <c r="F263" s="8"/>
    </row>
    <row r="264" customFormat="false" ht="15" hidden="false" customHeight="true" outlineLevel="0" collapsed="false">
      <c r="A264" s="8"/>
      <c r="B264" s="8"/>
      <c r="C264" s="8"/>
      <c r="D264" s="8"/>
      <c r="E264" s="8"/>
      <c r="F264" s="8"/>
    </row>
    <row r="265" customFormat="false" ht="15" hidden="false" customHeight="true" outlineLevel="0" collapsed="false">
      <c r="A265" s="8"/>
      <c r="B265" s="8"/>
      <c r="C265" s="8"/>
      <c r="D265" s="8"/>
      <c r="E265" s="8"/>
      <c r="F265" s="8"/>
    </row>
    <row r="266" customFormat="false" ht="15" hidden="false" customHeight="true" outlineLevel="0" collapsed="false">
      <c r="A266" s="8"/>
      <c r="B266" s="8"/>
      <c r="C266" s="8"/>
      <c r="D266" s="8"/>
      <c r="E266" s="8"/>
      <c r="F266" s="8"/>
    </row>
    <row r="267" customFormat="false" ht="15" hidden="false" customHeight="true" outlineLevel="0" collapsed="false">
      <c r="A267" s="8"/>
      <c r="B267" s="8"/>
      <c r="C267" s="8"/>
      <c r="D267" s="8"/>
      <c r="E267" s="8"/>
      <c r="F267" s="8"/>
    </row>
    <row r="268" customFormat="false" ht="15" hidden="false" customHeight="true" outlineLevel="0" collapsed="false">
      <c r="A268" s="8"/>
      <c r="B268" s="8"/>
      <c r="C268" s="8"/>
      <c r="D268" s="8"/>
      <c r="E268" s="8"/>
      <c r="F268" s="8"/>
    </row>
    <row r="269" customFormat="false" ht="15" hidden="false" customHeight="true" outlineLevel="0" collapsed="false">
      <c r="A269" s="8"/>
      <c r="B269" s="8"/>
      <c r="C269" s="8"/>
      <c r="D269" s="8"/>
      <c r="E269" s="8"/>
      <c r="F269" s="8"/>
    </row>
    <row r="270" customFormat="false" ht="15" hidden="false" customHeight="true" outlineLevel="0" collapsed="false">
      <c r="A270" s="8"/>
      <c r="B270" s="8"/>
      <c r="C270" s="8"/>
      <c r="D270" s="8"/>
      <c r="E270" s="8"/>
      <c r="F270" s="8"/>
    </row>
    <row r="271" customFormat="false" ht="15" hidden="false" customHeight="true" outlineLevel="0" collapsed="false">
      <c r="A271" s="8"/>
      <c r="B271" s="8"/>
      <c r="C271" s="8"/>
      <c r="D271" s="8"/>
      <c r="E271" s="8"/>
      <c r="F271" s="8"/>
    </row>
    <row r="272" customFormat="false" ht="15" hidden="false" customHeight="true" outlineLevel="0" collapsed="false">
      <c r="A272" s="8"/>
      <c r="B272" s="8"/>
      <c r="C272" s="8"/>
      <c r="D272" s="8"/>
      <c r="E272" s="8"/>
      <c r="F272" s="8"/>
    </row>
    <row r="273" customFormat="false" ht="15" hidden="false" customHeight="true" outlineLevel="0" collapsed="false">
      <c r="A273" s="8"/>
      <c r="B273" s="8"/>
      <c r="C273" s="8"/>
      <c r="D273" s="8"/>
      <c r="E273" s="8"/>
      <c r="F273" s="8"/>
    </row>
    <row r="274" customFormat="false" ht="15" hidden="false" customHeight="true" outlineLevel="0" collapsed="false">
      <c r="A274" s="8"/>
      <c r="B274" s="8"/>
      <c r="C274" s="8"/>
      <c r="D274" s="8"/>
      <c r="E274" s="8"/>
      <c r="F274" s="8"/>
    </row>
    <row r="275" customFormat="false" ht="15" hidden="false" customHeight="true" outlineLevel="0" collapsed="false">
      <c r="A275" s="8"/>
      <c r="B275" s="8"/>
      <c r="C275" s="8"/>
      <c r="D275" s="8"/>
      <c r="E275" s="8"/>
      <c r="F275" s="8"/>
    </row>
    <row r="276" customFormat="false" ht="15" hidden="false" customHeight="true" outlineLevel="0" collapsed="false">
      <c r="A276" s="8"/>
      <c r="B276" s="8"/>
      <c r="C276" s="8"/>
      <c r="D276" s="8"/>
      <c r="E276" s="8"/>
      <c r="F276" s="8"/>
    </row>
    <row r="277" customFormat="false" ht="15" hidden="false" customHeight="true" outlineLevel="0" collapsed="false">
      <c r="A277" s="8"/>
      <c r="B277" s="8"/>
      <c r="C277" s="8"/>
      <c r="D277" s="8"/>
      <c r="E277" s="8"/>
      <c r="F277" s="8"/>
    </row>
    <row r="278" customFormat="false" ht="15" hidden="false" customHeight="true" outlineLevel="0" collapsed="false">
      <c r="A278" s="8"/>
      <c r="B278" s="8"/>
      <c r="C278" s="8"/>
      <c r="D278" s="8"/>
      <c r="E278" s="8"/>
      <c r="F278" s="8"/>
    </row>
    <row r="279" customFormat="false" ht="15" hidden="false" customHeight="true" outlineLevel="0" collapsed="false">
      <c r="A279" s="8"/>
      <c r="B279" s="8"/>
      <c r="C279" s="8"/>
      <c r="D279" s="8"/>
      <c r="E279" s="8"/>
      <c r="F279" s="8"/>
    </row>
    <row r="280" customFormat="false" ht="15" hidden="false" customHeight="true" outlineLevel="0" collapsed="false">
      <c r="A280" s="8"/>
      <c r="B280" s="8"/>
      <c r="C280" s="8"/>
      <c r="D280" s="8"/>
      <c r="E280" s="8"/>
      <c r="F280" s="8"/>
    </row>
    <row r="281" customFormat="false" ht="15" hidden="false" customHeight="true" outlineLevel="0" collapsed="false">
      <c r="A281" s="8"/>
      <c r="B281" s="8"/>
      <c r="C281" s="8"/>
      <c r="D281" s="8"/>
      <c r="E281" s="8"/>
      <c r="F281" s="8"/>
    </row>
    <row r="282" customFormat="false" ht="15" hidden="false" customHeight="true" outlineLevel="0" collapsed="false">
      <c r="A282" s="8"/>
      <c r="B282" s="8"/>
      <c r="C282" s="8"/>
      <c r="D282" s="8"/>
      <c r="E282" s="8"/>
      <c r="F282" s="8"/>
    </row>
    <row r="283" customFormat="false" ht="15" hidden="false" customHeight="true" outlineLevel="0" collapsed="false">
      <c r="A283" s="8"/>
      <c r="B283" s="8"/>
      <c r="C283" s="8"/>
      <c r="D283" s="8"/>
      <c r="E283" s="8"/>
      <c r="F283" s="8"/>
    </row>
    <row r="284" customFormat="false" ht="15" hidden="false" customHeight="true" outlineLevel="0" collapsed="false">
      <c r="A284" s="8"/>
      <c r="B284" s="8"/>
      <c r="C284" s="8"/>
      <c r="D284" s="8"/>
      <c r="E284" s="8"/>
      <c r="F284" s="8"/>
    </row>
    <row r="285" customFormat="false" ht="15" hidden="false" customHeight="true" outlineLevel="0" collapsed="false">
      <c r="A285" s="8"/>
      <c r="B285" s="8"/>
      <c r="C285" s="8"/>
      <c r="D285" s="8"/>
      <c r="E285" s="8"/>
      <c r="F285" s="8"/>
    </row>
    <row r="286" customFormat="false" ht="15" hidden="false" customHeight="true" outlineLevel="0" collapsed="false">
      <c r="A286" s="8"/>
      <c r="B286" s="8"/>
      <c r="C286" s="8"/>
      <c r="D286" s="8"/>
      <c r="E286" s="8"/>
      <c r="F286" s="8"/>
    </row>
    <row r="287" customFormat="false" ht="15" hidden="false" customHeight="true" outlineLevel="0" collapsed="false">
      <c r="A287" s="8"/>
      <c r="B287" s="8"/>
      <c r="C287" s="8"/>
      <c r="D287" s="8"/>
      <c r="E287" s="8"/>
      <c r="F287" s="8"/>
    </row>
    <row r="288" customFormat="false" ht="15" hidden="false" customHeight="true" outlineLevel="0" collapsed="false">
      <c r="A288" s="8"/>
      <c r="B288" s="8"/>
      <c r="C288" s="8"/>
      <c r="D288" s="8"/>
      <c r="E288" s="8"/>
      <c r="F288" s="8"/>
    </row>
    <row r="289" customFormat="false" ht="15" hidden="false" customHeight="true" outlineLevel="0" collapsed="false">
      <c r="A289" s="8"/>
      <c r="B289" s="8"/>
      <c r="C289" s="8"/>
      <c r="D289" s="8"/>
      <c r="E289" s="8"/>
      <c r="F289" s="8"/>
    </row>
    <row r="290" customFormat="false" ht="15" hidden="false" customHeight="true" outlineLevel="0" collapsed="false">
      <c r="A290" s="8"/>
      <c r="B290" s="8"/>
      <c r="C290" s="8"/>
      <c r="D290" s="8"/>
      <c r="E290" s="8"/>
      <c r="F290" s="8"/>
    </row>
    <row r="291" customFormat="false" ht="15" hidden="false" customHeight="true" outlineLevel="0" collapsed="false">
      <c r="A291" s="8"/>
      <c r="B291" s="8"/>
      <c r="C291" s="8"/>
      <c r="D291" s="8"/>
      <c r="E291" s="8"/>
      <c r="F291" s="8"/>
    </row>
    <row r="292" customFormat="false" ht="15" hidden="false" customHeight="true" outlineLevel="0" collapsed="false">
      <c r="A292" s="8"/>
      <c r="B292" s="8"/>
      <c r="C292" s="8"/>
      <c r="D292" s="8"/>
      <c r="E292" s="8"/>
      <c r="F292" s="8"/>
    </row>
    <row r="293" customFormat="false" ht="15" hidden="false" customHeight="true" outlineLevel="0" collapsed="false">
      <c r="A293" s="8"/>
      <c r="B293" s="8"/>
      <c r="C293" s="8"/>
      <c r="D293" s="8"/>
      <c r="E293" s="8"/>
      <c r="F293" s="8"/>
    </row>
    <row r="294" customFormat="false" ht="15" hidden="false" customHeight="true" outlineLevel="0" collapsed="false">
      <c r="A294" s="8"/>
      <c r="B294" s="8"/>
      <c r="C294" s="8"/>
      <c r="D294" s="8"/>
      <c r="E294" s="8"/>
      <c r="F294" s="8"/>
    </row>
    <row r="295" customFormat="false" ht="15" hidden="false" customHeight="true" outlineLevel="0" collapsed="false">
      <c r="A295" s="8"/>
      <c r="B295" s="8"/>
      <c r="C295" s="8"/>
      <c r="D295" s="8"/>
      <c r="E295" s="8"/>
      <c r="F295" s="8"/>
    </row>
    <row r="296" customFormat="false" ht="15" hidden="false" customHeight="true" outlineLevel="0" collapsed="false">
      <c r="A296" s="8"/>
      <c r="B296" s="8"/>
      <c r="C296" s="8"/>
      <c r="D296" s="8"/>
      <c r="E296" s="8"/>
      <c r="F296" s="8"/>
    </row>
    <row r="297" customFormat="false" ht="15" hidden="false" customHeight="true" outlineLevel="0" collapsed="false">
      <c r="A297" s="8"/>
      <c r="B297" s="8"/>
      <c r="C297" s="8"/>
      <c r="D297" s="8"/>
      <c r="E297" s="8"/>
      <c r="F297" s="8"/>
    </row>
    <row r="298" customFormat="false" ht="15" hidden="false" customHeight="true" outlineLevel="0" collapsed="false">
      <c r="A298" s="8"/>
      <c r="B298" s="8"/>
      <c r="C298" s="8"/>
      <c r="D298" s="8"/>
      <c r="E298" s="8"/>
      <c r="F298" s="8"/>
    </row>
    <row r="299" customFormat="false" ht="15" hidden="false" customHeight="true" outlineLevel="0" collapsed="false">
      <c r="A299" s="8"/>
      <c r="B299" s="8"/>
      <c r="C299" s="8"/>
      <c r="D299" s="8"/>
      <c r="E299" s="8"/>
      <c r="F299" s="8"/>
    </row>
    <row r="300" customFormat="false" ht="15" hidden="false" customHeight="true" outlineLevel="0" collapsed="false">
      <c r="A300" s="8"/>
      <c r="B300" s="8"/>
      <c r="C300" s="8"/>
      <c r="D300" s="8"/>
      <c r="E300" s="8"/>
      <c r="F300" s="8"/>
    </row>
  </sheetData>
  <autoFilter ref="A2:F300"/>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18"/>
    <col collapsed="false" customWidth="true" hidden="false" outlineLevel="0" max="4" min="4" style="1" width="25"/>
    <col collapsed="false" customWidth="true" hidden="false" outlineLevel="0" max="5" min="5" style="1" width="21"/>
    <col collapsed="false" customWidth="true" hidden="false" outlineLevel="0" max="6" min="6" style="1" width="23"/>
    <col collapsed="false" customWidth="true" hidden="false" outlineLevel="0" max="7" min="7" style="1" width="27"/>
    <col collapsed="false" customWidth="true" hidden="false" outlineLevel="0" max="10" min="8" style="1" width="25"/>
    <col collapsed="false" customWidth="true" hidden="false" outlineLevel="0" max="12" min="11" style="1" width="14"/>
    <col collapsed="false" customWidth="true" hidden="false" outlineLevel="0" max="13" min="13" style="1" width="21"/>
    <col collapsed="false" customWidth="true" hidden="false" outlineLevel="0" max="14" min="14" style="1" width="22"/>
    <col collapsed="false" customWidth="true" hidden="false" outlineLevel="0" max="15" min="15" style="1" width="17"/>
    <col collapsed="false" customWidth="true" hidden="false" outlineLevel="0" max="16" min="16" style="1" width="32"/>
    <col collapsed="false" customWidth="true" hidden="false" outlineLevel="0" max="17" min="17" style="1" width="16"/>
    <col min="18" max="18" width="16" customWidth="1"/>
    <col min="19" max="19" width="18" customWidth="1"/>
  </cols>
  <sheetData>
    <row r="1" customFormat="false" ht="30" hidden="false" customHeight="true" outlineLevel="0" collapsed="false">
      <c r="A1" s="2" t="s">
        <v>182</v>
      </c>
      <c r="B1" s="2"/>
      <c r="C1" s="2"/>
      <c r="D1" s="2"/>
      <c r="E1" s="2"/>
      <c r="F1" s="2"/>
      <c r="G1" s="2"/>
      <c r="H1" s="2"/>
      <c r="I1" s="2"/>
      <c r="J1" s="2"/>
      <c r="K1" s="2"/>
      <c r="L1" s="2"/>
      <c r="M1" s="2"/>
      <c r="N1" s="2"/>
      <c r="O1" s="2"/>
    </row>
    <row r="2" customFormat="false" ht="31.5" hidden="false" customHeight="true" outlineLevel="0" collapsed="false">
      <c r="A2" s="7" t="s">
        <v>183</v>
      </c>
      <c r="B2" s="7" t="s">
        <v>184</v>
      </c>
      <c r="C2" s="7" t="s">
        <v>185</v>
      </c>
      <c r="D2" s="7" t="s">
        <v>186</v>
      </c>
      <c r="E2" s="7" t="s">
        <v>187</v>
      </c>
      <c r="F2" s="7" t="s">
        <v>188</v>
      </c>
      <c r="G2" s="7" t="s">
        <v>189</v>
      </c>
      <c r="H2" s="7" t="s">
        <v>190</v>
      </c>
      <c r="I2" s="7" t="s">
        <v>191</v>
      </c>
      <c r="J2" s="7" t="s">
        <v>192</v>
      </c>
      <c r="K2" s="7" t="s">
        <v>193</v>
      </c>
      <c r="L2" s="7" t="s">
        <v>152</v>
      </c>
      <c r="M2" s="7" t="s">
        <v>194</v>
      </c>
      <c r="N2" s="7" t="s">
        <v>195</v>
      </c>
      <c r="O2" s="7" t="s">
        <v>130</v>
      </c>
      <c r="P2" s="7" t="s">
        <v>196</v>
      </c>
      <c r="Q2" s="7" t="s">
        <v>621</v>
      </c>
      <c r="R2" s="7" t="inlineStr">
        <is>
          <t xml:space="preserve">Matricule</t>
        </is>
      </c>
      <c r="S2" s="7" t="inlineStr">
        <is>
          <t xml:space="preserve">Annee academique (*)</t>
        </is>
      </c>
    </row>
    <row r="3" customFormat="false" ht="15" hidden="false" customHeight="true" outlineLevel="0" collapsed="false">
      <c r="A3" s="10"/>
      <c r="B3" s="8"/>
      <c r="C3" s="8"/>
      <c r="D3" s="8"/>
      <c r="E3" s="8"/>
      <c r="F3" s="8"/>
      <c r="G3" s="8"/>
      <c r="H3" s="8"/>
      <c r="I3" s="11"/>
      <c r="J3" s="11"/>
      <c r="K3" s="8"/>
      <c r="L3" s="8"/>
      <c r="M3" s="10"/>
      <c r="N3" s="10"/>
      <c r="O3" s="8"/>
      <c r="P3" s="8"/>
    </row>
    <row r="4" customFormat="false" ht="15" hidden="false" customHeight="true" outlineLevel="0" collapsed="false">
      <c r="A4" s="10"/>
      <c r="B4" s="8"/>
      <c r="C4" s="8"/>
      <c r="D4" s="8"/>
      <c r="E4" s="8"/>
      <c r="F4" s="8"/>
      <c r="G4" s="8"/>
      <c r="H4" s="8"/>
      <c r="I4" s="11"/>
      <c r="J4" s="11"/>
      <c r="K4" s="8"/>
      <c r="L4" s="8"/>
      <c r="M4" s="10"/>
      <c r="N4" s="10"/>
      <c r="O4" s="8"/>
      <c r="P4" s="8"/>
    </row>
    <row r="5" customFormat="false" ht="15" hidden="false" customHeight="true" outlineLevel="0" collapsed="false">
      <c r="A5" s="10"/>
      <c r="B5" s="8"/>
      <c r="C5" s="8"/>
      <c r="D5" s="8"/>
      <c r="E5" s="8"/>
      <c r="F5" s="8"/>
      <c r="G5" s="8"/>
      <c r="H5" s="8"/>
      <c r="I5" s="11"/>
      <c r="J5" s="11"/>
      <c r="K5" s="8"/>
      <c r="L5" s="8"/>
      <c r="M5" s="10"/>
      <c r="N5" s="10"/>
      <c r="O5" s="8"/>
      <c r="P5" s="8"/>
    </row>
    <row r="6" customFormat="false" ht="15" hidden="false" customHeight="true" outlineLevel="0" collapsed="false">
      <c r="A6" s="10"/>
      <c r="B6" s="8"/>
      <c r="C6" s="8"/>
      <c r="D6" s="8"/>
      <c r="E6" s="8"/>
      <c r="F6" s="8"/>
      <c r="G6" s="8"/>
      <c r="H6" s="8"/>
      <c r="I6" s="11"/>
      <c r="J6" s="11"/>
      <c r="K6" s="8"/>
      <c r="L6" s="8"/>
      <c r="M6" s="10"/>
      <c r="N6" s="10"/>
      <c r="O6" s="8"/>
      <c r="P6" s="8"/>
    </row>
    <row r="7" customFormat="false" ht="15" hidden="false" customHeight="true" outlineLevel="0" collapsed="false">
      <c r="A7" s="10"/>
      <c r="B7" s="8"/>
      <c r="C7" s="8"/>
      <c r="D7" s="8"/>
      <c r="E7" s="8"/>
      <c r="F7" s="8"/>
      <c r="G7" s="8"/>
      <c r="H7" s="8"/>
      <c r="I7" s="11"/>
      <c r="J7" s="11"/>
      <c r="K7" s="8"/>
      <c r="L7" s="8"/>
      <c r="M7" s="10"/>
      <c r="N7" s="10"/>
      <c r="O7" s="8"/>
      <c r="P7" s="8"/>
    </row>
    <row r="8" customFormat="false" ht="15" hidden="false" customHeight="true" outlineLevel="0" collapsed="false">
      <c r="A8" s="10"/>
      <c r="B8" s="8"/>
      <c r="C8" s="8"/>
      <c r="D8" s="8"/>
      <c r="E8" s="8"/>
      <c r="F8" s="8"/>
      <c r="G8" s="8"/>
      <c r="H8" s="8"/>
      <c r="I8" s="11"/>
      <c r="J8" s="11"/>
      <c r="K8" s="8"/>
      <c r="L8" s="8"/>
      <c r="M8" s="10"/>
      <c r="N8" s="10"/>
      <c r="O8" s="8"/>
      <c r="P8" s="8"/>
    </row>
    <row r="9" customFormat="false" ht="15" hidden="false" customHeight="true" outlineLevel="0" collapsed="false">
      <c r="A9" s="10"/>
      <c r="B9" s="8"/>
      <c r="C9" s="8"/>
      <c r="D9" s="8"/>
      <c r="E9" s="8"/>
      <c r="F9" s="8"/>
      <c r="G9" s="8"/>
      <c r="H9" s="8"/>
      <c r="I9" s="11"/>
      <c r="J9" s="11"/>
      <c r="K9" s="8"/>
      <c r="L9" s="8"/>
      <c r="M9" s="10"/>
      <c r="N9" s="10"/>
      <c r="O9" s="8"/>
      <c r="P9" s="8"/>
    </row>
    <row r="10" customFormat="false" ht="15" hidden="false" customHeight="true" outlineLevel="0" collapsed="false">
      <c r="A10" s="10"/>
      <c r="B10" s="8"/>
      <c r="C10" s="8"/>
      <c r="D10" s="8"/>
      <c r="E10" s="8"/>
      <c r="F10" s="8"/>
      <c r="G10" s="8"/>
      <c r="H10" s="8"/>
      <c r="I10" s="11"/>
      <c r="J10" s="11"/>
      <c r="K10" s="8"/>
      <c r="L10" s="8"/>
      <c r="M10" s="10"/>
      <c r="N10" s="10"/>
      <c r="O10" s="8"/>
      <c r="P10" s="8"/>
    </row>
    <row r="11" customFormat="false" ht="15" hidden="false" customHeight="true" outlineLevel="0" collapsed="false">
      <c r="A11" s="10"/>
      <c r="B11" s="8"/>
      <c r="C11" s="8"/>
      <c r="D11" s="8"/>
      <c r="E11" s="8"/>
      <c r="F11" s="8"/>
      <c r="G11" s="8"/>
      <c r="H11" s="8"/>
      <c r="I11" s="11"/>
      <c r="J11" s="11"/>
      <c r="K11" s="8"/>
      <c r="L11" s="8"/>
      <c r="M11" s="10"/>
      <c r="N11" s="10"/>
      <c r="O11" s="8"/>
      <c r="P11" s="8"/>
    </row>
    <row r="12" customFormat="false" ht="15" hidden="false" customHeight="true" outlineLevel="0" collapsed="false">
      <c r="A12" s="10"/>
      <c r="B12" s="8"/>
      <c r="C12" s="8"/>
      <c r="D12" s="8"/>
      <c r="E12" s="8"/>
      <c r="F12" s="8"/>
      <c r="G12" s="8"/>
      <c r="H12" s="8"/>
      <c r="I12" s="11"/>
      <c r="J12" s="11"/>
      <c r="K12" s="8"/>
      <c r="L12" s="8"/>
      <c r="M12" s="10"/>
      <c r="N12" s="10"/>
      <c r="O12" s="8"/>
      <c r="P12" s="8"/>
    </row>
    <row r="13" customFormat="false" ht="15" hidden="false" customHeight="true" outlineLevel="0" collapsed="false">
      <c r="A13" s="10"/>
      <c r="B13" s="8"/>
      <c r="C13" s="8"/>
      <c r="D13" s="8"/>
      <c r="E13" s="8"/>
      <c r="F13" s="8"/>
      <c r="G13" s="8"/>
      <c r="H13" s="8"/>
      <c r="I13" s="11"/>
      <c r="J13" s="11"/>
      <c r="K13" s="8"/>
      <c r="L13" s="8"/>
      <c r="M13" s="10"/>
      <c r="N13" s="10"/>
      <c r="O13" s="8"/>
      <c r="P13" s="8"/>
    </row>
    <row r="14" customFormat="false" ht="15" hidden="false" customHeight="true" outlineLevel="0" collapsed="false">
      <c r="A14" s="10"/>
      <c r="B14" s="8"/>
      <c r="C14" s="8"/>
      <c r="D14" s="8"/>
      <c r="E14" s="8"/>
      <c r="F14" s="8"/>
      <c r="G14" s="8"/>
      <c r="H14" s="8"/>
      <c r="I14" s="11"/>
      <c r="J14" s="11"/>
      <c r="K14" s="8"/>
      <c r="L14" s="8"/>
      <c r="M14" s="10"/>
      <c r="N14" s="10"/>
      <c r="O14" s="8"/>
      <c r="P14" s="8"/>
    </row>
    <row r="15" customFormat="false" ht="15" hidden="false" customHeight="true" outlineLevel="0" collapsed="false">
      <c r="A15" s="10"/>
      <c r="B15" s="8"/>
      <c r="C15" s="8"/>
      <c r="D15" s="8"/>
      <c r="E15" s="8"/>
      <c r="F15" s="8"/>
      <c r="G15" s="8"/>
      <c r="H15" s="8"/>
      <c r="I15" s="11"/>
      <c r="J15" s="11"/>
      <c r="K15" s="8"/>
      <c r="L15" s="8"/>
      <c r="M15" s="10"/>
      <c r="N15" s="10"/>
      <c r="O15" s="8"/>
      <c r="P15" s="8"/>
    </row>
    <row r="16" customFormat="false" ht="15" hidden="false" customHeight="true" outlineLevel="0" collapsed="false">
      <c r="A16" s="10"/>
      <c r="B16" s="8"/>
      <c r="C16" s="8"/>
      <c r="D16" s="8"/>
      <c r="E16" s="8"/>
      <c r="F16" s="8"/>
      <c r="G16" s="8"/>
      <c r="H16" s="8"/>
      <c r="I16" s="11"/>
      <c r="J16" s="11"/>
      <c r="K16" s="8"/>
      <c r="L16" s="8"/>
      <c r="M16" s="10"/>
      <c r="N16" s="10"/>
      <c r="O16" s="8"/>
      <c r="P16" s="8"/>
    </row>
    <row r="17" customFormat="false" ht="15" hidden="false" customHeight="true" outlineLevel="0" collapsed="false">
      <c r="A17" s="10"/>
      <c r="B17" s="8"/>
      <c r="C17" s="8"/>
      <c r="D17" s="8"/>
      <c r="E17" s="8"/>
      <c r="F17" s="8"/>
      <c r="G17" s="8"/>
      <c r="H17" s="8"/>
      <c r="I17" s="11"/>
      <c r="J17" s="11"/>
      <c r="K17" s="8"/>
      <c r="L17" s="8"/>
      <c r="M17" s="10"/>
      <c r="N17" s="10"/>
      <c r="O17" s="8"/>
      <c r="P17" s="8"/>
    </row>
    <row r="18" customFormat="false" ht="15" hidden="false" customHeight="true" outlineLevel="0" collapsed="false">
      <c r="A18" s="10"/>
      <c r="B18" s="8"/>
      <c r="C18" s="8"/>
      <c r="D18" s="8"/>
      <c r="E18" s="8"/>
      <c r="F18" s="8"/>
      <c r="G18" s="8"/>
      <c r="H18" s="8"/>
      <c r="I18" s="11"/>
      <c r="J18" s="11"/>
      <c r="K18" s="8"/>
      <c r="L18" s="8"/>
      <c r="M18" s="10"/>
      <c r="N18" s="10"/>
      <c r="O18" s="8"/>
      <c r="P18" s="8"/>
    </row>
    <row r="19" customFormat="false" ht="15" hidden="false" customHeight="true" outlineLevel="0" collapsed="false">
      <c r="A19" s="10"/>
      <c r="B19" s="8"/>
      <c r="C19" s="8"/>
      <c r="D19" s="8"/>
      <c r="E19" s="8"/>
      <c r="F19" s="8"/>
      <c r="G19" s="8"/>
      <c r="H19" s="8"/>
      <c r="I19" s="11"/>
      <c r="J19" s="11"/>
      <c r="K19" s="8"/>
      <c r="L19" s="8"/>
      <c r="M19" s="10"/>
      <c r="N19" s="10"/>
      <c r="O19" s="8"/>
      <c r="P19" s="8"/>
    </row>
    <row r="20" customFormat="false" ht="15" hidden="false" customHeight="true" outlineLevel="0" collapsed="false">
      <c r="A20" s="10"/>
      <c r="B20" s="8"/>
      <c r="C20" s="8"/>
      <c r="D20" s="8"/>
      <c r="E20" s="8"/>
      <c r="F20" s="8"/>
      <c r="G20" s="8"/>
      <c r="H20" s="8"/>
      <c r="I20" s="11"/>
      <c r="J20" s="11"/>
      <c r="K20" s="8"/>
      <c r="L20" s="8"/>
      <c r="M20" s="10"/>
      <c r="N20" s="10"/>
      <c r="O20" s="8"/>
      <c r="P20" s="8"/>
    </row>
    <row r="21" customFormat="false" ht="15" hidden="false" customHeight="true" outlineLevel="0" collapsed="false">
      <c r="A21" s="10"/>
      <c r="B21" s="8"/>
      <c r="C21" s="8"/>
      <c r="D21" s="8"/>
      <c r="E21" s="8"/>
      <c r="F21" s="8"/>
      <c r="G21" s="8"/>
      <c r="H21" s="8"/>
      <c r="I21" s="11"/>
      <c r="J21" s="11"/>
      <c r="K21" s="8"/>
      <c r="L21" s="8"/>
      <c r="M21" s="10"/>
      <c r="N21" s="10"/>
      <c r="O21" s="8"/>
      <c r="P21" s="8"/>
    </row>
    <row r="22" customFormat="false" ht="15" hidden="false" customHeight="true" outlineLevel="0" collapsed="false">
      <c r="A22" s="10"/>
      <c r="B22" s="8"/>
      <c r="C22" s="8"/>
      <c r="D22" s="8"/>
      <c r="E22" s="8"/>
      <c r="F22" s="8"/>
      <c r="G22" s="8"/>
      <c r="H22" s="8"/>
      <c r="I22" s="11"/>
      <c r="J22" s="11"/>
      <c r="K22" s="8"/>
      <c r="L22" s="8"/>
      <c r="M22" s="10"/>
      <c r="N22" s="10"/>
      <c r="O22" s="8"/>
      <c r="P22" s="8"/>
    </row>
    <row r="23" customFormat="false" ht="15" hidden="false" customHeight="true" outlineLevel="0" collapsed="false">
      <c r="A23" s="10"/>
      <c r="B23" s="8"/>
      <c r="C23" s="8"/>
      <c r="D23" s="8"/>
      <c r="E23" s="8"/>
      <c r="F23" s="8"/>
      <c r="G23" s="8"/>
      <c r="H23" s="8"/>
      <c r="I23" s="11"/>
      <c r="J23" s="11"/>
      <c r="K23" s="8"/>
      <c r="L23" s="8"/>
      <c r="M23" s="10"/>
      <c r="N23" s="10"/>
      <c r="O23" s="8"/>
      <c r="P23" s="8"/>
    </row>
    <row r="24" customFormat="false" ht="15" hidden="false" customHeight="true" outlineLevel="0" collapsed="false">
      <c r="A24" s="10"/>
      <c r="B24" s="8"/>
      <c r="C24" s="8"/>
      <c r="D24" s="8"/>
      <c r="E24" s="8"/>
      <c r="F24" s="8"/>
      <c r="G24" s="8"/>
      <c r="H24" s="8"/>
      <c r="I24" s="11"/>
      <c r="J24" s="11"/>
      <c r="K24" s="8"/>
      <c r="L24" s="8"/>
      <c r="M24" s="10"/>
      <c r="N24" s="10"/>
      <c r="O24" s="8"/>
      <c r="P24" s="8"/>
    </row>
    <row r="25" customFormat="false" ht="15" hidden="false" customHeight="true" outlineLevel="0" collapsed="false">
      <c r="A25" s="10"/>
      <c r="B25" s="8"/>
      <c r="C25" s="8"/>
      <c r="D25" s="8"/>
      <c r="E25" s="8"/>
      <c r="F25" s="8"/>
      <c r="G25" s="8"/>
      <c r="H25" s="8"/>
      <c r="I25" s="11"/>
      <c r="J25" s="11"/>
      <c r="K25" s="8"/>
      <c r="L25" s="8"/>
      <c r="M25" s="10"/>
      <c r="N25" s="10"/>
      <c r="O25" s="8"/>
      <c r="P25" s="8"/>
    </row>
    <row r="26" customFormat="false" ht="15" hidden="false" customHeight="true" outlineLevel="0" collapsed="false">
      <c r="A26" s="10"/>
      <c r="B26" s="8"/>
      <c r="C26" s="8"/>
      <c r="D26" s="8"/>
      <c r="E26" s="8"/>
      <c r="F26" s="8"/>
      <c r="G26" s="8"/>
      <c r="H26" s="8"/>
      <c r="I26" s="11"/>
      <c r="J26" s="11"/>
      <c r="K26" s="8"/>
      <c r="L26" s="8"/>
      <c r="M26" s="10"/>
      <c r="N26" s="10"/>
      <c r="O26" s="8"/>
      <c r="P26" s="8"/>
    </row>
    <row r="27" customFormat="false" ht="15" hidden="false" customHeight="true" outlineLevel="0" collapsed="false">
      <c r="A27" s="10"/>
      <c r="B27" s="8"/>
      <c r="C27" s="8"/>
      <c r="D27" s="8"/>
      <c r="E27" s="8"/>
      <c r="F27" s="8"/>
      <c r="G27" s="8"/>
      <c r="H27" s="8"/>
      <c r="I27" s="11"/>
      <c r="J27" s="11"/>
      <c r="K27" s="8"/>
      <c r="L27" s="8"/>
      <c r="M27" s="10"/>
      <c r="N27" s="10"/>
      <c r="O27" s="8"/>
      <c r="P27" s="8"/>
    </row>
    <row r="28" customFormat="false" ht="15" hidden="false" customHeight="true" outlineLevel="0" collapsed="false">
      <c r="A28" s="10"/>
      <c r="B28" s="8"/>
      <c r="C28" s="8"/>
      <c r="D28" s="8"/>
      <c r="E28" s="8"/>
      <c r="F28" s="8"/>
      <c r="G28" s="8"/>
      <c r="H28" s="8"/>
      <c r="I28" s="11"/>
      <c r="J28" s="11"/>
      <c r="K28" s="8"/>
      <c r="L28" s="8"/>
      <c r="M28" s="10"/>
      <c r="N28" s="10"/>
      <c r="O28" s="8"/>
      <c r="P28" s="8"/>
    </row>
    <row r="29" customFormat="false" ht="15" hidden="false" customHeight="true" outlineLevel="0" collapsed="false">
      <c r="A29" s="10"/>
      <c r="B29" s="8"/>
      <c r="C29" s="8"/>
      <c r="D29" s="8"/>
      <c r="E29" s="8"/>
      <c r="F29" s="8"/>
      <c r="G29" s="8"/>
      <c r="H29" s="8"/>
      <c r="I29" s="11"/>
      <c r="J29" s="11"/>
      <c r="K29" s="8"/>
      <c r="L29" s="8"/>
      <c r="M29" s="10"/>
      <c r="N29" s="10"/>
      <c r="O29" s="8"/>
      <c r="P29" s="8"/>
    </row>
    <row r="30" customFormat="false" ht="15" hidden="false" customHeight="true" outlineLevel="0" collapsed="false">
      <c r="A30" s="10"/>
      <c r="B30" s="8"/>
      <c r="C30" s="8"/>
      <c r="D30" s="8"/>
      <c r="E30" s="8"/>
      <c r="F30" s="8"/>
      <c r="G30" s="8"/>
      <c r="H30" s="8"/>
      <c r="I30" s="11"/>
      <c r="J30" s="11"/>
      <c r="K30" s="8"/>
      <c r="L30" s="8"/>
      <c r="M30" s="10"/>
      <c r="N30" s="10"/>
      <c r="O30" s="8"/>
      <c r="P30" s="8"/>
    </row>
    <row r="31" customFormat="false" ht="15" hidden="false" customHeight="true" outlineLevel="0" collapsed="false">
      <c r="A31" s="10"/>
      <c r="B31" s="8"/>
      <c r="C31" s="8"/>
      <c r="D31" s="8"/>
      <c r="E31" s="8"/>
      <c r="F31" s="8"/>
      <c r="G31" s="8"/>
      <c r="H31" s="8"/>
      <c r="I31" s="11"/>
      <c r="J31" s="11"/>
      <c r="K31" s="8"/>
      <c r="L31" s="8"/>
      <c r="M31" s="10"/>
      <c r="N31" s="10"/>
      <c r="O31" s="8"/>
      <c r="P31" s="8"/>
    </row>
    <row r="32" customFormat="false" ht="15" hidden="false" customHeight="true" outlineLevel="0" collapsed="false">
      <c r="A32" s="10"/>
      <c r="B32" s="8"/>
      <c r="C32" s="8"/>
      <c r="D32" s="8"/>
      <c r="E32" s="8"/>
      <c r="F32" s="8"/>
      <c r="G32" s="8"/>
      <c r="H32" s="8"/>
      <c r="I32" s="11"/>
      <c r="J32" s="11"/>
      <c r="K32" s="8"/>
      <c r="L32" s="8"/>
      <c r="M32" s="10"/>
      <c r="N32" s="10"/>
      <c r="O32" s="8"/>
      <c r="P32" s="8"/>
    </row>
    <row r="33" customFormat="false" ht="15" hidden="false" customHeight="true" outlineLevel="0" collapsed="false">
      <c r="A33" s="10"/>
      <c r="B33" s="8"/>
      <c r="C33" s="8"/>
      <c r="D33" s="8"/>
      <c r="E33" s="8"/>
      <c r="F33" s="8"/>
      <c r="G33" s="8"/>
      <c r="H33" s="8"/>
      <c r="I33" s="11"/>
      <c r="J33" s="11"/>
      <c r="K33" s="8"/>
      <c r="L33" s="8"/>
      <c r="M33" s="10"/>
      <c r="N33" s="10"/>
      <c r="O33" s="8"/>
      <c r="P33" s="8"/>
    </row>
    <row r="34" customFormat="false" ht="15" hidden="false" customHeight="true" outlineLevel="0" collapsed="false">
      <c r="A34" s="10"/>
      <c r="B34" s="8"/>
      <c r="C34" s="8"/>
      <c r="D34" s="8"/>
      <c r="E34" s="8"/>
      <c r="F34" s="8"/>
      <c r="G34" s="8"/>
      <c r="H34" s="8"/>
      <c r="I34" s="11"/>
      <c r="J34" s="11"/>
      <c r="K34" s="8"/>
      <c r="L34" s="8"/>
      <c r="M34" s="10"/>
      <c r="N34" s="10"/>
      <c r="O34" s="8"/>
      <c r="P34" s="8"/>
    </row>
    <row r="35" customFormat="false" ht="15" hidden="false" customHeight="true" outlineLevel="0" collapsed="false">
      <c r="A35" s="10"/>
      <c r="B35" s="8"/>
      <c r="C35" s="8"/>
      <c r="D35" s="8"/>
      <c r="E35" s="8"/>
      <c r="F35" s="8"/>
      <c r="G35" s="8"/>
      <c r="H35" s="8"/>
      <c r="I35" s="11"/>
      <c r="J35" s="11"/>
      <c r="K35" s="8"/>
      <c r="L35" s="8"/>
      <c r="M35" s="10"/>
      <c r="N35" s="10"/>
      <c r="O35" s="8"/>
      <c r="P35" s="8"/>
    </row>
    <row r="36" customFormat="false" ht="15" hidden="false" customHeight="true" outlineLevel="0" collapsed="false">
      <c r="A36" s="10"/>
      <c r="B36" s="8"/>
      <c r="C36" s="8"/>
      <c r="D36" s="8"/>
      <c r="E36" s="8"/>
      <c r="F36" s="8"/>
      <c r="G36" s="8"/>
      <c r="H36" s="8"/>
      <c r="I36" s="11"/>
      <c r="J36" s="11"/>
      <c r="K36" s="8"/>
      <c r="L36" s="8"/>
      <c r="M36" s="10"/>
      <c r="N36" s="10"/>
      <c r="O36" s="8"/>
      <c r="P36" s="8"/>
    </row>
    <row r="37" customFormat="false" ht="15" hidden="false" customHeight="true" outlineLevel="0" collapsed="false">
      <c r="A37" s="10"/>
      <c r="B37" s="8"/>
      <c r="C37" s="8"/>
      <c r="D37" s="8"/>
      <c r="E37" s="8"/>
      <c r="F37" s="8"/>
      <c r="G37" s="8"/>
      <c r="H37" s="8"/>
      <c r="I37" s="11"/>
      <c r="J37" s="11"/>
      <c r="K37" s="8"/>
      <c r="L37" s="8"/>
      <c r="M37" s="10"/>
      <c r="N37" s="10"/>
      <c r="O37" s="8"/>
      <c r="P37" s="8"/>
    </row>
    <row r="38" customFormat="false" ht="15" hidden="false" customHeight="true" outlineLevel="0" collapsed="false">
      <c r="A38" s="10"/>
      <c r="B38" s="8"/>
      <c r="C38" s="8"/>
      <c r="D38" s="8"/>
      <c r="E38" s="8"/>
      <c r="F38" s="8"/>
      <c r="G38" s="8"/>
      <c r="H38" s="8"/>
      <c r="I38" s="11"/>
      <c r="J38" s="11"/>
      <c r="K38" s="8"/>
      <c r="L38" s="8"/>
      <c r="M38" s="10"/>
      <c r="N38" s="10"/>
      <c r="O38" s="8"/>
      <c r="P38" s="8"/>
    </row>
    <row r="39" customFormat="false" ht="15" hidden="false" customHeight="true" outlineLevel="0" collapsed="false">
      <c r="A39" s="10"/>
      <c r="B39" s="8"/>
      <c r="C39" s="8"/>
      <c r="D39" s="8"/>
      <c r="E39" s="8"/>
      <c r="F39" s="8"/>
      <c r="G39" s="8"/>
      <c r="H39" s="8"/>
      <c r="I39" s="11"/>
      <c r="J39" s="11"/>
      <c r="K39" s="8"/>
      <c r="L39" s="8"/>
      <c r="M39" s="10"/>
      <c r="N39" s="10"/>
      <c r="O39" s="8"/>
      <c r="P39" s="8"/>
    </row>
    <row r="40" customFormat="false" ht="15" hidden="false" customHeight="true" outlineLevel="0" collapsed="false">
      <c r="A40" s="10"/>
      <c r="B40" s="8"/>
      <c r="C40" s="8"/>
      <c r="D40" s="8"/>
      <c r="E40" s="8"/>
      <c r="F40" s="8"/>
      <c r="G40" s="8"/>
      <c r="H40" s="8"/>
      <c r="I40" s="11"/>
      <c r="J40" s="11"/>
      <c r="K40" s="8"/>
      <c r="L40" s="8"/>
      <c r="M40" s="10"/>
      <c r="N40" s="10"/>
      <c r="O40" s="8"/>
      <c r="P40" s="8"/>
    </row>
    <row r="41" customFormat="false" ht="15" hidden="false" customHeight="true" outlineLevel="0" collapsed="false">
      <c r="A41" s="10"/>
      <c r="B41" s="8"/>
      <c r="C41" s="8"/>
      <c r="D41" s="8"/>
      <c r="E41" s="8"/>
      <c r="F41" s="8"/>
      <c r="G41" s="8"/>
      <c r="H41" s="8"/>
      <c r="I41" s="11"/>
      <c r="J41" s="11"/>
      <c r="K41" s="8"/>
      <c r="L41" s="8"/>
      <c r="M41" s="10"/>
      <c r="N41" s="10"/>
      <c r="O41" s="8"/>
      <c r="P41" s="8"/>
    </row>
    <row r="42" customFormat="false" ht="15" hidden="false" customHeight="true" outlineLevel="0" collapsed="false">
      <c r="A42" s="10"/>
      <c r="B42" s="8"/>
      <c r="C42" s="8"/>
      <c r="D42" s="8"/>
      <c r="E42" s="8"/>
      <c r="F42" s="8"/>
      <c r="G42" s="8"/>
      <c r="H42" s="8"/>
      <c r="I42" s="11"/>
      <c r="J42" s="11"/>
      <c r="K42" s="8"/>
      <c r="L42" s="8"/>
      <c r="M42" s="10"/>
      <c r="N42" s="10"/>
      <c r="O42" s="8"/>
      <c r="P42" s="8"/>
    </row>
    <row r="43" customFormat="false" ht="15" hidden="false" customHeight="true" outlineLevel="0" collapsed="false">
      <c r="A43" s="10"/>
      <c r="B43" s="8"/>
      <c r="C43" s="8"/>
      <c r="D43" s="8"/>
      <c r="E43" s="8"/>
      <c r="F43" s="8"/>
      <c r="G43" s="8"/>
      <c r="H43" s="8"/>
      <c r="I43" s="11"/>
      <c r="J43" s="11"/>
      <c r="K43" s="8"/>
      <c r="L43" s="8"/>
      <c r="M43" s="10"/>
      <c r="N43" s="10"/>
      <c r="O43" s="8"/>
      <c r="P43" s="8"/>
    </row>
    <row r="44" customFormat="false" ht="15" hidden="false" customHeight="true" outlineLevel="0" collapsed="false">
      <c r="A44" s="10"/>
      <c r="B44" s="8"/>
      <c r="C44" s="8"/>
      <c r="D44" s="8"/>
      <c r="E44" s="8"/>
      <c r="F44" s="8"/>
      <c r="G44" s="8"/>
      <c r="H44" s="8"/>
      <c r="I44" s="11"/>
      <c r="J44" s="11"/>
      <c r="K44" s="8"/>
      <c r="L44" s="8"/>
      <c r="M44" s="10"/>
      <c r="N44" s="10"/>
      <c r="O44" s="8"/>
      <c r="P44" s="8"/>
    </row>
    <row r="45" customFormat="false" ht="15" hidden="false" customHeight="true" outlineLevel="0" collapsed="false">
      <c r="A45" s="10"/>
      <c r="B45" s="8"/>
      <c r="C45" s="8"/>
      <c r="D45" s="8"/>
      <c r="E45" s="8"/>
      <c r="F45" s="8"/>
      <c r="G45" s="8"/>
      <c r="H45" s="8"/>
      <c r="I45" s="11"/>
      <c r="J45" s="11"/>
      <c r="K45" s="8"/>
      <c r="L45" s="8"/>
      <c r="M45" s="10"/>
      <c r="N45" s="10"/>
      <c r="O45" s="8"/>
      <c r="P45" s="8"/>
    </row>
    <row r="46" customFormat="false" ht="15" hidden="false" customHeight="true" outlineLevel="0" collapsed="false">
      <c r="A46" s="10"/>
      <c r="B46" s="8"/>
      <c r="C46" s="8"/>
      <c r="D46" s="8"/>
      <c r="E46" s="8"/>
      <c r="F46" s="8"/>
      <c r="G46" s="8"/>
      <c r="H46" s="8"/>
      <c r="I46" s="11"/>
      <c r="J46" s="11"/>
      <c r="K46" s="8"/>
      <c r="L46" s="8"/>
      <c r="M46" s="10"/>
      <c r="N46" s="10"/>
      <c r="O46" s="8"/>
      <c r="P46" s="8"/>
    </row>
    <row r="47" customFormat="false" ht="15" hidden="false" customHeight="true" outlineLevel="0" collapsed="false">
      <c r="A47" s="10"/>
      <c r="B47" s="8"/>
      <c r="C47" s="8"/>
      <c r="D47" s="8"/>
      <c r="E47" s="8"/>
      <c r="F47" s="8"/>
      <c r="G47" s="8"/>
      <c r="H47" s="8"/>
      <c r="I47" s="11"/>
      <c r="J47" s="11"/>
      <c r="K47" s="8"/>
      <c r="L47" s="8"/>
      <c r="M47" s="10"/>
      <c r="N47" s="10"/>
      <c r="O47" s="8"/>
      <c r="P47" s="8"/>
    </row>
    <row r="48" customFormat="false" ht="15" hidden="false" customHeight="true" outlineLevel="0" collapsed="false">
      <c r="A48" s="10"/>
      <c r="B48" s="8"/>
      <c r="C48" s="8"/>
      <c r="D48" s="8"/>
      <c r="E48" s="8"/>
      <c r="F48" s="8"/>
      <c r="G48" s="8"/>
      <c r="H48" s="8"/>
      <c r="I48" s="11"/>
      <c r="J48" s="11"/>
      <c r="K48" s="8"/>
      <c r="L48" s="8"/>
      <c r="M48" s="10"/>
      <c r="N48" s="10"/>
      <c r="O48" s="8"/>
      <c r="P48" s="8"/>
    </row>
    <row r="49" customFormat="false" ht="15" hidden="false" customHeight="true" outlineLevel="0" collapsed="false">
      <c r="A49" s="10"/>
      <c r="B49" s="8"/>
      <c r="C49" s="8"/>
      <c r="D49" s="8"/>
      <c r="E49" s="8"/>
      <c r="F49" s="8"/>
      <c r="G49" s="8"/>
      <c r="H49" s="8"/>
      <c r="I49" s="11"/>
      <c r="J49" s="11"/>
      <c r="K49" s="8"/>
      <c r="L49" s="8"/>
      <c r="M49" s="10"/>
      <c r="N49" s="10"/>
      <c r="O49" s="8"/>
      <c r="P49" s="8"/>
    </row>
    <row r="50" customFormat="false" ht="15" hidden="false" customHeight="true" outlineLevel="0" collapsed="false">
      <c r="A50" s="10"/>
      <c r="B50" s="8"/>
      <c r="C50" s="8"/>
      <c r="D50" s="8"/>
      <c r="E50" s="8"/>
      <c r="F50" s="8"/>
      <c r="G50" s="8"/>
      <c r="H50" s="8"/>
      <c r="I50" s="11"/>
      <c r="J50" s="11"/>
      <c r="K50" s="8"/>
      <c r="L50" s="8"/>
      <c r="M50" s="10"/>
      <c r="N50" s="10"/>
      <c r="O50" s="8"/>
      <c r="P50" s="8"/>
    </row>
    <row r="51" customFormat="false" ht="15" hidden="false" customHeight="true" outlineLevel="0" collapsed="false">
      <c r="A51" s="10"/>
      <c r="B51" s="8"/>
      <c r="C51" s="8"/>
      <c r="D51" s="8"/>
      <c r="E51" s="8"/>
      <c r="F51" s="8"/>
      <c r="G51" s="8"/>
      <c r="H51" s="8"/>
      <c r="I51" s="11"/>
      <c r="J51" s="11"/>
      <c r="K51" s="8"/>
      <c r="L51" s="8"/>
      <c r="M51" s="10"/>
      <c r="N51" s="10"/>
      <c r="O51" s="8"/>
      <c r="P51" s="8"/>
    </row>
    <row r="52" customFormat="false" ht="15" hidden="false" customHeight="true" outlineLevel="0" collapsed="false">
      <c r="A52" s="10"/>
      <c r="B52" s="8"/>
      <c r="C52" s="8"/>
      <c r="D52" s="8"/>
      <c r="E52" s="8"/>
      <c r="F52" s="8"/>
      <c r="G52" s="8"/>
      <c r="H52" s="8"/>
      <c r="I52" s="11"/>
      <c r="J52" s="11"/>
      <c r="K52" s="8"/>
      <c r="L52" s="8"/>
      <c r="M52" s="10"/>
      <c r="N52" s="10"/>
      <c r="O52" s="8"/>
      <c r="P52" s="8"/>
    </row>
    <row r="53" customFormat="false" ht="15" hidden="false" customHeight="true" outlineLevel="0" collapsed="false">
      <c r="A53" s="10"/>
      <c r="B53" s="8"/>
      <c r="C53" s="8"/>
      <c r="D53" s="8"/>
      <c r="E53" s="8"/>
      <c r="F53" s="8"/>
      <c r="G53" s="8"/>
      <c r="H53" s="8"/>
      <c r="I53" s="11"/>
      <c r="J53" s="11"/>
      <c r="K53" s="8"/>
      <c r="L53" s="8"/>
      <c r="M53" s="10"/>
      <c r="N53" s="10"/>
      <c r="O53" s="8"/>
      <c r="P53" s="8"/>
    </row>
    <row r="54" customFormat="false" ht="15" hidden="false" customHeight="true" outlineLevel="0" collapsed="false">
      <c r="A54" s="10"/>
      <c r="B54" s="8"/>
      <c r="C54" s="8"/>
      <c r="D54" s="8"/>
      <c r="E54" s="8"/>
      <c r="F54" s="8"/>
      <c r="G54" s="8"/>
      <c r="H54" s="8"/>
      <c r="I54" s="11"/>
      <c r="J54" s="11"/>
      <c r="K54" s="8"/>
      <c r="L54" s="8"/>
      <c r="M54" s="10"/>
      <c r="N54" s="10"/>
      <c r="O54" s="8"/>
      <c r="P54" s="8"/>
    </row>
    <row r="55" customFormat="false" ht="15" hidden="false" customHeight="true" outlineLevel="0" collapsed="false">
      <c r="A55" s="10"/>
      <c r="B55" s="8"/>
      <c r="C55" s="8"/>
      <c r="D55" s="8"/>
      <c r="E55" s="8"/>
      <c r="F55" s="8"/>
      <c r="G55" s="8"/>
      <c r="H55" s="8"/>
      <c r="I55" s="11"/>
      <c r="J55" s="11"/>
      <c r="K55" s="8"/>
      <c r="L55" s="8"/>
      <c r="M55" s="10"/>
      <c r="N55" s="10"/>
      <c r="O55" s="8"/>
      <c r="P55" s="8"/>
    </row>
    <row r="56" customFormat="false" ht="15" hidden="false" customHeight="true" outlineLevel="0" collapsed="false">
      <c r="A56" s="10"/>
      <c r="B56" s="8"/>
      <c r="C56" s="8"/>
      <c r="D56" s="8"/>
      <c r="E56" s="8"/>
      <c r="F56" s="8"/>
      <c r="G56" s="8"/>
      <c r="H56" s="8"/>
      <c r="I56" s="11"/>
      <c r="J56" s="11"/>
      <c r="K56" s="8"/>
      <c r="L56" s="8"/>
      <c r="M56" s="10"/>
      <c r="N56" s="10"/>
      <c r="O56" s="8"/>
      <c r="P56" s="8"/>
    </row>
    <row r="57" customFormat="false" ht="15" hidden="false" customHeight="true" outlineLevel="0" collapsed="false">
      <c r="A57" s="10"/>
      <c r="B57" s="8"/>
      <c r="C57" s="8"/>
      <c r="D57" s="8"/>
      <c r="E57" s="8"/>
      <c r="F57" s="8"/>
      <c r="G57" s="8"/>
      <c r="H57" s="8"/>
      <c r="I57" s="11"/>
      <c r="J57" s="11"/>
      <c r="K57" s="8"/>
      <c r="L57" s="8"/>
      <c r="M57" s="10"/>
      <c r="N57" s="10"/>
      <c r="O57" s="8"/>
      <c r="P57" s="8"/>
    </row>
    <row r="58" customFormat="false" ht="15" hidden="false" customHeight="true" outlineLevel="0" collapsed="false">
      <c r="A58" s="10"/>
      <c r="B58" s="8"/>
      <c r="C58" s="8"/>
      <c r="D58" s="8"/>
      <c r="E58" s="8"/>
      <c r="F58" s="8"/>
      <c r="G58" s="8"/>
      <c r="H58" s="8"/>
      <c r="I58" s="11"/>
      <c r="J58" s="11"/>
      <c r="K58" s="8"/>
      <c r="L58" s="8"/>
      <c r="M58" s="10"/>
      <c r="N58" s="10"/>
      <c r="O58" s="8"/>
      <c r="P58" s="8"/>
    </row>
    <row r="59" customFormat="false" ht="15" hidden="false" customHeight="true" outlineLevel="0" collapsed="false">
      <c r="A59" s="10"/>
      <c r="B59" s="8"/>
      <c r="C59" s="8"/>
      <c r="D59" s="8"/>
      <c r="E59" s="8"/>
      <c r="F59" s="8"/>
      <c r="G59" s="8"/>
      <c r="H59" s="8"/>
      <c r="I59" s="11"/>
      <c r="J59" s="11"/>
      <c r="K59" s="8"/>
      <c r="L59" s="8"/>
      <c r="M59" s="10"/>
      <c r="N59" s="10"/>
      <c r="O59" s="8"/>
      <c r="P59" s="8"/>
    </row>
    <row r="60" customFormat="false" ht="15" hidden="false" customHeight="true" outlineLevel="0" collapsed="false">
      <c r="A60" s="10"/>
      <c r="B60" s="8"/>
      <c r="C60" s="8"/>
      <c r="D60" s="8"/>
      <c r="E60" s="8"/>
      <c r="F60" s="8"/>
      <c r="G60" s="8"/>
      <c r="H60" s="8"/>
      <c r="I60" s="11"/>
      <c r="J60" s="11"/>
      <c r="K60" s="8"/>
      <c r="L60" s="8"/>
      <c r="M60" s="10"/>
      <c r="N60" s="10"/>
      <c r="O60" s="8"/>
      <c r="P60" s="8"/>
    </row>
    <row r="61" customFormat="false" ht="15" hidden="false" customHeight="true" outlineLevel="0" collapsed="false">
      <c r="A61" s="10"/>
      <c r="B61" s="8"/>
      <c r="C61" s="8"/>
      <c r="D61" s="8"/>
      <c r="E61" s="8"/>
      <c r="F61" s="8"/>
      <c r="G61" s="8"/>
      <c r="H61" s="8"/>
      <c r="I61" s="11"/>
      <c r="J61" s="11"/>
      <c r="K61" s="8"/>
      <c r="L61" s="8"/>
      <c r="M61" s="10"/>
      <c r="N61" s="10"/>
      <c r="O61" s="8"/>
      <c r="P61" s="8"/>
    </row>
    <row r="62" customFormat="false" ht="15" hidden="false" customHeight="true" outlineLevel="0" collapsed="false">
      <c r="A62" s="10"/>
      <c r="B62" s="8"/>
      <c r="C62" s="8"/>
      <c r="D62" s="8"/>
      <c r="E62" s="8"/>
      <c r="F62" s="8"/>
      <c r="G62" s="8"/>
      <c r="H62" s="8"/>
      <c r="I62" s="11"/>
      <c r="J62" s="11"/>
      <c r="K62" s="8"/>
      <c r="L62" s="8"/>
      <c r="M62" s="10"/>
      <c r="N62" s="10"/>
      <c r="O62" s="8"/>
      <c r="P62" s="8"/>
    </row>
    <row r="63" customFormat="false" ht="15" hidden="false" customHeight="true" outlineLevel="0" collapsed="false">
      <c r="A63" s="10"/>
      <c r="B63" s="8"/>
      <c r="C63" s="8"/>
      <c r="D63" s="8"/>
      <c r="E63" s="8"/>
      <c r="F63" s="8"/>
      <c r="G63" s="8"/>
      <c r="H63" s="8"/>
      <c r="I63" s="11"/>
      <c r="J63" s="11"/>
      <c r="K63" s="8"/>
      <c r="L63" s="8"/>
      <c r="M63" s="10"/>
      <c r="N63" s="10"/>
      <c r="O63" s="8"/>
      <c r="P63" s="8"/>
    </row>
    <row r="64" customFormat="false" ht="15" hidden="false" customHeight="true" outlineLevel="0" collapsed="false">
      <c r="A64" s="10"/>
      <c r="B64" s="8"/>
      <c r="C64" s="8"/>
      <c r="D64" s="8"/>
      <c r="E64" s="8"/>
      <c r="F64" s="8"/>
      <c r="G64" s="8"/>
      <c r="H64" s="8"/>
      <c r="I64" s="11"/>
      <c r="J64" s="11"/>
      <c r="K64" s="8"/>
      <c r="L64" s="8"/>
      <c r="M64" s="10"/>
      <c r="N64" s="10"/>
      <c r="O64" s="8"/>
      <c r="P64" s="8"/>
    </row>
    <row r="65" customFormat="false" ht="15" hidden="false" customHeight="true" outlineLevel="0" collapsed="false">
      <c r="A65" s="10"/>
      <c r="B65" s="8"/>
      <c r="C65" s="8"/>
      <c r="D65" s="8"/>
      <c r="E65" s="8"/>
      <c r="F65" s="8"/>
      <c r="G65" s="8"/>
      <c r="H65" s="8"/>
      <c r="I65" s="11"/>
      <c r="J65" s="11"/>
      <c r="K65" s="8"/>
      <c r="L65" s="8"/>
      <c r="M65" s="10"/>
      <c r="N65" s="10"/>
      <c r="O65" s="8"/>
      <c r="P65" s="8"/>
    </row>
    <row r="66" customFormat="false" ht="15" hidden="false" customHeight="true" outlineLevel="0" collapsed="false">
      <c r="A66" s="10"/>
      <c r="B66" s="8"/>
      <c r="C66" s="8"/>
      <c r="D66" s="8"/>
      <c r="E66" s="8"/>
      <c r="F66" s="8"/>
      <c r="G66" s="8"/>
      <c r="H66" s="8"/>
      <c r="I66" s="11"/>
      <c r="J66" s="11"/>
      <c r="K66" s="8"/>
      <c r="L66" s="8"/>
      <c r="M66" s="10"/>
      <c r="N66" s="10"/>
      <c r="O66" s="8"/>
      <c r="P66" s="8"/>
    </row>
    <row r="67" customFormat="false" ht="15" hidden="false" customHeight="true" outlineLevel="0" collapsed="false">
      <c r="A67" s="10"/>
      <c r="B67" s="8"/>
      <c r="C67" s="8"/>
      <c r="D67" s="8"/>
      <c r="E67" s="8"/>
      <c r="F67" s="8"/>
      <c r="G67" s="8"/>
      <c r="H67" s="8"/>
      <c r="I67" s="11"/>
      <c r="J67" s="11"/>
      <c r="K67" s="8"/>
      <c r="L67" s="8"/>
      <c r="M67" s="10"/>
      <c r="N67" s="10"/>
      <c r="O67" s="8"/>
      <c r="P67" s="8"/>
    </row>
    <row r="68" customFormat="false" ht="15" hidden="false" customHeight="true" outlineLevel="0" collapsed="false">
      <c r="A68" s="10"/>
      <c r="B68" s="8"/>
      <c r="C68" s="8"/>
      <c r="D68" s="8"/>
      <c r="E68" s="8"/>
      <c r="F68" s="8"/>
      <c r="G68" s="8"/>
      <c r="H68" s="8"/>
      <c r="I68" s="11"/>
      <c r="J68" s="11"/>
      <c r="K68" s="8"/>
      <c r="L68" s="8"/>
      <c r="M68" s="10"/>
      <c r="N68" s="10"/>
      <c r="O68" s="8"/>
      <c r="P68" s="8"/>
    </row>
    <row r="69" customFormat="false" ht="15" hidden="false" customHeight="true" outlineLevel="0" collapsed="false">
      <c r="A69" s="10"/>
      <c r="B69" s="8"/>
      <c r="C69" s="8"/>
      <c r="D69" s="8"/>
      <c r="E69" s="8"/>
      <c r="F69" s="8"/>
      <c r="G69" s="8"/>
      <c r="H69" s="8"/>
      <c r="I69" s="11"/>
      <c r="J69" s="11"/>
      <c r="K69" s="8"/>
      <c r="L69" s="8"/>
      <c r="M69" s="10"/>
      <c r="N69" s="10"/>
      <c r="O69" s="8"/>
      <c r="P69" s="8"/>
    </row>
    <row r="70" customFormat="false" ht="15" hidden="false" customHeight="true" outlineLevel="0" collapsed="false">
      <c r="A70" s="10"/>
      <c r="B70" s="8"/>
      <c r="C70" s="8"/>
      <c r="D70" s="8"/>
      <c r="E70" s="8"/>
      <c r="F70" s="8"/>
      <c r="G70" s="8"/>
      <c r="H70" s="8"/>
      <c r="I70" s="11"/>
      <c r="J70" s="11"/>
      <c r="K70" s="8"/>
      <c r="L70" s="8"/>
      <c r="M70" s="10"/>
      <c r="N70" s="10"/>
      <c r="O70" s="8"/>
      <c r="P70" s="8"/>
    </row>
    <row r="71" customFormat="false" ht="15" hidden="false" customHeight="true" outlineLevel="0" collapsed="false">
      <c r="A71" s="10"/>
      <c r="B71" s="8"/>
      <c r="C71" s="8"/>
      <c r="D71" s="8"/>
      <c r="E71" s="8"/>
      <c r="F71" s="8"/>
      <c r="G71" s="8"/>
      <c r="H71" s="8"/>
      <c r="I71" s="11"/>
      <c r="J71" s="11"/>
      <c r="K71" s="8"/>
      <c r="L71" s="8"/>
      <c r="M71" s="10"/>
      <c r="N71" s="10"/>
      <c r="O71" s="8"/>
      <c r="P71" s="8"/>
    </row>
    <row r="72" customFormat="false" ht="15" hidden="false" customHeight="true" outlineLevel="0" collapsed="false">
      <c r="A72" s="10"/>
      <c r="B72" s="8"/>
      <c r="C72" s="8"/>
      <c r="D72" s="8"/>
      <c r="E72" s="8"/>
      <c r="F72" s="8"/>
      <c r="G72" s="8"/>
      <c r="H72" s="8"/>
      <c r="I72" s="11"/>
      <c r="J72" s="11"/>
      <c r="K72" s="8"/>
      <c r="L72" s="8"/>
      <c r="M72" s="10"/>
      <c r="N72" s="10"/>
      <c r="O72" s="8"/>
      <c r="P72" s="8"/>
    </row>
    <row r="73" customFormat="false" ht="15" hidden="false" customHeight="true" outlineLevel="0" collapsed="false">
      <c r="A73" s="10"/>
      <c r="B73" s="8"/>
      <c r="C73" s="8"/>
      <c r="D73" s="8"/>
      <c r="E73" s="8"/>
      <c r="F73" s="8"/>
      <c r="G73" s="8"/>
      <c r="H73" s="8"/>
      <c r="I73" s="11"/>
      <c r="J73" s="11"/>
      <c r="K73" s="8"/>
      <c r="L73" s="8"/>
      <c r="M73" s="10"/>
      <c r="N73" s="10"/>
      <c r="O73" s="8"/>
      <c r="P73" s="8"/>
    </row>
    <row r="74" customFormat="false" ht="15" hidden="false" customHeight="true" outlineLevel="0" collapsed="false">
      <c r="A74" s="10"/>
      <c r="B74" s="8"/>
      <c r="C74" s="8"/>
      <c r="D74" s="8"/>
      <c r="E74" s="8"/>
      <c r="F74" s="8"/>
      <c r="G74" s="8"/>
      <c r="H74" s="8"/>
      <c r="I74" s="11"/>
      <c r="J74" s="11"/>
      <c r="K74" s="8"/>
      <c r="L74" s="8"/>
      <c r="M74" s="10"/>
      <c r="N74" s="10"/>
      <c r="O74" s="8"/>
      <c r="P74" s="8"/>
    </row>
    <row r="75" customFormat="false" ht="15" hidden="false" customHeight="true" outlineLevel="0" collapsed="false">
      <c r="A75" s="10"/>
      <c r="B75" s="8"/>
      <c r="C75" s="8"/>
      <c r="D75" s="8"/>
      <c r="E75" s="8"/>
      <c r="F75" s="8"/>
      <c r="G75" s="8"/>
      <c r="H75" s="8"/>
      <c r="I75" s="11"/>
      <c r="J75" s="11"/>
      <c r="K75" s="8"/>
      <c r="L75" s="8"/>
      <c r="M75" s="10"/>
      <c r="N75" s="10"/>
      <c r="O75" s="8"/>
      <c r="P75" s="8"/>
    </row>
    <row r="76" customFormat="false" ht="15" hidden="false" customHeight="true" outlineLevel="0" collapsed="false">
      <c r="A76" s="10"/>
      <c r="B76" s="8"/>
      <c r="C76" s="8"/>
      <c r="D76" s="8"/>
      <c r="E76" s="8"/>
      <c r="F76" s="8"/>
      <c r="G76" s="8"/>
      <c r="H76" s="8"/>
      <c r="I76" s="11"/>
      <c r="J76" s="11"/>
      <c r="K76" s="8"/>
      <c r="L76" s="8"/>
      <c r="M76" s="10"/>
      <c r="N76" s="10"/>
      <c r="O76" s="8"/>
      <c r="P76" s="8"/>
    </row>
    <row r="77" customFormat="false" ht="15" hidden="false" customHeight="true" outlineLevel="0" collapsed="false">
      <c r="A77" s="10"/>
      <c r="B77" s="8"/>
      <c r="C77" s="8"/>
      <c r="D77" s="8"/>
      <c r="E77" s="8"/>
      <c r="F77" s="8"/>
      <c r="G77" s="8"/>
      <c r="H77" s="8"/>
      <c r="I77" s="11"/>
      <c r="J77" s="11"/>
      <c r="K77" s="8"/>
      <c r="L77" s="8"/>
      <c r="M77" s="10"/>
      <c r="N77" s="10"/>
      <c r="O77" s="8"/>
      <c r="P77" s="8"/>
    </row>
    <row r="78" customFormat="false" ht="15" hidden="false" customHeight="true" outlineLevel="0" collapsed="false">
      <c r="A78" s="10"/>
      <c r="B78" s="8"/>
      <c r="C78" s="8"/>
      <c r="D78" s="8"/>
      <c r="E78" s="8"/>
      <c r="F78" s="8"/>
      <c r="G78" s="8"/>
      <c r="H78" s="8"/>
      <c r="I78" s="11"/>
      <c r="J78" s="11"/>
      <c r="K78" s="8"/>
      <c r="L78" s="8"/>
      <c r="M78" s="10"/>
      <c r="N78" s="10"/>
      <c r="O78" s="8"/>
      <c r="P78" s="8"/>
    </row>
    <row r="79" customFormat="false" ht="15" hidden="false" customHeight="true" outlineLevel="0" collapsed="false">
      <c r="A79" s="10"/>
      <c r="B79" s="8"/>
      <c r="C79" s="8"/>
      <c r="D79" s="8"/>
      <c r="E79" s="8"/>
      <c r="F79" s="8"/>
      <c r="G79" s="8"/>
      <c r="H79" s="8"/>
      <c r="I79" s="11"/>
      <c r="J79" s="11"/>
      <c r="K79" s="8"/>
      <c r="L79" s="8"/>
      <c r="M79" s="10"/>
      <c r="N79" s="10"/>
      <c r="O79" s="8"/>
      <c r="P79" s="8"/>
    </row>
    <row r="80" customFormat="false" ht="15" hidden="false" customHeight="true" outlineLevel="0" collapsed="false">
      <c r="A80" s="10"/>
      <c r="B80" s="8"/>
      <c r="C80" s="8"/>
      <c r="D80" s="8"/>
      <c r="E80" s="8"/>
      <c r="F80" s="8"/>
      <c r="G80" s="8"/>
      <c r="H80" s="8"/>
      <c r="I80" s="11"/>
      <c r="J80" s="11"/>
      <c r="K80" s="8"/>
      <c r="L80" s="8"/>
      <c r="M80" s="10"/>
      <c r="N80" s="10"/>
      <c r="O80" s="8"/>
      <c r="P80" s="8"/>
    </row>
    <row r="81" customFormat="false" ht="15" hidden="false" customHeight="true" outlineLevel="0" collapsed="false">
      <c r="A81" s="10"/>
      <c r="B81" s="8"/>
      <c r="C81" s="8"/>
      <c r="D81" s="8"/>
      <c r="E81" s="8"/>
      <c r="F81" s="8"/>
      <c r="G81" s="8"/>
      <c r="H81" s="8"/>
      <c r="I81" s="11"/>
      <c r="J81" s="11"/>
      <c r="K81" s="8"/>
      <c r="L81" s="8"/>
      <c r="M81" s="10"/>
      <c r="N81" s="10"/>
      <c r="O81" s="8"/>
      <c r="P81" s="8"/>
    </row>
    <row r="82" customFormat="false" ht="15" hidden="false" customHeight="true" outlineLevel="0" collapsed="false">
      <c r="A82" s="10"/>
      <c r="B82" s="8"/>
      <c r="C82" s="8"/>
      <c r="D82" s="8"/>
      <c r="E82" s="8"/>
      <c r="F82" s="8"/>
      <c r="G82" s="8"/>
      <c r="H82" s="8"/>
      <c r="I82" s="11"/>
      <c r="J82" s="11"/>
      <c r="K82" s="8"/>
      <c r="L82" s="8"/>
      <c r="M82" s="10"/>
      <c r="N82" s="10"/>
      <c r="O82" s="8"/>
      <c r="P82" s="8"/>
    </row>
    <row r="83" customFormat="false" ht="15" hidden="false" customHeight="true" outlineLevel="0" collapsed="false">
      <c r="A83" s="10"/>
      <c r="B83" s="8"/>
      <c r="C83" s="8"/>
      <c r="D83" s="8"/>
      <c r="E83" s="8"/>
      <c r="F83" s="8"/>
      <c r="G83" s="8"/>
      <c r="H83" s="8"/>
      <c r="I83" s="11"/>
      <c r="J83" s="11"/>
      <c r="K83" s="8"/>
      <c r="L83" s="8"/>
      <c r="M83" s="10"/>
      <c r="N83" s="10"/>
      <c r="O83" s="8"/>
      <c r="P83" s="8"/>
    </row>
    <row r="84" customFormat="false" ht="15" hidden="false" customHeight="true" outlineLevel="0" collapsed="false">
      <c r="A84" s="10"/>
      <c r="B84" s="8"/>
      <c r="C84" s="8"/>
      <c r="D84" s="8"/>
      <c r="E84" s="8"/>
      <c r="F84" s="8"/>
      <c r="G84" s="8"/>
      <c r="H84" s="8"/>
      <c r="I84" s="11"/>
      <c r="J84" s="11"/>
      <c r="K84" s="8"/>
      <c r="L84" s="8"/>
      <c r="M84" s="10"/>
      <c r="N84" s="10"/>
      <c r="O84" s="8"/>
      <c r="P84" s="8"/>
    </row>
    <row r="85" customFormat="false" ht="15" hidden="false" customHeight="true" outlineLevel="0" collapsed="false">
      <c r="A85" s="10"/>
      <c r="B85" s="8"/>
      <c r="C85" s="8"/>
      <c r="D85" s="8"/>
      <c r="E85" s="8"/>
      <c r="F85" s="8"/>
      <c r="G85" s="8"/>
      <c r="H85" s="8"/>
      <c r="I85" s="11"/>
      <c r="J85" s="11"/>
      <c r="K85" s="8"/>
      <c r="L85" s="8"/>
      <c r="M85" s="10"/>
      <c r="N85" s="10"/>
      <c r="O85" s="8"/>
      <c r="P85" s="8"/>
    </row>
    <row r="86" customFormat="false" ht="15" hidden="false" customHeight="true" outlineLevel="0" collapsed="false">
      <c r="A86" s="10"/>
      <c r="B86" s="8"/>
      <c r="C86" s="8"/>
      <c r="D86" s="8"/>
      <c r="E86" s="8"/>
      <c r="F86" s="8"/>
      <c r="G86" s="8"/>
      <c r="H86" s="8"/>
      <c r="I86" s="11"/>
      <c r="J86" s="11"/>
      <c r="K86" s="8"/>
      <c r="L86" s="8"/>
      <c r="M86" s="10"/>
      <c r="N86" s="10"/>
      <c r="O86" s="8"/>
      <c r="P86" s="8"/>
    </row>
    <row r="87" customFormat="false" ht="15" hidden="false" customHeight="true" outlineLevel="0" collapsed="false">
      <c r="A87" s="10"/>
      <c r="B87" s="8"/>
      <c r="C87" s="8"/>
      <c r="D87" s="8"/>
      <c r="E87" s="8"/>
      <c r="F87" s="8"/>
      <c r="G87" s="8"/>
      <c r="H87" s="8"/>
      <c r="I87" s="11"/>
      <c r="J87" s="11"/>
      <c r="K87" s="8"/>
      <c r="L87" s="8"/>
      <c r="M87" s="10"/>
      <c r="N87" s="10"/>
      <c r="O87" s="8"/>
      <c r="P87" s="8"/>
    </row>
    <row r="88" customFormat="false" ht="15" hidden="false" customHeight="true" outlineLevel="0" collapsed="false">
      <c r="A88" s="10"/>
      <c r="B88" s="8"/>
      <c r="C88" s="8"/>
      <c r="D88" s="8"/>
      <c r="E88" s="8"/>
      <c r="F88" s="8"/>
      <c r="G88" s="8"/>
      <c r="H88" s="8"/>
      <c r="I88" s="11"/>
      <c r="J88" s="11"/>
      <c r="K88" s="8"/>
      <c r="L88" s="8"/>
      <c r="M88" s="10"/>
      <c r="N88" s="10"/>
      <c r="O88" s="8"/>
      <c r="P88" s="8"/>
    </row>
    <row r="89" customFormat="false" ht="15" hidden="false" customHeight="true" outlineLevel="0" collapsed="false">
      <c r="A89" s="10"/>
      <c r="B89" s="8"/>
      <c r="C89" s="8"/>
      <c r="D89" s="8"/>
      <c r="E89" s="8"/>
      <c r="F89" s="8"/>
      <c r="G89" s="8"/>
      <c r="H89" s="8"/>
      <c r="I89" s="11"/>
      <c r="J89" s="11"/>
      <c r="K89" s="8"/>
      <c r="L89" s="8"/>
      <c r="M89" s="10"/>
      <c r="N89" s="10"/>
      <c r="O89" s="8"/>
      <c r="P89" s="8"/>
    </row>
    <row r="90" customFormat="false" ht="15" hidden="false" customHeight="true" outlineLevel="0" collapsed="false">
      <c r="A90" s="10"/>
      <c r="B90" s="8"/>
      <c r="C90" s="8"/>
      <c r="D90" s="8"/>
      <c r="E90" s="8"/>
      <c r="F90" s="8"/>
      <c r="G90" s="8"/>
      <c r="H90" s="8"/>
      <c r="I90" s="11"/>
      <c r="J90" s="11"/>
      <c r="K90" s="8"/>
      <c r="L90" s="8"/>
      <c r="M90" s="10"/>
      <c r="N90" s="10"/>
      <c r="O90" s="8"/>
      <c r="P90" s="8"/>
    </row>
    <row r="91" customFormat="false" ht="15" hidden="false" customHeight="true" outlineLevel="0" collapsed="false">
      <c r="A91" s="10"/>
      <c r="B91" s="8"/>
      <c r="C91" s="8"/>
      <c r="D91" s="8"/>
      <c r="E91" s="8"/>
      <c r="F91" s="8"/>
      <c r="G91" s="8"/>
      <c r="H91" s="8"/>
      <c r="I91" s="11"/>
      <c r="J91" s="11"/>
      <c r="K91" s="8"/>
      <c r="L91" s="8"/>
      <c r="M91" s="10"/>
      <c r="N91" s="10"/>
      <c r="O91" s="8"/>
      <c r="P91" s="8"/>
    </row>
    <row r="92" customFormat="false" ht="15" hidden="false" customHeight="true" outlineLevel="0" collapsed="false">
      <c r="A92" s="10"/>
      <c r="B92" s="8"/>
      <c r="C92" s="8"/>
      <c r="D92" s="8"/>
      <c r="E92" s="8"/>
      <c r="F92" s="8"/>
      <c r="G92" s="8"/>
      <c r="H92" s="8"/>
      <c r="I92" s="11"/>
      <c r="J92" s="11"/>
      <c r="K92" s="8"/>
      <c r="L92" s="8"/>
      <c r="M92" s="10"/>
      <c r="N92" s="10"/>
      <c r="O92" s="8"/>
      <c r="P92" s="8"/>
    </row>
    <row r="93" customFormat="false" ht="15" hidden="false" customHeight="true" outlineLevel="0" collapsed="false">
      <c r="A93" s="10"/>
      <c r="B93" s="8"/>
      <c r="C93" s="8"/>
      <c r="D93" s="8"/>
      <c r="E93" s="8"/>
      <c r="F93" s="8"/>
      <c r="G93" s="8"/>
      <c r="H93" s="8"/>
      <c r="I93" s="11"/>
      <c r="J93" s="11"/>
      <c r="K93" s="8"/>
      <c r="L93" s="8"/>
      <c r="M93" s="10"/>
      <c r="N93" s="10"/>
      <c r="O93" s="8"/>
      <c r="P93" s="8"/>
    </row>
    <row r="94" customFormat="false" ht="15" hidden="false" customHeight="true" outlineLevel="0" collapsed="false">
      <c r="A94" s="10"/>
      <c r="B94" s="8"/>
      <c r="C94" s="8"/>
      <c r="D94" s="8"/>
      <c r="E94" s="8"/>
      <c r="F94" s="8"/>
      <c r="G94" s="8"/>
      <c r="H94" s="8"/>
      <c r="I94" s="11"/>
      <c r="J94" s="11"/>
      <c r="K94" s="8"/>
      <c r="L94" s="8"/>
      <c r="M94" s="10"/>
      <c r="N94" s="10"/>
      <c r="O94" s="8"/>
      <c r="P94" s="8"/>
    </row>
    <row r="95" customFormat="false" ht="15" hidden="false" customHeight="true" outlineLevel="0" collapsed="false">
      <c r="A95" s="10"/>
      <c r="B95" s="8"/>
      <c r="C95" s="8"/>
      <c r="D95" s="8"/>
      <c r="E95" s="8"/>
      <c r="F95" s="8"/>
      <c r="G95" s="8"/>
      <c r="H95" s="8"/>
      <c r="I95" s="11"/>
      <c r="J95" s="11"/>
      <c r="K95" s="8"/>
      <c r="L95" s="8"/>
      <c r="M95" s="10"/>
      <c r="N95" s="10"/>
      <c r="O95" s="8"/>
      <c r="P95" s="8"/>
    </row>
    <row r="96" customFormat="false" ht="15" hidden="false" customHeight="true" outlineLevel="0" collapsed="false">
      <c r="A96" s="10"/>
      <c r="B96" s="8"/>
      <c r="C96" s="8"/>
      <c r="D96" s="8"/>
      <c r="E96" s="8"/>
      <c r="F96" s="8"/>
      <c r="G96" s="8"/>
      <c r="H96" s="8"/>
      <c r="I96" s="11"/>
      <c r="J96" s="11"/>
      <c r="K96" s="8"/>
      <c r="L96" s="8"/>
      <c r="M96" s="10"/>
      <c r="N96" s="10"/>
      <c r="O96" s="8"/>
      <c r="P96" s="8"/>
    </row>
    <row r="97" customFormat="false" ht="15" hidden="false" customHeight="true" outlineLevel="0" collapsed="false">
      <c r="A97" s="10"/>
      <c r="B97" s="8"/>
      <c r="C97" s="8"/>
      <c r="D97" s="8"/>
      <c r="E97" s="8"/>
      <c r="F97" s="8"/>
      <c r="G97" s="8"/>
      <c r="H97" s="8"/>
      <c r="I97" s="11"/>
      <c r="J97" s="11"/>
      <c r="K97" s="8"/>
      <c r="L97" s="8"/>
      <c r="M97" s="10"/>
      <c r="N97" s="10"/>
      <c r="O97" s="8"/>
      <c r="P97" s="8"/>
    </row>
    <row r="98" customFormat="false" ht="15" hidden="false" customHeight="true" outlineLevel="0" collapsed="false">
      <c r="A98" s="10"/>
      <c r="B98" s="8"/>
      <c r="C98" s="8"/>
      <c r="D98" s="8"/>
      <c r="E98" s="8"/>
      <c r="F98" s="8"/>
      <c r="G98" s="8"/>
      <c r="H98" s="8"/>
      <c r="I98" s="11"/>
      <c r="J98" s="11"/>
      <c r="K98" s="8"/>
      <c r="L98" s="8"/>
      <c r="M98" s="10"/>
      <c r="N98" s="10"/>
      <c r="O98" s="8"/>
      <c r="P98" s="8"/>
    </row>
    <row r="99" customFormat="false" ht="15" hidden="false" customHeight="true" outlineLevel="0" collapsed="false">
      <c r="A99" s="10"/>
      <c r="B99" s="8"/>
      <c r="C99" s="8"/>
      <c r="D99" s="8"/>
      <c r="E99" s="8"/>
      <c r="F99" s="8"/>
      <c r="G99" s="8"/>
      <c r="H99" s="8"/>
      <c r="I99" s="11"/>
      <c r="J99" s="11"/>
      <c r="K99" s="8"/>
      <c r="L99" s="8"/>
      <c r="M99" s="10"/>
      <c r="N99" s="10"/>
      <c r="O99" s="8"/>
      <c r="P99" s="8"/>
    </row>
    <row r="100" customFormat="false" ht="15" hidden="false" customHeight="true" outlineLevel="0" collapsed="false">
      <c r="A100" s="10"/>
      <c r="B100" s="8"/>
      <c r="C100" s="8"/>
      <c r="D100" s="8"/>
      <c r="E100" s="8"/>
      <c r="F100" s="8"/>
      <c r="G100" s="8"/>
      <c r="H100" s="8"/>
      <c r="I100" s="11"/>
      <c r="J100" s="11"/>
      <c r="K100" s="8"/>
      <c r="L100" s="8"/>
      <c r="M100" s="10"/>
      <c r="N100" s="10"/>
      <c r="O100" s="8"/>
      <c r="P100" s="8"/>
    </row>
    <row r="101" customFormat="false" ht="15" hidden="false" customHeight="true" outlineLevel="0" collapsed="false">
      <c r="A101" s="10"/>
      <c r="B101" s="8"/>
      <c r="C101" s="8"/>
      <c r="D101" s="8"/>
      <c r="E101" s="8"/>
      <c r="F101" s="8"/>
      <c r="G101" s="8"/>
      <c r="H101" s="8"/>
      <c r="I101" s="11"/>
      <c r="J101" s="11"/>
      <c r="K101" s="8"/>
      <c r="L101" s="8"/>
      <c r="M101" s="10"/>
      <c r="N101" s="10"/>
      <c r="O101" s="8"/>
      <c r="P101" s="8"/>
    </row>
    <row r="102" customFormat="false" ht="15" hidden="false" customHeight="true" outlineLevel="0" collapsed="false">
      <c r="A102" s="10"/>
      <c r="B102" s="8"/>
      <c r="C102" s="8"/>
      <c r="D102" s="8"/>
      <c r="E102" s="8"/>
      <c r="F102" s="8"/>
      <c r="G102" s="8"/>
      <c r="H102" s="8"/>
      <c r="I102" s="11"/>
      <c r="J102" s="11"/>
      <c r="K102" s="8"/>
      <c r="L102" s="8"/>
      <c r="M102" s="10"/>
      <c r="N102" s="10"/>
      <c r="O102" s="8"/>
      <c r="P102" s="8"/>
    </row>
    <row r="103" customFormat="false" ht="15" hidden="false" customHeight="true" outlineLevel="0" collapsed="false">
      <c r="A103" s="10"/>
      <c r="B103" s="8"/>
      <c r="C103" s="8"/>
      <c r="D103" s="8"/>
      <c r="E103" s="8"/>
      <c r="F103" s="8"/>
      <c r="G103" s="8"/>
      <c r="H103" s="8"/>
      <c r="I103" s="11"/>
      <c r="J103" s="11"/>
      <c r="K103" s="8"/>
      <c r="L103" s="8"/>
      <c r="M103" s="10"/>
      <c r="N103" s="10"/>
      <c r="O103" s="8"/>
      <c r="P103" s="8"/>
    </row>
    <row r="104" customFormat="false" ht="15" hidden="false" customHeight="true" outlineLevel="0" collapsed="false">
      <c r="A104" s="10"/>
      <c r="B104" s="8"/>
      <c r="C104" s="8"/>
      <c r="D104" s="8"/>
      <c r="E104" s="8"/>
      <c r="F104" s="8"/>
      <c r="G104" s="8"/>
      <c r="H104" s="8"/>
      <c r="I104" s="11"/>
      <c r="J104" s="11"/>
      <c r="K104" s="8"/>
      <c r="L104" s="8"/>
      <c r="M104" s="10"/>
      <c r="N104" s="10"/>
      <c r="O104" s="8"/>
      <c r="P104" s="8"/>
    </row>
    <row r="105" customFormat="false" ht="15" hidden="false" customHeight="true" outlineLevel="0" collapsed="false">
      <c r="A105" s="10"/>
      <c r="B105" s="8"/>
      <c r="C105" s="8"/>
      <c r="D105" s="8"/>
      <c r="E105" s="8"/>
      <c r="F105" s="8"/>
      <c r="G105" s="8"/>
      <c r="H105" s="8"/>
      <c r="I105" s="11"/>
      <c r="J105" s="11"/>
      <c r="K105" s="8"/>
      <c r="L105" s="8"/>
      <c r="M105" s="10"/>
      <c r="N105" s="10"/>
      <c r="O105" s="8"/>
      <c r="P105" s="8"/>
    </row>
    <row r="106" customFormat="false" ht="15" hidden="false" customHeight="true" outlineLevel="0" collapsed="false">
      <c r="A106" s="10"/>
      <c r="B106" s="8"/>
      <c r="C106" s="8"/>
      <c r="D106" s="8"/>
      <c r="E106" s="8"/>
      <c r="F106" s="8"/>
      <c r="G106" s="8"/>
      <c r="H106" s="8"/>
      <c r="I106" s="11"/>
      <c r="J106" s="11"/>
      <c r="K106" s="8"/>
      <c r="L106" s="8"/>
      <c r="M106" s="10"/>
      <c r="N106" s="10"/>
      <c r="O106" s="8"/>
      <c r="P106" s="8"/>
    </row>
    <row r="107" customFormat="false" ht="15" hidden="false" customHeight="true" outlineLevel="0" collapsed="false">
      <c r="A107" s="10"/>
      <c r="B107" s="8"/>
      <c r="C107" s="8"/>
      <c r="D107" s="8"/>
      <c r="E107" s="8"/>
      <c r="F107" s="8"/>
      <c r="G107" s="8"/>
      <c r="H107" s="8"/>
      <c r="I107" s="11"/>
      <c r="J107" s="11"/>
      <c r="K107" s="8"/>
      <c r="L107" s="8"/>
      <c r="M107" s="10"/>
      <c r="N107" s="10"/>
      <c r="O107" s="8"/>
      <c r="P107" s="8"/>
    </row>
    <row r="108" customFormat="false" ht="15" hidden="false" customHeight="true" outlineLevel="0" collapsed="false">
      <c r="A108" s="10"/>
      <c r="B108" s="8"/>
      <c r="C108" s="8"/>
      <c r="D108" s="8"/>
      <c r="E108" s="8"/>
      <c r="F108" s="8"/>
      <c r="G108" s="8"/>
      <c r="H108" s="8"/>
      <c r="I108" s="11"/>
      <c r="J108" s="11"/>
      <c r="K108" s="8"/>
      <c r="L108" s="8"/>
      <c r="M108" s="10"/>
      <c r="N108" s="10"/>
      <c r="O108" s="8"/>
      <c r="P108" s="8"/>
    </row>
    <row r="109" customFormat="false" ht="15" hidden="false" customHeight="true" outlineLevel="0" collapsed="false">
      <c r="A109" s="10"/>
      <c r="B109" s="8"/>
      <c r="C109" s="8"/>
      <c r="D109" s="8"/>
      <c r="E109" s="8"/>
      <c r="F109" s="8"/>
      <c r="G109" s="8"/>
      <c r="H109" s="8"/>
      <c r="I109" s="11"/>
      <c r="J109" s="11"/>
      <c r="K109" s="8"/>
      <c r="L109" s="8"/>
      <c r="M109" s="10"/>
      <c r="N109" s="10"/>
      <c r="O109" s="8"/>
      <c r="P109" s="8"/>
    </row>
    <row r="110" customFormat="false" ht="15" hidden="false" customHeight="true" outlineLevel="0" collapsed="false">
      <c r="A110" s="10"/>
      <c r="B110" s="8"/>
      <c r="C110" s="8"/>
      <c r="D110" s="8"/>
      <c r="E110" s="8"/>
      <c r="F110" s="8"/>
      <c r="G110" s="8"/>
      <c r="H110" s="8"/>
      <c r="I110" s="11"/>
      <c r="J110" s="11"/>
      <c r="K110" s="8"/>
      <c r="L110" s="8"/>
      <c r="M110" s="10"/>
      <c r="N110" s="10"/>
      <c r="O110" s="8"/>
      <c r="P110" s="8"/>
    </row>
    <row r="111" customFormat="false" ht="15" hidden="false" customHeight="true" outlineLevel="0" collapsed="false">
      <c r="A111" s="10"/>
      <c r="B111" s="8"/>
      <c r="C111" s="8"/>
      <c r="D111" s="8"/>
      <c r="E111" s="8"/>
      <c r="F111" s="8"/>
      <c r="G111" s="8"/>
      <c r="H111" s="8"/>
      <c r="I111" s="11"/>
      <c r="J111" s="11"/>
      <c r="K111" s="8"/>
      <c r="L111" s="8"/>
      <c r="M111" s="10"/>
      <c r="N111" s="10"/>
      <c r="O111" s="8"/>
      <c r="P111" s="8"/>
    </row>
    <row r="112" customFormat="false" ht="15" hidden="false" customHeight="true" outlineLevel="0" collapsed="false">
      <c r="A112" s="10"/>
      <c r="B112" s="8"/>
      <c r="C112" s="8"/>
      <c r="D112" s="8"/>
      <c r="E112" s="8"/>
      <c r="F112" s="8"/>
      <c r="G112" s="8"/>
      <c r="H112" s="8"/>
      <c r="I112" s="11"/>
      <c r="J112" s="11"/>
      <c r="K112" s="8"/>
      <c r="L112" s="8"/>
      <c r="M112" s="10"/>
      <c r="N112" s="10"/>
      <c r="O112" s="8"/>
      <c r="P112" s="8"/>
    </row>
    <row r="113" customFormat="false" ht="15" hidden="false" customHeight="true" outlineLevel="0" collapsed="false">
      <c r="A113" s="10"/>
      <c r="B113" s="8"/>
      <c r="C113" s="8"/>
      <c r="D113" s="8"/>
      <c r="E113" s="8"/>
      <c r="F113" s="8"/>
      <c r="G113" s="8"/>
      <c r="H113" s="8"/>
      <c r="I113" s="11"/>
      <c r="J113" s="11"/>
      <c r="K113" s="8"/>
      <c r="L113" s="8"/>
      <c r="M113" s="10"/>
      <c r="N113" s="10"/>
      <c r="O113" s="8"/>
      <c r="P113" s="8"/>
    </row>
    <row r="114" customFormat="false" ht="15" hidden="false" customHeight="true" outlineLevel="0" collapsed="false">
      <c r="A114" s="10"/>
      <c r="B114" s="8"/>
      <c r="C114" s="8"/>
      <c r="D114" s="8"/>
      <c r="E114" s="8"/>
      <c r="F114" s="8"/>
      <c r="G114" s="8"/>
      <c r="H114" s="8"/>
      <c r="I114" s="11"/>
      <c r="J114" s="11"/>
      <c r="K114" s="8"/>
      <c r="L114" s="8"/>
      <c r="M114" s="10"/>
      <c r="N114" s="10"/>
      <c r="O114" s="8"/>
      <c r="P114" s="8"/>
    </row>
    <row r="115" customFormat="false" ht="15" hidden="false" customHeight="true" outlineLevel="0" collapsed="false">
      <c r="A115" s="10"/>
      <c r="B115" s="8"/>
      <c r="C115" s="8"/>
      <c r="D115" s="8"/>
      <c r="E115" s="8"/>
      <c r="F115" s="8"/>
      <c r="G115" s="8"/>
      <c r="H115" s="8"/>
      <c r="I115" s="11"/>
      <c r="J115" s="11"/>
      <c r="K115" s="8"/>
      <c r="L115" s="8"/>
      <c r="M115" s="10"/>
      <c r="N115" s="10"/>
      <c r="O115" s="8"/>
      <c r="P115" s="8"/>
    </row>
    <row r="116" customFormat="false" ht="15" hidden="false" customHeight="true" outlineLevel="0" collapsed="false">
      <c r="A116" s="10"/>
      <c r="B116" s="8"/>
      <c r="C116" s="8"/>
      <c r="D116" s="8"/>
      <c r="E116" s="8"/>
      <c r="F116" s="8"/>
      <c r="G116" s="8"/>
      <c r="H116" s="8"/>
      <c r="I116" s="11"/>
      <c r="J116" s="11"/>
      <c r="K116" s="8"/>
      <c r="L116" s="8"/>
      <c r="M116" s="10"/>
      <c r="N116" s="10"/>
      <c r="O116" s="8"/>
      <c r="P116" s="8"/>
    </row>
    <row r="117" customFormat="false" ht="15" hidden="false" customHeight="true" outlineLevel="0" collapsed="false">
      <c r="A117" s="10"/>
      <c r="B117" s="8"/>
      <c r="C117" s="8"/>
      <c r="D117" s="8"/>
      <c r="E117" s="8"/>
      <c r="F117" s="8"/>
      <c r="G117" s="8"/>
      <c r="H117" s="8"/>
      <c r="I117" s="11"/>
      <c r="J117" s="11"/>
      <c r="K117" s="8"/>
      <c r="L117" s="8"/>
      <c r="M117" s="10"/>
      <c r="N117" s="10"/>
      <c r="O117" s="8"/>
      <c r="P117" s="8"/>
    </row>
    <row r="118" customFormat="false" ht="15" hidden="false" customHeight="true" outlineLevel="0" collapsed="false">
      <c r="A118" s="10"/>
      <c r="B118" s="8"/>
      <c r="C118" s="8"/>
      <c r="D118" s="8"/>
      <c r="E118" s="8"/>
      <c r="F118" s="8"/>
      <c r="G118" s="8"/>
      <c r="H118" s="8"/>
      <c r="I118" s="11"/>
      <c r="J118" s="11"/>
      <c r="K118" s="8"/>
      <c r="L118" s="8"/>
      <c r="M118" s="10"/>
      <c r="N118" s="10"/>
      <c r="O118" s="8"/>
      <c r="P118" s="8"/>
    </row>
    <row r="119" customFormat="false" ht="15" hidden="false" customHeight="true" outlineLevel="0" collapsed="false">
      <c r="A119" s="10"/>
      <c r="B119" s="8"/>
      <c r="C119" s="8"/>
      <c r="D119" s="8"/>
      <c r="E119" s="8"/>
      <c r="F119" s="8"/>
      <c r="G119" s="8"/>
      <c r="H119" s="8"/>
      <c r="I119" s="11"/>
      <c r="J119" s="11"/>
      <c r="K119" s="8"/>
      <c r="L119" s="8"/>
      <c r="M119" s="10"/>
      <c r="N119" s="10"/>
      <c r="O119" s="8"/>
      <c r="P119" s="8"/>
    </row>
    <row r="120" customFormat="false" ht="15" hidden="false" customHeight="true" outlineLevel="0" collapsed="false">
      <c r="A120" s="10"/>
      <c r="B120" s="8"/>
      <c r="C120" s="8"/>
      <c r="D120" s="8"/>
      <c r="E120" s="8"/>
      <c r="F120" s="8"/>
      <c r="G120" s="8"/>
      <c r="H120" s="8"/>
      <c r="I120" s="11"/>
      <c r="J120" s="11"/>
      <c r="K120" s="8"/>
      <c r="L120" s="8"/>
      <c r="M120" s="10"/>
      <c r="N120" s="10"/>
      <c r="O120" s="8"/>
      <c r="P120" s="8"/>
    </row>
    <row r="121" customFormat="false" ht="15" hidden="false" customHeight="true" outlineLevel="0" collapsed="false">
      <c r="A121" s="10"/>
      <c r="B121" s="8"/>
      <c r="C121" s="8"/>
      <c r="D121" s="8"/>
      <c r="E121" s="8"/>
      <c r="F121" s="8"/>
      <c r="G121" s="8"/>
      <c r="H121" s="8"/>
      <c r="I121" s="11"/>
      <c r="J121" s="11"/>
      <c r="K121" s="8"/>
      <c r="L121" s="8"/>
      <c r="M121" s="10"/>
      <c r="N121" s="10"/>
      <c r="O121" s="8"/>
      <c r="P121" s="8"/>
    </row>
    <row r="122" customFormat="false" ht="15" hidden="false" customHeight="true" outlineLevel="0" collapsed="false">
      <c r="A122" s="10"/>
      <c r="B122" s="8"/>
      <c r="C122" s="8"/>
      <c r="D122" s="8"/>
      <c r="E122" s="8"/>
      <c r="F122" s="8"/>
      <c r="G122" s="8"/>
      <c r="H122" s="8"/>
      <c r="I122" s="11"/>
      <c r="J122" s="11"/>
      <c r="K122" s="8"/>
      <c r="L122" s="8"/>
      <c r="M122" s="10"/>
      <c r="N122" s="10"/>
      <c r="O122" s="8"/>
      <c r="P122" s="8"/>
    </row>
    <row r="123" customFormat="false" ht="15" hidden="false" customHeight="true" outlineLevel="0" collapsed="false">
      <c r="A123" s="10"/>
      <c r="B123" s="8"/>
      <c r="C123" s="8"/>
      <c r="D123" s="8"/>
      <c r="E123" s="8"/>
      <c r="F123" s="8"/>
      <c r="G123" s="8"/>
      <c r="H123" s="8"/>
      <c r="I123" s="11"/>
      <c r="J123" s="11"/>
      <c r="K123" s="8"/>
      <c r="L123" s="8"/>
      <c r="M123" s="10"/>
      <c r="N123" s="10"/>
      <c r="O123" s="8"/>
      <c r="P123" s="8"/>
    </row>
    <row r="124" customFormat="false" ht="15" hidden="false" customHeight="true" outlineLevel="0" collapsed="false">
      <c r="A124" s="10"/>
      <c r="B124" s="8"/>
      <c r="C124" s="8"/>
      <c r="D124" s="8"/>
      <c r="E124" s="8"/>
      <c r="F124" s="8"/>
      <c r="G124" s="8"/>
      <c r="H124" s="8"/>
      <c r="I124" s="11"/>
      <c r="J124" s="11"/>
      <c r="K124" s="8"/>
      <c r="L124" s="8"/>
      <c r="M124" s="10"/>
      <c r="N124" s="10"/>
      <c r="O124" s="8"/>
      <c r="P124" s="8"/>
    </row>
    <row r="125" customFormat="false" ht="15" hidden="false" customHeight="true" outlineLevel="0" collapsed="false">
      <c r="A125" s="10"/>
      <c r="B125" s="8"/>
      <c r="C125" s="8"/>
      <c r="D125" s="8"/>
      <c r="E125" s="8"/>
      <c r="F125" s="8"/>
      <c r="G125" s="8"/>
      <c r="H125" s="8"/>
      <c r="I125" s="11"/>
      <c r="J125" s="11"/>
      <c r="K125" s="8"/>
      <c r="L125" s="8"/>
      <c r="M125" s="10"/>
      <c r="N125" s="10"/>
      <c r="O125" s="8"/>
      <c r="P125" s="8"/>
    </row>
    <row r="126" customFormat="false" ht="15" hidden="false" customHeight="true" outlineLevel="0" collapsed="false">
      <c r="A126" s="10"/>
      <c r="B126" s="8"/>
      <c r="C126" s="8"/>
      <c r="D126" s="8"/>
      <c r="E126" s="8"/>
      <c r="F126" s="8"/>
      <c r="G126" s="8"/>
      <c r="H126" s="8"/>
      <c r="I126" s="11"/>
      <c r="J126" s="11"/>
      <c r="K126" s="8"/>
      <c r="L126" s="8"/>
      <c r="M126" s="10"/>
      <c r="N126" s="10"/>
      <c r="O126" s="8"/>
      <c r="P126" s="8"/>
    </row>
    <row r="127" customFormat="false" ht="15" hidden="false" customHeight="true" outlineLevel="0" collapsed="false">
      <c r="A127" s="10"/>
      <c r="B127" s="8"/>
      <c r="C127" s="8"/>
      <c r="D127" s="8"/>
      <c r="E127" s="8"/>
      <c r="F127" s="8"/>
      <c r="G127" s="8"/>
      <c r="H127" s="8"/>
      <c r="I127" s="11"/>
      <c r="J127" s="11"/>
      <c r="K127" s="8"/>
      <c r="L127" s="8"/>
      <c r="M127" s="10"/>
      <c r="N127" s="10"/>
      <c r="O127" s="8"/>
      <c r="P127" s="8"/>
    </row>
    <row r="128" customFormat="false" ht="15" hidden="false" customHeight="true" outlineLevel="0" collapsed="false">
      <c r="A128" s="10"/>
      <c r="B128" s="8"/>
      <c r="C128" s="8"/>
      <c r="D128" s="8"/>
      <c r="E128" s="8"/>
      <c r="F128" s="8"/>
      <c r="G128" s="8"/>
      <c r="H128" s="8"/>
      <c r="I128" s="11"/>
      <c r="J128" s="11"/>
      <c r="K128" s="8"/>
      <c r="L128" s="8"/>
      <c r="M128" s="10"/>
      <c r="N128" s="10"/>
      <c r="O128" s="8"/>
      <c r="P128" s="8"/>
    </row>
    <row r="129" customFormat="false" ht="15" hidden="false" customHeight="true" outlineLevel="0" collapsed="false">
      <c r="A129" s="10"/>
      <c r="B129" s="8"/>
      <c r="C129" s="8"/>
      <c r="D129" s="8"/>
      <c r="E129" s="8"/>
      <c r="F129" s="8"/>
      <c r="G129" s="8"/>
      <c r="H129" s="8"/>
      <c r="I129" s="11"/>
      <c r="J129" s="11"/>
      <c r="K129" s="8"/>
      <c r="L129" s="8"/>
      <c r="M129" s="10"/>
      <c r="N129" s="10"/>
      <c r="O129" s="8"/>
      <c r="P129" s="8"/>
    </row>
    <row r="130" customFormat="false" ht="15" hidden="false" customHeight="true" outlineLevel="0" collapsed="false">
      <c r="A130" s="10"/>
      <c r="B130" s="8"/>
      <c r="C130" s="8"/>
      <c r="D130" s="8"/>
      <c r="E130" s="8"/>
      <c r="F130" s="8"/>
      <c r="G130" s="8"/>
      <c r="H130" s="8"/>
      <c r="I130" s="11"/>
      <c r="J130" s="11"/>
      <c r="K130" s="8"/>
      <c r="L130" s="8"/>
      <c r="M130" s="10"/>
      <c r="N130" s="10"/>
      <c r="O130" s="8"/>
      <c r="P130" s="8"/>
    </row>
    <row r="131" customFormat="false" ht="15" hidden="false" customHeight="true" outlineLevel="0" collapsed="false">
      <c r="A131" s="10"/>
      <c r="B131" s="8"/>
      <c r="C131" s="8"/>
      <c r="D131" s="8"/>
      <c r="E131" s="8"/>
      <c r="F131" s="8"/>
      <c r="G131" s="8"/>
      <c r="H131" s="8"/>
      <c r="I131" s="11"/>
      <c r="J131" s="11"/>
      <c r="K131" s="8"/>
      <c r="L131" s="8"/>
      <c r="M131" s="10"/>
      <c r="N131" s="10"/>
      <c r="O131" s="8"/>
      <c r="P131" s="8"/>
    </row>
    <row r="132" customFormat="false" ht="15" hidden="false" customHeight="true" outlineLevel="0" collapsed="false">
      <c r="A132" s="10"/>
      <c r="B132" s="8"/>
      <c r="C132" s="8"/>
      <c r="D132" s="8"/>
      <c r="E132" s="8"/>
      <c r="F132" s="8"/>
      <c r="G132" s="8"/>
      <c r="H132" s="8"/>
      <c r="I132" s="11"/>
      <c r="J132" s="11"/>
      <c r="K132" s="8"/>
      <c r="L132" s="8"/>
      <c r="M132" s="10"/>
      <c r="N132" s="10"/>
      <c r="O132" s="8"/>
      <c r="P132" s="8"/>
    </row>
    <row r="133" customFormat="false" ht="15" hidden="false" customHeight="true" outlineLevel="0" collapsed="false">
      <c r="A133" s="10"/>
      <c r="B133" s="8"/>
      <c r="C133" s="8"/>
      <c r="D133" s="8"/>
      <c r="E133" s="8"/>
      <c r="F133" s="8"/>
      <c r="G133" s="8"/>
      <c r="H133" s="8"/>
      <c r="I133" s="11"/>
      <c r="J133" s="11"/>
      <c r="K133" s="8"/>
      <c r="L133" s="8"/>
      <c r="M133" s="10"/>
      <c r="N133" s="10"/>
      <c r="O133" s="8"/>
      <c r="P133" s="8"/>
    </row>
    <row r="134" customFormat="false" ht="15" hidden="false" customHeight="true" outlineLevel="0" collapsed="false">
      <c r="A134" s="10"/>
      <c r="B134" s="8"/>
      <c r="C134" s="8"/>
      <c r="D134" s="8"/>
      <c r="E134" s="8"/>
      <c r="F134" s="8"/>
      <c r="G134" s="8"/>
      <c r="H134" s="8"/>
      <c r="I134" s="11"/>
      <c r="J134" s="11"/>
      <c r="K134" s="8"/>
      <c r="L134" s="8"/>
      <c r="M134" s="10"/>
      <c r="N134" s="10"/>
      <c r="O134" s="8"/>
      <c r="P134" s="8"/>
    </row>
    <row r="135" customFormat="false" ht="15" hidden="false" customHeight="true" outlineLevel="0" collapsed="false">
      <c r="A135" s="10"/>
      <c r="B135" s="8"/>
      <c r="C135" s="8"/>
      <c r="D135" s="8"/>
      <c r="E135" s="8"/>
      <c r="F135" s="8"/>
      <c r="G135" s="8"/>
      <c r="H135" s="8"/>
      <c r="I135" s="11"/>
      <c r="J135" s="11"/>
      <c r="K135" s="8"/>
      <c r="L135" s="8"/>
      <c r="M135" s="10"/>
      <c r="N135" s="10"/>
      <c r="O135" s="8"/>
      <c r="P135" s="8"/>
    </row>
    <row r="136" customFormat="false" ht="15" hidden="false" customHeight="true" outlineLevel="0" collapsed="false">
      <c r="A136" s="10"/>
      <c r="B136" s="8"/>
      <c r="C136" s="8"/>
      <c r="D136" s="8"/>
      <c r="E136" s="8"/>
      <c r="F136" s="8"/>
      <c r="G136" s="8"/>
      <c r="H136" s="8"/>
      <c r="I136" s="11"/>
      <c r="J136" s="11"/>
      <c r="K136" s="8"/>
      <c r="L136" s="8"/>
      <c r="M136" s="10"/>
      <c r="N136" s="10"/>
      <c r="O136" s="8"/>
      <c r="P136" s="8"/>
    </row>
    <row r="137" customFormat="false" ht="15" hidden="false" customHeight="true" outlineLevel="0" collapsed="false">
      <c r="A137" s="10"/>
      <c r="B137" s="8"/>
      <c r="C137" s="8"/>
      <c r="D137" s="8"/>
      <c r="E137" s="8"/>
      <c r="F137" s="8"/>
      <c r="G137" s="8"/>
      <c r="H137" s="8"/>
      <c r="I137" s="11"/>
      <c r="J137" s="11"/>
      <c r="K137" s="8"/>
      <c r="L137" s="8"/>
      <c r="M137" s="10"/>
      <c r="N137" s="10"/>
      <c r="O137" s="8"/>
      <c r="P137" s="8"/>
    </row>
    <row r="138" customFormat="false" ht="15" hidden="false" customHeight="true" outlineLevel="0" collapsed="false">
      <c r="A138" s="10"/>
      <c r="B138" s="8"/>
      <c r="C138" s="8"/>
      <c r="D138" s="8"/>
      <c r="E138" s="8"/>
      <c r="F138" s="8"/>
      <c r="G138" s="8"/>
      <c r="H138" s="8"/>
      <c r="I138" s="11"/>
      <c r="J138" s="11"/>
      <c r="K138" s="8"/>
      <c r="L138" s="8"/>
      <c r="M138" s="10"/>
      <c r="N138" s="10"/>
      <c r="O138" s="8"/>
      <c r="P138" s="8"/>
    </row>
    <row r="139" customFormat="false" ht="15" hidden="false" customHeight="true" outlineLevel="0" collapsed="false">
      <c r="A139" s="10"/>
      <c r="B139" s="8"/>
      <c r="C139" s="8"/>
      <c r="D139" s="8"/>
      <c r="E139" s="8"/>
      <c r="F139" s="8"/>
      <c r="G139" s="8"/>
      <c r="H139" s="8"/>
      <c r="I139" s="11"/>
      <c r="J139" s="11"/>
      <c r="K139" s="8"/>
      <c r="L139" s="8"/>
      <c r="M139" s="10"/>
      <c r="N139" s="10"/>
      <c r="O139" s="8"/>
      <c r="P139" s="8"/>
    </row>
    <row r="140" customFormat="false" ht="15" hidden="false" customHeight="true" outlineLevel="0" collapsed="false">
      <c r="A140" s="10"/>
      <c r="B140" s="8"/>
      <c r="C140" s="8"/>
      <c r="D140" s="8"/>
      <c r="E140" s="8"/>
      <c r="F140" s="8"/>
      <c r="G140" s="8"/>
      <c r="H140" s="8"/>
      <c r="I140" s="11"/>
      <c r="J140" s="11"/>
      <c r="K140" s="8"/>
      <c r="L140" s="8"/>
      <c r="M140" s="10"/>
      <c r="N140" s="10"/>
      <c r="O140" s="8"/>
      <c r="P140" s="8"/>
    </row>
    <row r="141" customFormat="false" ht="15" hidden="false" customHeight="true" outlineLevel="0" collapsed="false">
      <c r="A141" s="10"/>
      <c r="B141" s="8"/>
      <c r="C141" s="8"/>
      <c r="D141" s="8"/>
      <c r="E141" s="8"/>
      <c r="F141" s="8"/>
      <c r="G141" s="8"/>
      <c r="H141" s="8"/>
      <c r="I141" s="11"/>
      <c r="J141" s="11"/>
      <c r="K141" s="8"/>
      <c r="L141" s="8"/>
      <c r="M141" s="10"/>
      <c r="N141" s="10"/>
      <c r="O141" s="8"/>
      <c r="P141" s="8"/>
    </row>
    <row r="142" customFormat="false" ht="15" hidden="false" customHeight="true" outlineLevel="0" collapsed="false">
      <c r="A142" s="10"/>
      <c r="B142" s="8"/>
      <c r="C142" s="8"/>
      <c r="D142" s="8"/>
      <c r="E142" s="8"/>
      <c r="F142" s="8"/>
      <c r="G142" s="8"/>
      <c r="H142" s="8"/>
      <c r="I142" s="11"/>
      <c r="J142" s="11"/>
      <c r="K142" s="8"/>
      <c r="L142" s="8"/>
      <c r="M142" s="10"/>
      <c r="N142" s="10"/>
      <c r="O142" s="8"/>
      <c r="P142" s="8"/>
    </row>
    <row r="143" customFormat="false" ht="15" hidden="false" customHeight="true" outlineLevel="0" collapsed="false">
      <c r="A143" s="10"/>
      <c r="B143" s="8"/>
      <c r="C143" s="8"/>
      <c r="D143" s="8"/>
      <c r="E143" s="8"/>
      <c r="F143" s="8"/>
      <c r="G143" s="8"/>
      <c r="H143" s="8"/>
      <c r="I143" s="11"/>
      <c r="J143" s="11"/>
      <c r="K143" s="8"/>
      <c r="L143" s="8"/>
      <c r="M143" s="10"/>
      <c r="N143" s="10"/>
      <c r="O143" s="8"/>
      <c r="P143" s="8"/>
    </row>
    <row r="144" customFormat="false" ht="15" hidden="false" customHeight="true" outlineLevel="0" collapsed="false">
      <c r="A144" s="10"/>
      <c r="B144" s="8"/>
      <c r="C144" s="8"/>
      <c r="D144" s="8"/>
      <c r="E144" s="8"/>
      <c r="F144" s="8"/>
      <c r="G144" s="8"/>
      <c r="H144" s="8"/>
      <c r="I144" s="11"/>
      <c r="J144" s="11"/>
      <c r="K144" s="8"/>
      <c r="L144" s="8"/>
      <c r="M144" s="10"/>
      <c r="N144" s="10"/>
      <c r="O144" s="8"/>
      <c r="P144" s="8"/>
    </row>
    <row r="145" customFormat="false" ht="15" hidden="false" customHeight="true" outlineLevel="0" collapsed="false">
      <c r="A145" s="10"/>
      <c r="B145" s="8"/>
      <c r="C145" s="8"/>
      <c r="D145" s="8"/>
      <c r="E145" s="8"/>
      <c r="F145" s="8"/>
      <c r="G145" s="8"/>
      <c r="H145" s="8"/>
      <c r="I145" s="11"/>
      <c r="J145" s="11"/>
      <c r="K145" s="8"/>
      <c r="L145" s="8"/>
      <c r="M145" s="10"/>
      <c r="N145" s="10"/>
      <c r="O145" s="8"/>
      <c r="P145" s="8"/>
    </row>
    <row r="146" customFormat="false" ht="15" hidden="false" customHeight="true" outlineLevel="0" collapsed="false">
      <c r="A146" s="10"/>
      <c r="B146" s="8"/>
      <c r="C146" s="8"/>
      <c r="D146" s="8"/>
      <c r="E146" s="8"/>
      <c r="F146" s="8"/>
      <c r="G146" s="8"/>
      <c r="H146" s="8"/>
      <c r="I146" s="11"/>
      <c r="J146" s="11"/>
      <c r="K146" s="8"/>
      <c r="L146" s="8"/>
      <c r="M146" s="10"/>
      <c r="N146" s="10"/>
      <c r="O146" s="8"/>
      <c r="P146" s="8"/>
    </row>
    <row r="147" customFormat="false" ht="15" hidden="false" customHeight="true" outlineLevel="0" collapsed="false">
      <c r="A147" s="10"/>
      <c r="B147" s="8"/>
      <c r="C147" s="8"/>
      <c r="D147" s="8"/>
      <c r="E147" s="8"/>
      <c r="F147" s="8"/>
      <c r="G147" s="8"/>
      <c r="H147" s="8"/>
      <c r="I147" s="11"/>
      <c r="J147" s="11"/>
      <c r="K147" s="8"/>
      <c r="L147" s="8"/>
      <c r="M147" s="10"/>
      <c r="N147" s="10"/>
      <c r="O147" s="8"/>
      <c r="P147" s="8"/>
    </row>
    <row r="148" customFormat="false" ht="15" hidden="false" customHeight="true" outlineLevel="0" collapsed="false">
      <c r="A148" s="10"/>
      <c r="B148" s="8"/>
      <c r="C148" s="8"/>
      <c r="D148" s="8"/>
      <c r="E148" s="8"/>
      <c r="F148" s="8"/>
      <c r="G148" s="8"/>
      <c r="H148" s="8"/>
      <c r="I148" s="11"/>
      <c r="J148" s="11"/>
      <c r="K148" s="8"/>
      <c r="L148" s="8"/>
      <c r="M148" s="10"/>
      <c r="N148" s="10"/>
      <c r="O148" s="8"/>
      <c r="P148" s="8"/>
    </row>
    <row r="149" customFormat="false" ht="15" hidden="false" customHeight="true" outlineLevel="0" collapsed="false">
      <c r="A149" s="10"/>
      <c r="B149" s="8"/>
      <c r="C149" s="8"/>
      <c r="D149" s="8"/>
      <c r="E149" s="8"/>
      <c r="F149" s="8"/>
      <c r="G149" s="8"/>
      <c r="H149" s="8"/>
      <c r="I149" s="11"/>
      <c r="J149" s="11"/>
      <c r="K149" s="8"/>
      <c r="L149" s="8"/>
      <c r="M149" s="10"/>
      <c r="N149" s="10"/>
      <c r="O149" s="8"/>
      <c r="P149" s="8"/>
    </row>
    <row r="150" customFormat="false" ht="15" hidden="false" customHeight="true" outlineLevel="0" collapsed="false">
      <c r="A150" s="10"/>
      <c r="B150" s="8"/>
      <c r="C150" s="8"/>
      <c r="D150" s="8"/>
      <c r="E150" s="8"/>
      <c r="F150" s="8"/>
      <c r="G150" s="8"/>
      <c r="H150" s="8"/>
      <c r="I150" s="11"/>
      <c r="J150" s="11"/>
      <c r="K150" s="8"/>
      <c r="L150" s="8"/>
      <c r="M150" s="10"/>
      <c r="N150" s="10"/>
      <c r="O150" s="8"/>
      <c r="P150" s="8"/>
    </row>
    <row r="151" customFormat="false" ht="15" hidden="false" customHeight="true" outlineLevel="0" collapsed="false">
      <c r="A151" s="10"/>
      <c r="B151" s="8"/>
      <c r="C151" s="8"/>
      <c r="D151" s="8"/>
      <c r="E151" s="8"/>
      <c r="F151" s="8"/>
      <c r="G151" s="8"/>
      <c r="H151" s="8"/>
      <c r="I151" s="11"/>
      <c r="J151" s="11"/>
      <c r="K151" s="8"/>
      <c r="L151" s="8"/>
      <c r="M151" s="10"/>
      <c r="N151" s="10"/>
      <c r="O151" s="8"/>
      <c r="P151" s="8"/>
    </row>
    <row r="152" customFormat="false" ht="15" hidden="false" customHeight="true" outlineLevel="0" collapsed="false">
      <c r="A152" s="10"/>
      <c r="B152" s="8"/>
      <c r="C152" s="8"/>
      <c r="D152" s="8"/>
      <c r="E152" s="8"/>
      <c r="F152" s="8"/>
      <c r="G152" s="8"/>
      <c r="H152" s="8"/>
      <c r="I152" s="11"/>
      <c r="J152" s="11"/>
      <c r="K152" s="8"/>
      <c r="L152" s="8"/>
      <c r="M152" s="10"/>
      <c r="N152" s="10"/>
      <c r="O152" s="8"/>
      <c r="P152" s="8"/>
    </row>
    <row r="153" customFormat="false" ht="15" hidden="false" customHeight="true" outlineLevel="0" collapsed="false">
      <c r="A153" s="10"/>
      <c r="B153" s="8"/>
      <c r="C153" s="8"/>
      <c r="D153" s="8"/>
      <c r="E153" s="8"/>
      <c r="F153" s="8"/>
      <c r="G153" s="8"/>
      <c r="H153" s="8"/>
      <c r="I153" s="11"/>
      <c r="J153" s="11"/>
      <c r="K153" s="8"/>
      <c r="L153" s="8"/>
      <c r="M153" s="10"/>
      <c r="N153" s="10"/>
      <c r="O153" s="8"/>
      <c r="P153" s="8"/>
    </row>
    <row r="154" customFormat="false" ht="15" hidden="false" customHeight="true" outlineLevel="0" collapsed="false">
      <c r="A154" s="10"/>
      <c r="B154" s="8"/>
      <c r="C154" s="8"/>
      <c r="D154" s="8"/>
      <c r="E154" s="8"/>
      <c r="F154" s="8"/>
      <c r="G154" s="8"/>
      <c r="H154" s="8"/>
      <c r="I154" s="11"/>
      <c r="J154" s="11"/>
      <c r="K154" s="8"/>
      <c r="L154" s="8"/>
      <c r="M154" s="10"/>
      <c r="N154" s="10"/>
      <c r="O154" s="8"/>
      <c r="P154" s="8"/>
    </row>
    <row r="155" customFormat="false" ht="15" hidden="false" customHeight="true" outlineLevel="0" collapsed="false">
      <c r="A155" s="10"/>
      <c r="B155" s="8"/>
      <c r="C155" s="8"/>
      <c r="D155" s="8"/>
      <c r="E155" s="8"/>
      <c r="F155" s="8"/>
      <c r="G155" s="8"/>
      <c r="H155" s="8"/>
      <c r="I155" s="11"/>
      <c r="J155" s="11"/>
      <c r="K155" s="8"/>
      <c r="L155" s="8"/>
      <c r="M155" s="10"/>
      <c r="N155" s="10"/>
      <c r="O155" s="8"/>
      <c r="P155" s="8"/>
    </row>
    <row r="156" customFormat="false" ht="15" hidden="false" customHeight="true" outlineLevel="0" collapsed="false">
      <c r="A156" s="10"/>
      <c r="B156" s="8"/>
      <c r="C156" s="8"/>
      <c r="D156" s="8"/>
      <c r="E156" s="8"/>
      <c r="F156" s="8"/>
      <c r="G156" s="8"/>
      <c r="H156" s="8"/>
      <c r="I156" s="11"/>
      <c r="J156" s="11"/>
      <c r="K156" s="8"/>
      <c r="L156" s="8"/>
      <c r="M156" s="10"/>
      <c r="N156" s="10"/>
      <c r="O156" s="8"/>
      <c r="P156" s="8"/>
    </row>
    <row r="157" customFormat="false" ht="15" hidden="false" customHeight="true" outlineLevel="0" collapsed="false">
      <c r="A157" s="10"/>
      <c r="B157" s="8"/>
      <c r="C157" s="8"/>
      <c r="D157" s="8"/>
      <c r="E157" s="8"/>
      <c r="F157" s="8"/>
      <c r="G157" s="8"/>
      <c r="H157" s="8"/>
      <c r="I157" s="11"/>
      <c r="J157" s="11"/>
      <c r="K157" s="8"/>
      <c r="L157" s="8"/>
      <c r="M157" s="10"/>
      <c r="N157" s="10"/>
      <c r="O157" s="8"/>
      <c r="P157" s="8"/>
    </row>
    <row r="158" customFormat="false" ht="15" hidden="false" customHeight="true" outlineLevel="0" collapsed="false">
      <c r="A158" s="10"/>
      <c r="B158" s="8"/>
      <c r="C158" s="8"/>
      <c r="D158" s="8"/>
      <c r="E158" s="8"/>
      <c r="F158" s="8"/>
      <c r="G158" s="8"/>
      <c r="H158" s="8"/>
      <c r="I158" s="11"/>
      <c r="J158" s="11"/>
      <c r="K158" s="8"/>
      <c r="L158" s="8"/>
      <c r="M158" s="10"/>
      <c r="N158" s="10"/>
      <c r="O158" s="8"/>
      <c r="P158" s="8"/>
    </row>
    <row r="159" customFormat="false" ht="15" hidden="false" customHeight="true" outlineLevel="0" collapsed="false">
      <c r="A159" s="10"/>
      <c r="B159" s="8"/>
      <c r="C159" s="8"/>
      <c r="D159" s="8"/>
      <c r="E159" s="8"/>
      <c r="F159" s="8"/>
      <c r="G159" s="8"/>
      <c r="H159" s="8"/>
      <c r="I159" s="11"/>
      <c r="J159" s="11"/>
      <c r="K159" s="8"/>
      <c r="L159" s="8"/>
      <c r="M159" s="10"/>
      <c r="N159" s="10"/>
      <c r="O159" s="8"/>
      <c r="P159" s="8"/>
    </row>
    <row r="160" customFormat="false" ht="15" hidden="false" customHeight="true" outlineLevel="0" collapsed="false">
      <c r="A160" s="10"/>
      <c r="B160" s="8"/>
      <c r="C160" s="8"/>
      <c r="D160" s="8"/>
      <c r="E160" s="8"/>
      <c r="F160" s="8"/>
      <c r="G160" s="8"/>
      <c r="H160" s="8"/>
      <c r="I160" s="11"/>
      <c r="J160" s="11"/>
      <c r="K160" s="8"/>
      <c r="L160" s="8"/>
      <c r="M160" s="10"/>
      <c r="N160" s="10"/>
      <c r="O160" s="8"/>
      <c r="P160" s="8"/>
    </row>
    <row r="161" customFormat="false" ht="15" hidden="false" customHeight="true" outlineLevel="0" collapsed="false">
      <c r="A161" s="10"/>
      <c r="B161" s="8"/>
      <c r="C161" s="8"/>
      <c r="D161" s="8"/>
      <c r="E161" s="8"/>
      <c r="F161" s="8"/>
      <c r="G161" s="8"/>
      <c r="H161" s="8"/>
      <c r="I161" s="11"/>
      <c r="J161" s="11"/>
      <c r="K161" s="8"/>
      <c r="L161" s="8"/>
      <c r="M161" s="10"/>
      <c r="N161" s="10"/>
      <c r="O161" s="8"/>
      <c r="P161" s="8"/>
    </row>
    <row r="162" customFormat="false" ht="15" hidden="false" customHeight="true" outlineLevel="0" collapsed="false">
      <c r="A162" s="10"/>
      <c r="B162" s="8"/>
      <c r="C162" s="8"/>
      <c r="D162" s="8"/>
      <c r="E162" s="8"/>
      <c r="F162" s="8"/>
      <c r="G162" s="8"/>
      <c r="H162" s="8"/>
      <c r="I162" s="11"/>
      <c r="J162" s="11"/>
      <c r="K162" s="8"/>
      <c r="L162" s="8"/>
      <c r="M162" s="10"/>
      <c r="N162" s="10"/>
      <c r="O162" s="8"/>
      <c r="P162" s="8"/>
    </row>
    <row r="163" customFormat="false" ht="15" hidden="false" customHeight="true" outlineLevel="0" collapsed="false">
      <c r="A163" s="10"/>
      <c r="B163" s="8"/>
      <c r="C163" s="8"/>
      <c r="D163" s="8"/>
      <c r="E163" s="8"/>
      <c r="F163" s="8"/>
      <c r="G163" s="8"/>
      <c r="H163" s="8"/>
      <c r="I163" s="11"/>
      <c r="J163" s="11"/>
      <c r="K163" s="8"/>
      <c r="L163" s="8"/>
      <c r="M163" s="10"/>
      <c r="N163" s="10"/>
      <c r="O163" s="8"/>
      <c r="P163" s="8"/>
    </row>
    <row r="164" customFormat="false" ht="15" hidden="false" customHeight="true" outlineLevel="0" collapsed="false">
      <c r="A164" s="10"/>
      <c r="B164" s="8"/>
      <c r="C164" s="8"/>
      <c r="D164" s="8"/>
      <c r="E164" s="8"/>
      <c r="F164" s="8"/>
      <c r="G164" s="8"/>
      <c r="H164" s="8"/>
      <c r="I164" s="11"/>
      <c r="J164" s="11"/>
      <c r="K164" s="8"/>
      <c r="L164" s="8"/>
      <c r="M164" s="10"/>
      <c r="N164" s="10"/>
      <c r="O164" s="8"/>
      <c r="P164" s="8"/>
    </row>
    <row r="165" customFormat="false" ht="15" hidden="false" customHeight="true" outlineLevel="0" collapsed="false">
      <c r="A165" s="10"/>
      <c r="B165" s="8"/>
      <c r="C165" s="8"/>
      <c r="D165" s="8"/>
      <c r="E165" s="8"/>
      <c r="F165" s="8"/>
      <c r="G165" s="8"/>
      <c r="H165" s="8"/>
      <c r="I165" s="11"/>
      <c r="J165" s="11"/>
      <c r="K165" s="8"/>
      <c r="L165" s="8"/>
      <c r="M165" s="10"/>
      <c r="N165" s="10"/>
      <c r="O165" s="8"/>
      <c r="P165" s="8"/>
    </row>
    <row r="166" customFormat="false" ht="15" hidden="false" customHeight="true" outlineLevel="0" collapsed="false">
      <c r="A166" s="10"/>
      <c r="B166" s="8"/>
      <c r="C166" s="8"/>
      <c r="D166" s="8"/>
      <c r="E166" s="8"/>
      <c r="F166" s="8"/>
      <c r="G166" s="8"/>
      <c r="H166" s="8"/>
      <c r="I166" s="11"/>
      <c r="J166" s="11"/>
      <c r="K166" s="8"/>
      <c r="L166" s="8"/>
      <c r="M166" s="10"/>
      <c r="N166" s="10"/>
      <c r="O166" s="8"/>
      <c r="P166" s="8"/>
    </row>
    <row r="167" customFormat="false" ht="15" hidden="false" customHeight="true" outlineLevel="0" collapsed="false">
      <c r="A167" s="10"/>
      <c r="B167" s="8"/>
      <c r="C167" s="8"/>
      <c r="D167" s="8"/>
      <c r="E167" s="8"/>
      <c r="F167" s="8"/>
      <c r="G167" s="8"/>
      <c r="H167" s="8"/>
      <c r="I167" s="11"/>
      <c r="J167" s="11"/>
      <c r="K167" s="8"/>
      <c r="L167" s="8"/>
      <c r="M167" s="10"/>
      <c r="N167" s="10"/>
      <c r="O167" s="8"/>
      <c r="P167" s="8"/>
    </row>
    <row r="168" customFormat="false" ht="15" hidden="false" customHeight="true" outlineLevel="0" collapsed="false">
      <c r="A168" s="10"/>
      <c r="B168" s="8"/>
      <c r="C168" s="8"/>
      <c r="D168" s="8"/>
      <c r="E168" s="8"/>
      <c r="F168" s="8"/>
      <c r="G168" s="8"/>
      <c r="H168" s="8"/>
      <c r="I168" s="11"/>
      <c r="J168" s="11"/>
      <c r="K168" s="8"/>
      <c r="L168" s="8"/>
      <c r="M168" s="10"/>
      <c r="N168" s="10"/>
      <c r="O168" s="8"/>
      <c r="P168" s="8"/>
    </row>
    <row r="169" customFormat="false" ht="15" hidden="false" customHeight="true" outlineLevel="0" collapsed="false">
      <c r="A169" s="10"/>
      <c r="B169" s="8"/>
      <c r="C169" s="8"/>
      <c r="D169" s="8"/>
      <c r="E169" s="8"/>
      <c r="F169" s="8"/>
      <c r="G169" s="8"/>
      <c r="H169" s="8"/>
      <c r="I169" s="11"/>
      <c r="J169" s="11"/>
      <c r="K169" s="8"/>
      <c r="L169" s="8"/>
      <c r="M169" s="10"/>
      <c r="N169" s="10"/>
      <c r="O169" s="8"/>
      <c r="P169" s="8"/>
    </row>
    <row r="170" customFormat="false" ht="15" hidden="false" customHeight="true" outlineLevel="0" collapsed="false">
      <c r="A170" s="10"/>
      <c r="B170" s="8"/>
      <c r="C170" s="8"/>
      <c r="D170" s="8"/>
      <c r="E170" s="8"/>
      <c r="F170" s="8"/>
      <c r="G170" s="8"/>
      <c r="H170" s="8"/>
      <c r="I170" s="11"/>
      <c r="J170" s="11"/>
      <c r="K170" s="8"/>
      <c r="L170" s="8"/>
      <c r="M170" s="10"/>
      <c r="N170" s="10"/>
      <c r="O170" s="8"/>
      <c r="P170" s="8"/>
    </row>
    <row r="171" customFormat="false" ht="15" hidden="false" customHeight="true" outlineLevel="0" collapsed="false">
      <c r="A171" s="10"/>
      <c r="B171" s="8"/>
      <c r="C171" s="8"/>
      <c r="D171" s="8"/>
      <c r="E171" s="8"/>
      <c r="F171" s="8"/>
      <c r="G171" s="8"/>
      <c r="H171" s="8"/>
      <c r="I171" s="11"/>
      <c r="J171" s="11"/>
      <c r="K171" s="8"/>
      <c r="L171" s="8"/>
      <c r="M171" s="10"/>
      <c r="N171" s="10"/>
      <c r="O171" s="8"/>
      <c r="P171" s="8"/>
    </row>
    <row r="172" customFormat="false" ht="15" hidden="false" customHeight="true" outlineLevel="0" collapsed="false">
      <c r="A172" s="10"/>
      <c r="B172" s="8"/>
      <c r="C172" s="8"/>
      <c r="D172" s="8"/>
      <c r="E172" s="8"/>
      <c r="F172" s="8"/>
      <c r="G172" s="8"/>
      <c r="H172" s="8"/>
      <c r="I172" s="11"/>
      <c r="J172" s="11"/>
      <c r="K172" s="8"/>
      <c r="L172" s="8"/>
      <c r="M172" s="10"/>
      <c r="N172" s="10"/>
      <c r="O172" s="8"/>
      <c r="P172" s="8"/>
    </row>
    <row r="173" customFormat="false" ht="15" hidden="false" customHeight="true" outlineLevel="0" collapsed="false">
      <c r="A173" s="10"/>
      <c r="B173" s="8"/>
      <c r="C173" s="8"/>
      <c r="D173" s="8"/>
      <c r="E173" s="8"/>
      <c r="F173" s="8"/>
      <c r="G173" s="8"/>
      <c r="H173" s="8"/>
      <c r="I173" s="11"/>
      <c r="J173" s="11"/>
      <c r="K173" s="8"/>
      <c r="L173" s="8"/>
      <c r="M173" s="10"/>
      <c r="N173" s="10"/>
      <c r="O173" s="8"/>
      <c r="P173" s="8"/>
    </row>
    <row r="174" customFormat="false" ht="15" hidden="false" customHeight="true" outlineLevel="0" collapsed="false">
      <c r="A174" s="10"/>
      <c r="B174" s="8"/>
      <c r="C174" s="8"/>
      <c r="D174" s="8"/>
      <c r="E174" s="8"/>
      <c r="F174" s="8"/>
      <c r="G174" s="8"/>
      <c r="H174" s="8"/>
      <c r="I174" s="11"/>
      <c r="J174" s="11"/>
      <c r="K174" s="8"/>
      <c r="L174" s="8"/>
      <c r="M174" s="10"/>
      <c r="N174" s="10"/>
      <c r="O174" s="8"/>
      <c r="P174" s="8"/>
    </row>
    <row r="175" customFormat="false" ht="15" hidden="false" customHeight="true" outlineLevel="0" collapsed="false">
      <c r="A175" s="10"/>
      <c r="B175" s="8"/>
      <c r="C175" s="8"/>
      <c r="D175" s="8"/>
      <c r="E175" s="8"/>
      <c r="F175" s="8"/>
      <c r="G175" s="8"/>
      <c r="H175" s="8"/>
      <c r="I175" s="11"/>
      <c r="J175" s="11"/>
      <c r="K175" s="8"/>
      <c r="L175" s="8"/>
      <c r="M175" s="10"/>
      <c r="N175" s="10"/>
      <c r="O175" s="8"/>
      <c r="P175" s="8"/>
    </row>
    <row r="176" customFormat="false" ht="15" hidden="false" customHeight="true" outlineLevel="0" collapsed="false">
      <c r="A176" s="10"/>
      <c r="B176" s="8"/>
      <c r="C176" s="8"/>
      <c r="D176" s="8"/>
      <c r="E176" s="8"/>
      <c r="F176" s="8"/>
      <c r="G176" s="8"/>
      <c r="H176" s="8"/>
      <c r="I176" s="11"/>
      <c r="J176" s="11"/>
      <c r="K176" s="8"/>
      <c r="L176" s="8"/>
      <c r="M176" s="10"/>
      <c r="N176" s="10"/>
      <c r="O176" s="8"/>
      <c r="P176" s="8"/>
    </row>
    <row r="177" customFormat="false" ht="15" hidden="false" customHeight="true" outlineLevel="0" collapsed="false">
      <c r="A177" s="10"/>
      <c r="B177" s="8"/>
      <c r="C177" s="8"/>
      <c r="D177" s="8"/>
      <c r="E177" s="8"/>
      <c r="F177" s="8"/>
      <c r="G177" s="8"/>
      <c r="H177" s="8"/>
      <c r="I177" s="11"/>
      <c r="J177" s="11"/>
      <c r="K177" s="8"/>
      <c r="L177" s="8"/>
      <c r="M177" s="10"/>
      <c r="N177" s="10"/>
      <c r="O177" s="8"/>
      <c r="P177" s="8"/>
    </row>
    <row r="178" customFormat="false" ht="15" hidden="false" customHeight="true" outlineLevel="0" collapsed="false">
      <c r="A178" s="10"/>
      <c r="B178" s="8"/>
      <c r="C178" s="8"/>
      <c r="D178" s="8"/>
      <c r="E178" s="8"/>
      <c r="F178" s="8"/>
      <c r="G178" s="8"/>
      <c r="H178" s="8"/>
      <c r="I178" s="11"/>
      <c r="J178" s="11"/>
      <c r="K178" s="8"/>
      <c r="L178" s="8"/>
      <c r="M178" s="10"/>
      <c r="N178" s="10"/>
      <c r="O178" s="8"/>
      <c r="P178" s="8"/>
    </row>
    <row r="179" customFormat="false" ht="15" hidden="false" customHeight="true" outlineLevel="0" collapsed="false">
      <c r="A179" s="10"/>
      <c r="B179" s="8"/>
      <c r="C179" s="8"/>
      <c r="D179" s="8"/>
      <c r="E179" s="8"/>
      <c r="F179" s="8"/>
      <c r="G179" s="8"/>
      <c r="H179" s="8"/>
      <c r="I179" s="11"/>
      <c r="J179" s="11"/>
      <c r="K179" s="8"/>
      <c r="L179" s="8"/>
      <c r="M179" s="10"/>
      <c r="N179" s="10"/>
      <c r="O179" s="8"/>
      <c r="P179" s="8"/>
    </row>
    <row r="180" customFormat="false" ht="15" hidden="false" customHeight="true" outlineLevel="0" collapsed="false">
      <c r="A180" s="10"/>
      <c r="B180" s="8"/>
      <c r="C180" s="8"/>
      <c r="D180" s="8"/>
      <c r="E180" s="8"/>
      <c r="F180" s="8"/>
      <c r="G180" s="8"/>
      <c r="H180" s="8"/>
      <c r="I180" s="11"/>
      <c r="J180" s="11"/>
      <c r="K180" s="8"/>
      <c r="L180" s="8"/>
      <c r="M180" s="10"/>
      <c r="N180" s="10"/>
      <c r="O180" s="8"/>
      <c r="P180" s="8"/>
    </row>
    <row r="181" customFormat="false" ht="15" hidden="false" customHeight="true" outlineLevel="0" collapsed="false">
      <c r="A181" s="10"/>
      <c r="B181" s="8"/>
      <c r="C181" s="8"/>
      <c r="D181" s="8"/>
      <c r="E181" s="8"/>
      <c r="F181" s="8"/>
      <c r="G181" s="8"/>
      <c r="H181" s="8"/>
      <c r="I181" s="11"/>
      <c r="J181" s="11"/>
      <c r="K181" s="8"/>
      <c r="L181" s="8"/>
      <c r="M181" s="10"/>
      <c r="N181" s="10"/>
      <c r="O181" s="8"/>
      <c r="P181" s="8"/>
    </row>
    <row r="182" customFormat="false" ht="15" hidden="false" customHeight="true" outlineLevel="0" collapsed="false">
      <c r="A182" s="10"/>
      <c r="B182" s="8"/>
      <c r="C182" s="8"/>
      <c r="D182" s="8"/>
      <c r="E182" s="8"/>
      <c r="F182" s="8"/>
      <c r="G182" s="8"/>
      <c r="H182" s="8"/>
      <c r="I182" s="11"/>
      <c r="J182" s="11"/>
      <c r="K182" s="8"/>
      <c r="L182" s="8"/>
      <c r="M182" s="10"/>
      <c r="N182" s="10"/>
      <c r="O182" s="8"/>
      <c r="P182" s="8"/>
    </row>
    <row r="183" customFormat="false" ht="15" hidden="false" customHeight="true" outlineLevel="0" collapsed="false">
      <c r="A183" s="10"/>
      <c r="B183" s="8"/>
      <c r="C183" s="8"/>
      <c r="D183" s="8"/>
      <c r="E183" s="8"/>
      <c r="F183" s="8"/>
      <c r="G183" s="8"/>
      <c r="H183" s="8"/>
      <c r="I183" s="11"/>
      <c r="J183" s="11"/>
      <c r="K183" s="8"/>
      <c r="L183" s="8"/>
      <c r="M183" s="10"/>
      <c r="N183" s="10"/>
      <c r="O183" s="8"/>
      <c r="P183" s="8"/>
    </row>
    <row r="184" customFormat="false" ht="15" hidden="false" customHeight="true" outlineLevel="0" collapsed="false">
      <c r="A184" s="10"/>
      <c r="B184" s="8"/>
      <c r="C184" s="8"/>
      <c r="D184" s="8"/>
      <c r="E184" s="8"/>
      <c r="F184" s="8"/>
      <c r="G184" s="8"/>
      <c r="H184" s="8"/>
      <c r="I184" s="11"/>
      <c r="J184" s="11"/>
      <c r="K184" s="8"/>
      <c r="L184" s="8"/>
      <c r="M184" s="10"/>
      <c r="N184" s="10"/>
      <c r="O184" s="8"/>
      <c r="P184" s="8"/>
    </row>
    <row r="185" customFormat="false" ht="15" hidden="false" customHeight="true" outlineLevel="0" collapsed="false">
      <c r="A185" s="10"/>
      <c r="B185" s="8"/>
      <c r="C185" s="8"/>
      <c r="D185" s="8"/>
      <c r="E185" s="8"/>
      <c r="F185" s="8"/>
      <c r="G185" s="8"/>
      <c r="H185" s="8"/>
      <c r="I185" s="11"/>
      <c r="J185" s="11"/>
      <c r="K185" s="8"/>
      <c r="L185" s="8"/>
      <c r="M185" s="10"/>
      <c r="N185" s="10"/>
      <c r="O185" s="8"/>
      <c r="P185" s="8"/>
    </row>
    <row r="186" customFormat="false" ht="15" hidden="false" customHeight="true" outlineLevel="0" collapsed="false">
      <c r="A186" s="10"/>
      <c r="B186" s="8"/>
      <c r="C186" s="8"/>
      <c r="D186" s="8"/>
      <c r="E186" s="8"/>
      <c r="F186" s="8"/>
      <c r="G186" s="8"/>
      <c r="H186" s="8"/>
      <c r="I186" s="11"/>
      <c r="J186" s="11"/>
      <c r="K186" s="8"/>
      <c r="L186" s="8"/>
      <c r="M186" s="10"/>
      <c r="N186" s="10"/>
      <c r="O186" s="8"/>
      <c r="P186" s="8"/>
    </row>
    <row r="187" customFormat="false" ht="15" hidden="false" customHeight="true" outlineLevel="0" collapsed="false">
      <c r="A187" s="10"/>
      <c r="B187" s="8"/>
      <c r="C187" s="8"/>
      <c r="D187" s="8"/>
      <c r="E187" s="8"/>
      <c r="F187" s="8"/>
      <c r="G187" s="8"/>
      <c r="H187" s="8"/>
      <c r="I187" s="11"/>
      <c r="J187" s="11"/>
      <c r="K187" s="8"/>
      <c r="L187" s="8"/>
      <c r="M187" s="10"/>
      <c r="N187" s="10"/>
      <c r="O187" s="8"/>
      <c r="P187" s="8"/>
    </row>
    <row r="188" customFormat="false" ht="15" hidden="false" customHeight="true" outlineLevel="0" collapsed="false">
      <c r="A188" s="10"/>
      <c r="B188" s="8"/>
      <c r="C188" s="8"/>
      <c r="D188" s="8"/>
      <c r="E188" s="8"/>
      <c r="F188" s="8"/>
      <c r="G188" s="8"/>
      <c r="H188" s="8"/>
      <c r="I188" s="11"/>
      <c r="J188" s="11"/>
      <c r="K188" s="8"/>
      <c r="L188" s="8"/>
      <c r="M188" s="10"/>
      <c r="N188" s="10"/>
      <c r="O188" s="8"/>
      <c r="P188" s="8"/>
    </row>
    <row r="189" customFormat="false" ht="15" hidden="false" customHeight="true" outlineLevel="0" collapsed="false">
      <c r="A189" s="10"/>
      <c r="B189" s="8"/>
      <c r="C189" s="8"/>
      <c r="D189" s="8"/>
      <c r="E189" s="8"/>
      <c r="F189" s="8"/>
      <c r="G189" s="8"/>
      <c r="H189" s="8"/>
      <c r="I189" s="11"/>
      <c r="J189" s="11"/>
      <c r="K189" s="8"/>
      <c r="L189" s="8"/>
      <c r="M189" s="10"/>
      <c r="N189" s="10"/>
      <c r="O189" s="8"/>
      <c r="P189" s="8"/>
    </row>
    <row r="190" customFormat="false" ht="15" hidden="false" customHeight="true" outlineLevel="0" collapsed="false">
      <c r="A190" s="10"/>
      <c r="B190" s="8"/>
      <c r="C190" s="8"/>
      <c r="D190" s="8"/>
      <c r="E190" s="8"/>
      <c r="F190" s="8"/>
      <c r="G190" s="8"/>
      <c r="H190" s="8"/>
      <c r="I190" s="11"/>
      <c r="J190" s="11"/>
      <c r="K190" s="8"/>
      <c r="L190" s="8"/>
      <c r="M190" s="10"/>
      <c r="N190" s="10"/>
      <c r="O190" s="8"/>
      <c r="P190" s="8"/>
    </row>
    <row r="191" customFormat="false" ht="15" hidden="false" customHeight="true" outlineLevel="0" collapsed="false">
      <c r="A191" s="10"/>
      <c r="B191" s="8"/>
      <c r="C191" s="8"/>
      <c r="D191" s="8"/>
      <c r="E191" s="8"/>
      <c r="F191" s="8"/>
      <c r="G191" s="8"/>
      <c r="H191" s="8"/>
      <c r="I191" s="11"/>
      <c r="J191" s="11"/>
      <c r="K191" s="8"/>
      <c r="L191" s="8"/>
      <c r="M191" s="10"/>
      <c r="N191" s="10"/>
      <c r="O191" s="8"/>
      <c r="P191" s="8"/>
    </row>
    <row r="192" customFormat="false" ht="15" hidden="false" customHeight="true" outlineLevel="0" collapsed="false">
      <c r="A192" s="10"/>
      <c r="B192" s="8"/>
      <c r="C192" s="8"/>
      <c r="D192" s="8"/>
      <c r="E192" s="8"/>
      <c r="F192" s="8"/>
      <c r="G192" s="8"/>
      <c r="H192" s="8"/>
      <c r="I192" s="11"/>
      <c r="J192" s="11"/>
      <c r="K192" s="8"/>
      <c r="L192" s="8"/>
      <c r="M192" s="10"/>
      <c r="N192" s="10"/>
      <c r="O192" s="8"/>
      <c r="P192" s="8"/>
    </row>
    <row r="193" customFormat="false" ht="15" hidden="false" customHeight="true" outlineLevel="0" collapsed="false">
      <c r="A193" s="10"/>
      <c r="B193" s="8"/>
      <c r="C193" s="8"/>
      <c r="D193" s="8"/>
      <c r="E193" s="8"/>
      <c r="F193" s="8"/>
      <c r="G193" s="8"/>
      <c r="H193" s="8"/>
      <c r="I193" s="11"/>
      <c r="J193" s="11"/>
      <c r="K193" s="8"/>
      <c r="L193" s="8"/>
      <c r="M193" s="10"/>
      <c r="N193" s="10"/>
      <c r="O193" s="8"/>
      <c r="P193" s="8"/>
    </row>
    <row r="194" customFormat="false" ht="15" hidden="false" customHeight="true" outlineLevel="0" collapsed="false">
      <c r="A194" s="10"/>
      <c r="B194" s="8"/>
      <c r="C194" s="8"/>
      <c r="D194" s="8"/>
      <c r="E194" s="8"/>
      <c r="F194" s="8"/>
      <c r="G194" s="8"/>
      <c r="H194" s="8"/>
      <c r="I194" s="11"/>
      <c r="J194" s="11"/>
      <c r="K194" s="8"/>
      <c r="L194" s="8"/>
      <c r="M194" s="10"/>
      <c r="N194" s="10"/>
      <c r="O194" s="8"/>
      <c r="P194" s="8"/>
    </row>
    <row r="195" customFormat="false" ht="15" hidden="false" customHeight="true" outlineLevel="0" collapsed="false">
      <c r="A195" s="10"/>
      <c r="B195" s="8"/>
      <c r="C195" s="8"/>
      <c r="D195" s="8"/>
      <c r="E195" s="8"/>
      <c r="F195" s="8"/>
      <c r="G195" s="8"/>
      <c r="H195" s="8"/>
      <c r="I195" s="11"/>
      <c r="J195" s="11"/>
      <c r="K195" s="8"/>
      <c r="L195" s="8"/>
      <c r="M195" s="10"/>
      <c r="N195" s="10"/>
      <c r="O195" s="8"/>
      <c r="P195" s="8"/>
    </row>
    <row r="196" customFormat="false" ht="15" hidden="false" customHeight="true" outlineLevel="0" collapsed="false">
      <c r="A196" s="10"/>
      <c r="B196" s="8"/>
      <c r="C196" s="8"/>
      <c r="D196" s="8"/>
      <c r="E196" s="8"/>
      <c r="F196" s="8"/>
      <c r="G196" s="8"/>
      <c r="H196" s="8"/>
      <c r="I196" s="11"/>
      <c r="J196" s="11"/>
      <c r="K196" s="8"/>
      <c r="L196" s="8"/>
      <c r="M196" s="10"/>
      <c r="N196" s="10"/>
      <c r="O196" s="8"/>
      <c r="P196" s="8"/>
    </row>
    <row r="197" customFormat="false" ht="15" hidden="false" customHeight="true" outlineLevel="0" collapsed="false">
      <c r="A197" s="10"/>
      <c r="B197" s="8"/>
      <c r="C197" s="8"/>
      <c r="D197" s="8"/>
      <c r="E197" s="8"/>
      <c r="F197" s="8"/>
      <c r="G197" s="8"/>
      <c r="H197" s="8"/>
      <c r="I197" s="11"/>
      <c r="J197" s="11"/>
      <c r="K197" s="8"/>
      <c r="L197" s="8"/>
      <c r="M197" s="10"/>
      <c r="N197" s="10"/>
      <c r="O197" s="8"/>
      <c r="P197" s="8"/>
    </row>
    <row r="198" customFormat="false" ht="15" hidden="false" customHeight="true" outlineLevel="0" collapsed="false">
      <c r="A198" s="10"/>
      <c r="B198" s="8"/>
      <c r="C198" s="8"/>
      <c r="D198" s="8"/>
      <c r="E198" s="8"/>
      <c r="F198" s="8"/>
      <c r="G198" s="8"/>
      <c r="H198" s="8"/>
      <c r="I198" s="11"/>
      <c r="J198" s="11"/>
      <c r="K198" s="8"/>
      <c r="L198" s="8"/>
      <c r="M198" s="10"/>
      <c r="N198" s="10"/>
      <c r="O198" s="8"/>
      <c r="P198" s="8"/>
    </row>
    <row r="199" customFormat="false" ht="15" hidden="false" customHeight="true" outlineLevel="0" collapsed="false">
      <c r="A199" s="10"/>
      <c r="B199" s="8"/>
      <c r="C199" s="8"/>
      <c r="D199" s="8"/>
      <c r="E199" s="8"/>
      <c r="F199" s="8"/>
      <c r="G199" s="8"/>
      <c r="H199" s="8"/>
      <c r="I199" s="11"/>
      <c r="J199" s="11"/>
      <c r="K199" s="8"/>
      <c r="L199" s="8"/>
      <c r="M199" s="10"/>
      <c r="N199" s="10"/>
      <c r="O199" s="8"/>
      <c r="P199" s="8"/>
    </row>
    <row r="200" customFormat="false" ht="15" hidden="false" customHeight="true" outlineLevel="0" collapsed="false">
      <c r="A200" s="10"/>
      <c r="B200" s="8"/>
      <c r="C200" s="8"/>
      <c r="D200" s="8"/>
      <c r="E200" s="8"/>
      <c r="F200" s="8"/>
      <c r="G200" s="8"/>
      <c r="H200" s="8"/>
      <c r="I200" s="11"/>
      <c r="J200" s="11"/>
      <c r="K200" s="8"/>
      <c r="L200" s="8"/>
      <c r="M200" s="10"/>
      <c r="N200" s="10"/>
      <c r="O200" s="8"/>
      <c r="P200" s="8"/>
    </row>
    <row r="201" customFormat="false" ht="15" hidden="false" customHeight="true" outlineLevel="0" collapsed="false">
      <c r="A201" s="10"/>
      <c r="B201" s="8"/>
      <c r="C201" s="8"/>
      <c r="D201" s="8"/>
      <c r="E201" s="8"/>
      <c r="F201" s="8"/>
      <c r="G201" s="8"/>
      <c r="H201" s="8"/>
      <c r="I201" s="11"/>
      <c r="J201" s="11"/>
      <c r="K201" s="8"/>
      <c r="L201" s="8"/>
      <c r="M201" s="10"/>
      <c r="N201" s="10"/>
      <c r="O201" s="8"/>
      <c r="P201" s="8"/>
    </row>
    <row r="202" customFormat="false" ht="15" hidden="false" customHeight="true" outlineLevel="0" collapsed="false">
      <c r="A202" s="10"/>
      <c r="B202" s="8"/>
      <c r="C202" s="8"/>
      <c r="D202" s="8"/>
      <c r="E202" s="8"/>
      <c r="F202" s="8"/>
      <c r="G202" s="8"/>
      <c r="H202" s="8"/>
      <c r="I202" s="11"/>
      <c r="J202" s="11"/>
      <c r="K202" s="8"/>
      <c r="L202" s="8"/>
      <c r="M202" s="10"/>
      <c r="N202" s="10"/>
      <c r="O202" s="8"/>
      <c r="P202" s="8"/>
    </row>
    <row r="203" customFormat="false" ht="15" hidden="false" customHeight="true" outlineLevel="0" collapsed="false">
      <c r="A203" s="10"/>
      <c r="B203" s="8"/>
      <c r="C203" s="8"/>
      <c r="D203" s="8"/>
      <c r="E203" s="8"/>
      <c r="F203" s="8"/>
      <c r="G203" s="8"/>
      <c r="H203" s="8"/>
      <c r="I203" s="11"/>
      <c r="J203" s="11"/>
      <c r="K203" s="8"/>
      <c r="L203" s="8"/>
      <c r="M203" s="10"/>
      <c r="N203" s="10"/>
      <c r="O203" s="8"/>
      <c r="P203" s="8"/>
    </row>
    <row r="204" customFormat="false" ht="15" hidden="false" customHeight="true" outlineLevel="0" collapsed="false">
      <c r="A204" s="10"/>
      <c r="B204" s="8"/>
      <c r="C204" s="8"/>
      <c r="D204" s="8"/>
      <c r="E204" s="8"/>
      <c r="F204" s="8"/>
      <c r="G204" s="8"/>
      <c r="H204" s="8"/>
      <c r="I204" s="11"/>
      <c r="J204" s="11"/>
      <c r="K204" s="8"/>
      <c r="L204" s="8"/>
      <c r="M204" s="10"/>
      <c r="N204" s="10"/>
      <c r="O204" s="8"/>
      <c r="P204" s="8"/>
    </row>
    <row r="205" customFormat="false" ht="15" hidden="false" customHeight="true" outlineLevel="0" collapsed="false">
      <c r="A205" s="10"/>
      <c r="B205" s="8"/>
      <c r="C205" s="8"/>
      <c r="D205" s="8"/>
      <c r="E205" s="8"/>
      <c r="F205" s="8"/>
      <c r="G205" s="8"/>
      <c r="H205" s="8"/>
      <c r="I205" s="11"/>
      <c r="J205" s="11"/>
      <c r="K205" s="8"/>
      <c r="L205" s="8"/>
      <c r="M205" s="10"/>
      <c r="N205" s="10"/>
      <c r="O205" s="8"/>
      <c r="P205" s="8"/>
    </row>
    <row r="206" customFormat="false" ht="15" hidden="false" customHeight="true" outlineLevel="0" collapsed="false">
      <c r="A206" s="10"/>
      <c r="B206" s="8"/>
      <c r="C206" s="8"/>
      <c r="D206" s="8"/>
      <c r="E206" s="8"/>
      <c r="F206" s="8"/>
      <c r="G206" s="8"/>
      <c r="H206" s="8"/>
      <c r="I206" s="11"/>
      <c r="J206" s="11"/>
      <c r="K206" s="8"/>
      <c r="L206" s="8"/>
      <c r="M206" s="10"/>
      <c r="N206" s="10"/>
      <c r="O206" s="8"/>
      <c r="P206" s="8"/>
    </row>
    <row r="207" customFormat="false" ht="15" hidden="false" customHeight="true" outlineLevel="0" collapsed="false">
      <c r="A207" s="10"/>
      <c r="B207" s="8"/>
      <c r="C207" s="8"/>
      <c r="D207" s="8"/>
      <c r="E207" s="8"/>
      <c r="F207" s="8"/>
      <c r="G207" s="8"/>
      <c r="H207" s="8"/>
      <c r="I207" s="11"/>
      <c r="J207" s="11"/>
      <c r="K207" s="8"/>
      <c r="L207" s="8"/>
      <c r="M207" s="10"/>
      <c r="N207" s="10"/>
      <c r="O207" s="8"/>
      <c r="P207" s="8"/>
    </row>
    <row r="208" customFormat="false" ht="15" hidden="false" customHeight="true" outlineLevel="0" collapsed="false">
      <c r="A208" s="10"/>
      <c r="B208" s="8"/>
      <c r="C208" s="8"/>
      <c r="D208" s="8"/>
      <c r="E208" s="8"/>
      <c r="F208" s="8"/>
      <c r="G208" s="8"/>
      <c r="H208" s="8"/>
      <c r="I208" s="11"/>
      <c r="J208" s="11"/>
      <c r="K208" s="8"/>
      <c r="L208" s="8"/>
      <c r="M208" s="10"/>
      <c r="N208" s="10"/>
      <c r="O208" s="8"/>
      <c r="P208" s="8"/>
    </row>
    <row r="209" customFormat="false" ht="15" hidden="false" customHeight="true" outlineLevel="0" collapsed="false">
      <c r="A209" s="10"/>
      <c r="B209" s="8"/>
      <c r="C209" s="8"/>
      <c r="D209" s="8"/>
      <c r="E209" s="8"/>
      <c r="F209" s="8"/>
      <c r="G209" s="8"/>
      <c r="H209" s="8"/>
      <c r="I209" s="11"/>
      <c r="J209" s="11"/>
      <c r="K209" s="8"/>
      <c r="L209" s="8"/>
      <c r="M209" s="10"/>
      <c r="N209" s="10"/>
      <c r="O209" s="8"/>
      <c r="P209" s="8"/>
    </row>
    <row r="210" customFormat="false" ht="15" hidden="false" customHeight="true" outlineLevel="0" collapsed="false">
      <c r="A210" s="10"/>
      <c r="B210" s="8"/>
      <c r="C210" s="8"/>
      <c r="D210" s="8"/>
      <c r="E210" s="8"/>
      <c r="F210" s="8"/>
      <c r="G210" s="8"/>
      <c r="H210" s="8"/>
      <c r="I210" s="11"/>
      <c r="J210" s="11"/>
      <c r="K210" s="8"/>
      <c r="L210" s="8"/>
      <c r="M210" s="10"/>
      <c r="N210" s="10"/>
      <c r="O210" s="8"/>
      <c r="P210" s="8"/>
    </row>
    <row r="211" customFormat="false" ht="15" hidden="false" customHeight="true" outlineLevel="0" collapsed="false">
      <c r="A211" s="10"/>
      <c r="B211" s="8"/>
      <c r="C211" s="8"/>
      <c r="D211" s="8"/>
      <c r="E211" s="8"/>
      <c r="F211" s="8"/>
      <c r="G211" s="8"/>
      <c r="H211" s="8"/>
      <c r="I211" s="11"/>
      <c r="J211" s="11"/>
      <c r="K211" s="8"/>
      <c r="L211" s="8"/>
      <c r="M211" s="10"/>
      <c r="N211" s="10"/>
      <c r="O211" s="8"/>
      <c r="P211" s="8"/>
    </row>
    <row r="212" customFormat="false" ht="15" hidden="false" customHeight="true" outlineLevel="0" collapsed="false">
      <c r="A212" s="10"/>
      <c r="B212" s="8"/>
      <c r="C212" s="8"/>
      <c r="D212" s="8"/>
      <c r="E212" s="8"/>
      <c r="F212" s="8"/>
      <c r="G212" s="8"/>
      <c r="H212" s="8"/>
      <c r="I212" s="11"/>
      <c r="J212" s="11"/>
      <c r="K212" s="8"/>
      <c r="L212" s="8"/>
      <c r="M212" s="10"/>
      <c r="N212" s="10"/>
      <c r="O212" s="8"/>
      <c r="P212" s="8"/>
    </row>
    <row r="213" customFormat="false" ht="15" hidden="false" customHeight="true" outlineLevel="0" collapsed="false">
      <c r="A213" s="10"/>
      <c r="B213" s="8"/>
      <c r="C213" s="8"/>
      <c r="D213" s="8"/>
      <c r="E213" s="8"/>
      <c r="F213" s="8"/>
      <c r="G213" s="8"/>
      <c r="H213" s="8"/>
      <c r="I213" s="11"/>
      <c r="J213" s="11"/>
      <c r="K213" s="8"/>
      <c r="L213" s="8"/>
      <c r="M213" s="10"/>
      <c r="N213" s="10"/>
      <c r="O213" s="8"/>
      <c r="P213" s="8"/>
    </row>
    <row r="214" customFormat="false" ht="15" hidden="false" customHeight="true" outlineLevel="0" collapsed="false">
      <c r="A214" s="10"/>
      <c r="B214" s="8"/>
      <c r="C214" s="8"/>
      <c r="D214" s="8"/>
      <c r="E214" s="8"/>
      <c r="F214" s="8"/>
      <c r="G214" s="8"/>
      <c r="H214" s="8"/>
      <c r="I214" s="11"/>
      <c r="J214" s="11"/>
      <c r="K214" s="8"/>
      <c r="L214" s="8"/>
      <c r="M214" s="10"/>
      <c r="N214" s="10"/>
      <c r="O214" s="8"/>
      <c r="P214" s="8"/>
    </row>
    <row r="215" customFormat="false" ht="15" hidden="false" customHeight="true" outlineLevel="0" collapsed="false">
      <c r="A215" s="10"/>
      <c r="B215" s="8"/>
      <c r="C215" s="8"/>
      <c r="D215" s="8"/>
      <c r="E215" s="8"/>
      <c r="F215" s="8"/>
      <c r="G215" s="8"/>
      <c r="H215" s="8"/>
      <c r="I215" s="11"/>
      <c r="J215" s="11"/>
      <c r="K215" s="8"/>
      <c r="L215" s="8"/>
      <c r="M215" s="10"/>
      <c r="N215" s="10"/>
      <c r="O215" s="8"/>
      <c r="P215" s="8"/>
    </row>
    <row r="216" customFormat="false" ht="15" hidden="false" customHeight="true" outlineLevel="0" collapsed="false">
      <c r="A216" s="10"/>
      <c r="B216" s="8"/>
      <c r="C216" s="8"/>
      <c r="D216" s="8"/>
      <c r="E216" s="8"/>
      <c r="F216" s="8"/>
      <c r="G216" s="8"/>
      <c r="H216" s="8"/>
      <c r="I216" s="11"/>
      <c r="J216" s="11"/>
      <c r="K216" s="8"/>
      <c r="L216" s="8"/>
      <c r="M216" s="10"/>
      <c r="N216" s="10"/>
      <c r="O216" s="8"/>
      <c r="P216" s="8"/>
    </row>
    <row r="217" customFormat="false" ht="15" hidden="false" customHeight="true" outlineLevel="0" collapsed="false">
      <c r="A217" s="10"/>
      <c r="B217" s="8"/>
      <c r="C217" s="8"/>
      <c r="D217" s="8"/>
      <c r="E217" s="8"/>
      <c r="F217" s="8"/>
      <c r="G217" s="8"/>
      <c r="H217" s="8"/>
      <c r="I217" s="11"/>
      <c r="J217" s="11"/>
      <c r="K217" s="8"/>
      <c r="L217" s="8"/>
      <c r="M217" s="10"/>
      <c r="N217" s="10"/>
      <c r="O217" s="8"/>
      <c r="P217" s="8"/>
    </row>
    <row r="218" customFormat="false" ht="15" hidden="false" customHeight="true" outlineLevel="0" collapsed="false">
      <c r="A218" s="10"/>
      <c r="B218" s="8"/>
      <c r="C218" s="8"/>
      <c r="D218" s="8"/>
      <c r="E218" s="8"/>
      <c r="F218" s="8"/>
      <c r="G218" s="8"/>
      <c r="H218" s="8"/>
      <c r="I218" s="11"/>
      <c r="J218" s="11"/>
      <c r="K218" s="8"/>
      <c r="L218" s="8"/>
      <c r="M218" s="10"/>
      <c r="N218" s="10"/>
      <c r="O218" s="8"/>
      <c r="P218" s="8"/>
    </row>
    <row r="219" customFormat="false" ht="15" hidden="false" customHeight="true" outlineLevel="0" collapsed="false">
      <c r="A219" s="10"/>
      <c r="B219" s="8"/>
      <c r="C219" s="8"/>
      <c r="D219" s="8"/>
      <c r="E219" s="8"/>
      <c r="F219" s="8"/>
      <c r="G219" s="8"/>
      <c r="H219" s="8"/>
      <c r="I219" s="11"/>
      <c r="J219" s="11"/>
      <c r="K219" s="8"/>
      <c r="L219" s="8"/>
      <c r="M219" s="10"/>
      <c r="N219" s="10"/>
      <c r="O219" s="8"/>
      <c r="P219" s="8"/>
    </row>
    <row r="220" customFormat="false" ht="15" hidden="false" customHeight="true" outlineLevel="0" collapsed="false">
      <c r="A220" s="10"/>
      <c r="B220" s="8"/>
      <c r="C220" s="8"/>
      <c r="D220" s="8"/>
      <c r="E220" s="8"/>
      <c r="F220" s="8"/>
      <c r="G220" s="8"/>
      <c r="H220" s="8"/>
      <c r="I220" s="11"/>
      <c r="J220" s="11"/>
      <c r="K220" s="8"/>
      <c r="L220" s="8"/>
      <c r="M220" s="10"/>
      <c r="N220" s="10"/>
      <c r="O220" s="8"/>
      <c r="P220" s="8"/>
    </row>
    <row r="221" customFormat="false" ht="15" hidden="false" customHeight="true" outlineLevel="0" collapsed="false">
      <c r="A221" s="10"/>
      <c r="B221" s="8"/>
      <c r="C221" s="8"/>
      <c r="D221" s="8"/>
      <c r="E221" s="8"/>
      <c r="F221" s="8"/>
      <c r="G221" s="8"/>
      <c r="H221" s="8"/>
      <c r="I221" s="11"/>
      <c r="J221" s="11"/>
      <c r="K221" s="8"/>
      <c r="L221" s="8"/>
      <c r="M221" s="10"/>
      <c r="N221" s="10"/>
      <c r="O221" s="8"/>
      <c r="P221" s="8"/>
    </row>
    <row r="222" customFormat="false" ht="15" hidden="false" customHeight="true" outlineLevel="0" collapsed="false">
      <c r="A222" s="10"/>
      <c r="B222" s="8"/>
      <c r="C222" s="8"/>
      <c r="D222" s="8"/>
      <c r="E222" s="8"/>
      <c r="F222" s="8"/>
      <c r="G222" s="8"/>
      <c r="H222" s="8"/>
      <c r="I222" s="11"/>
      <c r="J222" s="11"/>
      <c r="K222" s="8"/>
      <c r="L222" s="8"/>
      <c r="M222" s="10"/>
      <c r="N222" s="10"/>
      <c r="O222" s="8"/>
      <c r="P222" s="8"/>
    </row>
    <row r="223" customFormat="false" ht="15" hidden="false" customHeight="true" outlineLevel="0" collapsed="false">
      <c r="A223" s="10"/>
      <c r="B223" s="8"/>
      <c r="C223" s="8"/>
      <c r="D223" s="8"/>
      <c r="E223" s="8"/>
      <c r="F223" s="8"/>
      <c r="G223" s="8"/>
      <c r="H223" s="8"/>
      <c r="I223" s="11"/>
      <c r="J223" s="11"/>
      <c r="K223" s="8"/>
      <c r="L223" s="8"/>
      <c r="M223" s="10"/>
      <c r="N223" s="10"/>
      <c r="O223" s="8"/>
      <c r="P223" s="8"/>
    </row>
    <row r="224" customFormat="false" ht="15" hidden="false" customHeight="true" outlineLevel="0" collapsed="false">
      <c r="A224" s="10"/>
      <c r="B224" s="8"/>
      <c r="C224" s="8"/>
      <c r="D224" s="8"/>
      <c r="E224" s="8"/>
      <c r="F224" s="8"/>
      <c r="G224" s="8"/>
      <c r="H224" s="8"/>
      <c r="I224" s="11"/>
      <c r="J224" s="11"/>
      <c r="K224" s="8"/>
      <c r="L224" s="8"/>
      <c r="M224" s="10"/>
      <c r="N224" s="10"/>
      <c r="O224" s="8"/>
      <c r="P224" s="8"/>
    </row>
    <row r="225" customFormat="false" ht="15" hidden="false" customHeight="true" outlineLevel="0" collapsed="false">
      <c r="A225" s="10"/>
      <c r="B225" s="8"/>
      <c r="C225" s="8"/>
      <c r="D225" s="8"/>
      <c r="E225" s="8"/>
      <c r="F225" s="8"/>
      <c r="G225" s="8"/>
      <c r="H225" s="8"/>
      <c r="I225" s="11"/>
      <c r="J225" s="11"/>
      <c r="K225" s="8"/>
      <c r="L225" s="8"/>
      <c r="M225" s="10"/>
      <c r="N225" s="10"/>
      <c r="O225" s="8"/>
      <c r="P225" s="8"/>
    </row>
    <row r="226" customFormat="false" ht="15" hidden="false" customHeight="true" outlineLevel="0" collapsed="false">
      <c r="A226" s="10"/>
      <c r="B226" s="8"/>
      <c r="C226" s="8"/>
      <c r="D226" s="8"/>
      <c r="E226" s="8"/>
      <c r="F226" s="8"/>
      <c r="G226" s="8"/>
      <c r="H226" s="8"/>
      <c r="I226" s="11"/>
      <c r="J226" s="11"/>
      <c r="K226" s="8"/>
      <c r="L226" s="8"/>
      <c r="M226" s="10"/>
      <c r="N226" s="10"/>
      <c r="O226" s="8"/>
      <c r="P226" s="8"/>
    </row>
    <row r="227" customFormat="false" ht="15" hidden="false" customHeight="true" outlineLevel="0" collapsed="false">
      <c r="A227" s="10"/>
      <c r="B227" s="8"/>
      <c r="C227" s="8"/>
      <c r="D227" s="8"/>
      <c r="E227" s="8"/>
      <c r="F227" s="8"/>
      <c r="G227" s="8"/>
      <c r="H227" s="8"/>
      <c r="I227" s="11"/>
      <c r="J227" s="11"/>
      <c r="K227" s="8"/>
      <c r="L227" s="8"/>
      <c r="M227" s="10"/>
      <c r="N227" s="10"/>
      <c r="O227" s="8"/>
      <c r="P227" s="8"/>
    </row>
    <row r="228" customFormat="false" ht="15" hidden="false" customHeight="true" outlineLevel="0" collapsed="false">
      <c r="A228" s="10"/>
      <c r="B228" s="8"/>
      <c r="C228" s="8"/>
      <c r="D228" s="8"/>
      <c r="E228" s="8"/>
      <c r="F228" s="8"/>
      <c r="G228" s="8"/>
      <c r="H228" s="8"/>
      <c r="I228" s="11"/>
      <c r="J228" s="11"/>
      <c r="K228" s="8"/>
      <c r="L228" s="8"/>
      <c r="M228" s="10"/>
      <c r="N228" s="10"/>
      <c r="O228" s="8"/>
      <c r="P228" s="8"/>
    </row>
    <row r="229" customFormat="false" ht="15" hidden="false" customHeight="true" outlineLevel="0" collapsed="false">
      <c r="A229" s="10"/>
      <c r="B229" s="8"/>
      <c r="C229" s="8"/>
      <c r="D229" s="8"/>
      <c r="E229" s="8"/>
      <c r="F229" s="8"/>
      <c r="G229" s="8"/>
      <c r="H229" s="8"/>
      <c r="I229" s="11"/>
      <c r="J229" s="11"/>
      <c r="K229" s="8"/>
      <c r="L229" s="8"/>
      <c r="M229" s="10"/>
      <c r="N229" s="10"/>
      <c r="O229" s="8"/>
      <c r="P229" s="8"/>
    </row>
    <row r="230" customFormat="false" ht="15" hidden="false" customHeight="true" outlineLevel="0" collapsed="false">
      <c r="A230" s="10"/>
      <c r="B230" s="8"/>
      <c r="C230" s="8"/>
      <c r="D230" s="8"/>
      <c r="E230" s="8"/>
      <c r="F230" s="8"/>
      <c r="G230" s="8"/>
      <c r="H230" s="8"/>
      <c r="I230" s="11"/>
      <c r="J230" s="11"/>
      <c r="K230" s="8"/>
      <c r="L230" s="8"/>
      <c r="M230" s="10"/>
      <c r="N230" s="10"/>
      <c r="O230" s="8"/>
      <c r="P230" s="8"/>
    </row>
    <row r="231" customFormat="false" ht="15" hidden="false" customHeight="true" outlineLevel="0" collapsed="false">
      <c r="A231" s="10"/>
      <c r="B231" s="8"/>
      <c r="C231" s="8"/>
      <c r="D231" s="8"/>
      <c r="E231" s="8"/>
      <c r="F231" s="8"/>
      <c r="G231" s="8"/>
      <c r="H231" s="8"/>
      <c r="I231" s="11"/>
      <c r="J231" s="11"/>
      <c r="K231" s="8"/>
      <c r="L231" s="8"/>
      <c r="M231" s="10"/>
      <c r="N231" s="10"/>
      <c r="O231" s="8"/>
      <c r="P231" s="8"/>
    </row>
    <row r="232" customFormat="false" ht="15" hidden="false" customHeight="true" outlineLevel="0" collapsed="false">
      <c r="A232" s="10"/>
      <c r="B232" s="8"/>
      <c r="C232" s="8"/>
      <c r="D232" s="8"/>
      <c r="E232" s="8"/>
      <c r="F232" s="8"/>
      <c r="G232" s="8"/>
      <c r="H232" s="8"/>
      <c r="I232" s="11"/>
      <c r="J232" s="11"/>
      <c r="K232" s="8"/>
      <c r="L232" s="8"/>
      <c r="M232" s="10"/>
      <c r="N232" s="10"/>
      <c r="O232" s="8"/>
      <c r="P232" s="8"/>
    </row>
    <row r="233" customFormat="false" ht="15" hidden="false" customHeight="true" outlineLevel="0" collapsed="false">
      <c r="A233" s="10"/>
      <c r="B233" s="8"/>
      <c r="C233" s="8"/>
      <c r="D233" s="8"/>
      <c r="E233" s="8"/>
      <c r="F233" s="8"/>
      <c r="G233" s="8"/>
      <c r="H233" s="8"/>
      <c r="I233" s="11"/>
      <c r="J233" s="11"/>
      <c r="K233" s="8"/>
      <c r="L233" s="8"/>
      <c r="M233" s="10"/>
      <c r="N233" s="10"/>
      <c r="O233" s="8"/>
      <c r="P233" s="8"/>
    </row>
    <row r="234" customFormat="false" ht="15" hidden="false" customHeight="true" outlineLevel="0" collapsed="false">
      <c r="A234" s="10"/>
      <c r="B234" s="8"/>
      <c r="C234" s="8"/>
      <c r="D234" s="8"/>
      <c r="E234" s="8"/>
      <c r="F234" s="8"/>
      <c r="G234" s="8"/>
      <c r="H234" s="8"/>
      <c r="I234" s="11"/>
      <c r="J234" s="11"/>
      <c r="K234" s="8"/>
      <c r="L234" s="8"/>
      <c r="M234" s="10"/>
      <c r="N234" s="10"/>
      <c r="O234" s="8"/>
      <c r="P234" s="8"/>
    </row>
    <row r="235" customFormat="false" ht="15" hidden="false" customHeight="true" outlineLevel="0" collapsed="false">
      <c r="A235" s="10"/>
      <c r="B235" s="8"/>
      <c r="C235" s="8"/>
      <c r="D235" s="8"/>
      <c r="E235" s="8"/>
      <c r="F235" s="8"/>
      <c r="G235" s="8"/>
      <c r="H235" s="8"/>
      <c r="I235" s="11"/>
      <c r="J235" s="11"/>
      <c r="K235" s="8"/>
      <c r="L235" s="8"/>
      <c r="M235" s="10"/>
      <c r="N235" s="10"/>
      <c r="O235" s="8"/>
      <c r="P235" s="8"/>
    </row>
    <row r="236" customFormat="false" ht="15" hidden="false" customHeight="true" outlineLevel="0" collapsed="false">
      <c r="A236" s="10"/>
      <c r="B236" s="8"/>
      <c r="C236" s="8"/>
      <c r="D236" s="8"/>
      <c r="E236" s="8"/>
      <c r="F236" s="8"/>
      <c r="G236" s="8"/>
      <c r="H236" s="8"/>
      <c r="I236" s="11"/>
      <c r="J236" s="11"/>
      <c r="K236" s="8"/>
      <c r="L236" s="8"/>
      <c r="M236" s="10"/>
      <c r="N236" s="10"/>
      <c r="O236" s="8"/>
      <c r="P236" s="8"/>
    </row>
    <row r="237" customFormat="false" ht="15" hidden="false" customHeight="true" outlineLevel="0" collapsed="false">
      <c r="A237" s="10"/>
      <c r="B237" s="8"/>
      <c r="C237" s="8"/>
      <c r="D237" s="8"/>
      <c r="E237" s="8"/>
      <c r="F237" s="8"/>
      <c r="G237" s="8"/>
      <c r="H237" s="8"/>
      <c r="I237" s="11"/>
      <c r="J237" s="11"/>
      <c r="K237" s="8"/>
      <c r="L237" s="8"/>
      <c r="M237" s="10"/>
      <c r="N237" s="10"/>
      <c r="O237" s="8"/>
      <c r="P237" s="8"/>
    </row>
    <row r="238" customFormat="false" ht="15" hidden="false" customHeight="true" outlineLevel="0" collapsed="false">
      <c r="A238" s="10"/>
      <c r="B238" s="8"/>
      <c r="C238" s="8"/>
      <c r="D238" s="8"/>
      <c r="E238" s="8"/>
      <c r="F238" s="8"/>
      <c r="G238" s="8"/>
      <c r="H238" s="8"/>
      <c r="I238" s="11"/>
      <c r="J238" s="11"/>
      <c r="K238" s="8"/>
      <c r="L238" s="8"/>
      <c r="M238" s="10"/>
      <c r="N238" s="10"/>
      <c r="O238" s="8"/>
      <c r="P238" s="8"/>
    </row>
    <row r="239" customFormat="false" ht="15" hidden="false" customHeight="true" outlineLevel="0" collapsed="false">
      <c r="A239" s="10"/>
      <c r="B239" s="8"/>
      <c r="C239" s="8"/>
      <c r="D239" s="8"/>
      <c r="E239" s="8"/>
      <c r="F239" s="8"/>
      <c r="G239" s="8"/>
      <c r="H239" s="8"/>
      <c r="I239" s="11"/>
      <c r="J239" s="11"/>
      <c r="K239" s="8"/>
      <c r="L239" s="8"/>
      <c r="M239" s="10"/>
      <c r="N239" s="10"/>
      <c r="O239" s="8"/>
      <c r="P239" s="8"/>
    </row>
    <row r="240" customFormat="false" ht="15" hidden="false" customHeight="true" outlineLevel="0" collapsed="false">
      <c r="A240" s="10"/>
      <c r="B240" s="8"/>
      <c r="C240" s="8"/>
      <c r="D240" s="8"/>
      <c r="E240" s="8"/>
      <c r="F240" s="8"/>
      <c r="G240" s="8"/>
      <c r="H240" s="8"/>
      <c r="I240" s="11"/>
      <c r="J240" s="11"/>
      <c r="K240" s="8"/>
      <c r="L240" s="8"/>
      <c r="M240" s="10"/>
      <c r="N240" s="10"/>
      <c r="O240" s="8"/>
      <c r="P240" s="8"/>
    </row>
    <row r="241" customFormat="false" ht="15" hidden="false" customHeight="true" outlineLevel="0" collapsed="false">
      <c r="A241" s="10"/>
      <c r="B241" s="8"/>
      <c r="C241" s="8"/>
      <c r="D241" s="8"/>
      <c r="E241" s="8"/>
      <c r="F241" s="8"/>
      <c r="G241" s="8"/>
      <c r="H241" s="8"/>
      <c r="I241" s="11"/>
      <c r="J241" s="11"/>
      <c r="K241" s="8"/>
      <c r="L241" s="8"/>
      <c r="M241" s="10"/>
      <c r="N241" s="10"/>
      <c r="O241" s="8"/>
      <c r="P241" s="8"/>
    </row>
    <row r="242" customFormat="false" ht="15" hidden="false" customHeight="true" outlineLevel="0" collapsed="false">
      <c r="A242" s="10"/>
      <c r="B242" s="8"/>
      <c r="C242" s="8"/>
      <c r="D242" s="8"/>
      <c r="E242" s="8"/>
      <c r="F242" s="8"/>
      <c r="G242" s="8"/>
      <c r="H242" s="8"/>
      <c r="I242" s="11"/>
      <c r="J242" s="11"/>
      <c r="K242" s="8"/>
      <c r="L242" s="8"/>
      <c r="M242" s="10"/>
      <c r="N242" s="10"/>
      <c r="O242" s="8"/>
      <c r="P242" s="8"/>
    </row>
    <row r="243" customFormat="false" ht="15" hidden="false" customHeight="true" outlineLevel="0" collapsed="false">
      <c r="A243" s="10"/>
      <c r="B243" s="8"/>
      <c r="C243" s="8"/>
      <c r="D243" s="8"/>
      <c r="E243" s="8"/>
      <c r="F243" s="8"/>
      <c r="G243" s="8"/>
      <c r="H243" s="8"/>
      <c r="I243" s="11"/>
      <c r="J243" s="11"/>
      <c r="K243" s="8"/>
      <c r="L243" s="8"/>
      <c r="M243" s="10"/>
      <c r="N243" s="10"/>
      <c r="O243" s="8"/>
      <c r="P243" s="8"/>
    </row>
    <row r="244" customFormat="false" ht="15" hidden="false" customHeight="true" outlineLevel="0" collapsed="false">
      <c r="A244" s="10"/>
      <c r="B244" s="8"/>
      <c r="C244" s="8"/>
      <c r="D244" s="8"/>
      <c r="E244" s="8"/>
      <c r="F244" s="8"/>
      <c r="G244" s="8"/>
      <c r="H244" s="8"/>
      <c r="I244" s="11"/>
      <c r="J244" s="11"/>
      <c r="K244" s="8"/>
      <c r="L244" s="8"/>
      <c r="M244" s="10"/>
      <c r="N244" s="10"/>
      <c r="O244" s="8"/>
      <c r="P244" s="8"/>
    </row>
    <row r="245" customFormat="false" ht="15" hidden="false" customHeight="true" outlineLevel="0" collapsed="false">
      <c r="A245" s="10"/>
      <c r="B245" s="8"/>
      <c r="C245" s="8"/>
      <c r="D245" s="8"/>
      <c r="E245" s="8"/>
      <c r="F245" s="8"/>
      <c r="G245" s="8"/>
      <c r="H245" s="8"/>
      <c r="I245" s="11"/>
      <c r="J245" s="11"/>
      <c r="K245" s="8"/>
      <c r="L245" s="8"/>
      <c r="M245" s="10"/>
      <c r="N245" s="10"/>
      <c r="O245" s="8"/>
      <c r="P245" s="8"/>
    </row>
    <row r="246" customFormat="false" ht="15" hidden="false" customHeight="true" outlineLevel="0" collapsed="false">
      <c r="A246" s="10"/>
      <c r="B246" s="8"/>
      <c r="C246" s="8"/>
      <c r="D246" s="8"/>
      <c r="E246" s="8"/>
      <c r="F246" s="8"/>
      <c r="G246" s="8"/>
      <c r="H246" s="8"/>
      <c r="I246" s="11"/>
      <c r="J246" s="11"/>
      <c r="K246" s="8"/>
      <c r="L246" s="8"/>
      <c r="M246" s="10"/>
      <c r="N246" s="10"/>
      <c r="O246" s="8"/>
      <c r="P246" s="8"/>
    </row>
    <row r="247" customFormat="false" ht="15" hidden="false" customHeight="true" outlineLevel="0" collapsed="false">
      <c r="A247" s="10"/>
      <c r="B247" s="8"/>
      <c r="C247" s="8"/>
      <c r="D247" s="8"/>
      <c r="E247" s="8"/>
      <c r="F247" s="8"/>
      <c r="G247" s="8"/>
      <c r="H247" s="8"/>
      <c r="I247" s="11"/>
      <c r="J247" s="11"/>
      <c r="K247" s="8"/>
      <c r="L247" s="8"/>
      <c r="M247" s="10"/>
      <c r="N247" s="10"/>
      <c r="O247" s="8"/>
      <c r="P247" s="8"/>
    </row>
    <row r="248" customFormat="false" ht="15" hidden="false" customHeight="true" outlineLevel="0" collapsed="false">
      <c r="A248" s="10"/>
      <c r="B248" s="8"/>
      <c r="C248" s="8"/>
      <c r="D248" s="8"/>
      <c r="E248" s="8"/>
      <c r="F248" s="8"/>
      <c r="G248" s="8"/>
      <c r="H248" s="8"/>
      <c r="I248" s="11"/>
      <c r="J248" s="11"/>
      <c r="K248" s="8"/>
      <c r="L248" s="8"/>
      <c r="M248" s="10"/>
      <c r="N248" s="10"/>
      <c r="O248" s="8"/>
      <c r="P248" s="8"/>
    </row>
    <row r="249" customFormat="false" ht="15" hidden="false" customHeight="true" outlineLevel="0" collapsed="false">
      <c r="A249" s="10"/>
      <c r="B249" s="8"/>
      <c r="C249" s="8"/>
      <c r="D249" s="8"/>
      <c r="E249" s="8"/>
      <c r="F249" s="8"/>
      <c r="G249" s="8"/>
      <c r="H249" s="8"/>
      <c r="I249" s="11"/>
      <c r="J249" s="11"/>
      <c r="K249" s="8"/>
      <c r="L249" s="8"/>
      <c r="M249" s="10"/>
      <c r="N249" s="10"/>
      <c r="O249" s="8"/>
      <c r="P249" s="8"/>
    </row>
    <row r="250" customFormat="false" ht="15" hidden="false" customHeight="true" outlineLevel="0" collapsed="false">
      <c r="A250" s="10"/>
      <c r="B250" s="8"/>
      <c r="C250" s="8"/>
      <c r="D250" s="8"/>
      <c r="E250" s="8"/>
      <c r="F250" s="8"/>
      <c r="G250" s="8"/>
      <c r="H250" s="8"/>
      <c r="I250" s="11"/>
      <c r="J250" s="11"/>
      <c r="K250" s="8"/>
      <c r="L250" s="8"/>
      <c r="M250" s="10"/>
      <c r="N250" s="10"/>
      <c r="O250" s="8"/>
      <c r="P250" s="8"/>
    </row>
    <row r="251" customFormat="false" ht="15" hidden="false" customHeight="true" outlineLevel="0" collapsed="false">
      <c r="A251" s="10"/>
      <c r="B251" s="8"/>
      <c r="C251" s="8"/>
      <c r="D251" s="8"/>
      <c r="E251" s="8"/>
      <c r="F251" s="8"/>
      <c r="G251" s="8"/>
      <c r="H251" s="8"/>
      <c r="I251" s="11"/>
      <c r="J251" s="11"/>
      <c r="K251" s="8"/>
      <c r="L251" s="8"/>
      <c r="M251" s="10"/>
      <c r="N251" s="10"/>
      <c r="O251" s="8"/>
      <c r="P251" s="8"/>
    </row>
    <row r="252" customFormat="false" ht="15" hidden="false" customHeight="true" outlineLevel="0" collapsed="false">
      <c r="A252" s="10"/>
      <c r="B252" s="8"/>
      <c r="C252" s="8"/>
      <c r="D252" s="8"/>
      <c r="E252" s="8"/>
      <c r="F252" s="8"/>
      <c r="G252" s="8"/>
      <c r="H252" s="8"/>
      <c r="I252" s="11"/>
      <c r="J252" s="11"/>
      <c r="K252" s="8"/>
      <c r="L252" s="8"/>
      <c r="M252" s="10"/>
      <c r="N252" s="10"/>
      <c r="O252" s="8"/>
      <c r="P252" s="8"/>
    </row>
    <row r="253" customFormat="false" ht="15" hidden="false" customHeight="true" outlineLevel="0" collapsed="false">
      <c r="A253" s="10"/>
      <c r="B253" s="8"/>
      <c r="C253" s="8"/>
      <c r="D253" s="8"/>
      <c r="E253" s="8"/>
      <c r="F253" s="8"/>
      <c r="G253" s="8"/>
      <c r="H253" s="8"/>
      <c r="I253" s="11"/>
      <c r="J253" s="11"/>
      <c r="K253" s="8"/>
      <c r="L253" s="8"/>
      <c r="M253" s="10"/>
      <c r="N253" s="10"/>
      <c r="O253" s="8"/>
      <c r="P253" s="8"/>
    </row>
    <row r="254" customFormat="false" ht="15" hidden="false" customHeight="true" outlineLevel="0" collapsed="false">
      <c r="A254" s="10"/>
      <c r="B254" s="8"/>
      <c r="C254" s="8"/>
      <c r="D254" s="8"/>
      <c r="E254" s="8"/>
      <c r="F254" s="8"/>
      <c r="G254" s="8"/>
      <c r="H254" s="8"/>
      <c r="I254" s="11"/>
      <c r="J254" s="11"/>
      <c r="K254" s="8"/>
      <c r="L254" s="8"/>
      <c r="M254" s="10"/>
      <c r="N254" s="10"/>
      <c r="O254" s="8"/>
      <c r="P254" s="8"/>
    </row>
    <row r="255" customFormat="false" ht="15" hidden="false" customHeight="true" outlineLevel="0" collapsed="false">
      <c r="A255" s="10"/>
      <c r="B255" s="8"/>
      <c r="C255" s="8"/>
      <c r="D255" s="8"/>
      <c r="E255" s="8"/>
      <c r="F255" s="8"/>
      <c r="G255" s="8"/>
      <c r="H255" s="8"/>
      <c r="I255" s="11"/>
      <c r="J255" s="11"/>
      <c r="K255" s="8"/>
      <c r="L255" s="8"/>
      <c r="M255" s="10"/>
      <c r="N255" s="10"/>
      <c r="O255" s="8"/>
      <c r="P255" s="8"/>
    </row>
    <row r="256" customFormat="false" ht="15" hidden="false" customHeight="true" outlineLevel="0" collapsed="false">
      <c r="A256" s="10"/>
      <c r="B256" s="8"/>
      <c r="C256" s="8"/>
      <c r="D256" s="8"/>
      <c r="E256" s="8"/>
      <c r="F256" s="8"/>
      <c r="G256" s="8"/>
      <c r="H256" s="8"/>
      <c r="I256" s="11"/>
      <c r="J256" s="11"/>
      <c r="K256" s="8"/>
      <c r="L256" s="8"/>
      <c r="M256" s="10"/>
      <c r="N256" s="10"/>
      <c r="O256" s="8"/>
      <c r="P256" s="8"/>
    </row>
    <row r="257" customFormat="false" ht="15" hidden="false" customHeight="true" outlineLevel="0" collapsed="false">
      <c r="A257" s="10"/>
      <c r="B257" s="8"/>
      <c r="C257" s="8"/>
      <c r="D257" s="8"/>
      <c r="E257" s="8"/>
      <c r="F257" s="8"/>
      <c r="G257" s="8"/>
      <c r="H257" s="8"/>
      <c r="I257" s="11"/>
      <c r="J257" s="11"/>
      <c r="K257" s="8"/>
      <c r="L257" s="8"/>
      <c r="M257" s="10"/>
      <c r="N257" s="10"/>
      <c r="O257" s="8"/>
      <c r="P257" s="8"/>
    </row>
    <row r="258" customFormat="false" ht="15" hidden="false" customHeight="true" outlineLevel="0" collapsed="false">
      <c r="A258" s="10"/>
      <c r="B258" s="8"/>
      <c r="C258" s="8"/>
      <c r="D258" s="8"/>
      <c r="E258" s="8"/>
      <c r="F258" s="8"/>
      <c r="G258" s="8"/>
      <c r="H258" s="8"/>
      <c r="I258" s="11"/>
      <c r="J258" s="11"/>
      <c r="K258" s="8"/>
      <c r="L258" s="8"/>
      <c r="M258" s="10"/>
      <c r="N258" s="10"/>
      <c r="O258" s="8"/>
      <c r="P258" s="8"/>
    </row>
    <row r="259" customFormat="false" ht="15" hidden="false" customHeight="true" outlineLevel="0" collapsed="false">
      <c r="A259" s="10"/>
      <c r="B259" s="8"/>
      <c r="C259" s="8"/>
      <c r="D259" s="8"/>
      <c r="E259" s="8"/>
      <c r="F259" s="8"/>
      <c r="G259" s="8"/>
      <c r="H259" s="8"/>
      <c r="I259" s="11"/>
      <c r="J259" s="11"/>
      <c r="K259" s="8"/>
      <c r="L259" s="8"/>
      <c r="M259" s="10"/>
      <c r="N259" s="10"/>
      <c r="O259" s="8"/>
      <c r="P259" s="8"/>
    </row>
    <row r="260" customFormat="false" ht="15" hidden="false" customHeight="true" outlineLevel="0" collapsed="false">
      <c r="A260" s="10"/>
      <c r="B260" s="8"/>
      <c r="C260" s="8"/>
      <c r="D260" s="8"/>
      <c r="E260" s="8"/>
      <c r="F260" s="8"/>
      <c r="G260" s="8"/>
      <c r="H260" s="8"/>
      <c r="I260" s="11"/>
      <c r="J260" s="11"/>
      <c r="K260" s="8"/>
      <c r="L260" s="8"/>
      <c r="M260" s="10"/>
      <c r="N260" s="10"/>
      <c r="O260" s="8"/>
      <c r="P260" s="8"/>
    </row>
    <row r="261" customFormat="false" ht="15" hidden="false" customHeight="true" outlineLevel="0" collapsed="false">
      <c r="A261" s="10"/>
      <c r="B261" s="8"/>
      <c r="C261" s="8"/>
      <c r="D261" s="8"/>
      <c r="E261" s="8"/>
      <c r="F261" s="8"/>
      <c r="G261" s="8"/>
      <c r="H261" s="8"/>
      <c r="I261" s="11"/>
      <c r="J261" s="11"/>
      <c r="K261" s="8"/>
      <c r="L261" s="8"/>
      <c r="M261" s="10"/>
      <c r="N261" s="10"/>
      <c r="O261" s="8"/>
      <c r="P261" s="8"/>
    </row>
    <row r="262" customFormat="false" ht="15" hidden="false" customHeight="true" outlineLevel="0" collapsed="false">
      <c r="A262" s="10"/>
      <c r="B262" s="8"/>
      <c r="C262" s="8"/>
      <c r="D262" s="8"/>
      <c r="E262" s="8"/>
      <c r="F262" s="8"/>
      <c r="G262" s="8"/>
      <c r="H262" s="8"/>
      <c r="I262" s="11"/>
      <c r="J262" s="11"/>
      <c r="K262" s="8"/>
      <c r="L262" s="8"/>
      <c r="M262" s="10"/>
      <c r="N262" s="10"/>
      <c r="O262" s="8"/>
      <c r="P262" s="8"/>
    </row>
    <row r="263" customFormat="false" ht="15" hidden="false" customHeight="true" outlineLevel="0" collapsed="false">
      <c r="A263" s="10"/>
      <c r="B263" s="8"/>
      <c r="C263" s="8"/>
      <c r="D263" s="8"/>
      <c r="E263" s="8"/>
      <c r="F263" s="8"/>
      <c r="G263" s="8"/>
      <c r="H263" s="8"/>
      <c r="I263" s="11"/>
      <c r="J263" s="11"/>
      <c r="K263" s="8"/>
      <c r="L263" s="8"/>
      <c r="M263" s="10"/>
      <c r="N263" s="10"/>
      <c r="O263" s="8"/>
      <c r="P263" s="8"/>
    </row>
    <row r="264" customFormat="false" ht="15" hidden="false" customHeight="true" outlineLevel="0" collapsed="false">
      <c r="A264" s="10"/>
      <c r="B264" s="8"/>
      <c r="C264" s="8"/>
      <c r="D264" s="8"/>
      <c r="E264" s="8"/>
      <c r="F264" s="8"/>
      <c r="G264" s="8"/>
      <c r="H264" s="8"/>
      <c r="I264" s="11"/>
      <c r="J264" s="11"/>
      <c r="K264" s="8"/>
      <c r="L264" s="8"/>
      <c r="M264" s="10"/>
      <c r="N264" s="10"/>
      <c r="O264" s="8"/>
      <c r="P264" s="8"/>
    </row>
    <row r="265" customFormat="false" ht="15" hidden="false" customHeight="true" outlineLevel="0" collapsed="false">
      <c r="A265" s="10"/>
      <c r="B265" s="8"/>
      <c r="C265" s="8"/>
      <c r="D265" s="8"/>
      <c r="E265" s="8"/>
      <c r="F265" s="8"/>
      <c r="G265" s="8"/>
      <c r="H265" s="8"/>
      <c r="I265" s="11"/>
      <c r="J265" s="11"/>
      <c r="K265" s="8"/>
      <c r="L265" s="8"/>
      <c r="M265" s="10"/>
      <c r="N265" s="10"/>
      <c r="O265" s="8"/>
      <c r="P265" s="8"/>
    </row>
    <row r="266" customFormat="false" ht="15" hidden="false" customHeight="true" outlineLevel="0" collapsed="false">
      <c r="A266" s="10"/>
      <c r="B266" s="8"/>
      <c r="C266" s="8"/>
      <c r="D266" s="8"/>
      <c r="E266" s="8"/>
      <c r="F266" s="8"/>
      <c r="G266" s="8"/>
      <c r="H266" s="8"/>
      <c r="I266" s="11"/>
      <c r="J266" s="11"/>
      <c r="K266" s="8"/>
      <c r="L266" s="8"/>
      <c r="M266" s="10"/>
      <c r="N266" s="10"/>
      <c r="O266" s="8"/>
      <c r="P266" s="8"/>
    </row>
    <row r="267" customFormat="false" ht="15" hidden="false" customHeight="true" outlineLevel="0" collapsed="false">
      <c r="A267" s="10"/>
      <c r="B267" s="8"/>
      <c r="C267" s="8"/>
      <c r="D267" s="8"/>
      <c r="E267" s="8"/>
      <c r="F267" s="8"/>
      <c r="G267" s="8"/>
      <c r="H267" s="8"/>
      <c r="I267" s="11"/>
      <c r="J267" s="11"/>
      <c r="K267" s="8"/>
      <c r="L267" s="8"/>
      <c r="M267" s="10"/>
      <c r="N267" s="10"/>
      <c r="O267" s="8"/>
      <c r="P267" s="8"/>
    </row>
    <row r="268" customFormat="false" ht="15" hidden="false" customHeight="true" outlineLevel="0" collapsed="false">
      <c r="A268" s="10"/>
      <c r="B268" s="8"/>
      <c r="C268" s="8"/>
      <c r="D268" s="8"/>
      <c r="E268" s="8"/>
      <c r="F268" s="8"/>
      <c r="G268" s="8"/>
      <c r="H268" s="8"/>
      <c r="I268" s="11"/>
      <c r="J268" s="11"/>
      <c r="K268" s="8"/>
      <c r="L268" s="8"/>
      <c r="M268" s="10"/>
      <c r="N268" s="10"/>
      <c r="O268" s="8"/>
      <c r="P268" s="8"/>
    </row>
    <row r="269" customFormat="false" ht="15" hidden="false" customHeight="true" outlineLevel="0" collapsed="false">
      <c r="A269" s="10"/>
      <c r="B269" s="8"/>
      <c r="C269" s="8"/>
      <c r="D269" s="8"/>
      <c r="E269" s="8"/>
      <c r="F269" s="8"/>
      <c r="G269" s="8"/>
      <c r="H269" s="8"/>
      <c r="I269" s="11"/>
      <c r="J269" s="11"/>
      <c r="K269" s="8"/>
      <c r="L269" s="8"/>
      <c r="M269" s="10"/>
      <c r="N269" s="10"/>
      <c r="O269" s="8"/>
      <c r="P269" s="8"/>
    </row>
    <row r="270" customFormat="false" ht="15" hidden="false" customHeight="true" outlineLevel="0" collapsed="false">
      <c r="A270" s="10"/>
      <c r="B270" s="8"/>
      <c r="C270" s="8"/>
      <c r="D270" s="8"/>
      <c r="E270" s="8"/>
      <c r="F270" s="8"/>
      <c r="G270" s="8"/>
      <c r="H270" s="8"/>
      <c r="I270" s="11"/>
      <c r="J270" s="11"/>
      <c r="K270" s="8"/>
      <c r="L270" s="8"/>
      <c r="M270" s="10"/>
      <c r="N270" s="10"/>
      <c r="O270" s="8"/>
      <c r="P270" s="8"/>
    </row>
    <row r="271" customFormat="false" ht="15" hidden="false" customHeight="true" outlineLevel="0" collapsed="false">
      <c r="A271" s="10"/>
      <c r="B271" s="8"/>
      <c r="C271" s="8"/>
      <c r="D271" s="8"/>
      <c r="E271" s="8"/>
      <c r="F271" s="8"/>
      <c r="G271" s="8"/>
      <c r="H271" s="8"/>
      <c r="I271" s="11"/>
      <c r="J271" s="11"/>
      <c r="K271" s="8"/>
      <c r="L271" s="8"/>
      <c r="M271" s="10"/>
      <c r="N271" s="10"/>
      <c r="O271" s="8"/>
      <c r="P271" s="8"/>
    </row>
    <row r="272" customFormat="false" ht="15" hidden="false" customHeight="true" outlineLevel="0" collapsed="false">
      <c r="A272" s="10"/>
      <c r="B272" s="8"/>
      <c r="C272" s="8"/>
      <c r="D272" s="8"/>
      <c r="E272" s="8"/>
      <c r="F272" s="8"/>
      <c r="G272" s="8"/>
      <c r="H272" s="8"/>
      <c r="I272" s="11"/>
      <c r="J272" s="11"/>
      <c r="K272" s="8"/>
      <c r="L272" s="8"/>
      <c r="M272" s="10"/>
      <c r="N272" s="10"/>
      <c r="O272" s="8"/>
      <c r="P272" s="8"/>
    </row>
    <row r="273" customFormat="false" ht="15" hidden="false" customHeight="true" outlineLevel="0" collapsed="false">
      <c r="A273" s="10"/>
      <c r="B273" s="8"/>
      <c r="C273" s="8"/>
      <c r="D273" s="8"/>
      <c r="E273" s="8"/>
      <c r="F273" s="8"/>
      <c r="G273" s="8"/>
      <c r="H273" s="8"/>
      <c r="I273" s="11"/>
      <c r="J273" s="11"/>
      <c r="K273" s="8"/>
      <c r="L273" s="8"/>
      <c r="M273" s="10"/>
      <c r="N273" s="10"/>
      <c r="O273" s="8"/>
      <c r="P273" s="8"/>
    </row>
    <row r="274" customFormat="false" ht="15" hidden="false" customHeight="true" outlineLevel="0" collapsed="false">
      <c r="A274" s="10"/>
      <c r="B274" s="8"/>
      <c r="C274" s="8"/>
      <c r="D274" s="8"/>
      <c r="E274" s="8"/>
      <c r="F274" s="8"/>
      <c r="G274" s="8"/>
      <c r="H274" s="8"/>
      <c r="I274" s="11"/>
      <c r="J274" s="11"/>
      <c r="K274" s="8"/>
      <c r="L274" s="8"/>
      <c r="M274" s="10"/>
      <c r="N274" s="10"/>
      <c r="O274" s="8"/>
      <c r="P274" s="8"/>
    </row>
    <row r="275" customFormat="false" ht="15" hidden="false" customHeight="true" outlineLevel="0" collapsed="false">
      <c r="A275" s="10"/>
      <c r="B275" s="8"/>
      <c r="C275" s="8"/>
      <c r="D275" s="8"/>
      <c r="E275" s="8"/>
      <c r="F275" s="8"/>
      <c r="G275" s="8"/>
      <c r="H275" s="8"/>
      <c r="I275" s="11"/>
      <c r="J275" s="11"/>
      <c r="K275" s="8"/>
      <c r="L275" s="8"/>
      <c r="M275" s="10"/>
      <c r="N275" s="10"/>
      <c r="O275" s="8"/>
      <c r="P275" s="8"/>
    </row>
    <row r="276" customFormat="false" ht="15" hidden="false" customHeight="true" outlineLevel="0" collapsed="false">
      <c r="A276" s="10"/>
      <c r="B276" s="8"/>
      <c r="C276" s="8"/>
      <c r="D276" s="8"/>
      <c r="E276" s="8"/>
      <c r="F276" s="8"/>
      <c r="G276" s="8"/>
      <c r="H276" s="8"/>
      <c r="I276" s="11"/>
      <c r="J276" s="11"/>
      <c r="K276" s="8"/>
      <c r="L276" s="8"/>
      <c r="M276" s="10"/>
      <c r="N276" s="10"/>
      <c r="O276" s="8"/>
      <c r="P276" s="8"/>
    </row>
    <row r="277" customFormat="false" ht="15" hidden="false" customHeight="true" outlineLevel="0" collapsed="false">
      <c r="A277" s="10"/>
      <c r="B277" s="8"/>
      <c r="C277" s="8"/>
      <c r="D277" s="8"/>
      <c r="E277" s="8"/>
      <c r="F277" s="8"/>
      <c r="G277" s="8"/>
      <c r="H277" s="8"/>
      <c r="I277" s="11"/>
      <c r="J277" s="11"/>
      <c r="K277" s="8"/>
      <c r="L277" s="8"/>
      <c r="M277" s="10"/>
      <c r="N277" s="10"/>
      <c r="O277" s="8"/>
      <c r="P277" s="8"/>
    </row>
    <row r="278" customFormat="false" ht="15" hidden="false" customHeight="true" outlineLevel="0" collapsed="false">
      <c r="A278" s="10"/>
      <c r="B278" s="8"/>
      <c r="C278" s="8"/>
      <c r="D278" s="8"/>
      <c r="E278" s="8"/>
      <c r="F278" s="8"/>
      <c r="G278" s="8"/>
      <c r="H278" s="8"/>
      <c r="I278" s="11"/>
      <c r="J278" s="11"/>
      <c r="K278" s="8"/>
      <c r="L278" s="8"/>
      <c r="M278" s="10"/>
      <c r="N278" s="10"/>
      <c r="O278" s="8"/>
      <c r="P278" s="8"/>
    </row>
    <row r="279" customFormat="false" ht="15" hidden="false" customHeight="true" outlineLevel="0" collapsed="false">
      <c r="A279" s="10"/>
      <c r="B279" s="8"/>
      <c r="C279" s="8"/>
      <c r="D279" s="8"/>
      <c r="E279" s="8"/>
      <c r="F279" s="8"/>
      <c r="G279" s="8"/>
      <c r="H279" s="8"/>
      <c r="I279" s="11"/>
      <c r="J279" s="11"/>
      <c r="K279" s="8"/>
      <c r="L279" s="8"/>
      <c r="M279" s="10"/>
      <c r="N279" s="10"/>
      <c r="O279" s="8"/>
      <c r="P279" s="8"/>
    </row>
    <row r="280" customFormat="false" ht="15" hidden="false" customHeight="true" outlineLevel="0" collapsed="false">
      <c r="A280" s="10"/>
      <c r="B280" s="8"/>
      <c r="C280" s="8"/>
      <c r="D280" s="8"/>
      <c r="E280" s="8"/>
      <c r="F280" s="8"/>
      <c r="G280" s="8"/>
      <c r="H280" s="8"/>
      <c r="I280" s="11"/>
      <c r="J280" s="11"/>
      <c r="K280" s="8"/>
      <c r="L280" s="8"/>
      <c r="M280" s="10"/>
      <c r="N280" s="10"/>
      <c r="O280" s="8"/>
      <c r="P280" s="8"/>
    </row>
    <row r="281" customFormat="false" ht="15" hidden="false" customHeight="true" outlineLevel="0" collapsed="false">
      <c r="A281" s="10"/>
      <c r="B281" s="8"/>
      <c r="C281" s="8"/>
      <c r="D281" s="8"/>
      <c r="E281" s="8"/>
      <c r="F281" s="8"/>
      <c r="G281" s="8"/>
      <c r="H281" s="8"/>
      <c r="I281" s="11"/>
      <c r="J281" s="11"/>
      <c r="K281" s="8"/>
      <c r="L281" s="8"/>
      <c r="M281" s="10"/>
      <c r="N281" s="10"/>
      <c r="O281" s="8"/>
      <c r="P281" s="8"/>
    </row>
    <row r="282" customFormat="false" ht="15" hidden="false" customHeight="true" outlineLevel="0" collapsed="false">
      <c r="A282" s="10"/>
      <c r="B282" s="8"/>
      <c r="C282" s="8"/>
      <c r="D282" s="8"/>
      <c r="E282" s="8"/>
      <c r="F282" s="8"/>
      <c r="G282" s="8"/>
      <c r="H282" s="8"/>
      <c r="I282" s="11"/>
      <c r="J282" s="11"/>
      <c r="K282" s="8"/>
      <c r="L282" s="8"/>
      <c r="M282" s="10"/>
      <c r="N282" s="10"/>
      <c r="O282" s="8"/>
      <c r="P282" s="8"/>
    </row>
    <row r="283" customFormat="false" ht="15" hidden="false" customHeight="true" outlineLevel="0" collapsed="false">
      <c r="A283" s="10"/>
      <c r="B283" s="8"/>
      <c r="C283" s="8"/>
      <c r="D283" s="8"/>
      <c r="E283" s="8"/>
      <c r="F283" s="8"/>
      <c r="G283" s="8"/>
      <c r="H283" s="8"/>
      <c r="I283" s="11"/>
      <c r="J283" s="11"/>
      <c r="K283" s="8"/>
      <c r="L283" s="8"/>
      <c r="M283" s="10"/>
      <c r="N283" s="10"/>
      <c r="O283" s="8"/>
      <c r="P283" s="8"/>
    </row>
    <row r="284" customFormat="false" ht="15" hidden="false" customHeight="true" outlineLevel="0" collapsed="false">
      <c r="A284" s="10"/>
      <c r="B284" s="8"/>
      <c r="C284" s="8"/>
      <c r="D284" s="8"/>
      <c r="E284" s="8"/>
      <c r="F284" s="8"/>
      <c r="G284" s="8"/>
      <c r="H284" s="8"/>
      <c r="I284" s="11"/>
      <c r="J284" s="11"/>
      <c r="K284" s="8"/>
      <c r="L284" s="8"/>
      <c r="M284" s="10"/>
      <c r="N284" s="10"/>
      <c r="O284" s="8"/>
      <c r="P284" s="8"/>
    </row>
    <row r="285" customFormat="false" ht="15" hidden="false" customHeight="true" outlineLevel="0" collapsed="false">
      <c r="A285" s="10"/>
      <c r="B285" s="8"/>
      <c r="C285" s="8"/>
      <c r="D285" s="8"/>
      <c r="E285" s="8"/>
      <c r="F285" s="8"/>
      <c r="G285" s="8"/>
      <c r="H285" s="8"/>
      <c r="I285" s="11"/>
      <c r="J285" s="11"/>
      <c r="K285" s="8"/>
      <c r="L285" s="8"/>
      <c r="M285" s="10"/>
      <c r="N285" s="10"/>
      <c r="O285" s="8"/>
      <c r="P285" s="8"/>
    </row>
    <row r="286" customFormat="false" ht="15" hidden="false" customHeight="true" outlineLevel="0" collapsed="false">
      <c r="A286" s="10"/>
      <c r="B286" s="8"/>
      <c r="C286" s="8"/>
      <c r="D286" s="8"/>
      <c r="E286" s="8"/>
      <c r="F286" s="8"/>
      <c r="G286" s="8"/>
      <c r="H286" s="8"/>
      <c r="I286" s="11"/>
      <c r="J286" s="11"/>
      <c r="K286" s="8"/>
      <c r="L286" s="8"/>
      <c r="M286" s="10"/>
      <c r="N286" s="10"/>
      <c r="O286" s="8"/>
      <c r="P286" s="8"/>
    </row>
    <row r="287" customFormat="false" ht="15" hidden="false" customHeight="true" outlineLevel="0" collapsed="false">
      <c r="A287" s="10"/>
      <c r="B287" s="8"/>
      <c r="C287" s="8"/>
      <c r="D287" s="8"/>
      <c r="E287" s="8"/>
      <c r="F287" s="8"/>
      <c r="G287" s="8"/>
      <c r="H287" s="8"/>
      <c r="I287" s="11"/>
      <c r="J287" s="11"/>
      <c r="K287" s="8"/>
      <c r="L287" s="8"/>
      <c r="M287" s="10"/>
      <c r="N287" s="10"/>
      <c r="O287" s="8"/>
      <c r="P287" s="8"/>
    </row>
    <row r="288" customFormat="false" ht="15" hidden="false" customHeight="true" outlineLevel="0" collapsed="false">
      <c r="A288" s="10"/>
      <c r="B288" s="8"/>
      <c r="C288" s="8"/>
      <c r="D288" s="8"/>
      <c r="E288" s="8"/>
      <c r="F288" s="8"/>
      <c r="G288" s="8"/>
      <c r="H288" s="8"/>
      <c r="I288" s="11"/>
      <c r="J288" s="11"/>
      <c r="K288" s="8"/>
      <c r="L288" s="8"/>
      <c r="M288" s="10"/>
      <c r="N288" s="10"/>
      <c r="O288" s="8"/>
      <c r="P288" s="8"/>
    </row>
    <row r="289" customFormat="false" ht="15" hidden="false" customHeight="true" outlineLevel="0" collapsed="false">
      <c r="A289" s="10"/>
      <c r="B289" s="8"/>
      <c r="C289" s="8"/>
      <c r="D289" s="8"/>
      <c r="E289" s="8"/>
      <c r="F289" s="8"/>
      <c r="G289" s="8"/>
      <c r="H289" s="8"/>
      <c r="I289" s="11"/>
      <c r="J289" s="11"/>
      <c r="K289" s="8"/>
      <c r="L289" s="8"/>
      <c r="M289" s="10"/>
      <c r="N289" s="10"/>
      <c r="O289" s="8"/>
      <c r="P289" s="8"/>
    </row>
    <row r="290" customFormat="false" ht="15" hidden="false" customHeight="true" outlineLevel="0" collapsed="false">
      <c r="A290" s="10"/>
      <c r="B290" s="8"/>
      <c r="C290" s="8"/>
      <c r="D290" s="8"/>
      <c r="E290" s="8"/>
      <c r="F290" s="8"/>
      <c r="G290" s="8"/>
      <c r="H290" s="8"/>
      <c r="I290" s="11"/>
      <c r="J290" s="11"/>
      <c r="K290" s="8"/>
      <c r="L290" s="8"/>
      <c r="M290" s="10"/>
      <c r="N290" s="10"/>
      <c r="O290" s="8"/>
      <c r="P290" s="8"/>
    </row>
    <row r="291" customFormat="false" ht="15" hidden="false" customHeight="true" outlineLevel="0" collapsed="false">
      <c r="A291" s="10"/>
      <c r="B291" s="8"/>
      <c r="C291" s="8"/>
      <c r="D291" s="8"/>
      <c r="E291" s="8"/>
      <c r="F291" s="8"/>
      <c r="G291" s="8"/>
      <c r="H291" s="8"/>
      <c r="I291" s="11"/>
      <c r="J291" s="11"/>
      <c r="K291" s="8"/>
      <c r="L291" s="8"/>
      <c r="M291" s="10"/>
      <c r="N291" s="10"/>
      <c r="O291" s="8"/>
      <c r="P291" s="8"/>
    </row>
    <row r="292" customFormat="false" ht="15" hidden="false" customHeight="true" outlineLevel="0" collapsed="false">
      <c r="A292" s="10"/>
      <c r="B292" s="8"/>
      <c r="C292" s="8"/>
      <c r="D292" s="8"/>
      <c r="E292" s="8"/>
      <c r="F292" s="8"/>
      <c r="G292" s="8"/>
      <c r="H292" s="8"/>
      <c r="I292" s="11"/>
      <c r="J292" s="11"/>
      <c r="K292" s="8"/>
      <c r="L292" s="8"/>
      <c r="M292" s="10"/>
      <c r="N292" s="10"/>
      <c r="O292" s="8"/>
      <c r="P292" s="8"/>
    </row>
    <row r="293" customFormat="false" ht="15" hidden="false" customHeight="true" outlineLevel="0" collapsed="false">
      <c r="A293" s="10"/>
      <c r="B293" s="8"/>
      <c r="C293" s="8"/>
      <c r="D293" s="8"/>
      <c r="E293" s="8"/>
      <c r="F293" s="8"/>
      <c r="G293" s="8"/>
      <c r="H293" s="8"/>
      <c r="I293" s="11"/>
      <c r="J293" s="11"/>
      <c r="K293" s="8"/>
      <c r="L293" s="8"/>
      <c r="M293" s="10"/>
      <c r="N293" s="10"/>
      <c r="O293" s="8"/>
      <c r="P293" s="8"/>
    </row>
    <row r="294" customFormat="false" ht="15" hidden="false" customHeight="true" outlineLevel="0" collapsed="false">
      <c r="A294" s="10"/>
      <c r="B294" s="8"/>
      <c r="C294" s="8"/>
      <c r="D294" s="8"/>
      <c r="E294" s="8"/>
      <c r="F294" s="8"/>
      <c r="G294" s="8"/>
      <c r="H294" s="8"/>
      <c r="I294" s="11"/>
      <c r="J294" s="11"/>
      <c r="K294" s="8"/>
      <c r="L294" s="8"/>
      <c r="M294" s="10"/>
      <c r="N294" s="10"/>
      <c r="O294" s="8"/>
      <c r="P294" s="8"/>
    </row>
    <row r="295" customFormat="false" ht="15" hidden="false" customHeight="true" outlineLevel="0" collapsed="false">
      <c r="A295" s="10"/>
      <c r="B295" s="8"/>
      <c r="C295" s="8"/>
      <c r="D295" s="8"/>
      <c r="E295" s="8"/>
      <c r="F295" s="8"/>
      <c r="G295" s="8"/>
      <c r="H295" s="8"/>
      <c r="I295" s="11"/>
      <c r="J295" s="11"/>
      <c r="K295" s="8"/>
      <c r="L295" s="8"/>
      <c r="M295" s="10"/>
      <c r="N295" s="10"/>
      <c r="O295" s="8"/>
      <c r="P295" s="8"/>
    </row>
    <row r="296" customFormat="false" ht="15" hidden="false" customHeight="true" outlineLevel="0" collapsed="false">
      <c r="A296" s="10"/>
      <c r="B296" s="8"/>
      <c r="C296" s="8"/>
      <c r="D296" s="8"/>
      <c r="E296" s="8"/>
      <c r="F296" s="8"/>
      <c r="G296" s="8"/>
      <c r="H296" s="8"/>
      <c r="I296" s="11"/>
      <c r="J296" s="11"/>
      <c r="K296" s="8"/>
      <c r="L296" s="8"/>
      <c r="M296" s="10"/>
      <c r="N296" s="10"/>
      <c r="O296" s="8"/>
      <c r="P296" s="8"/>
    </row>
    <row r="297" customFormat="false" ht="15" hidden="false" customHeight="true" outlineLevel="0" collapsed="false">
      <c r="A297" s="10"/>
      <c r="B297" s="8"/>
      <c r="C297" s="8"/>
      <c r="D297" s="8"/>
      <c r="E297" s="8"/>
      <c r="F297" s="8"/>
      <c r="G297" s="8"/>
      <c r="H297" s="8"/>
      <c r="I297" s="11"/>
      <c r="J297" s="11"/>
      <c r="K297" s="8"/>
      <c r="L297" s="8"/>
      <c r="M297" s="10"/>
      <c r="N297" s="10"/>
      <c r="O297" s="8"/>
      <c r="P297" s="8"/>
    </row>
    <row r="298" customFormat="false" ht="15" hidden="false" customHeight="true" outlineLevel="0" collapsed="false">
      <c r="A298" s="10"/>
      <c r="B298" s="8"/>
      <c r="C298" s="8"/>
      <c r="D298" s="8"/>
      <c r="E298" s="8"/>
      <c r="F298" s="8"/>
      <c r="G298" s="8"/>
      <c r="H298" s="8"/>
      <c r="I298" s="11"/>
      <c r="J298" s="11"/>
      <c r="K298" s="8"/>
      <c r="L298" s="8"/>
      <c r="M298" s="10"/>
      <c r="N298" s="10"/>
      <c r="O298" s="8"/>
      <c r="P298" s="8"/>
    </row>
    <row r="299" customFormat="false" ht="15" hidden="false" customHeight="true" outlineLevel="0" collapsed="false">
      <c r="A299" s="10"/>
      <c r="B299" s="8"/>
      <c r="C299" s="8"/>
      <c r="D299" s="8"/>
      <c r="E299" s="8"/>
      <c r="F299" s="8"/>
      <c r="G299" s="8"/>
      <c r="H299" s="8"/>
      <c r="I299" s="11"/>
      <c r="J299" s="11"/>
      <c r="K299" s="8"/>
      <c r="L299" s="8"/>
      <c r="M299" s="10"/>
      <c r="N299" s="10"/>
      <c r="O299" s="8"/>
      <c r="P299" s="8"/>
    </row>
    <row r="300" customFormat="false" ht="15" hidden="false" customHeight="true" outlineLevel="0" collapsed="false">
      <c r="A300" s="10"/>
      <c r="B300" s="8"/>
      <c r="C300" s="8"/>
      <c r="D300" s="8"/>
      <c r="E300" s="8"/>
      <c r="F300" s="8"/>
      <c r="G300" s="8"/>
      <c r="H300" s="8"/>
      <c r="I300" s="11"/>
      <c r="J300" s="11"/>
      <c r="K300" s="8"/>
      <c r="L300" s="8"/>
      <c r="M300" s="10"/>
      <c r="N300" s="10"/>
      <c r="O300" s="8"/>
      <c r="P300" s="8"/>
    </row>
  </sheetData>
  <autoFilter ref="A2:P300"/>
  <mergeCells count="1">
    <mergeCell ref="A1:O1"/>
  </mergeCells>
  <dataValidations count="3">
    <dataValidation allowBlank="true" errorStyle="stop" operator="between" showDropDown="false" showErrorMessage="false" showInputMessage="false" sqref="B3:B300" type="list">
      <formula1>"Recette,Depense"</formula1>
      <formula2>0</formula2>
    </dataValidation>
    <dataValidation allowBlank="true" errorStyle="stop" operator="between" showDropDown="false" showErrorMessage="false" showInputMessage="false" sqref="C3:C300" type="list">
      <formula1>INDIRECT($B3)</formula1>
      <formula2>0</formula2>
    </dataValidation>
    <dataValidation allowBlank="true" errorStyle="stop" operator="between" showDropDown="false" showErrorMessage="false" showInputMessage="false" sqref="L3:L300" type="list">
      <formula1>"Previsionnel,Realise"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4" min="3" style="1" width="27"/>
  </cols>
  <sheetData>
    <row r="1" customFormat="false" ht="30" hidden="false" customHeight="true" outlineLevel="0" collapsed="false">
      <c r="A1" s="2" t="s">
        <v>197</v>
      </c>
      <c r="B1" s="2"/>
      <c r="C1" s="2"/>
      <c r="D1" s="2"/>
    </row>
    <row r="2" customFormat="false" ht="31.5" hidden="false" customHeight="true" outlineLevel="0" collapsed="false">
      <c r="A2" s="7" t="s">
        <v>198</v>
      </c>
      <c r="B2" s="7" t="s">
        <v>146</v>
      </c>
      <c r="C2" s="7" t="s">
        <v>199</v>
      </c>
      <c r="D2" s="7" t="s">
        <v>200</v>
      </c>
    </row>
    <row r="3" customFormat="false" ht="15" hidden="false" customHeight="true" outlineLevel="0" collapsed="false">
      <c r="A3" s="8"/>
      <c r="B3" s="8"/>
      <c r="C3" s="11"/>
      <c r="D3" s="11" t="str">
        <f aca="false">IF(A3="","",C3+SUMIF(F1_Mouvements!$F$3:$F$50000,A3,F1_Mouvements!$I$3:$I$50000)-SUMIF(F1_Mouvements!$F$3:$F$50000,A3,F1_Mouvements!$J$3:$J$50000))</f>
        <v/>
      </c>
    </row>
    <row r="4" customFormat="false" ht="15" hidden="false" customHeight="true" outlineLevel="0" collapsed="false">
      <c r="A4" s="8"/>
      <c r="B4" s="8"/>
      <c r="C4" s="11"/>
      <c r="D4" s="11" t="str">
        <f aca="false">IF(A4="","",C4+SUMIF(F1_Mouvements!$F$3:$F$50000,A4,F1_Mouvements!$I$3:$I$50000)-SUMIF(F1_Mouvements!$F$3:$F$50000,A4,F1_Mouvements!$J$3:$J$50000))</f>
        <v/>
      </c>
    </row>
    <row r="5" customFormat="false" ht="15" hidden="false" customHeight="true" outlineLevel="0" collapsed="false">
      <c r="A5" s="8"/>
      <c r="B5" s="8"/>
      <c r="C5" s="11"/>
      <c r="D5" s="11" t="str">
        <f aca="false">IF(A5="","",C5+SUMIF(F1_Mouvements!$F$3:$F$50000,A5,F1_Mouvements!$I$3:$I$50000)-SUMIF(F1_Mouvements!$F$3:$F$50000,A5,F1_Mouvements!$J$3:$J$50000))</f>
        <v/>
      </c>
    </row>
    <row r="6" customFormat="false" ht="15" hidden="false" customHeight="true" outlineLevel="0" collapsed="false">
      <c r="A6" s="8"/>
      <c r="B6" s="8"/>
      <c r="C6" s="11"/>
      <c r="D6" s="11" t="str">
        <f aca="false">IF(A6="","",C6+SUMIF(F1_Mouvements!$F$3:$F$50000,A6,F1_Mouvements!$I$3:$I$50000)-SUMIF(F1_Mouvements!$F$3:$F$50000,A6,F1_Mouvements!$J$3:$J$50000))</f>
        <v/>
      </c>
    </row>
    <row r="7" customFormat="false" ht="15" hidden="false" customHeight="true" outlineLevel="0" collapsed="false">
      <c r="A7" s="8"/>
      <c r="B7" s="8"/>
      <c r="C7" s="11"/>
      <c r="D7" s="11" t="str">
        <f aca="false">IF(A7="","",C7+SUMIF(F1_Mouvements!$F$3:$F$50000,A7,F1_Mouvements!$I$3:$I$50000)-SUMIF(F1_Mouvements!$F$3:$F$50000,A7,F1_Mouvements!$J$3:$J$50000))</f>
        <v/>
      </c>
    </row>
    <row r="8" customFormat="false" ht="15" hidden="false" customHeight="true" outlineLevel="0" collapsed="false">
      <c r="A8" s="8"/>
      <c r="B8" s="8"/>
      <c r="C8" s="11"/>
      <c r="D8" s="11" t="str">
        <f aca="false">IF(A8="","",C8+SUMIF(F1_Mouvements!$F$3:$F$50000,A8,F1_Mouvements!$I$3:$I$50000)-SUMIF(F1_Mouvements!$F$3:$F$50000,A8,F1_Mouvements!$J$3:$J$50000))</f>
        <v/>
      </c>
    </row>
    <row r="9" customFormat="false" ht="15" hidden="false" customHeight="true" outlineLevel="0" collapsed="false">
      <c r="A9" s="8"/>
      <c r="B9" s="8"/>
      <c r="C9" s="11"/>
      <c r="D9" s="11" t="str">
        <f aca="false">IF(A9="","",C9+SUMIF(F1_Mouvements!$F$3:$F$50000,A9,F1_Mouvements!$I$3:$I$50000)-SUMIF(F1_Mouvements!$F$3:$F$50000,A9,F1_Mouvements!$J$3:$J$50000))</f>
        <v/>
      </c>
    </row>
    <row r="10" customFormat="false" ht="15" hidden="false" customHeight="true" outlineLevel="0" collapsed="false">
      <c r="A10" s="8"/>
      <c r="B10" s="8"/>
      <c r="C10" s="11"/>
      <c r="D10" s="11" t="str">
        <f aca="false">IF(A10="","",C10+SUMIF(F1_Mouvements!$F$3:$F$50000,A10,F1_Mouvements!$I$3:$I$50000)-SUMIF(F1_Mouvements!$F$3:$F$50000,A10,F1_Mouvements!$J$3:$J$50000))</f>
        <v/>
      </c>
    </row>
    <row r="11" customFormat="false" ht="15" hidden="false" customHeight="true" outlineLevel="0" collapsed="false">
      <c r="A11" s="8"/>
      <c r="B11" s="8"/>
      <c r="C11" s="11"/>
      <c r="D11" s="11" t="str">
        <f aca="false">IF(A11="","",C11+SUMIF(F1_Mouvements!$F$3:$F$50000,A11,F1_Mouvements!$I$3:$I$50000)-SUMIF(F1_Mouvements!$F$3:$F$50000,A11,F1_Mouvements!$J$3:$J$50000))</f>
        <v/>
      </c>
    </row>
    <row r="12" customFormat="false" ht="15" hidden="false" customHeight="true" outlineLevel="0" collapsed="false">
      <c r="A12" s="8"/>
      <c r="B12" s="8"/>
      <c r="C12" s="11"/>
      <c r="D12" s="11" t="str">
        <f aca="false">IF(A12="","",C12+SUMIF(F1_Mouvements!$F$3:$F$50000,A12,F1_Mouvements!$I$3:$I$50000)-SUMIF(F1_Mouvements!$F$3:$F$50000,A12,F1_Mouvements!$J$3:$J$50000))</f>
        <v/>
      </c>
    </row>
    <row r="13" customFormat="false" ht="15" hidden="false" customHeight="true" outlineLevel="0" collapsed="false">
      <c r="A13" s="8"/>
      <c r="B13" s="8"/>
      <c r="C13" s="11"/>
      <c r="D13" s="11" t="str">
        <f aca="false">IF(A13="","",C13+SUMIF(F1_Mouvements!$F$3:$F$50000,A13,F1_Mouvements!$I$3:$I$50000)-SUMIF(F1_Mouvements!$F$3:$F$50000,A13,F1_Mouvements!$J$3:$J$50000))</f>
        <v/>
      </c>
    </row>
    <row r="14" customFormat="false" ht="15" hidden="false" customHeight="true" outlineLevel="0" collapsed="false">
      <c r="A14" s="8"/>
      <c r="B14" s="8"/>
      <c r="C14" s="11"/>
      <c r="D14" s="11" t="str">
        <f aca="false">IF(A14="","",C14+SUMIF(F1_Mouvements!$F$3:$F$50000,A14,F1_Mouvements!$I$3:$I$50000)-SUMIF(F1_Mouvements!$F$3:$F$50000,A14,F1_Mouvements!$J$3:$J$50000))</f>
        <v/>
      </c>
    </row>
    <row r="15" customFormat="false" ht="15" hidden="false" customHeight="true" outlineLevel="0" collapsed="false">
      <c r="A15" s="8"/>
      <c r="B15" s="8"/>
      <c r="C15" s="11"/>
      <c r="D15" s="11" t="str">
        <f aca="false">IF(A15="","",C15+SUMIF(F1_Mouvements!$F$3:$F$50000,A15,F1_Mouvements!$I$3:$I$50000)-SUMIF(F1_Mouvements!$F$3:$F$50000,A15,F1_Mouvements!$J$3:$J$50000))</f>
        <v/>
      </c>
    </row>
    <row r="16" customFormat="false" ht="15" hidden="false" customHeight="true" outlineLevel="0" collapsed="false">
      <c r="A16" s="8"/>
      <c r="B16" s="8"/>
      <c r="C16" s="11"/>
      <c r="D16" s="11" t="str">
        <f aca="false">IF(A16="","",C16+SUMIF(F1_Mouvements!$F$3:$F$50000,A16,F1_Mouvements!$I$3:$I$50000)-SUMIF(F1_Mouvements!$F$3:$F$50000,A16,F1_Mouvements!$J$3:$J$50000))</f>
        <v/>
      </c>
    </row>
    <row r="17" customFormat="false" ht="15" hidden="false" customHeight="true" outlineLevel="0" collapsed="false">
      <c r="A17" s="8"/>
      <c r="B17" s="8"/>
      <c r="C17" s="11"/>
      <c r="D17" s="11" t="str">
        <f aca="false">IF(A17="","",C17+SUMIF(F1_Mouvements!$F$3:$F$50000,A17,F1_Mouvements!$I$3:$I$50000)-SUMIF(F1_Mouvements!$F$3:$F$50000,A17,F1_Mouvements!$J$3:$J$50000))</f>
        <v/>
      </c>
    </row>
    <row r="18" customFormat="false" ht="15" hidden="false" customHeight="true" outlineLevel="0" collapsed="false">
      <c r="A18" s="8"/>
      <c r="B18" s="8"/>
      <c r="C18" s="11"/>
      <c r="D18" s="11" t="str">
        <f aca="false">IF(A18="","",C18+SUMIF(F1_Mouvements!$F$3:$F$50000,A18,F1_Mouvements!$I$3:$I$50000)-SUMIF(F1_Mouvements!$F$3:$F$50000,A18,F1_Mouvements!$J$3:$J$50000))</f>
        <v/>
      </c>
    </row>
    <row r="19" customFormat="false" ht="15" hidden="false" customHeight="true" outlineLevel="0" collapsed="false">
      <c r="A19" s="8"/>
      <c r="B19" s="8"/>
      <c r="C19" s="11"/>
      <c r="D19" s="11" t="str">
        <f aca="false">IF(A19="","",C19+SUMIF(F1_Mouvements!$F$3:$F$50000,A19,F1_Mouvements!$I$3:$I$50000)-SUMIF(F1_Mouvements!$F$3:$F$50000,A19,F1_Mouvements!$J$3:$J$50000))</f>
        <v/>
      </c>
    </row>
    <row r="20" customFormat="false" ht="15" hidden="false" customHeight="true" outlineLevel="0" collapsed="false">
      <c r="A20" s="8"/>
      <c r="B20" s="8"/>
      <c r="C20" s="11"/>
      <c r="D20" s="11" t="str">
        <f aca="false">IF(A20="","",C20+SUMIF(F1_Mouvements!$F$3:$F$50000,A20,F1_Mouvements!$I$3:$I$50000)-SUMIF(F1_Mouvements!$F$3:$F$50000,A20,F1_Mouvements!$J$3:$J$50000))</f>
        <v/>
      </c>
    </row>
    <row r="21" customFormat="false" ht="15" hidden="false" customHeight="true" outlineLevel="0" collapsed="false">
      <c r="A21" s="8"/>
      <c r="B21" s="8"/>
      <c r="C21" s="11"/>
      <c r="D21" s="11" t="str">
        <f aca="false">IF(A21="","",C21+SUMIF(F1_Mouvements!$F$3:$F$50000,A21,F1_Mouvements!$I$3:$I$50000)-SUMIF(F1_Mouvements!$F$3:$F$50000,A21,F1_Mouvements!$J$3:$J$50000))</f>
        <v/>
      </c>
    </row>
    <row r="22" customFormat="false" ht="15" hidden="false" customHeight="true" outlineLevel="0" collapsed="false">
      <c r="A22" s="8"/>
      <c r="B22" s="8"/>
      <c r="C22" s="11"/>
      <c r="D22" s="11" t="str">
        <f aca="false">IF(A22="","",C22+SUMIF(F1_Mouvements!$F$3:$F$50000,A22,F1_Mouvements!$I$3:$I$50000)-SUMIF(F1_Mouvements!$F$3:$F$50000,A22,F1_Mouvements!$J$3:$J$50000))</f>
        <v/>
      </c>
    </row>
    <row r="23" customFormat="false" ht="15" hidden="false" customHeight="true" outlineLevel="0" collapsed="false">
      <c r="A23" s="8"/>
      <c r="B23" s="8"/>
      <c r="C23" s="11"/>
      <c r="D23" s="11" t="str">
        <f aca="false">IF(A23="","",C23+SUMIF(F1_Mouvements!$F$3:$F$50000,A23,F1_Mouvements!$I$3:$I$50000)-SUMIF(F1_Mouvements!$F$3:$F$50000,A23,F1_Mouvements!$J$3:$J$50000))</f>
        <v/>
      </c>
    </row>
    <row r="24" customFormat="false" ht="15" hidden="false" customHeight="true" outlineLevel="0" collapsed="false">
      <c r="A24" s="8"/>
      <c r="B24" s="8"/>
      <c r="C24" s="11"/>
      <c r="D24" s="11" t="str">
        <f aca="false">IF(A24="","",C24+SUMIF(F1_Mouvements!$F$3:$F$50000,A24,F1_Mouvements!$I$3:$I$50000)-SUMIF(F1_Mouvements!$F$3:$F$50000,A24,F1_Mouvements!$J$3:$J$50000))</f>
        <v/>
      </c>
    </row>
    <row r="25" customFormat="false" ht="15" hidden="false" customHeight="true" outlineLevel="0" collapsed="false">
      <c r="A25" s="8"/>
      <c r="B25" s="8"/>
      <c r="C25" s="11"/>
      <c r="D25" s="11" t="str">
        <f aca="false">IF(A25="","",C25+SUMIF(F1_Mouvements!$F$3:$F$50000,A25,F1_Mouvements!$I$3:$I$50000)-SUMIF(F1_Mouvements!$F$3:$F$50000,A25,F1_Mouvements!$J$3:$J$50000))</f>
        <v/>
      </c>
    </row>
    <row r="26" customFormat="false" ht="15" hidden="false" customHeight="true" outlineLevel="0" collapsed="false">
      <c r="A26" s="8"/>
      <c r="B26" s="8"/>
      <c r="C26" s="11"/>
      <c r="D26" s="11" t="str">
        <f aca="false">IF(A26="","",C26+SUMIF(F1_Mouvements!$F$3:$F$50000,A26,F1_Mouvements!$I$3:$I$50000)-SUMIF(F1_Mouvements!$F$3:$F$50000,A26,F1_Mouvements!$J$3:$J$50000))</f>
        <v/>
      </c>
    </row>
    <row r="27" customFormat="false" ht="15" hidden="false" customHeight="true" outlineLevel="0" collapsed="false">
      <c r="A27" s="8"/>
      <c r="B27" s="8"/>
      <c r="C27" s="11"/>
      <c r="D27" s="11" t="str">
        <f aca="false">IF(A27="","",C27+SUMIF(F1_Mouvements!$F$3:$F$50000,A27,F1_Mouvements!$I$3:$I$50000)-SUMIF(F1_Mouvements!$F$3:$F$50000,A27,F1_Mouvements!$J$3:$J$50000))</f>
        <v/>
      </c>
    </row>
    <row r="28" customFormat="false" ht="15" hidden="false" customHeight="true" outlineLevel="0" collapsed="false">
      <c r="A28" s="8"/>
      <c r="B28" s="8"/>
      <c r="C28" s="11"/>
      <c r="D28" s="11" t="str">
        <f aca="false">IF(A28="","",C28+SUMIF(F1_Mouvements!$F$3:$F$50000,A28,F1_Mouvements!$I$3:$I$50000)-SUMIF(F1_Mouvements!$F$3:$F$50000,A28,F1_Mouvements!$J$3:$J$50000))</f>
        <v/>
      </c>
    </row>
    <row r="29" customFormat="false" ht="15" hidden="false" customHeight="true" outlineLevel="0" collapsed="false">
      <c r="A29" s="8"/>
      <c r="B29" s="8"/>
      <c r="C29" s="11"/>
      <c r="D29" s="11" t="str">
        <f aca="false">IF(A29="","",C29+SUMIF(F1_Mouvements!$F$3:$F$50000,A29,F1_Mouvements!$I$3:$I$50000)-SUMIF(F1_Mouvements!$F$3:$F$50000,A29,F1_Mouvements!$J$3:$J$50000))</f>
        <v/>
      </c>
    </row>
    <row r="30" customFormat="false" ht="15" hidden="false" customHeight="true" outlineLevel="0" collapsed="false">
      <c r="A30" s="8"/>
      <c r="B30" s="8"/>
      <c r="C30" s="11"/>
      <c r="D30" s="11" t="str">
        <f aca="false">IF(A30="","",C30+SUMIF(F1_Mouvements!$F$3:$F$50000,A30,F1_Mouvements!$I$3:$I$50000)-SUMIF(F1_Mouvements!$F$3:$F$50000,A30,F1_Mouvements!$J$3:$J$50000))</f>
        <v/>
      </c>
    </row>
    <row r="31" customFormat="false" ht="15" hidden="false" customHeight="true" outlineLevel="0" collapsed="false">
      <c r="A31" s="8"/>
      <c r="B31" s="8"/>
      <c r="C31" s="11"/>
      <c r="D31" s="11" t="str">
        <f aca="false">IF(A31="","",C31+SUMIF(F1_Mouvements!$F$3:$F$50000,A31,F1_Mouvements!$I$3:$I$50000)-SUMIF(F1_Mouvements!$F$3:$F$50000,A31,F1_Mouvements!$J$3:$J$50000))</f>
        <v/>
      </c>
    </row>
    <row r="32" customFormat="false" ht="15" hidden="false" customHeight="true" outlineLevel="0" collapsed="false">
      <c r="A32" s="8"/>
      <c r="B32" s="8"/>
      <c r="C32" s="11"/>
      <c r="D32" s="11" t="str">
        <f aca="false">IF(A32="","",C32+SUMIF(F1_Mouvements!$F$3:$F$50000,A32,F1_Mouvements!$I$3:$I$50000)-SUMIF(F1_Mouvements!$F$3:$F$50000,A32,F1_Mouvements!$J$3:$J$50000))</f>
        <v/>
      </c>
    </row>
    <row r="33" customFormat="false" ht="15" hidden="false" customHeight="true" outlineLevel="0" collapsed="false">
      <c r="A33" s="8"/>
      <c r="B33" s="8"/>
      <c r="C33" s="11"/>
      <c r="D33" s="11" t="str">
        <f aca="false">IF(A33="","",C33+SUMIF(F1_Mouvements!$F$3:$F$50000,A33,F1_Mouvements!$I$3:$I$50000)-SUMIF(F1_Mouvements!$F$3:$F$50000,A33,F1_Mouvements!$J$3:$J$50000))</f>
        <v/>
      </c>
    </row>
    <row r="34" customFormat="false" ht="15" hidden="false" customHeight="true" outlineLevel="0" collapsed="false">
      <c r="A34" s="8"/>
      <c r="B34" s="8"/>
      <c r="C34" s="11"/>
      <c r="D34" s="11" t="str">
        <f aca="false">IF(A34="","",C34+SUMIF(F1_Mouvements!$F$3:$F$50000,A34,F1_Mouvements!$I$3:$I$50000)-SUMIF(F1_Mouvements!$F$3:$F$50000,A34,F1_Mouvements!$J$3:$J$50000))</f>
        <v/>
      </c>
    </row>
    <row r="35" customFormat="false" ht="15" hidden="false" customHeight="true" outlineLevel="0" collapsed="false">
      <c r="A35" s="8"/>
      <c r="B35" s="8"/>
      <c r="C35" s="11"/>
      <c r="D35" s="11" t="str">
        <f aca="false">IF(A35="","",C35+SUMIF(F1_Mouvements!$F$3:$F$50000,A35,F1_Mouvements!$I$3:$I$50000)-SUMIF(F1_Mouvements!$F$3:$F$50000,A35,F1_Mouvements!$J$3:$J$50000))</f>
        <v/>
      </c>
    </row>
    <row r="36" customFormat="false" ht="15" hidden="false" customHeight="true" outlineLevel="0" collapsed="false">
      <c r="A36" s="8"/>
      <c r="B36" s="8"/>
      <c r="C36" s="11"/>
      <c r="D36" s="11" t="str">
        <f aca="false">IF(A36="","",C36+SUMIF(F1_Mouvements!$F$3:$F$50000,A36,F1_Mouvements!$I$3:$I$50000)-SUMIF(F1_Mouvements!$F$3:$F$50000,A36,F1_Mouvements!$J$3:$J$50000))</f>
        <v/>
      </c>
    </row>
    <row r="37" customFormat="false" ht="15" hidden="false" customHeight="true" outlineLevel="0" collapsed="false">
      <c r="A37" s="8"/>
      <c r="B37" s="8"/>
      <c r="C37" s="11"/>
      <c r="D37" s="11" t="str">
        <f aca="false">IF(A37="","",C37+SUMIF(F1_Mouvements!$F$3:$F$50000,A37,F1_Mouvements!$I$3:$I$50000)-SUMIF(F1_Mouvements!$F$3:$F$50000,A37,F1_Mouvements!$J$3:$J$50000))</f>
        <v/>
      </c>
    </row>
    <row r="38" customFormat="false" ht="15" hidden="false" customHeight="true" outlineLevel="0" collapsed="false">
      <c r="A38" s="8"/>
      <c r="B38" s="8"/>
      <c r="C38" s="11"/>
      <c r="D38" s="11" t="str">
        <f aca="false">IF(A38="","",C38+SUMIF(F1_Mouvements!$F$3:$F$50000,A38,F1_Mouvements!$I$3:$I$50000)-SUMIF(F1_Mouvements!$F$3:$F$50000,A38,F1_Mouvements!$J$3:$J$50000))</f>
        <v/>
      </c>
    </row>
    <row r="39" customFormat="false" ht="15" hidden="false" customHeight="true" outlineLevel="0" collapsed="false">
      <c r="A39" s="8"/>
      <c r="B39" s="8"/>
      <c r="C39" s="11"/>
      <c r="D39" s="11" t="str">
        <f aca="false">IF(A39="","",C39+SUMIF(F1_Mouvements!$F$3:$F$50000,A39,F1_Mouvements!$I$3:$I$50000)-SUMIF(F1_Mouvements!$F$3:$F$50000,A39,F1_Mouvements!$J$3:$J$50000))</f>
        <v/>
      </c>
    </row>
    <row r="40" customFormat="false" ht="15" hidden="false" customHeight="true" outlineLevel="0" collapsed="false">
      <c r="A40" s="8"/>
      <c r="B40" s="8"/>
      <c r="C40" s="11"/>
      <c r="D40" s="11" t="str">
        <f aca="false">IF(A40="","",C40+SUMIF(F1_Mouvements!$F$3:$F$50000,A40,F1_Mouvements!$I$3:$I$50000)-SUMIF(F1_Mouvements!$F$3:$F$50000,A40,F1_Mouvements!$J$3:$J$50000))</f>
        <v/>
      </c>
    </row>
    <row r="41" customFormat="false" ht="15" hidden="false" customHeight="true" outlineLevel="0" collapsed="false">
      <c r="A41" s="8"/>
      <c r="B41" s="8"/>
      <c r="C41" s="11"/>
      <c r="D41" s="11" t="str">
        <f aca="false">IF(A41="","",C41+SUMIF(F1_Mouvements!$F$3:$F$50000,A41,F1_Mouvements!$I$3:$I$50000)-SUMIF(F1_Mouvements!$F$3:$F$50000,A41,F1_Mouvements!$J$3:$J$50000))</f>
        <v/>
      </c>
    </row>
    <row r="42" customFormat="false" ht="15" hidden="false" customHeight="true" outlineLevel="0" collapsed="false">
      <c r="A42" s="8"/>
      <c r="B42" s="8"/>
      <c r="C42" s="11"/>
      <c r="D42" s="11" t="str">
        <f aca="false">IF(A42="","",C42+SUMIF(F1_Mouvements!$F$3:$F$50000,A42,F1_Mouvements!$I$3:$I$50000)-SUMIF(F1_Mouvements!$F$3:$F$50000,A42,F1_Mouvements!$J$3:$J$50000))</f>
        <v/>
      </c>
    </row>
    <row r="43" customFormat="false" ht="15" hidden="false" customHeight="true" outlineLevel="0" collapsed="false">
      <c r="A43" s="8"/>
      <c r="B43" s="8"/>
      <c r="C43" s="11"/>
      <c r="D43" s="11" t="str">
        <f aca="false">IF(A43="","",C43+SUMIF(F1_Mouvements!$F$3:$F$50000,A43,F1_Mouvements!$I$3:$I$50000)-SUMIF(F1_Mouvements!$F$3:$F$50000,A43,F1_Mouvements!$J$3:$J$50000))</f>
        <v/>
      </c>
    </row>
    <row r="44" customFormat="false" ht="15" hidden="false" customHeight="true" outlineLevel="0" collapsed="false">
      <c r="A44" s="8"/>
      <c r="B44" s="8"/>
      <c r="C44" s="11"/>
      <c r="D44" s="11" t="str">
        <f aca="false">IF(A44="","",C44+SUMIF(F1_Mouvements!$F$3:$F$50000,A44,F1_Mouvements!$I$3:$I$50000)-SUMIF(F1_Mouvements!$F$3:$F$50000,A44,F1_Mouvements!$J$3:$J$50000))</f>
        <v/>
      </c>
    </row>
    <row r="45" customFormat="false" ht="15" hidden="false" customHeight="true" outlineLevel="0" collapsed="false">
      <c r="A45" s="8"/>
      <c r="B45" s="8"/>
      <c r="C45" s="11"/>
      <c r="D45" s="11" t="str">
        <f aca="false">IF(A45="","",C45+SUMIF(F1_Mouvements!$F$3:$F$50000,A45,F1_Mouvements!$I$3:$I$50000)-SUMIF(F1_Mouvements!$F$3:$F$50000,A45,F1_Mouvements!$J$3:$J$50000))</f>
        <v/>
      </c>
    </row>
    <row r="46" customFormat="false" ht="15" hidden="false" customHeight="true" outlineLevel="0" collapsed="false">
      <c r="A46" s="8"/>
      <c r="B46" s="8"/>
      <c r="C46" s="11"/>
      <c r="D46" s="11" t="str">
        <f aca="false">IF(A46="","",C46+SUMIF(F1_Mouvements!$F$3:$F$50000,A46,F1_Mouvements!$I$3:$I$50000)-SUMIF(F1_Mouvements!$F$3:$F$50000,A46,F1_Mouvements!$J$3:$J$50000))</f>
        <v/>
      </c>
    </row>
    <row r="47" customFormat="false" ht="15" hidden="false" customHeight="true" outlineLevel="0" collapsed="false">
      <c r="A47" s="8"/>
      <c r="B47" s="8"/>
      <c r="C47" s="11"/>
      <c r="D47" s="11" t="str">
        <f aca="false">IF(A47="","",C47+SUMIF(F1_Mouvements!$F$3:$F$50000,A47,F1_Mouvements!$I$3:$I$50000)-SUMIF(F1_Mouvements!$F$3:$F$50000,A47,F1_Mouvements!$J$3:$J$50000))</f>
        <v/>
      </c>
    </row>
    <row r="48" customFormat="false" ht="15" hidden="false" customHeight="true" outlineLevel="0" collapsed="false">
      <c r="A48" s="8"/>
      <c r="B48" s="8"/>
      <c r="C48" s="11"/>
      <c r="D48" s="11" t="str">
        <f aca="false">IF(A48="","",C48+SUMIF(F1_Mouvements!$F$3:$F$50000,A48,F1_Mouvements!$I$3:$I$50000)-SUMIF(F1_Mouvements!$F$3:$F$50000,A48,F1_Mouvements!$J$3:$J$50000))</f>
        <v/>
      </c>
    </row>
    <row r="49" customFormat="false" ht="15" hidden="false" customHeight="true" outlineLevel="0" collapsed="false">
      <c r="A49" s="8"/>
      <c r="B49" s="8"/>
      <c r="C49" s="11"/>
      <c r="D49" s="11" t="str">
        <f aca="false">IF(A49="","",C49+SUMIF(F1_Mouvements!$F$3:$F$50000,A49,F1_Mouvements!$I$3:$I$50000)-SUMIF(F1_Mouvements!$F$3:$F$50000,A49,F1_Mouvements!$J$3:$J$50000))</f>
        <v/>
      </c>
    </row>
    <row r="50" customFormat="false" ht="15" hidden="false" customHeight="true" outlineLevel="0" collapsed="false">
      <c r="A50" s="8"/>
      <c r="B50" s="8"/>
      <c r="C50" s="11"/>
      <c r="D50" s="11" t="str">
        <f aca="false">IF(A50="","",C50+SUMIF(F1_Mouvements!$F$3:$F$50000,A50,F1_Mouvements!$I$3:$I$50000)-SUMIF(F1_Mouvements!$F$3:$F$50000,A50,F1_Mouvements!$J$3:$J$50000))</f>
        <v/>
      </c>
    </row>
    <row r="51" customFormat="false" ht="15" hidden="false" customHeight="true" outlineLevel="0" collapsed="false">
      <c r="A51" s="8"/>
      <c r="B51" s="8"/>
      <c r="C51" s="11"/>
      <c r="D51" s="11" t="str">
        <f aca="false">IF(A51="","",C51+SUMIF(F1_Mouvements!$F$3:$F$50000,A51,F1_Mouvements!$I$3:$I$50000)-SUMIF(F1_Mouvements!$F$3:$F$50000,A51,F1_Mouvements!$J$3:$J$50000))</f>
        <v/>
      </c>
    </row>
  </sheetData>
  <autoFilter ref="A2:D51"/>
  <mergeCells count="1">
    <mergeCell ref="A1:D1"/>
  </mergeCells>
  <dataValidations count="1">
    <dataValidation allowBlank="true" errorStyle="stop" operator="between" showDropDown="false" showErrorMessage="false" showInputMessage="false" sqref="B3:B51" type="list">
      <formula1>"Banque,Caisse,Autre"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3" min="3" style="1" width="18"/>
    <col collapsed="false" customWidth="true" hidden="false" outlineLevel="0" max="4" min="4" style="1" width="21"/>
    <col collapsed="false" customWidth="true" hidden="false" outlineLevel="0" max="5" min="5" style="1" width="15"/>
    <col collapsed="false" customWidth="true" hidden="false" outlineLevel="0" max="7" min="6" style="1" width="14"/>
    <col collapsed="false" customWidth="true" hidden="false" outlineLevel="0" max="14" min="9" style="1" width="24"/>
  </cols>
  <sheetData>
    <row r="1" customFormat="false" ht="30" hidden="false" customHeight="true" outlineLevel="0" collapsed="false">
      <c r="A1" s="2" t="s">
        <v>201</v>
      </c>
      <c r="B1" s="2"/>
      <c r="C1" s="2"/>
      <c r="D1" s="2"/>
      <c r="E1" s="2"/>
      <c r="F1" s="2"/>
      <c r="G1" s="2"/>
    </row>
    <row r="2" customFormat="false" ht="31.5" hidden="false" customHeight="true" outlineLevel="0" collapsed="false">
      <c r="A2" s="7" t="s">
        <v>106</v>
      </c>
      <c r="B2" s="7" t="s">
        <v>202</v>
      </c>
      <c r="C2" s="7" t="s">
        <v>203</v>
      </c>
      <c r="D2" s="7" t="s">
        <v>204</v>
      </c>
      <c r="E2" s="7" t="s">
        <v>205</v>
      </c>
      <c r="F2" s="7" t="s">
        <v>206</v>
      </c>
      <c r="G2" s="7" t="s">
        <v>207</v>
      </c>
      <c r="H2" s="7" t="inlineStr">
        <is>
          <t xml:space="preserve">Type d'écart</t>
        </is>
      </c>
      <c r="I2" s="7" t="inlineStr">
        <is>
          <t xml:space="preserve">Axe / thème</t>
        </is>
      </c>
      <c r="J2" s="7" t="inlineStr">
        <is>
          <t xml:space="preserve">Objectif (résultat attendu)</t>
        </is>
      </c>
      <c r="K2" s="7" t="inlineStr">
        <is>
          <t xml:space="preserve">Priorité</t>
        </is>
      </c>
      <c r="L2" s="7" t="inlineStr">
        <is>
          <t xml:space="preserve">Temporalité</t>
        </is>
      </c>
      <c r="M2" s="7" t="inlineStr">
        <is>
          <t xml:space="preserve">Indicateur de réussite et preuves</t>
        </is>
      </c>
      <c r="N2" s="7" t="inlineStr">
        <is>
          <t xml:space="preserve">Observations</t>
        </is>
      </c>
    </row>
    <row r="3" customFormat="false" ht="15" hidden="false" customHeight="true" outlineLevel="0" collapsed="false">
      <c r="A3" s="8"/>
      <c r="B3" s="8"/>
      <c r="C3" s="8"/>
      <c r="D3" s="8"/>
      <c r="E3" s="8"/>
      <c r="F3" s="10"/>
      <c r="G3" s="8"/>
    </row>
    <row r="4" customFormat="false" ht="15" hidden="false" customHeight="true" outlineLevel="0" collapsed="false">
      <c r="A4" s="8"/>
      <c r="B4" s="8"/>
      <c r="C4" s="8"/>
      <c r="D4" s="8"/>
      <c r="E4" s="8"/>
      <c r="F4" s="10"/>
      <c r="G4" s="8"/>
    </row>
    <row r="5" customFormat="false" ht="15" hidden="false" customHeight="true" outlineLevel="0" collapsed="false">
      <c r="A5" s="8"/>
      <c r="B5" s="8"/>
      <c r="C5" s="8"/>
      <c r="D5" s="8"/>
      <c r="E5" s="8"/>
      <c r="F5" s="10"/>
      <c r="G5" s="8"/>
    </row>
    <row r="6" customFormat="false" ht="15" hidden="false" customHeight="true" outlineLevel="0" collapsed="false">
      <c r="A6" s="8"/>
      <c r="B6" s="8"/>
      <c r="C6" s="8"/>
      <c r="D6" s="8"/>
      <c r="E6" s="8"/>
      <c r="F6" s="10"/>
      <c r="G6" s="8"/>
    </row>
    <row r="7" customFormat="false" ht="15" hidden="false" customHeight="true" outlineLevel="0" collapsed="false">
      <c r="A7" s="8"/>
      <c r="B7" s="8"/>
      <c r="C7" s="8"/>
      <c r="D7" s="8"/>
      <c r="E7" s="8"/>
      <c r="F7" s="10"/>
      <c r="G7" s="8"/>
    </row>
    <row r="8" customFormat="false" ht="15" hidden="false" customHeight="true" outlineLevel="0" collapsed="false">
      <c r="A8" s="8"/>
      <c r="B8" s="8"/>
      <c r="C8" s="8"/>
      <c r="D8" s="8"/>
      <c r="E8" s="8"/>
      <c r="F8" s="10"/>
      <c r="G8" s="8"/>
    </row>
    <row r="9" customFormat="false" ht="15" hidden="false" customHeight="true" outlineLevel="0" collapsed="false">
      <c r="A9" s="8"/>
      <c r="B9" s="8"/>
      <c r="C9" s="8"/>
      <c r="D9" s="8"/>
      <c r="E9" s="8"/>
      <c r="F9" s="10"/>
      <c r="G9" s="8"/>
    </row>
    <row r="10" customFormat="false" ht="15" hidden="false" customHeight="true" outlineLevel="0" collapsed="false">
      <c r="A10" s="8"/>
      <c r="B10" s="8"/>
      <c r="C10" s="8"/>
      <c r="D10" s="8"/>
      <c r="E10" s="8"/>
      <c r="F10" s="10"/>
      <c r="G10" s="8"/>
    </row>
    <row r="11" customFormat="false" ht="15" hidden="false" customHeight="true" outlineLevel="0" collapsed="false">
      <c r="A11" s="8"/>
      <c r="B11" s="8"/>
      <c r="C11" s="8"/>
      <c r="D11" s="8"/>
      <c r="E11" s="8"/>
      <c r="F11" s="10"/>
      <c r="G11" s="8"/>
    </row>
    <row r="12" customFormat="false" ht="15" hidden="false" customHeight="true" outlineLevel="0" collapsed="false">
      <c r="A12" s="8"/>
      <c r="B12" s="8"/>
      <c r="C12" s="8"/>
      <c r="D12" s="8"/>
      <c r="E12" s="8"/>
      <c r="F12" s="10"/>
      <c r="G12" s="8"/>
    </row>
    <row r="13" customFormat="false" ht="15" hidden="false" customHeight="true" outlineLevel="0" collapsed="false">
      <c r="A13" s="8"/>
      <c r="B13" s="8"/>
      <c r="C13" s="8"/>
      <c r="D13" s="8"/>
      <c r="E13" s="8"/>
      <c r="F13" s="10"/>
      <c r="G13" s="8"/>
    </row>
    <row r="14" customFormat="false" ht="15" hidden="false" customHeight="true" outlineLevel="0" collapsed="false">
      <c r="A14" s="8"/>
      <c r="B14" s="8"/>
      <c r="C14" s="8"/>
      <c r="D14" s="8"/>
      <c r="E14" s="8"/>
      <c r="F14" s="10"/>
      <c r="G14" s="8"/>
    </row>
    <row r="15" customFormat="false" ht="15" hidden="false" customHeight="true" outlineLevel="0" collapsed="false">
      <c r="A15" s="8"/>
      <c r="B15" s="8"/>
      <c r="C15" s="8"/>
      <c r="D15" s="8"/>
      <c r="E15" s="8"/>
      <c r="F15" s="10"/>
      <c r="G15" s="8"/>
    </row>
    <row r="16" customFormat="false" ht="15" hidden="false" customHeight="true" outlineLevel="0" collapsed="false">
      <c r="A16" s="8"/>
      <c r="B16" s="8"/>
      <c r="C16" s="8"/>
      <c r="D16" s="8"/>
      <c r="E16" s="8"/>
      <c r="F16" s="10"/>
      <c r="G16" s="8"/>
    </row>
    <row r="17" customFormat="false" ht="15" hidden="false" customHeight="true" outlineLevel="0" collapsed="false">
      <c r="A17" s="8"/>
      <c r="B17" s="8"/>
      <c r="C17" s="8"/>
      <c r="D17" s="8"/>
      <c r="E17" s="8"/>
      <c r="F17" s="10"/>
      <c r="G17" s="8"/>
    </row>
    <row r="18" customFormat="false" ht="15" hidden="false" customHeight="true" outlineLevel="0" collapsed="false">
      <c r="A18" s="8"/>
      <c r="B18" s="8"/>
      <c r="C18" s="8"/>
      <c r="D18" s="8"/>
      <c r="E18" s="8"/>
      <c r="F18" s="10"/>
      <c r="G18" s="8"/>
    </row>
    <row r="19" customFormat="false" ht="15" hidden="false" customHeight="true" outlineLevel="0" collapsed="false">
      <c r="A19" s="8"/>
      <c r="B19" s="8"/>
      <c r="C19" s="8"/>
      <c r="D19" s="8"/>
      <c r="E19" s="8"/>
      <c r="F19" s="10"/>
      <c r="G19" s="8"/>
    </row>
    <row r="20" customFormat="false" ht="15" hidden="false" customHeight="true" outlineLevel="0" collapsed="false">
      <c r="A20" s="8"/>
      <c r="B20" s="8"/>
      <c r="C20" s="8"/>
      <c r="D20" s="8"/>
      <c r="E20" s="8"/>
      <c r="F20" s="10"/>
      <c r="G20" s="8"/>
    </row>
    <row r="21" customFormat="false" ht="15" hidden="false" customHeight="true" outlineLevel="0" collapsed="false">
      <c r="A21" s="8"/>
      <c r="B21" s="8"/>
      <c r="C21" s="8"/>
      <c r="D21" s="8"/>
      <c r="E21" s="8"/>
      <c r="F21" s="10"/>
      <c r="G21" s="8"/>
    </row>
    <row r="22" customFormat="false" ht="15" hidden="false" customHeight="true" outlineLevel="0" collapsed="false">
      <c r="A22" s="8"/>
      <c r="B22" s="8"/>
      <c r="C22" s="8"/>
      <c r="D22" s="8"/>
      <c r="E22" s="8"/>
      <c r="F22" s="10"/>
      <c r="G22" s="8"/>
    </row>
    <row r="23" customFormat="false" ht="15" hidden="false" customHeight="true" outlineLevel="0" collapsed="false">
      <c r="A23" s="8"/>
      <c r="B23" s="8"/>
      <c r="C23" s="8"/>
      <c r="D23" s="8"/>
      <c r="E23" s="8"/>
      <c r="F23" s="10"/>
      <c r="G23" s="8"/>
    </row>
    <row r="24" customFormat="false" ht="15" hidden="false" customHeight="true" outlineLevel="0" collapsed="false">
      <c r="A24" s="8"/>
      <c r="B24" s="8"/>
      <c r="C24" s="8"/>
      <c r="D24" s="8"/>
      <c r="E24" s="8"/>
      <c r="F24" s="10"/>
      <c r="G24" s="8"/>
    </row>
    <row r="25" customFormat="false" ht="15" hidden="false" customHeight="true" outlineLevel="0" collapsed="false">
      <c r="A25" s="8"/>
      <c r="B25" s="8"/>
      <c r="C25" s="8"/>
      <c r="D25" s="8"/>
      <c r="E25" s="8"/>
      <c r="F25" s="10"/>
      <c r="G25" s="8"/>
    </row>
    <row r="26" customFormat="false" ht="15" hidden="false" customHeight="true" outlineLevel="0" collapsed="false">
      <c r="A26" s="8"/>
      <c r="B26" s="8"/>
      <c r="C26" s="8"/>
      <c r="D26" s="8"/>
      <c r="E26" s="8"/>
      <c r="F26" s="10"/>
      <c r="G26" s="8"/>
    </row>
    <row r="27" customFormat="false" ht="15" hidden="false" customHeight="true" outlineLevel="0" collapsed="false">
      <c r="A27" s="8"/>
      <c r="B27" s="8"/>
      <c r="C27" s="8"/>
      <c r="D27" s="8"/>
      <c r="E27" s="8"/>
      <c r="F27" s="10"/>
      <c r="G27" s="8"/>
    </row>
    <row r="28" customFormat="false" ht="15" hidden="false" customHeight="true" outlineLevel="0" collapsed="false">
      <c r="A28" s="8"/>
      <c r="B28" s="8"/>
      <c r="C28" s="8"/>
      <c r="D28" s="8"/>
      <c r="E28" s="8"/>
      <c r="F28" s="10"/>
      <c r="G28" s="8"/>
    </row>
    <row r="29" customFormat="false" ht="15" hidden="false" customHeight="true" outlineLevel="0" collapsed="false">
      <c r="A29" s="8"/>
      <c r="B29" s="8"/>
      <c r="C29" s="8"/>
      <c r="D29" s="8"/>
      <c r="E29" s="8"/>
      <c r="F29" s="10"/>
      <c r="G29" s="8"/>
    </row>
    <row r="30" customFormat="false" ht="15" hidden="false" customHeight="true" outlineLevel="0" collapsed="false">
      <c r="A30" s="8"/>
      <c r="B30" s="8"/>
      <c r="C30" s="8"/>
      <c r="D30" s="8"/>
      <c r="E30" s="8"/>
      <c r="F30" s="10"/>
      <c r="G30" s="8"/>
    </row>
    <row r="31" customFormat="false" ht="15" hidden="false" customHeight="true" outlineLevel="0" collapsed="false">
      <c r="A31" s="8"/>
      <c r="B31" s="8"/>
      <c r="C31" s="8"/>
      <c r="D31" s="8"/>
      <c r="E31" s="8"/>
      <c r="F31" s="10"/>
      <c r="G31" s="8"/>
    </row>
    <row r="32" customFormat="false" ht="15" hidden="false" customHeight="true" outlineLevel="0" collapsed="false">
      <c r="A32" s="8"/>
      <c r="B32" s="8"/>
      <c r="C32" s="8"/>
      <c r="D32" s="8"/>
      <c r="E32" s="8"/>
      <c r="F32" s="10"/>
      <c r="G32" s="8"/>
    </row>
    <row r="33" customFormat="false" ht="15" hidden="false" customHeight="true" outlineLevel="0" collapsed="false">
      <c r="A33" s="8"/>
      <c r="B33" s="8"/>
      <c r="C33" s="8"/>
      <c r="D33" s="8"/>
      <c r="E33" s="8"/>
      <c r="F33" s="10"/>
      <c r="G33" s="8"/>
    </row>
    <row r="34" customFormat="false" ht="15" hidden="false" customHeight="true" outlineLevel="0" collapsed="false">
      <c r="A34" s="8"/>
      <c r="B34" s="8"/>
      <c r="C34" s="8"/>
      <c r="D34" s="8"/>
      <c r="E34" s="8"/>
      <c r="F34" s="10"/>
      <c r="G34" s="8"/>
    </row>
    <row r="35" customFormat="false" ht="15" hidden="false" customHeight="true" outlineLevel="0" collapsed="false">
      <c r="A35" s="8"/>
      <c r="B35" s="8"/>
      <c r="C35" s="8"/>
      <c r="D35" s="8"/>
      <c r="E35" s="8"/>
      <c r="F35" s="10"/>
      <c r="G35" s="8"/>
    </row>
    <row r="36" customFormat="false" ht="15" hidden="false" customHeight="true" outlineLevel="0" collapsed="false">
      <c r="A36" s="8"/>
      <c r="B36" s="8"/>
      <c r="C36" s="8"/>
      <c r="D36" s="8"/>
      <c r="E36" s="8"/>
      <c r="F36" s="10"/>
      <c r="G36" s="8"/>
    </row>
    <row r="37" customFormat="false" ht="15" hidden="false" customHeight="true" outlineLevel="0" collapsed="false">
      <c r="A37" s="8"/>
      <c r="B37" s="8"/>
      <c r="C37" s="8"/>
      <c r="D37" s="8"/>
      <c r="E37" s="8"/>
      <c r="F37" s="10"/>
      <c r="G37" s="8"/>
    </row>
    <row r="38" customFormat="false" ht="15" hidden="false" customHeight="true" outlineLevel="0" collapsed="false">
      <c r="A38" s="8"/>
      <c r="B38" s="8"/>
      <c r="C38" s="8"/>
      <c r="D38" s="8"/>
      <c r="E38" s="8"/>
      <c r="F38" s="10"/>
      <c r="G38" s="8"/>
    </row>
    <row r="39" customFormat="false" ht="15" hidden="false" customHeight="true" outlineLevel="0" collapsed="false">
      <c r="A39" s="8"/>
      <c r="B39" s="8"/>
      <c r="C39" s="8"/>
      <c r="D39" s="8"/>
      <c r="E39" s="8"/>
      <c r="F39" s="10"/>
      <c r="G39" s="8"/>
    </row>
    <row r="40" customFormat="false" ht="15" hidden="false" customHeight="true" outlineLevel="0" collapsed="false">
      <c r="A40" s="8"/>
      <c r="B40" s="8"/>
      <c r="C40" s="8"/>
      <c r="D40" s="8"/>
      <c r="E40" s="8"/>
      <c r="F40" s="10"/>
      <c r="G40" s="8"/>
    </row>
    <row r="41" customFormat="false" ht="15" hidden="false" customHeight="true" outlineLevel="0" collapsed="false">
      <c r="A41" s="8"/>
      <c r="B41" s="8"/>
      <c r="C41" s="8"/>
      <c r="D41" s="8"/>
      <c r="E41" s="8"/>
      <c r="F41" s="10"/>
      <c r="G41" s="8"/>
    </row>
    <row r="42" customFormat="false" ht="15" hidden="false" customHeight="true" outlineLevel="0" collapsed="false">
      <c r="A42" s="8"/>
      <c r="B42" s="8"/>
      <c r="C42" s="8"/>
      <c r="D42" s="8"/>
      <c r="E42" s="8"/>
      <c r="F42" s="10"/>
      <c r="G42" s="8"/>
    </row>
    <row r="43" customFormat="false" ht="15" hidden="false" customHeight="true" outlineLevel="0" collapsed="false">
      <c r="A43" s="8"/>
      <c r="B43" s="8"/>
      <c r="C43" s="8"/>
      <c r="D43" s="8"/>
      <c r="E43" s="8"/>
      <c r="F43" s="10"/>
      <c r="G43" s="8"/>
    </row>
    <row r="44" customFormat="false" ht="15" hidden="false" customHeight="true" outlineLevel="0" collapsed="false">
      <c r="A44" s="8"/>
      <c r="B44" s="8"/>
      <c r="C44" s="8"/>
      <c r="D44" s="8"/>
      <c r="E44" s="8"/>
      <c r="F44" s="10"/>
      <c r="G44" s="8"/>
    </row>
    <row r="45" customFormat="false" ht="15" hidden="false" customHeight="true" outlineLevel="0" collapsed="false">
      <c r="A45" s="8"/>
      <c r="B45" s="8"/>
      <c r="C45" s="8"/>
      <c r="D45" s="8"/>
      <c r="E45" s="8"/>
      <c r="F45" s="10"/>
      <c r="G45" s="8"/>
    </row>
    <row r="46" customFormat="false" ht="15" hidden="false" customHeight="true" outlineLevel="0" collapsed="false">
      <c r="A46" s="8"/>
      <c r="B46" s="8"/>
      <c r="C46" s="8"/>
      <c r="D46" s="8"/>
      <c r="E46" s="8"/>
      <c r="F46" s="10"/>
      <c r="G46" s="8"/>
    </row>
    <row r="47" customFormat="false" ht="15" hidden="false" customHeight="true" outlineLevel="0" collapsed="false">
      <c r="A47" s="8"/>
      <c r="B47" s="8"/>
      <c r="C47" s="8"/>
      <c r="D47" s="8"/>
      <c r="E47" s="8"/>
      <c r="F47" s="10"/>
      <c r="G47" s="8"/>
    </row>
    <row r="48" customFormat="false" ht="15" hidden="false" customHeight="true" outlineLevel="0" collapsed="false">
      <c r="A48" s="8"/>
      <c r="B48" s="8"/>
      <c r="C48" s="8"/>
      <c r="D48" s="8"/>
      <c r="E48" s="8"/>
      <c r="F48" s="10"/>
      <c r="G48" s="8"/>
    </row>
    <row r="49" customFormat="false" ht="15" hidden="false" customHeight="true" outlineLevel="0" collapsed="false">
      <c r="A49" s="8"/>
      <c r="B49" s="8"/>
      <c r="C49" s="8"/>
      <c r="D49" s="8"/>
      <c r="E49" s="8"/>
      <c r="F49" s="10"/>
      <c r="G49" s="8"/>
    </row>
    <row r="50" customFormat="false" ht="15" hidden="false" customHeight="true" outlineLevel="0" collapsed="false">
      <c r="A50" s="8"/>
      <c r="B50" s="8"/>
      <c r="C50" s="8"/>
      <c r="D50" s="8"/>
      <c r="E50" s="8"/>
      <c r="F50" s="10"/>
      <c r="G50" s="8"/>
    </row>
    <row r="51" customFormat="false" ht="15" hidden="false" customHeight="true" outlineLevel="0" collapsed="false">
      <c r="A51" s="8"/>
      <c r="B51" s="8"/>
      <c r="C51" s="8"/>
      <c r="D51" s="8"/>
      <c r="E51" s="8"/>
      <c r="F51" s="10"/>
      <c r="G51" s="8"/>
    </row>
    <row r="52" customFormat="false" ht="15" hidden="false" customHeight="true" outlineLevel="0" collapsed="false">
      <c r="A52" s="8"/>
      <c r="B52" s="8"/>
      <c r="C52" s="8"/>
      <c r="D52" s="8"/>
      <c r="E52" s="8"/>
      <c r="F52" s="10"/>
      <c r="G52" s="8"/>
    </row>
    <row r="53" customFormat="false" ht="15" hidden="false" customHeight="true" outlineLevel="0" collapsed="false">
      <c r="A53" s="8"/>
      <c r="B53" s="8"/>
      <c r="C53" s="8"/>
      <c r="D53" s="8"/>
      <c r="E53" s="8"/>
      <c r="F53" s="10"/>
      <c r="G53" s="8"/>
    </row>
    <row r="54" customFormat="false" ht="15" hidden="false" customHeight="true" outlineLevel="0" collapsed="false">
      <c r="A54" s="8"/>
      <c r="B54" s="8"/>
      <c r="C54" s="8"/>
      <c r="D54" s="8"/>
      <c r="E54" s="8"/>
      <c r="F54" s="10"/>
      <c r="G54" s="8"/>
    </row>
    <row r="55" customFormat="false" ht="15" hidden="false" customHeight="true" outlineLevel="0" collapsed="false">
      <c r="A55" s="8"/>
      <c r="B55" s="8"/>
      <c r="C55" s="8"/>
      <c r="D55" s="8"/>
      <c r="E55" s="8"/>
      <c r="F55" s="10"/>
      <c r="G55" s="8"/>
    </row>
    <row r="56" customFormat="false" ht="15" hidden="false" customHeight="true" outlineLevel="0" collapsed="false">
      <c r="A56" s="8"/>
      <c r="B56" s="8"/>
      <c r="C56" s="8"/>
      <c r="D56" s="8"/>
      <c r="E56" s="8"/>
      <c r="F56" s="10"/>
      <c r="G56" s="8"/>
    </row>
    <row r="57" customFormat="false" ht="15" hidden="false" customHeight="true" outlineLevel="0" collapsed="false">
      <c r="A57" s="8"/>
      <c r="B57" s="8"/>
      <c r="C57" s="8"/>
      <c r="D57" s="8"/>
      <c r="E57" s="8"/>
      <c r="F57" s="10"/>
      <c r="G57" s="8"/>
    </row>
    <row r="58" customFormat="false" ht="15" hidden="false" customHeight="true" outlineLevel="0" collapsed="false">
      <c r="A58" s="8"/>
      <c r="B58" s="8"/>
      <c r="C58" s="8"/>
      <c r="D58" s="8"/>
      <c r="E58" s="8"/>
      <c r="F58" s="10"/>
      <c r="G58" s="8"/>
    </row>
    <row r="59" customFormat="false" ht="15" hidden="false" customHeight="true" outlineLevel="0" collapsed="false">
      <c r="A59" s="8"/>
      <c r="B59" s="8"/>
      <c r="C59" s="8"/>
      <c r="D59" s="8"/>
      <c r="E59" s="8"/>
      <c r="F59" s="10"/>
      <c r="G59" s="8"/>
    </row>
    <row r="60" customFormat="false" ht="15" hidden="false" customHeight="true" outlineLevel="0" collapsed="false">
      <c r="A60" s="8"/>
      <c r="B60" s="8"/>
      <c r="C60" s="8"/>
      <c r="D60" s="8"/>
      <c r="E60" s="8"/>
      <c r="F60" s="10"/>
      <c r="G60" s="8"/>
    </row>
    <row r="61" customFormat="false" ht="15" hidden="false" customHeight="true" outlineLevel="0" collapsed="false">
      <c r="A61" s="8"/>
      <c r="B61" s="8"/>
      <c r="C61" s="8"/>
      <c r="D61" s="8"/>
      <c r="E61" s="8"/>
      <c r="F61" s="10"/>
      <c r="G61" s="8"/>
    </row>
    <row r="62" customFormat="false" ht="15" hidden="false" customHeight="true" outlineLevel="0" collapsed="false">
      <c r="A62" s="8"/>
      <c r="B62" s="8"/>
      <c r="C62" s="8"/>
      <c r="D62" s="8"/>
      <c r="E62" s="8"/>
      <c r="F62" s="10"/>
      <c r="G62" s="8"/>
    </row>
    <row r="63" customFormat="false" ht="15" hidden="false" customHeight="true" outlineLevel="0" collapsed="false">
      <c r="A63" s="8"/>
      <c r="B63" s="8"/>
      <c r="C63" s="8"/>
      <c r="D63" s="8"/>
      <c r="E63" s="8"/>
      <c r="F63" s="10"/>
      <c r="G63" s="8"/>
    </row>
    <row r="64" customFormat="false" ht="15" hidden="false" customHeight="true" outlineLevel="0" collapsed="false">
      <c r="A64" s="8"/>
      <c r="B64" s="8"/>
      <c r="C64" s="8"/>
      <c r="D64" s="8"/>
      <c r="E64" s="8"/>
      <c r="F64" s="10"/>
      <c r="G64" s="8"/>
    </row>
    <row r="65" customFormat="false" ht="15" hidden="false" customHeight="true" outlineLevel="0" collapsed="false">
      <c r="A65" s="8"/>
      <c r="B65" s="8"/>
      <c r="C65" s="8"/>
      <c r="D65" s="8"/>
      <c r="E65" s="8"/>
      <c r="F65" s="10"/>
      <c r="G65" s="8"/>
    </row>
    <row r="66" customFormat="false" ht="15" hidden="false" customHeight="true" outlineLevel="0" collapsed="false">
      <c r="A66" s="8"/>
      <c r="B66" s="8"/>
      <c r="C66" s="8"/>
      <c r="D66" s="8"/>
      <c r="E66" s="8"/>
      <c r="F66" s="10"/>
      <c r="G66" s="8"/>
    </row>
    <row r="67" customFormat="false" ht="15" hidden="false" customHeight="true" outlineLevel="0" collapsed="false">
      <c r="A67" s="8"/>
      <c r="B67" s="8"/>
      <c r="C67" s="8"/>
      <c r="D67" s="8"/>
      <c r="E67" s="8"/>
      <c r="F67" s="10"/>
      <c r="G67" s="8"/>
    </row>
    <row r="68" customFormat="false" ht="15" hidden="false" customHeight="true" outlineLevel="0" collapsed="false">
      <c r="A68" s="8"/>
      <c r="B68" s="8"/>
      <c r="C68" s="8"/>
      <c r="D68" s="8"/>
      <c r="E68" s="8"/>
      <c r="F68" s="10"/>
      <c r="G68" s="8"/>
    </row>
    <row r="69" customFormat="false" ht="15" hidden="false" customHeight="true" outlineLevel="0" collapsed="false">
      <c r="A69" s="8"/>
      <c r="B69" s="8"/>
      <c r="C69" s="8"/>
      <c r="D69" s="8"/>
      <c r="E69" s="8"/>
      <c r="F69" s="10"/>
      <c r="G69" s="8"/>
    </row>
    <row r="70" customFormat="false" ht="15" hidden="false" customHeight="true" outlineLevel="0" collapsed="false">
      <c r="A70" s="8"/>
      <c r="B70" s="8"/>
      <c r="C70" s="8"/>
      <c r="D70" s="8"/>
      <c r="E70" s="8"/>
      <c r="F70" s="10"/>
      <c r="G70" s="8"/>
    </row>
    <row r="71" customFormat="false" ht="15" hidden="false" customHeight="true" outlineLevel="0" collapsed="false">
      <c r="A71" s="8"/>
      <c r="B71" s="8"/>
      <c r="C71" s="8"/>
      <c r="D71" s="8"/>
      <c r="E71" s="8"/>
      <c r="F71" s="10"/>
      <c r="G71" s="8"/>
    </row>
    <row r="72" customFormat="false" ht="15" hidden="false" customHeight="true" outlineLevel="0" collapsed="false">
      <c r="A72" s="8"/>
      <c r="B72" s="8"/>
      <c r="C72" s="8"/>
      <c r="D72" s="8"/>
      <c r="E72" s="8"/>
      <c r="F72" s="10"/>
      <c r="G72" s="8"/>
    </row>
    <row r="73" customFormat="false" ht="15" hidden="false" customHeight="true" outlineLevel="0" collapsed="false">
      <c r="A73" s="8"/>
      <c r="B73" s="8"/>
      <c r="C73" s="8"/>
      <c r="D73" s="8"/>
      <c r="E73" s="8"/>
      <c r="F73" s="10"/>
      <c r="G73" s="8"/>
    </row>
    <row r="74" customFormat="false" ht="15" hidden="false" customHeight="true" outlineLevel="0" collapsed="false">
      <c r="A74" s="8"/>
      <c r="B74" s="8"/>
      <c r="C74" s="8"/>
      <c r="D74" s="8"/>
      <c r="E74" s="8"/>
      <c r="F74" s="10"/>
      <c r="G74" s="8"/>
    </row>
    <row r="75" customFormat="false" ht="15" hidden="false" customHeight="true" outlineLevel="0" collapsed="false">
      <c r="A75" s="8"/>
      <c r="B75" s="8"/>
      <c r="C75" s="8"/>
      <c r="D75" s="8"/>
      <c r="E75" s="8"/>
      <c r="F75" s="10"/>
      <c r="G75" s="8"/>
    </row>
    <row r="76" customFormat="false" ht="15" hidden="false" customHeight="true" outlineLevel="0" collapsed="false">
      <c r="A76" s="8"/>
      <c r="B76" s="8"/>
      <c r="C76" s="8"/>
      <c r="D76" s="8"/>
      <c r="E76" s="8"/>
      <c r="F76" s="10"/>
      <c r="G76" s="8"/>
    </row>
    <row r="77" customFormat="false" ht="15" hidden="false" customHeight="true" outlineLevel="0" collapsed="false">
      <c r="A77" s="8"/>
      <c r="B77" s="8"/>
      <c r="C77" s="8"/>
      <c r="D77" s="8"/>
      <c r="E77" s="8"/>
      <c r="F77" s="10"/>
      <c r="G77" s="8"/>
    </row>
    <row r="78" customFormat="false" ht="15" hidden="false" customHeight="true" outlineLevel="0" collapsed="false">
      <c r="A78" s="8"/>
      <c r="B78" s="8"/>
      <c r="C78" s="8"/>
      <c r="D78" s="8"/>
      <c r="E78" s="8"/>
      <c r="F78" s="10"/>
      <c r="G78" s="8"/>
    </row>
    <row r="79" customFormat="false" ht="15" hidden="false" customHeight="true" outlineLevel="0" collapsed="false">
      <c r="A79" s="8"/>
      <c r="B79" s="8"/>
      <c r="C79" s="8"/>
      <c r="D79" s="8"/>
      <c r="E79" s="8"/>
      <c r="F79" s="10"/>
      <c r="G79" s="8"/>
    </row>
    <row r="80" customFormat="false" ht="15" hidden="false" customHeight="true" outlineLevel="0" collapsed="false">
      <c r="A80" s="8"/>
      <c r="B80" s="8"/>
      <c r="C80" s="8"/>
      <c r="D80" s="8"/>
      <c r="E80" s="8"/>
      <c r="F80" s="10"/>
      <c r="G80" s="8"/>
    </row>
    <row r="81" customFormat="false" ht="15" hidden="false" customHeight="true" outlineLevel="0" collapsed="false">
      <c r="A81" s="8"/>
      <c r="B81" s="8"/>
      <c r="C81" s="8"/>
      <c r="D81" s="8"/>
      <c r="E81" s="8"/>
      <c r="F81" s="10"/>
      <c r="G81" s="8"/>
    </row>
    <row r="82" customFormat="false" ht="15" hidden="false" customHeight="true" outlineLevel="0" collapsed="false">
      <c r="A82" s="8"/>
      <c r="B82" s="8"/>
      <c r="C82" s="8"/>
      <c r="D82" s="8"/>
      <c r="E82" s="8"/>
      <c r="F82" s="10"/>
      <c r="G82" s="8"/>
    </row>
    <row r="83" customFormat="false" ht="15" hidden="false" customHeight="true" outlineLevel="0" collapsed="false">
      <c r="A83" s="8"/>
      <c r="B83" s="8"/>
      <c r="C83" s="8"/>
      <c r="D83" s="8"/>
      <c r="E83" s="8"/>
      <c r="F83" s="10"/>
      <c r="G83" s="8"/>
    </row>
    <row r="84" customFormat="false" ht="15" hidden="false" customHeight="true" outlineLevel="0" collapsed="false">
      <c r="A84" s="8"/>
      <c r="B84" s="8"/>
      <c r="C84" s="8"/>
      <c r="D84" s="8"/>
      <c r="E84" s="8"/>
      <c r="F84" s="10"/>
      <c r="G84" s="8"/>
    </row>
    <row r="85" customFormat="false" ht="15" hidden="false" customHeight="true" outlineLevel="0" collapsed="false">
      <c r="A85" s="8"/>
      <c r="B85" s="8"/>
      <c r="C85" s="8"/>
      <c r="D85" s="8"/>
      <c r="E85" s="8"/>
      <c r="F85" s="10"/>
      <c r="G85" s="8"/>
    </row>
    <row r="86" customFormat="false" ht="15" hidden="false" customHeight="true" outlineLevel="0" collapsed="false">
      <c r="A86" s="8"/>
      <c r="B86" s="8"/>
      <c r="C86" s="8"/>
      <c r="D86" s="8"/>
      <c r="E86" s="8"/>
      <c r="F86" s="10"/>
      <c r="G86" s="8"/>
    </row>
    <row r="87" customFormat="false" ht="15" hidden="false" customHeight="true" outlineLevel="0" collapsed="false">
      <c r="A87" s="8"/>
      <c r="B87" s="8"/>
      <c r="C87" s="8"/>
      <c r="D87" s="8"/>
      <c r="E87" s="8"/>
      <c r="F87" s="10"/>
      <c r="G87" s="8"/>
    </row>
    <row r="88" customFormat="false" ht="15" hidden="false" customHeight="true" outlineLevel="0" collapsed="false">
      <c r="A88" s="8"/>
      <c r="B88" s="8"/>
      <c r="C88" s="8"/>
      <c r="D88" s="8"/>
      <c r="E88" s="8"/>
      <c r="F88" s="10"/>
      <c r="G88" s="8"/>
    </row>
    <row r="89" customFormat="false" ht="15" hidden="false" customHeight="true" outlineLevel="0" collapsed="false">
      <c r="A89" s="8"/>
      <c r="B89" s="8"/>
      <c r="C89" s="8"/>
      <c r="D89" s="8"/>
      <c r="E89" s="8"/>
      <c r="F89" s="10"/>
      <c r="G89" s="8"/>
    </row>
    <row r="90" customFormat="false" ht="15" hidden="false" customHeight="true" outlineLevel="0" collapsed="false">
      <c r="A90" s="8"/>
      <c r="B90" s="8"/>
      <c r="C90" s="8"/>
      <c r="D90" s="8"/>
      <c r="E90" s="8"/>
      <c r="F90" s="10"/>
      <c r="G90" s="8"/>
    </row>
    <row r="91" customFormat="false" ht="15" hidden="false" customHeight="true" outlineLevel="0" collapsed="false">
      <c r="A91" s="8"/>
      <c r="B91" s="8"/>
      <c r="C91" s="8"/>
      <c r="D91" s="8"/>
      <c r="E91" s="8"/>
      <c r="F91" s="10"/>
      <c r="G91" s="8"/>
    </row>
    <row r="92" customFormat="false" ht="15" hidden="false" customHeight="true" outlineLevel="0" collapsed="false">
      <c r="A92" s="8"/>
      <c r="B92" s="8"/>
      <c r="C92" s="8"/>
      <c r="D92" s="8"/>
      <c r="E92" s="8"/>
      <c r="F92" s="10"/>
      <c r="G92" s="8"/>
    </row>
    <row r="93" customFormat="false" ht="15" hidden="false" customHeight="true" outlineLevel="0" collapsed="false">
      <c r="A93" s="8"/>
      <c r="B93" s="8"/>
      <c r="C93" s="8"/>
      <c r="D93" s="8"/>
      <c r="E93" s="8"/>
      <c r="F93" s="10"/>
      <c r="G93" s="8"/>
    </row>
    <row r="94" customFormat="false" ht="15" hidden="false" customHeight="true" outlineLevel="0" collapsed="false">
      <c r="A94" s="8"/>
      <c r="B94" s="8"/>
      <c r="C94" s="8"/>
      <c r="D94" s="8"/>
      <c r="E94" s="8"/>
      <c r="F94" s="10"/>
      <c r="G94" s="8"/>
    </row>
    <row r="95" customFormat="false" ht="15" hidden="false" customHeight="true" outlineLevel="0" collapsed="false">
      <c r="A95" s="8"/>
      <c r="B95" s="8"/>
      <c r="C95" s="8"/>
      <c r="D95" s="8"/>
      <c r="E95" s="8"/>
      <c r="F95" s="10"/>
      <c r="G95" s="8"/>
    </row>
    <row r="96" customFormat="false" ht="15" hidden="false" customHeight="true" outlineLevel="0" collapsed="false">
      <c r="A96" s="8"/>
      <c r="B96" s="8"/>
      <c r="C96" s="8"/>
      <c r="D96" s="8"/>
      <c r="E96" s="8"/>
      <c r="F96" s="10"/>
      <c r="G96" s="8"/>
    </row>
    <row r="97" customFormat="false" ht="15" hidden="false" customHeight="true" outlineLevel="0" collapsed="false">
      <c r="A97" s="8"/>
      <c r="B97" s="8"/>
      <c r="C97" s="8"/>
      <c r="D97" s="8"/>
      <c r="E97" s="8"/>
      <c r="F97" s="10"/>
      <c r="G97" s="8"/>
    </row>
    <row r="98" customFormat="false" ht="15" hidden="false" customHeight="true" outlineLevel="0" collapsed="false">
      <c r="A98" s="8"/>
      <c r="B98" s="8"/>
      <c r="C98" s="8"/>
      <c r="D98" s="8"/>
      <c r="E98" s="8"/>
      <c r="F98" s="10"/>
      <c r="G98" s="8"/>
    </row>
    <row r="99" customFormat="false" ht="15" hidden="false" customHeight="true" outlineLevel="0" collapsed="false">
      <c r="A99" s="8"/>
      <c r="B99" s="8"/>
      <c r="C99" s="8"/>
      <c r="D99" s="8"/>
      <c r="E99" s="8"/>
      <c r="F99" s="10"/>
      <c r="G99" s="8"/>
    </row>
    <row r="100" customFormat="false" ht="15" hidden="false" customHeight="true" outlineLevel="0" collapsed="false">
      <c r="A100" s="8"/>
      <c r="B100" s="8"/>
      <c r="C100" s="8"/>
      <c r="D100" s="8"/>
      <c r="E100" s="8"/>
      <c r="F100" s="10"/>
      <c r="G100" s="8"/>
    </row>
    <row r="101" customFormat="false" ht="15" hidden="false" customHeight="true" outlineLevel="0" collapsed="false">
      <c r="A101" s="8"/>
      <c r="B101" s="8"/>
      <c r="C101" s="8"/>
      <c r="D101" s="8"/>
      <c r="E101" s="8"/>
      <c r="F101" s="10"/>
      <c r="G101" s="8"/>
    </row>
    <row r="102" customFormat="false" ht="15" hidden="false" customHeight="true" outlineLevel="0" collapsed="false">
      <c r="A102" s="8"/>
      <c r="B102" s="8"/>
      <c r="C102" s="8"/>
      <c r="D102" s="8"/>
      <c r="E102" s="8"/>
      <c r="F102" s="10"/>
      <c r="G102" s="8"/>
    </row>
    <row r="103" customFormat="false" ht="15" hidden="false" customHeight="true" outlineLevel="0" collapsed="false">
      <c r="A103" s="8"/>
      <c r="B103" s="8"/>
      <c r="C103" s="8"/>
      <c r="D103" s="8"/>
      <c r="E103" s="8"/>
      <c r="F103" s="10"/>
      <c r="G103" s="8"/>
    </row>
    <row r="104" customFormat="false" ht="15" hidden="false" customHeight="true" outlineLevel="0" collapsed="false">
      <c r="A104" s="8"/>
      <c r="B104" s="8"/>
      <c r="C104" s="8"/>
      <c r="D104" s="8"/>
      <c r="E104" s="8"/>
      <c r="F104" s="10"/>
      <c r="G104" s="8"/>
    </row>
    <row r="105" customFormat="false" ht="15" hidden="false" customHeight="true" outlineLevel="0" collapsed="false">
      <c r="A105" s="8"/>
      <c r="B105" s="8"/>
      <c r="C105" s="8"/>
      <c r="D105" s="8"/>
      <c r="E105" s="8"/>
      <c r="F105" s="10"/>
      <c r="G105" s="8"/>
    </row>
    <row r="106" customFormat="false" ht="15" hidden="false" customHeight="true" outlineLevel="0" collapsed="false">
      <c r="A106" s="8"/>
      <c r="B106" s="8"/>
      <c r="C106" s="8"/>
      <c r="D106" s="8"/>
      <c r="E106" s="8"/>
      <c r="F106" s="10"/>
      <c r="G106" s="8"/>
    </row>
    <row r="107" customFormat="false" ht="15" hidden="false" customHeight="true" outlineLevel="0" collapsed="false">
      <c r="A107" s="8"/>
      <c r="B107" s="8"/>
      <c r="C107" s="8"/>
      <c r="D107" s="8"/>
      <c r="E107" s="8"/>
      <c r="F107" s="10"/>
      <c r="G107" s="8"/>
    </row>
    <row r="108" customFormat="false" ht="15" hidden="false" customHeight="true" outlineLevel="0" collapsed="false">
      <c r="A108" s="8"/>
      <c r="B108" s="8"/>
      <c r="C108" s="8"/>
      <c r="D108" s="8"/>
      <c r="E108" s="8"/>
      <c r="F108" s="10"/>
      <c r="G108" s="8"/>
    </row>
    <row r="109" customFormat="false" ht="15" hidden="false" customHeight="true" outlineLevel="0" collapsed="false">
      <c r="A109" s="8"/>
      <c r="B109" s="8"/>
      <c r="C109" s="8"/>
      <c r="D109" s="8"/>
      <c r="E109" s="8"/>
      <c r="F109" s="10"/>
      <c r="G109" s="8"/>
    </row>
    <row r="110" customFormat="false" ht="15" hidden="false" customHeight="true" outlineLevel="0" collapsed="false">
      <c r="A110" s="8"/>
      <c r="B110" s="8"/>
      <c r="C110" s="8"/>
      <c r="D110" s="8"/>
      <c r="E110" s="8"/>
      <c r="F110" s="10"/>
      <c r="G110" s="8"/>
    </row>
    <row r="111" customFormat="false" ht="15" hidden="false" customHeight="true" outlineLevel="0" collapsed="false">
      <c r="A111" s="8"/>
      <c r="B111" s="8"/>
      <c r="C111" s="8"/>
      <c r="D111" s="8"/>
      <c r="E111" s="8"/>
      <c r="F111" s="10"/>
      <c r="G111" s="8"/>
    </row>
    <row r="112" customFormat="false" ht="15" hidden="false" customHeight="true" outlineLevel="0" collapsed="false">
      <c r="A112" s="8"/>
      <c r="B112" s="8"/>
      <c r="C112" s="8"/>
      <c r="D112" s="8"/>
      <c r="E112" s="8"/>
      <c r="F112" s="10"/>
      <c r="G112" s="8"/>
    </row>
    <row r="113" customFormat="false" ht="15" hidden="false" customHeight="true" outlineLevel="0" collapsed="false">
      <c r="A113" s="8"/>
      <c r="B113" s="8"/>
      <c r="C113" s="8"/>
      <c r="D113" s="8"/>
      <c r="E113" s="8"/>
      <c r="F113" s="10"/>
      <c r="G113" s="8"/>
    </row>
    <row r="114" customFormat="false" ht="15" hidden="false" customHeight="true" outlineLevel="0" collapsed="false">
      <c r="A114" s="8"/>
      <c r="B114" s="8"/>
      <c r="C114" s="8"/>
      <c r="D114" s="8"/>
      <c r="E114" s="8"/>
      <c r="F114" s="10"/>
      <c r="G114" s="8"/>
    </row>
    <row r="115" customFormat="false" ht="15" hidden="false" customHeight="true" outlineLevel="0" collapsed="false">
      <c r="A115" s="8"/>
      <c r="B115" s="8"/>
      <c r="C115" s="8"/>
      <c r="D115" s="8"/>
      <c r="E115" s="8"/>
      <c r="F115" s="10"/>
      <c r="G115" s="8"/>
    </row>
    <row r="116" customFormat="false" ht="15" hidden="false" customHeight="true" outlineLevel="0" collapsed="false">
      <c r="A116" s="8"/>
      <c r="B116" s="8"/>
      <c r="C116" s="8"/>
      <c r="D116" s="8"/>
      <c r="E116" s="8"/>
      <c r="F116" s="10"/>
      <c r="G116" s="8"/>
    </row>
    <row r="117" customFormat="false" ht="15" hidden="false" customHeight="true" outlineLevel="0" collapsed="false">
      <c r="A117" s="8"/>
      <c r="B117" s="8"/>
      <c r="C117" s="8"/>
      <c r="D117" s="8"/>
      <c r="E117" s="8"/>
      <c r="F117" s="10"/>
      <c r="G117" s="8"/>
    </row>
    <row r="118" customFormat="false" ht="15" hidden="false" customHeight="true" outlineLevel="0" collapsed="false">
      <c r="A118" s="8"/>
      <c r="B118" s="8"/>
      <c r="C118" s="8"/>
      <c r="D118" s="8"/>
      <c r="E118" s="8"/>
      <c r="F118" s="10"/>
      <c r="G118" s="8"/>
    </row>
    <row r="119" customFormat="false" ht="15" hidden="false" customHeight="true" outlineLevel="0" collapsed="false">
      <c r="A119" s="8"/>
      <c r="B119" s="8"/>
      <c r="C119" s="8"/>
      <c r="D119" s="8"/>
      <c r="E119" s="8"/>
      <c r="F119" s="10"/>
      <c r="G119" s="8"/>
    </row>
    <row r="120" customFormat="false" ht="15" hidden="false" customHeight="true" outlineLevel="0" collapsed="false">
      <c r="A120" s="8"/>
      <c r="B120" s="8"/>
      <c r="C120" s="8"/>
      <c r="D120" s="8"/>
      <c r="E120" s="8"/>
      <c r="F120" s="10"/>
      <c r="G120" s="8"/>
    </row>
    <row r="121" customFormat="false" ht="15" hidden="false" customHeight="true" outlineLevel="0" collapsed="false">
      <c r="A121" s="8"/>
      <c r="B121" s="8"/>
      <c r="C121" s="8"/>
      <c r="D121" s="8"/>
      <c r="E121" s="8"/>
      <c r="F121" s="10"/>
      <c r="G121" s="8"/>
    </row>
    <row r="122" customFormat="false" ht="15" hidden="false" customHeight="true" outlineLevel="0" collapsed="false">
      <c r="A122" s="8"/>
      <c r="B122" s="8"/>
      <c r="C122" s="8"/>
      <c r="D122" s="8"/>
      <c r="E122" s="8"/>
      <c r="F122" s="10"/>
      <c r="G122" s="8"/>
    </row>
    <row r="123" customFormat="false" ht="15" hidden="false" customHeight="true" outlineLevel="0" collapsed="false">
      <c r="A123" s="8"/>
      <c r="B123" s="8"/>
      <c r="C123" s="8"/>
      <c r="D123" s="8"/>
      <c r="E123" s="8"/>
      <c r="F123" s="10"/>
      <c r="G123" s="8"/>
    </row>
    <row r="124" customFormat="false" ht="15" hidden="false" customHeight="true" outlineLevel="0" collapsed="false">
      <c r="A124" s="8"/>
      <c r="B124" s="8"/>
      <c r="C124" s="8"/>
      <c r="D124" s="8"/>
      <c r="E124" s="8"/>
      <c r="F124" s="10"/>
      <c r="G124" s="8"/>
    </row>
    <row r="125" customFormat="false" ht="15" hidden="false" customHeight="true" outlineLevel="0" collapsed="false">
      <c r="A125" s="8"/>
      <c r="B125" s="8"/>
      <c r="C125" s="8"/>
      <c r="D125" s="8"/>
      <c r="E125" s="8"/>
      <c r="F125" s="10"/>
      <c r="G125" s="8"/>
    </row>
    <row r="126" customFormat="false" ht="15" hidden="false" customHeight="true" outlineLevel="0" collapsed="false">
      <c r="A126" s="8"/>
      <c r="B126" s="8"/>
      <c r="C126" s="8"/>
      <c r="D126" s="8"/>
      <c r="E126" s="8"/>
      <c r="F126" s="10"/>
      <c r="G126" s="8"/>
    </row>
    <row r="127" customFormat="false" ht="15" hidden="false" customHeight="true" outlineLevel="0" collapsed="false">
      <c r="A127" s="8"/>
      <c r="B127" s="8"/>
      <c r="C127" s="8"/>
      <c r="D127" s="8"/>
      <c r="E127" s="8"/>
      <c r="F127" s="10"/>
      <c r="G127" s="8"/>
    </row>
    <row r="128" customFormat="false" ht="15" hidden="false" customHeight="true" outlineLevel="0" collapsed="false">
      <c r="A128" s="8"/>
      <c r="B128" s="8"/>
      <c r="C128" s="8"/>
      <c r="D128" s="8"/>
      <c r="E128" s="8"/>
      <c r="F128" s="10"/>
      <c r="G128" s="8"/>
    </row>
    <row r="129" customFormat="false" ht="15" hidden="false" customHeight="true" outlineLevel="0" collapsed="false">
      <c r="A129" s="8"/>
      <c r="B129" s="8"/>
      <c r="C129" s="8"/>
      <c r="D129" s="8"/>
      <c r="E129" s="8"/>
      <c r="F129" s="10"/>
      <c r="G129" s="8"/>
    </row>
    <row r="130" customFormat="false" ht="15" hidden="false" customHeight="true" outlineLevel="0" collapsed="false">
      <c r="A130" s="8"/>
      <c r="B130" s="8"/>
      <c r="C130" s="8"/>
      <c r="D130" s="8"/>
      <c r="E130" s="8"/>
      <c r="F130" s="10"/>
      <c r="G130" s="8"/>
    </row>
    <row r="131" customFormat="false" ht="15" hidden="false" customHeight="true" outlineLevel="0" collapsed="false">
      <c r="A131" s="8"/>
      <c r="B131" s="8"/>
      <c r="C131" s="8"/>
      <c r="D131" s="8"/>
      <c r="E131" s="8"/>
      <c r="F131" s="10"/>
      <c r="G131" s="8"/>
    </row>
    <row r="132" customFormat="false" ht="15" hidden="false" customHeight="true" outlineLevel="0" collapsed="false">
      <c r="A132" s="8"/>
      <c r="B132" s="8"/>
      <c r="C132" s="8"/>
      <c r="D132" s="8"/>
      <c r="E132" s="8"/>
      <c r="F132" s="10"/>
      <c r="G132" s="8"/>
    </row>
    <row r="133" customFormat="false" ht="15" hidden="false" customHeight="true" outlineLevel="0" collapsed="false">
      <c r="A133" s="8"/>
      <c r="B133" s="8"/>
      <c r="C133" s="8"/>
      <c r="D133" s="8"/>
      <c r="E133" s="8"/>
      <c r="F133" s="10"/>
      <c r="G133" s="8"/>
    </row>
    <row r="134" customFormat="false" ht="15" hidden="false" customHeight="true" outlineLevel="0" collapsed="false">
      <c r="A134" s="8"/>
      <c r="B134" s="8"/>
      <c r="C134" s="8"/>
      <c r="D134" s="8"/>
      <c r="E134" s="8"/>
      <c r="F134" s="10"/>
      <c r="G134" s="8"/>
    </row>
    <row r="135" customFormat="false" ht="15" hidden="false" customHeight="true" outlineLevel="0" collapsed="false">
      <c r="A135" s="8"/>
      <c r="B135" s="8"/>
      <c r="C135" s="8"/>
      <c r="D135" s="8"/>
      <c r="E135" s="8"/>
      <c r="F135" s="10"/>
      <c r="G135" s="8"/>
    </row>
    <row r="136" customFormat="false" ht="15" hidden="false" customHeight="true" outlineLevel="0" collapsed="false">
      <c r="A136" s="8"/>
      <c r="B136" s="8"/>
      <c r="C136" s="8"/>
      <c r="D136" s="8"/>
      <c r="E136" s="8"/>
      <c r="F136" s="10"/>
      <c r="G136" s="8"/>
    </row>
    <row r="137" customFormat="false" ht="15" hidden="false" customHeight="true" outlineLevel="0" collapsed="false">
      <c r="A137" s="8"/>
      <c r="B137" s="8"/>
      <c r="C137" s="8"/>
      <c r="D137" s="8"/>
      <c r="E137" s="8"/>
      <c r="F137" s="10"/>
      <c r="G137" s="8"/>
    </row>
    <row r="138" customFormat="false" ht="15" hidden="false" customHeight="true" outlineLevel="0" collapsed="false">
      <c r="A138" s="8"/>
      <c r="B138" s="8"/>
      <c r="C138" s="8"/>
      <c r="D138" s="8"/>
      <c r="E138" s="8"/>
      <c r="F138" s="10"/>
      <c r="G138" s="8"/>
    </row>
    <row r="139" customFormat="false" ht="15" hidden="false" customHeight="true" outlineLevel="0" collapsed="false">
      <c r="A139" s="8"/>
      <c r="B139" s="8"/>
      <c r="C139" s="8"/>
      <c r="D139" s="8"/>
      <c r="E139" s="8"/>
      <c r="F139" s="10"/>
      <c r="G139" s="8"/>
    </row>
    <row r="140" customFormat="false" ht="15" hidden="false" customHeight="true" outlineLevel="0" collapsed="false">
      <c r="A140" s="8"/>
      <c r="B140" s="8"/>
      <c r="C140" s="8"/>
      <c r="D140" s="8"/>
      <c r="E140" s="8"/>
      <c r="F140" s="10"/>
      <c r="G140" s="8"/>
    </row>
    <row r="141" customFormat="false" ht="15" hidden="false" customHeight="true" outlineLevel="0" collapsed="false">
      <c r="A141" s="8"/>
      <c r="B141" s="8"/>
      <c r="C141" s="8"/>
      <c r="D141" s="8"/>
      <c r="E141" s="8"/>
      <c r="F141" s="10"/>
      <c r="G141" s="8"/>
    </row>
    <row r="142" customFormat="false" ht="15" hidden="false" customHeight="true" outlineLevel="0" collapsed="false">
      <c r="A142" s="8"/>
      <c r="B142" s="8"/>
      <c r="C142" s="8"/>
      <c r="D142" s="8"/>
      <c r="E142" s="8"/>
      <c r="F142" s="10"/>
      <c r="G142" s="8"/>
    </row>
    <row r="143" customFormat="false" ht="15" hidden="false" customHeight="true" outlineLevel="0" collapsed="false">
      <c r="A143" s="8"/>
      <c r="B143" s="8"/>
      <c r="C143" s="8"/>
      <c r="D143" s="8"/>
      <c r="E143" s="8"/>
      <c r="F143" s="10"/>
      <c r="G143" s="8"/>
    </row>
    <row r="144" customFormat="false" ht="15" hidden="false" customHeight="true" outlineLevel="0" collapsed="false">
      <c r="A144" s="8"/>
      <c r="B144" s="8"/>
      <c r="C144" s="8"/>
      <c r="D144" s="8"/>
      <c r="E144" s="8"/>
      <c r="F144" s="10"/>
      <c r="G144" s="8"/>
    </row>
    <row r="145" customFormat="false" ht="15" hidden="false" customHeight="true" outlineLevel="0" collapsed="false">
      <c r="A145" s="8"/>
      <c r="B145" s="8"/>
      <c r="C145" s="8"/>
      <c r="D145" s="8"/>
      <c r="E145" s="8"/>
      <c r="F145" s="10"/>
      <c r="G145" s="8"/>
    </row>
    <row r="146" customFormat="false" ht="15" hidden="false" customHeight="true" outlineLevel="0" collapsed="false">
      <c r="A146" s="8"/>
      <c r="B146" s="8"/>
      <c r="C146" s="8"/>
      <c r="D146" s="8"/>
      <c r="E146" s="8"/>
      <c r="F146" s="10"/>
      <c r="G146" s="8"/>
    </row>
    <row r="147" customFormat="false" ht="15" hidden="false" customHeight="true" outlineLevel="0" collapsed="false">
      <c r="A147" s="8"/>
      <c r="B147" s="8"/>
      <c r="C147" s="8"/>
      <c r="D147" s="8"/>
      <c r="E147" s="8"/>
      <c r="F147" s="10"/>
      <c r="G147" s="8"/>
    </row>
    <row r="148" customFormat="false" ht="15" hidden="false" customHeight="true" outlineLevel="0" collapsed="false">
      <c r="A148" s="8"/>
      <c r="B148" s="8"/>
      <c r="C148" s="8"/>
      <c r="D148" s="8"/>
      <c r="E148" s="8"/>
      <c r="F148" s="10"/>
      <c r="G148" s="8"/>
    </row>
    <row r="149" customFormat="false" ht="15" hidden="false" customHeight="true" outlineLevel="0" collapsed="false">
      <c r="A149" s="8"/>
      <c r="B149" s="8"/>
      <c r="C149" s="8"/>
      <c r="D149" s="8"/>
      <c r="E149" s="8"/>
      <c r="F149" s="10"/>
      <c r="G149" s="8"/>
    </row>
    <row r="150" customFormat="false" ht="15" hidden="false" customHeight="true" outlineLevel="0" collapsed="false">
      <c r="A150" s="8"/>
      <c r="B150" s="8"/>
      <c r="C150" s="8"/>
      <c r="D150" s="8"/>
      <c r="E150" s="8"/>
      <c r="F150" s="10"/>
      <c r="G150" s="8"/>
    </row>
    <row r="151" customFormat="false" ht="15" hidden="false" customHeight="true" outlineLevel="0" collapsed="false">
      <c r="A151" s="8"/>
      <c r="B151" s="8"/>
      <c r="C151" s="8"/>
      <c r="D151" s="8"/>
      <c r="E151" s="8"/>
      <c r="F151" s="10"/>
      <c r="G151" s="8"/>
    </row>
    <row r="152" customFormat="false" ht="15" hidden="false" customHeight="true" outlineLevel="0" collapsed="false">
      <c r="A152" s="8"/>
      <c r="B152" s="8"/>
      <c r="C152" s="8"/>
      <c r="D152" s="8"/>
      <c r="E152" s="8"/>
      <c r="F152" s="10"/>
      <c r="G152" s="8"/>
    </row>
    <row r="153" customFormat="false" ht="15" hidden="false" customHeight="true" outlineLevel="0" collapsed="false">
      <c r="A153" s="8"/>
      <c r="B153" s="8"/>
      <c r="C153" s="8"/>
      <c r="D153" s="8"/>
      <c r="E153" s="8"/>
      <c r="F153" s="10"/>
      <c r="G153" s="8"/>
    </row>
    <row r="154" customFormat="false" ht="15" hidden="false" customHeight="true" outlineLevel="0" collapsed="false">
      <c r="A154" s="8"/>
      <c r="B154" s="8"/>
      <c r="C154" s="8"/>
      <c r="D154" s="8"/>
      <c r="E154" s="8"/>
      <c r="F154" s="10"/>
      <c r="G154" s="8"/>
    </row>
    <row r="155" customFormat="false" ht="15" hidden="false" customHeight="true" outlineLevel="0" collapsed="false">
      <c r="A155" s="8"/>
      <c r="B155" s="8"/>
      <c r="C155" s="8"/>
      <c r="D155" s="8"/>
      <c r="E155" s="8"/>
      <c r="F155" s="10"/>
      <c r="G155" s="8"/>
    </row>
    <row r="156" customFormat="false" ht="15" hidden="false" customHeight="true" outlineLevel="0" collapsed="false">
      <c r="A156" s="8"/>
      <c r="B156" s="8"/>
      <c r="C156" s="8"/>
      <c r="D156" s="8"/>
      <c r="E156" s="8"/>
      <c r="F156" s="10"/>
      <c r="G156" s="8"/>
    </row>
    <row r="157" customFormat="false" ht="15" hidden="false" customHeight="true" outlineLevel="0" collapsed="false">
      <c r="A157" s="8"/>
      <c r="B157" s="8"/>
      <c r="C157" s="8"/>
      <c r="D157" s="8"/>
      <c r="E157" s="8"/>
      <c r="F157" s="10"/>
      <c r="G157" s="8"/>
    </row>
    <row r="158" customFormat="false" ht="15" hidden="false" customHeight="true" outlineLevel="0" collapsed="false">
      <c r="A158" s="8"/>
      <c r="B158" s="8"/>
      <c r="C158" s="8"/>
      <c r="D158" s="8"/>
      <c r="E158" s="8"/>
      <c r="F158" s="10"/>
      <c r="G158" s="8"/>
    </row>
    <row r="159" customFormat="false" ht="15" hidden="false" customHeight="true" outlineLevel="0" collapsed="false">
      <c r="A159" s="8"/>
      <c r="B159" s="8"/>
      <c r="C159" s="8"/>
      <c r="D159" s="8"/>
      <c r="E159" s="8"/>
      <c r="F159" s="10"/>
      <c r="G159" s="8"/>
    </row>
    <row r="160" customFormat="false" ht="15" hidden="false" customHeight="true" outlineLevel="0" collapsed="false">
      <c r="A160" s="8"/>
      <c r="B160" s="8"/>
      <c r="C160" s="8"/>
      <c r="D160" s="8"/>
      <c r="E160" s="8"/>
      <c r="F160" s="10"/>
      <c r="G160" s="8"/>
    </row>
    <row r="161" customFormat="false" ht="15" hidden="false" customHeight="true" outlineLevel="0" collapsed="false">
      <c r="A161" s="8"/>
      <c r="B161" s="8"/>
      <c r="C161" s="8"/>
      <c r="D161" s="8"/>
      <c r="E161" s="8"/>
      <c r="F161" s="10"/>
      <c r="G161" s="8"/>
    </row>
    <row r="162" customFormat="false" ht="15" hidden="false" customHeight="true" outlineLevel="0" collapsed="false">
      <c r="A162" s="8"/>
      <c r="B162" s="8"/>
      <c r="C162" s="8"/>
      <c r="D162" s="8"/>
      <c r="E162" s="8"/>
      <c r="F162" s="10"/>
      <c r="G162" s="8"/>
    </row>
    <row r="163" customFormat="false" ht="15" hidden="false" customHeight="true" outlineLevel="0" collapsed="false">
      <c r="A163" s="8"/>
      <c r="B163" s="8"/>
      <c r="C163" s="8"/>
      <c r="D163" s="8"/>
      <c r="E163" s="8"/>
      <c r="F163" s="10"/>
      <c r="G163" s="8"/>
    </row>
    <row r="164" customFormat="false" ht="15" hidden="false" customHeight="true" outlineLevel="0" collapsed="false">
      <c r="A164" s="8"/>
      <c r="B164" s="8"/>
      <c r="C164" s="8"/>
      <c r="D164" s="8"/>
      <c r="E164" s="8"/>
      <c r="F164" s="10"/>
      <c r="G164" s="8"/>
    </row>
    <row r="165" customFormat="false" ht="15" hidden="false" customHeight="true" outlineLevel="0" collapsed="false">
      <c r="A165" s="8"/>
      <c r="B165" s="8"/>
      <c r="C165" s="8"/>
      <c r="D165" s="8"/>
      <c r="E165" s="8"/>
      <c r="F165" s="10"/>
      <c r="G165" s="8"/>
    </row>
    <row r="166" customFormat="false" ht="15" hidden="false" customHeight="true" outlineLevel="0" collapsed="false">
      <c r="A166" s="8"/>
      <c r="B166" s="8"/>
      <c r="C166" s="8"/>
      <c r="D166" s="8"/>
      <c r="E166" s="8"/>
      <c r="F166" s="10"/>
      <c r="G166" s="8"/>
    </row>
    <row r="167" customFormat="false" ht="15" hidden="false" customHeight="true" outlineLevel="0" collapsed="false">
      <c r="A167" s="8"/>
      <c r="B167" s="8"/>
      <c r="C167" s="8"/>
      <c r="D167" s="8"/>
      <c r="E167" s="8"/>
      <c r="F167" s="10"/>
      <c r="G167" s="8"/>
    </row>
    <row r="168" customFormat="false" ht="15" hidden="false" customHeight="true" outlineLevel="0" collapsed="false">
      <c r="A168" s="8"/>
      <c r="B168" s="8"/>
      <c r="C168" s="8"/>
      <c r="D168" s="8"/>
      <c r="E168" s="8"/>
      <c r="F168" s="10"/>
      <c r="G168" s="8"/>
    </row>
    <row r="169" customFormat="false" ht="15" hidden="false" customHeight="true" outlineLevel="0" collapsed="false">
      <c r="A169" s="8"/>
      <c r="B169" s="8"/>
      <c r="C169" s="8"/>
      <c r="D169" s="8"/>
      <c r="E169" s="8"/>
      <c r="F169" s="10"/>
      <c r="G169" s="8"/>
    </row>
    <row r="170" customFormat="false" ht="15" hidden="false" customHeight="true" outlineLevel="0" collapsed="false">
      <c r="A170" s="8"/>
      <c r="B170" s="8"/>
      <c r="C170" s="8"/>
      <c r="D170" s="8"/>
      <c r="E170" s="8"/>
      <c r="F170" s="10"/>
      <c r="G170" s="8"/>
    </row>
    <row r="171" customFormat="false" ht="15" hidden="false" customHeight="true" outlineLevel="0" collapsed="false">
      <c r="A171" s="8"/>
      <c r="B171" s="8"/>
      <c r="C171" s="8"/>
      <c r="D171" s="8"/>
      <c r="E171" s="8"/>
      <c r="F171" s="10"/>
      <c r="G171" s="8"/>
    </row>
    <row r="172" customFormat="false" ht="15" hidden="false" customHeight="true" outlineLevel="0" collapsed="false">
      <c r="A172" s="8"/>
      <c r="B172" s="8"/>
      <c r="C172" s="8"/>
      <c r="D172" s="8"/>
      <c r="E172" s="8"/>
      <c r="F172" s="10"/>
      <c r="G172" s="8"/>
    </row>
    <row r="173" customFormat="false" ht="15" hidden="false" customHeight="true" outlineLevel="0" collapsed="false">
      <c r="A173" s="8"/>
      <c r="B173" s="8"/>
      <c r="C173" s="8"/>
      <c r="D173" s="8"/>
      <c r="E173" s="8"/>
      <c r="F173" s="10"/>
      <c r="G173" s="8"/>
    </row>
    <row r="174" customFormat="false" ht="15" hidden="false" customHeight="true" outlineLevel="0" collapsed="false">
      <c r="A174" s="8"/>
      <c r="B174" s="8"/>
      <c r="C174" s="8"/>
      <c r="D174" s="8"/>
      <c r="E174" s="8"/>
      <c r="F174" s="10"/>
      <c r="G174" s="8"/>
    </row>
    <row r="175" customFormat="false" ht="15" hidden="false" customHeight="true" outlineLevel="0" collapsed="false">
      <c r="A175" s="8"/>
      <c r="B175" s="8"/>
      <c r="C175" s="8"/>
      <c r="D175" s="8"/>
      <c r="E175" s="8"/>
      <c r="F175" s="10"/>
      <c r="G175" s="8"/>
    </row>
    <row r="176" customFormat="false" ht="15" hidden="false" customHeight="true" outlineLevel="0" collapsed="false">
      <c r="A176" s="8"/>
      <c r="B176" s="8"/>
      <c r="C176" s="8"/>
      <c r="D176" s="8"/>
      <c r="E176" s="8"/>
      <c r="F176" s="10"/>
      <c r="G176" s="8"/>
    </row>
    <row r="177" customFormat="false" ht="15" hidden="false" customHeight="true" outlineLevel="0" collapsed="false">
      <c r="A177" s="8"/>
      <c r="B177" s="8"/>
      <c r="C177" s="8"/>
      <c r="D177" s="8"/>
      <c r="E177" s="8"/>
      <c r="F177" s="10"/>
      <c r="G177" s="8"/>
    </row>
    <row r="178" customFormat="false" ht="15" hidden="false" customHeight="true" outlineLevel="0" collapsed="false">
      <c r="A178" s="8"/>
      <c r="B178" s="8"/>
      <c r="C178" s="8"/>
      <c r="D178" s="8"/>
      <c r="E178" s="8"/>
      <c r="F178" s="10"/>
      <c r="G178" s="8"/>
    </row>
    <row r="179" customFormat="false" ht="15" hidden="false" customHeight="true" outlineLevel="0" collapsed="false">
      <c r="A179" s="8"/>
      <c r="B179" s="8"/>
      <c r="C179" s="8"/>
      <c r="D179" s="8"/>
      <c r="E179" s="8"/>
      <c r="F179" s="10"/>
      <c r="G179" s="8"/>
    </row>
    <row r="180" customFormat="false" ht="15" hidden="false" customHeight="true" outlineLevel="0" collapsed="false">
      <c r="A180" s="8"/>
      <c r="B180" s="8"/>
      <c r="C180" s="8"/>
      <c r="D180" s="8"/>
      <c r="E180" s="8"/>
      <c r="F180" s="10"/>
      <c r="G180" s="8"/>
    </row>
    <row r="181" customFormat="false" ht="15" hidden="false" customHeight="true" outlineLevel="0" collapsed="false">
      <c r="A181" s="8"/>
      <c r="B181" s="8"/>
      <c r="C181" s="8"/>
      <c r="D181" s="8"/>
      <c r="E181" s="8"/>
      <c r="F181" s="10"/>
      <c r="G181" s="8"/>
    </row>
    <row r="182" customFormat="false" ht="15" hidden="false" customHeight="true" outlineLevel="0" collapsed="false">
      <c r="A182" s="8"/>
      <c r="B182" s="8"/>
      <c r="C182" s="8"/>
      <c r="D182" s="8"/>
      <c r="E182" s="8"/>
      <c r="F182" s="10"/>
      <c r="G182" s="8"/>
    </row>
    <row r="183" customFormat="false" ht="15" hidden="false" customHeight="true" outlineLevel="0" collapsed="false">
      <c r="A183" s="8"/>
      <c r="B183" s="8"/>
      <c r="C183" s="8"/>
      <c r="D183" s="8"/>
      <c r="E183" s="8"/>
      <c r="F183" s="10"/>
      <c r="G183" s="8"/>
    </row>
    <row r="184" customFormat="false" ht="15" hidden="false" customHeight="true" outlineLevel="0" collapsed="false">
      <c r="A184" s="8"/>
      <c r="B184" s="8"/>
      <c r="C184" s="8"/>
      <c r="D184" s="8"/>
      <c r="E184" s="8"/>
      <c r="F184" s="10"/>
      <c r="G184" s="8"/>
    </row>
    <row r="185" customFormat="false" ht="15" hidden="false" customHeight="true" outlineLevel="0" collapsed="false">
      <c r="A185" s="8"/>
      <c r="B185" s="8"/>
      <c r="C185" s="8"/>
      <c r="D185" s="8"/>
      <c r="E185" s="8"/>
      <c r="F185" s="10"/>
      <c r="G185" s="8"/>
    </row>
    <row r="186" customFormat="false" ht="15" hidden="false" customHeight="true" outlineLevel="0" collapsed="false">
      <c r="A186" s="8"/>
      <c r="B186" s="8"/>
      <c r="C186" s="8"/>
      <c r="D186" s="8"/>
      <c r="E186" s="8"/>
      <c r="F186" s="10"/>
      <c r="G186" s="8"/>
    </row>
    <row r="187" customFormat="false" ht="15" hidden="false" customHeight="true" outlineLevel="0" collapsed="false">
      <c r="A187" s="8"/>
      <c r="B187" s="8"/>
      <c r="C187" s="8"/>
      <c r="D187" s="8"/>
      <c r="E187" s="8"/>
      <c r="F187" s="10"/>
      <c r="G187" s="8"/>
    </row>
    <row r="188" customFormat="false" ht="15" hidden="false" customHeight="true" outlineLevel="0" collapsed="false">
      <c r="A188" s="8"/>
      <c r="B188" s="8"/>
      <c r="C188" s="8"/>
      <c r="D188" s="8"/>
      <c r="E188" s="8"/>
      <c r="F188" s="10"/>
      <c r="G188" s="8"/>
    </row>
    <row r="189" customFormat="false" ht="15" hidden="false" customHeight="true" outlineLevel="0" collapsed="false">
      <c r="A189" s="8"/>
      <c r="B189" s="8"/>
      <c r="C189" s="8"/>
      <c r="D189" s="8"/>
      <c r="E189" s="8"/>
      <c r="F189" s="10"/>
      <c r="G189" s="8"/>
    </row>
    <row r="190" customFormat="false" ht="15" hidden="false" customHeight="true" outlineLevel="0" collapsed="false">
      <c r="A190" s="8"/>
      <c r="B190" s="8"/>
      <c r="C190" s="8"/>
      <c r="D190" s="8"/>
      <c r="E190" s="8"/>
      <c r="F190" s="10"/>
      <c r="G190" s="8"/>
    </row>
    <row r="191" customFormat="false" ht="15" hidden="false" customHeight="true" outlineLevel="0" collapsed="false">
      <c r="A191" s="8"/>
      <c r="B191" s="8"/>
      <c r="C191" s="8"/>
      <c r="D191" s="8"/>
      <c r="E191" s="8"/>
      <c r="F191" s="10"/>
      <c r="G191" s="8"/>
    </row>
    <row r="192" customFormat="false" ht="15" hidden="false" customHeight="true" outlineLevel="0" collapsed="false">
      <c r="A192" s="8"/>
      <c r="B192" s="8"/>
      <c r="C192" s="8"/>
      <c r="D192" s="8"/>
      <c r="E192" s="8"/>
      <c r="F192" s="10"/>
      <c r="G192" s="8"/>
    </row>
    <row r="193" customFormat="false" ht="15" hidden="false" customHeight="true" outlineLevel="0" collapsed="false">
      <c r="A193" s="8"/>
      <c r="B193" s="8"/>
      <c r="C193" s="8"/>
      <c r="D193" s="8"/>
      <c r="E193" s="8"/>
      <c r="F193" s="10"/>
      <c r="G193" s="8"/>
    </row>
    <row r="194" customFormat="false" ht="15" hidden="false" customHeight="true" outlineLevel="0" collapsed="false">
      <c r="A194" s="8"/>
      <c r="B194" s="8"/>
      <c r="C194" s="8"/>
      <c r="D194" s="8"/>
      <c r="E194" s="8"/>
      <c r="F194" s="10"/>
      <c r="G194" s="8"/>
    </row>
    <row r="195" customFormat="false" ht="15" hidden="false" customHeight="true" outlineLevel="0" collapsed="false">
      <c r="A195" s="8"/>
      <c r="B195" s="8"/>
      <c r="C195" s="8"/>
      <c r="D195" s="8"/>
      <c r="E195" s="8"/>
      <c r="F195" s="10"/>
      <c r="G195" s="8"/>
    </row>
    <row r="196" customFormat="false" ht="15" hidden="false" customHeight="true" outlineLevel="0" collapsed="false">
      <c r="A196" s="8"/>
      <c r="B196" s="8"/>
      <c r="C196" s="8"/>
      <c r="D196" s="8"/>
      <c r="E196" s="8"/>
      <c r="F196" s="10"/>
      <c r="G196" s="8"/>
    </row>
    <row r="197" customFormat="false" ht="15" hidden="false" customHeight="true" outlineLevel="0" collapsed="false">
      <c r="A197" s="8"/>
      <c r="B197" s="8"/>
      <c r="C197" s="8"/>
      <c r="D197" s="8"/>
      <c r="E197" s="8"/>
      <c r="F197" s="10"/>
      <c r="G197" s="8"/>
    </row>
    <row r="198" customFormat="false" ht="15" hidden="false" customHeight="true" outlineLevel="0" collapsed="false">
      <c r="A198" s="8"/>
      <c r="B198" s="8"/>
      <c r="C198" s="8"/>
      <c r="D198" s="8"/>
      <c r="E198" s="8"/>
      <c r="F198" s="10"/>
      <c r="G198" s="8"/>
    </row>
    <row r="199" customFormat="false" ht="15" hidden="false" customHeight="true" outlineLevel="0" collapsed="false">
      <c r="A199" s="8"/>
      <c r="B199" s="8"/>
      <c r="C199" s="8"/>
      <c r="D199" s="8"/>
      <c r="E199" s="8"/>
      <c r="F199" s="10"/>
      <c r="G199" s="8"/>
    </row>
    <row r="200" customFormat="false" ht="15" hidden="false" customHeight="true" outlineLevel="0" collapsed="false">
      <c r="A200" s="8"/>
      <c r="B200" s="8"/>
      <c r="C200" s="8"/>
      <c r="D200" s="8"/>
      <c r="E200" s="8"/>
      <c r="F200" s="10"/>
      <c r="G200" s="8"/>
    </row>
    <row r="201" customFormat="false" ht="15" hidden="false" customHeight="true" outlineLevel="0" collapsed="false">
      <c r="A201" s="8"/>
      <c r="B201" s="8"/>
      <c r="C201" s="8"/>
      <c r="D201" s="8"/>
      <c r="E201" s="8"/>
      <c r="F201" s="10"/>
      <c r="G201" s="8"/>
    </row>
    <row r="202" customFormat="false" ht="15" hidden="false" customHeight="true" outlineLevel="0" collapsed="false">
      <c r="A202" s="8"/>
      <c r="B202" s="8"/>
      <c r="C202" s="8"/>
      <c r="D202" s="8"/>
      <c r="E202" s="8"/>
      <c r="F202" s="10"/>
      <c r="G202" s="8"/>
    </row>
    <row r="203" customFormat="false" ht="15" hidden="false" customHeight="true" outlineLevel="0" collapsed="false">
      <c r="A203" s="8"/>
      <c r="B203" s="8"/>
      <c r="C203" s="8"/>
      <c r="D203" s="8"/>
      <c r="E203" s="8"/>
      <c r="F203" s="10"/>
      <c r="G203" s="8"/>
    </row>
    <row r="204" customFormat="false" ht="15" hidden="false" customHeight="true" outlineLevel="0" collapsed="false">
      <c r="A204" s="8"/>
      <c r="B204" s="8"/>
      <c r="C204" s="8"/>
      <c r="D204" s="8"/>
      <c r="E204" s="8"/>
      <c r="F204" s="10"/>
      <c r="G204" s="8"/>
    </row>
    <row r="205" customFormat="false" ht="15" hidden="false" customHeight="true" outlineLevel="0" collapsed="false">
      <c r="A205" s="8"/>
      <c r="B205" s="8"/>
      <c r="C205" s="8"/>
      <c r="D205" s="8"/>
      <c r="E205" s="8"/>
      <c r="F205" s="10"/>
      <c r="G205" s="8"/>
    </row>
    <row r="206" customFormat="false" ht="15" hidden="false" customHeight="true" outlineLevel="0" collapsed="false">
      <c r="A206" s="8"/>
      <c r="B206" s="8"/>
      <c r="C206" s="8"/>
      <c r="D206" s="8"/>
      <c r="E206" s="8"/>
      <c r="F206" s="10"/>
      <c r="G206" s="8"/>
    </row>
    <row r="207" customFormat="false" ht="15" hidden="false" customHeight="true" outlineLevel="0" collapsed="false">
      <c r="A207" s="8"/>
      <c r="B207" s="8"/>
      <c r="C207" s="8"/>
      <c r="D207" s="8"/>
      <c r="E207" s="8"/>
      <c r="F207" s="10"/>
      <c r="G207" s="8"/>
    </row>
    <row r="208" customFormat="false" ht="15" hidden="false" customHeight="true" outlineLevel="0" collapsed="false">
      <c r="A208" s="8"/>
      <c r="B208" s="8"/>
      <c r="C208" s="8"/>
      <c r="D208" s="8"/>
      <c r="E208" s="8"/>
      <c r="F208" s="10"/>
      <c r="G208" s="8"/>
    </row>
    <row r="209" customFormat="false" ht="15" hidden="false" customHeight="true" outlineLevel="0" collapsed="false">
      <c r="A209" s="8"/>
      <c r="B209" s="8"/>
      <c r="C209" s="8"/>
      <c r="D209" s="8"/>
      <c r="E209" s="8"/>
      <c r="F209" s="10"/>
      <c r="G209" s="8"/>
    </row>
    <row r="210" customFormat="false" ht="15" hidden="false" customHeight="true" outlineLevel="0" collapsed="false">
      <c r="A210" s="8"/>
      <c r="B210" s="8"/>
      <c r="C210" s="8"/>
      <c r="D210" s="8"/>
      <c r="E210" s="8"/>
      <c r="F210" s="10"/>
      <c r="G210" s="8"/>
    </row>
    <row r="211" customFormat="false" ht="15" hidden="false" customHeight="true" outlineLevel="0" collapsed="false">
      <c r="A211" s="8"/>
      <c r="B211" s="8"/>
      <c r="C211" s="8"/>
      <c r="D211" s="8"/>
      <c r="E211" s="8"/>
      <c r="F211" s="10"/>
      <c r="G211" s="8"/>
    </row>
    <row r="212" customFormat="false" ht="15" hidden="false" customHeight="true" outlineLevel="0" collapsed="false">
      <c r="A212" s="8"/>
      <c r="B212" s="8"/>
      <c r="C212" s="8"/>
      <c r="D212" s="8"/>
      <c r="E212" s="8"/>
      <c r="F212" s="10"/>
      <c r="G212" s="8"/>
    </row>
    <row r="213" customFormat="false" ht="15" hidden="false" customHeight="true" outlineLevel="0" collapsed="false">
      <c r="A213" s="8"/>
      <c r="B213" s="8"/>
      <c r="C213" s="8"/>
      <c r="D213" s="8"/>
      <c r="E213" s="8"/>
      <c r="F213" s="10"/>
      <c r="G213" s="8"/>
    </row>
    <row r="214" customFormat="false" ht="15" hidden="false" customHeight="true" outlineLevel="0" collapsed="false">
      <c r="A214" s="8"/>
      <c r="B214" s="8"/>
      <c r="C214" s="8"/>
      <c r="D214" s="8"/>
      <c r="E214" s="8"/>
      <c r="F214" s="10"/>
      <c r="G214" s="8"/>
    </row>
    <row r="215" customFormat="false" ht="15" hidden="false" customHeight="true" outlineLevel="0" collapsed="false">
      <c r="A215" s="8"/>
      <c r="B215" s="8"/>
      <c r="C215" s="8"/>
      <c r="D215" s="8"/>
      <c r="E215" s="8"/>
      <c r="F215" s="10"/>
      <c r="G215" s="8"/>
    </row>
    <row r="216" customFormat="false" ht="15" hidden="false" customHeight="true" outlineLevel="0" collapsed="false">
      <c r="A216" s="8"/>
      <c r="B216" s="8"/>
      <c r="C216" s="8"/>
      <c r="D216" s="8"/>
      <c r="E216" s="8"/>
      <c r="F216" s="10"/>
      <c r="G216" s="8"/>
    </row>
    <row r="217" customFormat="false" ht="15" hidden="false" customHeight="true" outlineLevel="0" collapsed="false">
      <c r="A217" s="8"/>
      <c r="B217" s="8"/>
      <c r="C217" s="8"/>
      <c r="D217" s="8"/>
      <c r="E217" s="8"/>
      <c r="F217" s="10"/>
      <c r="G217" s="8"/>
    </row>
    <row r="218" customFormat="false" ht="15" hidden="false" customHeight="true" outlineLevel="0" collapsed="false">
      <c r="A218" s="8"/>
      <c r="B218" s="8"/>
      <c r="C218" s="8"/>
      <c r="D218" s="8"/>
      <c r="E218" s="8"/>
      <c r="F218" s="10"/>
      <c r="G218" s="8"/>
    </row>
    <row r="219" customFormat="false" ht="15" hidden="false" customHeight="true" outlineLevel="0" collapsed="false">
      <c r="A219" s="8"/>
      <c r="B219" s="8"/>
      <c r="C219" s="8"/>
      <c r="D219" s="8"/>
      <c r="E219" s="8"/>
      <c r="F219" s="10"/>
      <c r="G219" s="8"/>
    </row>
    <row r="220" customFormat="false" ht="15" hidden="false" customHeight="true" outlineLevel="0" collapsed="false">
      <c r="A220" s="8"/>
      <c r="B220" s="8"/>
      <c r="C220" s="8"/>
      <c r="D220" s="8"/>
      <c r="E220" s="8"/>
      <c r="F220" s="10"/>
      <c r="G220" s="8"/>
    </row>
    <row r="221" customFormat="false" ht="15" hidden="false" customHeight="true" outlineLevel="0" collapsed="false">
      <c r="A221" s="8"/>
      <c r="B221" s="8"/>
      <c r="C221" s="8"/>
      <c r="D221" s="8"/>
      <c r="E221" s="8"/>
      <c r="F221" s="10"/>
      <c r="G221" s="8"/>
    </row>
    <row r="222" customFormat="false" ht="15" hidden="false" customHeight="true" outlineLevel="0" collapsed="false">
      <c r="A222" s="8"/>
      <c r="B222" s="8"/>
      <c r="C222" s="8"/>
      <c r="D222" s="8"/>
      <c r="E222" s="8"/>
      <c r="F222" s="10"/>
      <c r="G222" s="8"/>
    </row>
    <row r="223" customFormat="false" ht="15" hidden="false" customHeight="true" outlineLevel="0" collapsed="false">
      <c r="A223" s="8"/>
      <c r="B223" s="8"/>
      <c r="C223" s="8"/>
      <c r="D223" s="8"/>
      <c r="E223" s="8"/>
      <c r="F223" s="10"/>
      <c r="G223" s="8"/>
    </row>
    <row r="224" customFormat="false" ht="15" hidden="false" customHeight="true" outlineLevel="0" collapsed="false">
      <c r="A224" s="8"/>
      <c r="B224" s="8"/>
      <c r="C224" s="8"/>
      <c r="D224" s="8"/>
      <c r="E224" s="8"/>
      <c r="F224" s="10"/>
      <c r="G224" s="8"/>
    </row>
    <row r="225" customFormat="false" ht="15" hidden="false" customHeight="true" outlineLevel="0" collapsed="false">
      <c r="A225" s="8"/>
      <c r="B225" s="8"/>
      <c r="C225" s="8"/>
      <c r="D225" s="8"/>
      <c r="E225" s="8"/>
      <c r="F225" s="10"/>
      <c r="G225" s="8"/>
    </row>
    <row r="226" customFormat="false" ht="15" hidden="false" customHeight="true" outlineLevel="0" collapsed="false">
      <c r="A226" s="8"/>
      <c r="B226" s="8"/>
      <c r="C226" s="8"/>
      <c r="D226" s="8"/>
      <c r="E226" s="8"/>
      <c r="F226" s="10"/>
      <c r="G226" s="8"/>
    </row>
    <row r="227" customFormat="false" ht="15" hidden="false" customHeight="true" outlineLevel="0" collapsed="false">
      <c r="A227" s="8"/>
      <c r="B227" s="8"/>
      <c r="C227" s="8"/>
      <c r="D227" s="8"/>
      <c r="E227" s="8"/>
      <c r="F227" s="10"/>
      <c r="G227" s="8"/>
    </row>
    <row r="228" customFormat="false" ht="15" hidden="false" customHeight="true" outlineLevel="0" collapsed="false">
      <c r="A228" s="8"/>
      <c r="B228" s="8"/>
      <c r="C228" s="8"/>
      <c r="D228" s="8"/>
      <c r="E228" s="8"/>
      <c r="F228" s="10"/>
      <c r="G228" s="8"/>
    </row>
    <row r="229" customFormat="false" ht="15" hidden="false" customHeight="true" outlineLevel="0" collapsed="false">
      <c r="A229" s="8"/>
      <c r="B229" s="8"/>
      <c r="C229" s="8"/>
      <c r="D229" s="8"/>
      <c r="E229" s="8"/>
      <c r="F229" s="10"/>
      <c r="G229" s="8"/>
    </row>
    <row r="230" customFormat="false" ht="15" hidden="false" customHeight="true" outlineLevel="0" collapsed="false">
      <c r="A230" s="8"/>
      <c r="B230" s="8"/>
      <c r="C230" s="8"/>
      <c r="D230" s="8"/>
      <c r="E230" s="8"/>
      <c r="F230" s="10"/>
      <c r="G230" s="8"/>
    </row>
    <row r="231" customFormat="false" ht="15" hidden="false" customHeight="true" outlineLevel="0" collapsed="false">
      <c r="A231" s="8"/>
      <c r="B231" s="8"/>
      <c r="C231" s="8"/>
      <c r="D231" s="8"/>
      <c r="E231" s="8"/>
      <c r="F231" s="10"/>
      <c r="G231" s="8"/>
    </row>
    <row r="232" customFormat="false" ht="15" hidden="false" customHeight="true" outlineLevel="0" collapsed="false">
      <c r="A232" s="8"/>
      <c r="B232" s="8"/>
      <c r="C232" s="8"/>
      <c r="D232" s="8"/>
      <c r="E232" s="8"/>
      <c r="F232" s="10"/>
      <c r="G232" s="8"/>
    </row>
    <row r="233" customFormat="false" ht="15" hidden="false" customHeight="true" outlineLevel="0" collapsed="false">
      <c r="A233" s="8"/>
      <c r="B233" s="8"/>
      <c r="C233" s="8"/>
      <c r="D233" s="8"/>
      <c r="E233" s="8"/>
      <c r="F233" s="10"/>
      <c r="G233" s="8"/>
    </row>
    <row r="234" customFormat="false" ht="15" hidden="false" customHeight="true" outlineLevel="0" collapsed="false">
      <c r="A234" s="8"/>
      <c r="B234" s="8"/>
      <c r="C234" s="8"/>
      <c r="D234" s="8"/>
      <c r="E234" s="8"/>
      <c r="F234" s="10"/>
      <c r="G234" s="8"/>
    </row>
    <row r="235" customFormat="false" ht="15" hidden="false" customHeight="true" outlineLevel="0" collapsed="false">
      <c r="A235" s="8"/>
      <c r="B235" s="8"/>
      <c r="C235" s="8"/>
      <c r="D235" s="8"/>
      <c r="E235" s="8"/>
      <c r="F235" s="10"/>
      <c r="G235" s="8"/>
    </row>
    <row r="236" customFormat="false" ht="15" hidden="false" customHeight="true" outlineLevel="0" collapsed="false">
      <c r="A236" s="8"/>
      <c r="B236" s="8"/>
      <c r="C236" s="8"/>
      <c r="D236" s="8"/>
      <c r="E236" s="8"/>
      <c r="F236" s="10"/>
      <c r="G236" s="8"/>
    </row>
    <row r="237" customFormat="false" ht="15" hidden="false" customHeight="true" outlineLevel="0" collapsed="false">
      <c r="A237" s="8"/>
      <c r="B237" s="8"/>
      <c r="C237" s="8"/>
      <c r="D237" s="8"/>
      <c r="E237" s="8"/>
      <c r="F237" s="10"/>
      <c r="G237" s="8"/>
    </row>
    <row r="238" customFormat="false" ht="15" hidden="false" customHeight="true" outlineLevel="0" collapsed="false">
      <c r="A238" s="8"/>
      <c r="B238" s="8"/>
      <c r="C238" s="8"/>
      <c r="D238" s="8"/>
      <c r="E238" s="8"/>
      <c r="F238" s="10"/>
      <c r="G238" s="8"/>
    </row>
    <row r="239" customFormat="false" ht="15" hidden="false" customHeight="true" outlineLevel="0" collapsed="false">
      <c r="A239" s="8"/>
      <c r="B239" s="8"/>
      <c r="C239" s="8"/>
      <c r="D239" s="8"/>
      <c r="E239" s="8"/>
      <c r="F239" s="10"/>
      <c r="G239" s="8"/>
    </row>
    <row r="240" customFormat="false" ht="15" hidden="false" customHeight="true" outlineLevel="0" collapsed="false">
      <c r="A240" s="8"/>
      <c r="B240" s="8"/>
      <c r="C240" s="8"/>
      <c r="D240" s="8"/>
      <c r="E240" s="8"/>
      <c r="F240" s="10"/>
      <c r="G240" s="8"/>
    </row>
    <row r="241" customFormat="false" ht="15" hidden="false" customHeight="true" outlineLevel="0" collapsed="false">
      <c r="A241" s="8"/>
      <c r="B241" s="8"/>
      <c r="C241" s="8"/>
      <c r="D241" s="8"/>
      <c r="E241" s="8"/>
      <c r="F241" s="10"/>
      <c r="G241" s="8"/>
    </row>
    <row r="242" customFormat="false" ht="15" hidden="false" customHeight="true" outlineLevel="0" collapsed="false">
      <c r="A242" s="8"/>
      <c r="B242" s="8"/>
      <c r="C242" s="8"/>
      <c r="D242" s="8"/>
      <c r="E242" s="8"/>
      <c r="F242" s="10"/>
      <c r="G242" s="8"/>
    </row>
    <row r="243" customFormat="false" ht="15" hidden="false" customHeight="true" outlineLevel="0" collapsed="false">
      <c r="A243" s="8"/>
      <c r="B243" s="8"/>
      <c r="C243" s="8"/>
      <c r="D243" s="8"/>
      <c r="E243" s="8"/>
      <c r="F243" s="10"/>
      <c r="G243" s="8"/>
    </row>
    <row r="244" customFormat="false" ht="15" hidden="false" customHeight="true" outlineLevel="0" collapsed="false">
      <c r="A244" s="8"/>
      <c r="B244" s="8"/>
      <c r="C244" s="8"/>
      <c r="D244" s="8"/>
      <c r="E244" s="8"/>
      <c r="F244" s="10"/>
      <c r="G244" s="8"/>
    </row>
    <row r="245" customFormat="false" ht="15" hidden="false" customHeight="true" outlineLevel="0" collapsed="false">
      <c r="A245" s="8"/>
      <c r="B245" s="8"/>
      <c r="C245" s="8"/>
      <c r="D245" s="8"/>
      <c r="E245" s="8"/>
      <c r="F245" s="10"/>
      <c r="G245" s="8"/>
    </row>
    <row r="246" customFormat="false" ht="15" hidden="false" customHeight="true" outlineLevel="0" collapsed="false">
      <c r="A246" s="8"/>
      <c r="B246" s="8"/>
      <c r="C246" s="8"/>
      <c r="D246" s="8"/>
      <c r="E246" s="8"/>
      <c r="F246" s="10"/>
      <c r="G246" s="8"/>
    </row>
    <row r="247" customFormat="false" ht="15" hidden="false" customHeight="true" outlineLevel="0" collapsed="false">
      <c r="A247" s="8"/>
      <c r="B247" s="8"/>
      <c r="C247" s="8"/>
      <c r="D247" s="8"/>
      <c r="E247" s="8"/>
      <c r="F247" s="10"/>
      <c r="G247" s="8"/>
    </row>
    <row r="248" customFormat="false" ht="15" hidden="false" customHeight="true" outlineLevel="0" collapsed="false">
      <c r="A248" s="8"/>
      <c r="B248" s="8"/>
      <c r="C248" s="8"/>
      <c r="D248" s="8"/>
      <c r="E248" s="8"/>
      <c r="F248" s="10"/>
      <c r="G248" s="8"/>
    </row>
    <row r="249" customFormat="false" ht="15" hidden="false" customHeight="true" outlineLevel="0" collapsed="false">
      <c r="A249" s="8"/>
      <c r="B249" s="8"/>
      <c r="C249" s="8"/>
      <c r="D249" s="8"/>
      <c r="E249" s="8"/>
      <c r="F249" s="10"/>
      <c r="G249" s="8"/>
    </row>
    <row r="250" customFormat="false" ht="15" hidden="false" customHeight="true" outlineLevel="0" collapsed="false">
      <c r="A250" s="8"/>
      <c r="B250" s="8"/>
      <c r="C250" s="8"/>
      <c r="D250" s="8"/>
      <c r="E250" s="8"/>
      <c r="F250" s="10"/>
      <c r="G250" s="8"/>
    </row>
    <row r="251" customFormat="false" ht="15" hidden="false" customHeight="true" outlineLevel="0" collapsed="false">
      <c r="A251" s="8"/>
      <c r="B251" s="8"/>
      <c r="C251" s="8"/>
      <c r="D251" s="8"/>
      <c r="E251" s="8"/>
      <c r="F251" s="10"/>
      <c r="G251" s="8"/>
    </row>
    <row r="252" customFormat="false" ht="15" hidden="false" customHeight="true" outlineLevel="0" collapsed="false">
      <c r="A252" s="8"/>
      <c r="B252" s="8"/>
      <c r="C252" s="8"/>
      <c r="D252" s="8"/>
      <c r="E252" s="8"/>
      <c r="F252" s="10"/>
      <c r="G252" s="8"/>
    </row>
    <row r="253" customFormat="false" ht="15" hidden="false" customHeight="true" outlineLevel="0" collapsed="false">
      <c r="A253" s="8"/>
      <c r="B253" s="8"/>
      <c r="C253" s="8"/>
      <c r="D253" s="8"/>
      <c r="E253" s="8"/>
      <c r="F253" s="10"/>
      <c r="G253" s="8"/>
    </row>
    <row r="254" customFormat="false" ht="15" hidden="false" customHeight="true" outlineLevel="0" collapsed="false">
      <c r="A254" s="8"/>
      <c r="B254" s="8"/>
      <c r="C254" s="8"/>
      <c r="D254" s="8"/>
      <c r="E254" s="8"/>
      <c r="F254" s="10"/>
      <c r="G254" s="8"/>
    </row>
    <row r="255" customFormat="false" ht="15" hidden="false" customHeight="true" outlineLevel="0" collapsed="false">
      <c r="A255" s="8"/>
      <c r="B255" s="8"/>
      <c r="C255" s="8"/>
      <c r="D255" s="8"/>
      <c r="E255" s="8"/>
      <c r="F255" s="10"/>
      <c r="G255" s="8"/>
    </row>
    <row r="256" customFormat="false" ht="15" hidden="false" customHeight="true" outlineLevel="0" collapsed="false">
      <c r="A256" s="8"/>
      <c r="B256" s="8"/>
      <c r="C256" s="8"/>
      <c r="D256" s="8"/>
      <c r="E256" s="8"/>
      <c r="F256" s="10"/>
      <c r="G256" s="8"/>
    </row>
    <row r="257" customFormat="false" ht="15" hidden="false" customHeight="true" outlineLevel="0" collapsed="false">
      <c r="A257" s="8"/>
      <c r="B257" s="8"/>
      <c r="C257" s="8"/>
      <c r="D257" s="8"/>
      <c r="E257" s="8"/>
      <c r="F257" s="10"/>
      <c r="G257" s="8"/>
    </row>
    <row r="258" customFormat="false" ht="15" hidden="false" customHeight="true" outlineLevel="0" collapsed="false">
      <c r="A258" s="8"/>
      <c r="B258" s="8"/>
      <c r="C258" s="8"/>
      <c r="D258" s="8"/>
      <c r="E258" s="8"/>
      <c r="F258" s="10"/>
      <c r="G258" s="8"/>
    </row>
    <row r="259" customFormat="false" ht="15" hidden="false" customHeight="true" outlineLevel="0" collapsed="false">
      <c r="A259" s="8"/>
      <c r="B259" s="8"/>
      <c r="C259" s="8"/>
      <c r="D259" s="8"/>
      <c r="E259" s="8"/>
      <c r="F259" s="10"/>
      <c r="G259" s="8"/>
    </row>
    <row r="260" customFormat="false" ht="15" hidden="false" customHeight="true" outlineLevel="0" collapsed="false">
      <c r="A260" s="8"/>
      <c r="B260" s="8"/>
      <c r="C260" s="8"/>
      <c r="D260" s="8"/>
      <c r="E260" s="8"/>
      <c r="F260" s="10"/>
      <c r="G260" s="8"/>
    </row>
    <row r="261" customFormat="false" ht="15" hidden="false" customHeight="true" outlineLevel="0" collapsed="false">
      <c r="A261" s="8"/>
      <c r="B261" s="8"/>
      <c r="C261" s="8"/>
      <c r="D261" s="8"/>
      <c r="E261" s="8"/>
      <c r="F261" s="10"/>
      <c r="G261" s="8"/>
    </row>
    <row r="262" customFormat="false" ht="15" hidden="false" customHeight="true" outlineLevel="0" collapsed="false">
      <c r="A262" s="8"/>
      <c r="B262" s="8"/>
      <c r="C262" s="8"/>
      <c r="D262" s="8"/>
      <c r="E262" s="8"/>
      <c r="F262" s="10"/>
      <c r="G262" s="8"/>
    </row>
    <row r="263" customFormat="false" ht="15" hidden="false" customHeight="true" outlineLevel="0" collapsed="false">
      <c r="A263" s="8"/>
      <c r="B263" s="8"/>
      <c r="C263" s="8"/>
      <c r="D263" s="8"/>
      <c r="E263" s="8"/>
      <c r="F263" s="10"/>
      <c r="G263" s="8"/>
    </row>
    <row r="264" customFormat="false" ht="15" hidden="false" customHeight="true" outlineLevel="0" collapsed="false">
      <c r="A264" s="8"/>
      <c r="B264" s="8"/>
      <c r="C264" s="8"/>
      <c r="D264" s="8"/>
      <c r="E264" s="8"/>
      <c r="F264" s="10"/>
      <c r="G264" s="8"/>
    </row>
    <row r="265" customFormat="false" ht="15" hidden="false" customHeight="true" outlineLevel="0" collapsed="false">
      <c r="A265" s="8"/>
      <c r="B265" s="8"/>
      <c r="C265" s="8"/>
      <c r="D265" s="8"/>
      <c r="E265" s="8"/>
      <c r="F265" s="10"/>
      <c r="G265" s="8"/>
    </row>
    <row r="266" customFormat="false" ht="15" hidden="false" customHeight="true" outlineLevel="0" collapsed="false">
      <c r="A266" s="8"/>
      <c r="B266" s="8"/>
      <c r="C266" s="8"/>
      <c r="D266" s="8"/>
      <c r="E266" s="8"/>
      <c r="F266" s="10"/>
      <c r="G266" s="8"/>
    </row>
    <row r="267" customFormat="false" ht="15" hidden="false" customHeight="true" outlineLevel="0" collapsed="false">
      <c r="A267" s="8"/>
      <c r="B267" s="8"/>
      <c r="C267" s="8"/>
      <c r="D267" s="8"/>
      <c r="E267" s="8"/>
      <c r="F267" s="10"/>
      <c r="G267" s="8"/>
    </row>
    <row r="268" customFormat="false" ht="15" hidden="false" customHeight="true" outlineLevel="0" collapsed="false">
      <c r="A268" s="8"/>
      <c r="B268" s="8"/>
      <c r="C268" s="8"/>
      <c r="D268" s="8"/>
      <c r="E268" s="8"/>
      <c r="F268" s="10"/>
      <c r="G268" s="8"/>
    </row>
    <row r="269" customFormat="false" ht="15" hidden="false" customHeight="true" outlineLevel="0" collapsed="false">
      <c r="A269" s="8"/>
      <c r="B269" s="8"/>
      <c r="C269" s="8"/>
      <c r="D269" s="8"/>
      <c r="E269" s="8"/>
      <c r="F269" s="10"/>
      <c r="G269" s="8"/>
    </row>
    <row r="270" customFormat="false" ht="15" hidden="false" customHeight="true" outlineLevel="0" collapsed="false">
      <c r="A270" s="8"/>
      <c r="B270" s="8"/>
      <c r="C270" s="8"/>
      <c r="D270" s="8"/>
      <c r="E270" s="8"/>
      <c r="F270" s="10"/>
      <c r="G270" s="8"/>
    </row>
    <row r="271" customFormat="false" ht="15" hidden="false" customHeight="true" outlineLevel="0" collapsed="false">
      <c r="A271" s="8"/>
      <c r="B271" s="8"/>
      <c r="C271" s="8"/>
      <c r="D271" s="8"/>
      <c r="E271" s="8"/>
      <c r="F271" s="10"/>
      <c r="G271" s="8"/>
    </row>
    <row r="272" customFormat="false" ht="15" hidden="false" customHeight="true" outlineLevel="0" collapsed="false">
      <c r="A272" s="8"/>
      <c r="B272" s="8"/>
      <c r="C272" s="8"/>
      <c r="D272" s="8"/>
      <c r="E272" s="8"/>
      <c r="F272" s="10"/>
      <c r="G272" s="8"/>
    </row>
    <row r="273" customFormat="false" ht="15" hidden="false" customHeight="true" outlineLevel="0" collapsed="false">
      <c r="A273" s="8"/>
      <c r="B273" s="8"/>
      <c r="C273" s="8"/>
      <c r="D273" s="8"/>
      <c r="E273" s="8"/>
      <c r="F273" s="10"/>
      <c r="G273" s="8"/>
    </row>
    <row r="274" customFormat="false" ht="15" hidden="false" customHeight="true" outlineLevel="0" collapsed="false">
      <c r="A274" s="8"/>
      <c r="B274" s="8"/>
      <c r="C274" s="8"/>
      <c r="D274" s="8"/>
      <c r="E274" s="8"/>
      <c r="F274" s="10"/>
      <c r="G274" s="8"/>
    </row>
    <row r="275" customFormat="false" ht="15" hidden="false" customHeight="true" outlineLevel="0" collapsed="false">
      <c r="A275" s="8"/>
      <c r="B275" s="8"/>
      <c r="C275" s="8"/>
      <c r="D275" s="8"/>
      <c r="E275" s="8"/>
      <c r="F275" s="10"/>
      <c r="G275" s="8"/>
    </row>
    <row r="276" customFormat="false" ht="15" hidden="false" customHeight="true" outlineLevel="0" collapsed="false">
      <c r="A276" s="8"/>
      <c r="B276" s="8"/>
      <c r="C276" s="8"/>
      <c r="D276" s="8"/>
      <c r="E276" s="8"/>
      <c r="F276" s="10"/>
      <c r="G276" s="8"/>
    </row>
    <row r="277" customFormat="false" ht="15" hidden="false" customHeight="true" outlineLevel="0" collapsed="false">
      <c r="A277" s="8"/>
      <c r="B277" s="8"/>
      <c r="C277" s="8"/>
      <c r="D277" s="8"/>
      <c r="E277" s="8"/>
      <c r="F277" s="10"/>
      <c r="G277" s="8"/>
    </row>
    <row r="278" customFormat="false" ht="15" hidden="false" customHeight="true" outlineLevel="0" collapsed="false">
      <c r="A278" s="8"/>
      <c r="B278" s="8"/>
      <c r="C278" s="8"/>
      <c r="D278" s="8"/>
      <c r="E278" s="8"/>
      <c r="F278" s="10"/>
      <c r="G278" s="8"/>
    </row>
    <row r="279" customFormat="false" ht="15" hidden="false" customHeight="true" outlineLevel="0" collapsed="false">
      <c r="A279" s="8"/>
      <c r="B279" s="8"/>
      <c r="C279" s="8"/>
      <c r="D279" s="8"/>
      <c r="E279" s="8"/>
      <c r="F279" s="10"/>
      <c r="G279" s="8"/>
    </row>
    <row r="280" customFormat="false" ht="15" hidden="false" customHeight="true" outlineLevel="0" collapsed="false">
      <c r="A280" s="8"/>
      <c r="B280" s="8"/>
      <c r="C280" s="8"/>
      <c r="D280" s="8"/>
      <c r="E280" s="8"/>
      <c r="F280" s="10"/>
      <c r="G280" s="8"/>
    </row>
    <row r="281" customFormat="false" ht="15" hidden="false" customHeight="true" outlineLevel="0" collapsed="false">
      <c r="A281" s="8"/>
      <c r="B281" s="8"/>
      <c r="C281" s="8"/>
      <c r="D281" s="8"/>
      <c r="E281" s="8"/>
      <c r="F281" s="10"/>
      <c r="G281" s="8"/>
    </row>
    <row r="282" customFormat="false" ht="15" hidden="false" customHeight="true" outlineLevel="0" collapsed="false">
      <c r="A282" s="8"/>
      <c r="B282" s="8"/>
      <c r="C282" s="8"/>
      <c r="D282" s="8"/>
      <c r="E282" s="8"/>
      <c r="F282" s="10"/>
      <c r="G282" s="8"/>
    </row>
    <row r="283" customFormat="false" ht="15" hidden="false" customHeight="true" outlineLevel="0" collapsed="false">
      <c r="A283" s="8"/>
      <c r="B283" s="8"/>
      <c r="C283" s="8"/>
      <c r="D283" s="8"/>
      <c r="E283" s="8"/>
      <c r="F283" s="10"/>
      <c r="G283" s="8"/>
    </row>
    <row r="284" customFormat="false" ht="15" hidden="false" customHeight="true" outlineLevel="0" collapsed="false">
      <c r="A284" s="8"/>
      <c r="B284" s="8"/>
      <c r="C284" s="8"/>
      <c r="D284" s="8"/>
      <c r="E284" s="8"/>
      <c r="F284" s="10"/>
      <c r="G284" s="8"/>
    </row>
    <row r="285" customFormat="false" ht="15" hidden="false" customHeight="true" outlineLevel="0" collapsed="false">
      <c r="A285" s="8"/>
      <c r="B285" s="8"/>
      <c r="C285" s="8"/>
      <c r="D285" s="8"/>
      <c r="E285" s="8"/>
      <c r="F285" s="10"/>
      <c r="G285" s="8"/>
    </row>
    <row r="286" customFormat="false" ht="15" hidden="false" customHeight="true" outlineLevel="0" collapsed="false">
      <c r="A286" s="8"/>
      <c r="B286" s="8"/>
      <c r="C286" s="8"/>
      <c r="D286" s="8"/>
      <c r="E286" s="8"/>
      <c r="F286" s="10"/>
      <c r="G286" s="8"/>
    </row>
    <row r="287" customFormat="false" ht="15" hidden="false" customHeight="true" outlineLevel="0" collapsed="false">
      <c r="A287" s="8"/>
      <c r="B287" s="8"/>
      <c r="C287" s="8"/>
      <c r="D287" s="8"/>
      <c r="E287" s="8"/>
      <c r="F287" s="10"/>
      <c r="G287" s="8"/>
    </row>
    <row r="288" customFormat="false" ht="15" hidden="false" customHeight="true" outlineLevel="0" collapsed="false">
      <c r="A288" s="8"/>
      <c r="B288" s="8"/>
      <c r="C288" s="8"/>
      <c r="D288" s="8"/>
      <c r="E288" s="8"/>
      <c r="F288" s="10"/>
      <c r="G288" s="8"/>
    </row>
    <row r="289" customFormat="false" ht="15" hidden="false" customHeight="true" outlineLevel="0" collapsed="false">
      <c r="A289" s="8"/>
      <c r="B289" s="8"/>
      <c r="C289" s="8"/>
      <c r="D289" s="8"/>
      <c r="E289" s="8"/>
      <c r="F289" s="10"/>
      <c r="G289" s="8"/>
    </row>
    <row r="290" customFormat="false" ht="15" hidden="false" customHeight="true" outlineLevel="0" collapsed="false">
      <c r="A290" s="8"/>
      <c r="B290" s="8"/>
      <c r="C290" s="8"/>
      <c r="D290" s="8"/>
      <c r="E290" s="8"/>
      <c r="F290" s="10"/>
      <c r="G290" s="8"/>
    </row>
    <row r="291" customFormat="false" ht="15" hidden="false" customHeight="true" outlineLevel="0" collapsed="false">
      <c r="A291" s="8"/>
      <c r="B291" s="8"/>
      <c r="C291" s="8"/>
      <c r="D291" s="8"/>
      <c r="E291" s="8"/>
      <c r="F291" s="10"/>
      <c r="G291" s="8"/>
    </row>
    <row r="292" customFormat="false" ht="15" hidden="false" customHeight="true" outlineLevel="0" collapsed="false">
      <c r="A292" s="8"/>
      <c r="B292" s="8"/>
      <c r="C292" s="8"/>
      <c r="D292" s="8"/>
      <c r="E292" s="8"/>
      <c r="F292" s="10"/>
      <c r="G292" s="8"/>
    </row>
    <row r="293" customFormat="false" ht="15" hidden="false" customHeight="true" outlineLevel="0" collapsed="false">
      <c r="A293" s="8"/>
      <c r="B293" s="8"/>
      <c r="C293" s="8"/>
      <c r="D293" s="8"/>
      <c r="E293" s="8"/>
      <c r="F293" s="10"/>
      <c r="G293" s="8"/>
    </row>
    <row r="294" customFormat="false" ht="15" hidden="false" customHeight="true" outlineLevel="0" collapsed="false">
      <c r="A294" s="8"/>
      <c r="B294" s="8"/>
      <c r="C294" s="8"/>
      <c r="D294" s="8"/>
      <c r="E294" s="8"/>
      <c r="F294" s="10"/>
      <c r="G294" s="8"/>
    </row>
    <row r="295" customFormat="false" ht="15" hidden="false" customHeight="true" outlineLevel="0" collapsed="false">
      <c r="A295" s="8"/>
      <c r="B295" s="8"/>
      <c r="C295" s="8"/>
      <c r="D295" s="8"/>
      <c r="E295" s="8"/>
      <c r="F295" s="10"/>
      <c r="G295" s="8"/>
    </row>
    <row r="296" customFormat="false" ht="15" hidden="false" customHeight="true" outlineLevel="0" collapsed="false">
      <c r="A296" s="8"/>
      <c r="B296" s="8"/>
      <c r="C296" s="8"/>
      <c r="D296" s="8"/>
      <c r="E296" s="8"/>
      <c r="F296" s="10"/>
      <c r="G296" s="8"/>
    </row>
    <row r="297" customFormat="false" ht="15" hidden="false" customHeight="true" outlineLevel="0" collapsed="false">
      <c r="A297" s="8"/>
      <c r="B297" s="8"/>
      <c r="C297" s="8"/>
      <c r="D297" s="8"/>
      <c r="E297" s="8"/>
      <c r="F297" s="10"/>
      <c r="G297" s="8"/>
    </row>
    <row r="298" customFormat="false" ht="15" hidden="false" customHeight="true" outlineLevel="0" collapsed="false">
      <c r="A298" s="8"/>
      <c r="B298" s="8"/>
      <c r="C298" s="8"/>
      <c r="D298" s="8"/>
      <c r="E298" s="8"/>
      <c r="F298" s="10"/>
      <c r="G298" s="8"/>
    </row>
    <row r="299" customFormat="false" ht="15" hidden="false" customHeight="true" outlineLevel="0" collapsed="false">
      <c r="A299" s="8"/>
      <c r="B299" s="8"/>
      <c r="C299" s="8"/>
      <c r="D299" s="8"/>
      <c r="E299" s="8"/>
      <c r="F299" s="10"/>
      <c r="G299" s="8"/>
    </row>
    <row r="300" customFormat="false" ht="15" hidden="false" customHeight="true" outlineLevel="0" collapsed="false">
      <c r="A300" s="8"/>
      <c r="B300" s="8"/>
      <c r="C300" s="8"/>
      <c r="D300" s="8"/>
      <c r="E300" s="8"/>
      <c r="F300" s="10"/>
      <c r="G300" s="8"/>
    </row>
  </sheetData>
  <autoFilter ref="A2:G300"/>
  <mergeCells count="1">
    <mergeCell ref="A1:G1"/>
  </mergeCells>
  <dataValidations count="1">
    <dataValidation allowBlank="true" errorStyle="stop" operator="between" showDropDown="false" showErrorMessage="false" showInputMessage="false" sqref="G3:G300" type="list">
      <formula1>"A faire,En cours,Fait"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26"/>
    <col collapsed="false" customWidth="true" hidden="false" outlineLevel="0" max="2" min="2" style="1" width="14"/>
    <col collapsed="false" customWidth="true" hidden="false" outlineLevel="0" max="3" min="3" style="1" width="18"/>
    <col collapsed="false" customWidth="true" hidden="false" outlineLevel="0" max="4" min="4" style="1" width="27"/>
    <col collapsed="false" customWidth="true" hidden="false" outlineLevel="0" max="5" min="5" style="1" width="28"/>
    <col collapsed="false" customWidth="true" hidden="false" outlineLevel="0" max="6" min="6" style="1" width="32"/>
  </cols>
  <sheetData>
    <row r="1" customFormat="false" ht="30" hidden="false" customHeight="true" outlineLevel="0" collapsed="false">
      <c r="A1" s="2" t="s">
        <v>208</v>
      </c>
      <c r="B1" s="2"/>
      <c r="C1" s="2"/>
      <c r="D1" s="2"/>
      <c r="E1" s="2"/>
      <c r="F1" s="2"/>
    </row>
    <row r="2" customFormat="false" ht="31.5" hidden="false" customHeight="true" outlineLevel="0" collapsed="false">
      <c r="A2" s="7" t="s">
        <v>209</v>
      </c>
      <c r="B2" s="7" t="s">
        <v>210</v>
      </c>
      <c r="C2" s="7" t="s">
        <v>211</v>
      </c>
      <c r="D2" s="7" t="s">
        <v>212</v>
      </c>
      <c r="E2" s="7" t="s">
        <v>213</v>
      </c>
      <c r="F2" s="7" t="s">
        <v>214</v>
      </c>
    </row>
    <row r="3" customFormat="false" ht="15" hidden="false" customHeight="true" outlineLevel="0" collapsed="false">
      <c r="A3" s="8"/>
      <c r="B3" s="8"/>
      <c r="C3" s="8"/>
      <c r="D3" s="8"/>
      <c r="E3" s="10"/>
      <c r="F3" s="8"/>
    </row>
    <row r="4" customFormat="false" ht="15" hidden="false" customHeight="true" outlineLevel="0" collapsed="false">
      <c r="A4" s="8"/>
      <c r="B4" s="8"/>
      <c r="C4" s="8"/>
      <c r="D4" s="8"/>
      <c r="E4" s="10"/>
      <c r="F4" s="8"/>
    </row>
    <row r="5" customFormat="false" ht="15" hidden="false" customHeight="true" outlineLevel="0" collapsed="false">
      <c r="A5" s="8"/>
      <c r="B5" s="8"/>
      <c r="C5" s="8"/>
      <c r="D5" s="8"/>
      <c r="E5" s="10"/>
      <c r="F5" s="8"/>
    </row>
    <row r="6" customFormat="false" ht="15" hidden="false" customHeight="true" outlineLevel="0" collapsed="false">
      <c r="A6" s="8"/>
      <c r="B6" s="8"/>
      <c r="C6" s="8"/>
      <c r="D6" s="8"/>
      <c r="E6" s="10"/>
      <c r="F6" s="8"/>
    </row>
    <row r="7" customFormat="false" ht="15" hidden="false" customHeight="true" outlineLevel="0" collapsed="false">
      <c r="A7" s="8"/>
      <c r="B7" s="8"/>
      <c r="C7" s="8"/>
      <c r="D7" s="8"/>
      <c r="E7" s="10"/>
      <c r="F7" s="8"/>
    </row>
    <row r="8" customFormat="false" ht="15" hidden="false" customHeight="true" outlineLevel="0" collapsed="false">
      <c r="A8" s="8"/>
      <c r="B8" s="8"/>
      <c r="C8" s="8"/>
      <c r="D8" s="8"/>
      <c r="E8" s="10"/>
      <c r="F8" s="8"/>
    </row>
    <row r="9" customFormat="false" ht="15" hidden="false" customHeight="true" outlineLevel="0" collapsed="false">
      <c r="A9" s="8"/>
      <c r="B9" s="8"/>
      <c r="C9" s="8"/>
      <c r="D9" s="8"/>
      <c r="E9" s="10"/>
      <c r="F9" s="8"/>
    </row>
    <row r="10" customFormat="false" ht="15" hidden="false" customHeight="true" outlineLevel="0" collapsed="false">
      <c r="A10" s="8"/>
      <c r="B10" s="8"/>
      <c r="C10" s="8"/>
      <c r="D10" s="8"/>
      <c r="E10" s="10"/>
      <c r="F10" s="8"/>
    </row>
    <row r="11" customFormat="false" ht="15" hidden="false" customHeight="true" outlineLevel="0" collapsed="false">
      <c r="A11" s="8"/>
      <c r="B11" s="8"/>
      <c r="C11" s="8"/>
      <c r="D11" s="8"/>
      <c r="E11" s="10"/>
      <c r="F11" s="8"/>
    </row>
    <row r="12" customFormat="false" ht="15" hidden="false" customHeight="true" outlineLevel="0" collapsed="false">
      <c r="A12" s="8"/>
      <c r="B12" s="8"/>
      <c r="C12" s="8"/>
      <c r="D12" s="8"/>
      <c r="E12" s="10"/>
      <c r="F12" s="8"/>
    </row>
    <row r="13" customFormat="false" ht="15" hidden="false" customHeight="true" outlineLevel="0" collapsed="false">
      <c r="A13" s="8"/>
      <c r="B13" s="8"/>
      <c r="C13" s="8"/>
      <c r="D13" s="8"/>
      <c r="E13" s="10"/>
      <c r="F13" s="8"/>
    </row>
    <row r="14" customFormat="false" ht="15" hidden="false" customHeight="true" outlineLevel="0" collapsed="false">
      <c r="A14" s="8"/>
      <c r="B14" s="8"/>
      <c r="C14" s="8"/>
      <c r="D14" s="8"/>
      <c r="E14" s="10"/>
      <c r="F14" s="8"/>
    </row>
    <row r="15" customFormat="false" ht="15" hidden="false" customHeight="true" outlineLevel="0" collapsed="false">
      <c r="A15" s="8"/>
      <c r="B15" s="8"/>
      <c r="C15" s="8"/>
      <c r="D15" s="8"/>
      <c r="E15" s="10"/>
      <c r="F15" s="8"/>
    </row>
    <row r="16" customFormat="false" ht="15" hidden="false" customHeight="true" outlineLevel="0" collapsed="false">
      <c r="A16" s="8"/>
      <c r="B16" s="8"/>
      <c r="C16" s="8"/>
      <c r="D16" s="8"/>
      <c r="E16" s="10"/>
      <c r="F16" s="8"/>
    </row>
    <row r="17" customFormat="false" ht="15" hidden="false" customHeight="true" outlineLevel="0" collapsed="false">
      <c r="A17" s="8"/>
      <c r="B17" s="8"/>
      <c r="C17" s="8"/>
      <c r="D17" s="8"/>
      <c r="E17" s="10"/>
      <c r="F17" s="8"/>
    </row>
    <row r="18" customFormat="false" ht="15" hidden="false" customHeight="true" outlineLevel="0" collapsed="false">
      <c r="A18" s="8"/>
      <c r="B18" s="8"/>
      <c r="C18" s="8"/>
      <c r="D18" s="8"/>
      <c r="E18" s="10"/>
      <c r="F18" s="8"/>
    </row>
    <row r="19" customFormat="false" ht="15" hidden="false" customHeight="true" outlineLevel="0" collapsed="false">
      <c r="A19" s="8"/>
      <c r="B19" s="8"/>
      <c r="C19" s="8"/>
      <c r="D19" s="8"/>
      <c r="E19" s="10"/>
      <c r="F19" s="8"/>
    </row>
    <row r="20" customFormat="false" ht="15" hidden="false" customHeight="true" outlineLevel="0" collapsed="false">
      <c r="A20" s="8"/>
      <c r="B20" s="8"/>
      <c r="C20" s="8"/>
      <c r="D20" s="8"/>
      <c r="E20" s="10"/>
      <c r="F20" s="8"/>
    </row>
    <row r="21" customFormat="false" ht="15" hidden="false" customHeight="true" outlineLevel="0" collapsed="false">
      <c r="A21" s="8"/>
      <c r="B21" s="8"/>
      <c r="C21" s="8"/>
      <c r="D21" s="8"/>
      <c r="E21" s="10"/>
      <c r="F21" s="8"/>
    </row>
    <row r="22" customFormat="false" ht="15" hidden="false" customHeight="true" outlineLevel="0" collapsed="false">
      <c r="A22" s="8"/>
      <c r="B22" s="8"/>
      <c r="C22" s="8"/>
      <c r="D22" s="8"/>
      <c r="E22" s="10"/>
      <c r="F22" s="8"/>
    </row>
    <row r="23" customFormat="false" ht="15" hidden="false" customHeight="true" outlineLevel="0" collapsed="false">
      <c r="A23" s="8"/>
      <c r="B23" s="8"/>
      <c r="C23" s="8"/>
      <c r="D23" s="8"/>
      <c r="E23" s="10"/>
      <c r="F23" s="8"/>
    </row>
    <row r="24" customFormat="false" ht="15" hidden="false" customHeight="true" outlineLevel="0" collapsed="false">
      <c r="A24" s="8"/>
      <c r="B24" s="8"/>
      <c r="C24" s="8"/>
      <c r="D24" s="8"/>
      <c r="E24" s="10"/>
      <c r="F24" s="8"/>
    </row>
    <row r="25" customFormat="false" ht="15" hidden="false" customHeight="true" outlineLevel="0" collapsed="false">
      <c r="A25" s="8"/>
      <c r="B25" s="8"/>
      <c r="C25" s="8"/>
      <c r="D25" s="8"/>
      <c r="E25" s="10"/>
      <c r="F25" s="8"/>
    </row>
    <row r="26" customFormat="false" ht="15" hidden="false" customHeight="true" outlineLevel="0" collapsed="false">
      <c r="A26" s="8"/>
      <c r="B26" s="8"/>
      <c r="C26" s="8"/>
      <c r="D26" s="8"/>
      <c r="E26" s="10"/>
      <c r="F26" s="8"/>
    </row>
    <row r="27" customFormat="false" ht="15" hidden="false" customHeight="true" outlineLevel="0" collapsed="false">
      <c r="A27" s="8"/>
      <c r="B27" s="8"/>
      <c r="C27" s="8"/>
      <c r="D27" s="8"/>
      <c r="E27" s="10"/>
      <c r="F27" s="8"/>
    </row>
    <row r="28" customFormat="false" ht="15" hidden="false" customHeight="true" outlineLevel="0" collapsed="false">
      <c r="A28" s="8"/>
      <c r="B28" s="8"/>
      <c r="C28" s="8"/>
      <c r="D28" s="8"/>
      <c r="E28" s="10"/>
      <c r="F28" s="8"/>
    </row>
    <row r="29" customFormat="false" ht="15" hidden="false" customHeight="true" outlineLevel="0" collapsed="false">
      <c r="A29" s="8"/>
      <c r="B29" s="8"/>
      <c r="C29" s="8"/>
      <c r="D29" s="8"/>
      <c r="E29" s="10"/>
      <c r="F29" s="8"/>
    </row>
    <row r="30" customFormat="false" ht="15" hidden="false" customHeight="true" outlineLevel="0" collapsed="false">
      <c r="A30" s="8"/>
      <c r="B30" s="8"/>
      <c r="C30" s="8"/>
      <c r="D30" s="8"/>
      <c r="E30" s="10"/>
      <c r="F30" s="8"/>
    </row>
    <row r="31" customFormat="false" ht="15" hidden="false" customHeight="true" outlineLevel="0" collapsed="false">
      <c r="A31" s="8"/>
      <c r="B31" s="8"/>
      <c r="C31" s="8"/>
      <c r="D31" s="8"/>
      <c r="E31" s="10"/>
      <c r="F31" s="8"/>
    </row>
    <row r="32" customFormat="false" ht="15" hidden="false" customHeight="true" outlineLevel="0" collapsed="false">
      <c r="A32" s="8"/>
      <c r="B32" s="8"/>
      <c r="C32" s="8"/>
      <c r="D32" s="8"/>
      <c r="E32" s="10"/>
      <c r="F32" s="8"/>
    </row>
    <row r="33" customFormat="false" ht="15" hidden="false" customHeight="true" outlineLevel="0" collapsed="false">
      <c r="A33" s="8"/>
      <c r="B33" s="8"/>
      <c r="C33" s="8"/>
      <c r="D33" s="8"/>
      <c r="E33" s="10"/>
      <c r="F33" s="8"/>
    </row>
    <row r="34" customFormat="false" ht="15" hidden="false" customHeight="true" outlineLevel="0" collapsed="false">
      <c r="A34" s="8"/>
      <c r="B34" s="8"/>
      <c r="C34" s="8"/>
      <c r="D34" s="8"/>
      <c r="E34" s="10"/>
      <c r="F34" s="8"/>
    </row>
    <row r="35" customFormat="false" ht="15" hidden="false" customHeight="true" outlineLevel="0" collapsed="false">
      <c r="A35" s="8"/>
      <c r="B35" s="8"/>
      <c r="C35" s="8"/>
      <c r="D35" s="8"/>
      <c r="E35" s="10"/>
      <c r="F35" s="8"/>
    </row>
    <row r="36" customFormat="false" ht="15" hidden="false" customHeight="true" outlineLevel="0" collapsed="false">
      <c r="A36" s="8"/>
      <c r="B36" s="8"/>
      <c r="C36" s="8"/>
      <c r="D36" s="8"/>
      <c r="E36" s="10"/>
      <c r="F36" s="8"/>
    </row>
    <row r="37" customFormat="false" ht="15" hidden="false" customHeight="true" outlineLevel="0" collapsed="false">
      <c r="A37" s="8"/>
      <c r="B37" s="8"/>
      <c r="C37" s="8"/>
      <c r="D37" s="8"/>
      <c r="E37" s="10"/>
      <c r="F37" s="8"/>
    </row>
    <row r="38" customFormat="false" ht="15" hidden="false" customHeight="true" outlineLevel="0" collapsed="false">
      <c r="A38" s="8"/>
      <c r="B38" s="8"/>
      <c r="C38" s="8"/>
      <c r="D38" s="8"/>
      <c r="E38" s="10"/>
      <c r="F38" s="8"/>
    </row>
    <row r="39" customFormat="false" ht="15" hidden="false" customHeight="true" outlineLevel="0" collapsed="false">
      <c r="A39" s="8"/>
      <c r="B39" s="8"/>
      <c r="C39" s="8"/>
      <c r="D39" s="8"/>
      <c r="E39" s="10"/>
      <c r="F39" s="8"/>
    </row>
    <row r="40" customFormat="false" ht="15" hidden="false" customHeight="true" outlineLevel="0" collapsed="false">
      <c r="A40" s="8"/>
      <c r="B40" s="8"/>
      <c r="C40" s="8"/>
      <c r="D40" s="8"/>
      <c r="E40" s="10"/>
      <c r="F40" s="8"/>
    </row>
    <row r="41" customFormat="false" ht="15" hidden="false" customHeight="true" outlineLevel="0" collapsed="false">
      <c r="A41" s="8"/>
      <c r="B41" s="8"/>
      <c r="C41" s="8"/>
      <c r="D41" s="8"/>
      <c r="E41" s="10"/>
      <c r="F41" s="8"/>
    </row>
    <row r="42" customFormat="false" ht="15" hidden="false" customHeight="true" outlineLevel="0" collapsed="false">
      <c r="A42" s="8"/>
      <c r="B42" s="8"/>
      <c r="C42" s="8"/>
      <c r="D42" s="8"/>
      <c r="E42" s="10"/>
      <c r="F42" s="8"/>
    </row>
    <row r="43" customFormat="false" ht="15" hidden="false" customHeight="true" outlineLevel="0" collapsed="false">
      <c r="A43" s="8"/>
      <c r="B43" s="8"/>
      <c r="C43" s="8"/>
      <c r="D43" s="8"/>
      <c r="E43" s="10"/>
      <c r="F43" s="8"/>
    </row>
    <row r="44" customFormat="false" ht="15" hidden="false" customHeight="true" outlineLevel="0" collapsed="false">
      <c r="A44" s="8"/>
      <c r="B44" s="8"/>
      <c r="C44" s="8"/>
      <c r="D44" s="8"/>
      <c r="E44" s="10"/>
      <c r="F44" s="8"/>
    </row>
    <row r="45" customFormat="false" ht="15" hidden="false" customHeight="true" outlineLevel="0" collapsed="false">
      <c r="A45" s="8"/>
      <c r="B45" s="8"/>
      <c r="C45" s="8"/>
      <c r="D45" s="8"/>
      <c r="E45" s="10"/>
      <c r="F45" s="8"/>
    </row>
    <row r="46" customFormat="false" ht="15" hidden="false" customHeight="true" outlineLevel="0" collapsed="false">
      <c r="A46" s="8"/>
      <c r="B46" s="8"/>
      <c r="C46" s="8"/>
      <c r="D46" s="8"/>
      <c r="E46" s="10"/>
      <c r="F46" s="8"/>
    </row>
    <row r="47" customFormat="false" ht="15" hidden="false" customHeight="true" outlineLevel="0" collapsed="false">
      <c r="A47" s="8"/>
      <c r="B47" s="8"/>
      <c r="C47" s="8"/>
      <c r="D47" s="8"/>
      <c r="E47" s="10"/>
      <c r="F47" s="8"/>
    </row>
    <row r="48" customFormat="false" ht="15" hidden="false" customHeight="true" outlineLevel="0" collapsed="false">
      <c r="A48" s="8"/>
      <c r="B48" s="8"/>
      <c r="C48" s="8"/>
      <c r="D48" s="8"/>
      <c r="E48" s="10"/>
      <c r="F48" s="8"/>
    </row>
    <row r="49" customFormat="false" ht="15" hidden="false" customHeight="true" outlineLevel="0" collapsed="false">
      <c r="A49" s="8"/>
      <c r="B49" s="8"/>
      <c r="C49" s="8"/>
      <c r="D49" s="8"/>
      <c r="E49" s="10"/>
      <c r="F49" s="8"/>
    </row>
    <row r="50" customFormat="false" ht="15" hidden="false" customHeight="true" outlineLevel="0" collapsed="false">
      <c r="A50" s="8"/>
      <c r="B50" s="8"/>
      <c r="C50" s="8"/>
      <c r="D50" s="8"/>
      <c r="E50" s="10"/>
      <c r="F50" s="8"/>
    </row>
    <row r="51" customFormat="false" ht="15" hidden="false" customHeight="true" outlineLevel="0" collapsed="false">
      <c r="A51" s="8"/>
      <c r="B51" s="8"/>
      <c r="C51" s="8"/>
      <c r="D51" s="8"/>
      <c r="E51" s="10"/>
      <c r="F51" s="8"/>
    </row>
    <row r="52" customFormat="false" ht="15" hidden="false" customHeight="true" outlineLevel="0" collapsed="false">
      <c r="A52" s="8"/>
      <c r="B52" s="8"/>
      <c r="C52" s="8"/>
      <c r="D52" s="8"/>
      <c r="E52" s="10"/>
      <c r="F52" s="8"/>
    </row>
    <row r="53" customFormat="false" ht="15" hidden="false" customHeight="true" outlineLevel="0" collapsed="false">
      <c r="A53" s="8"/>
      <c r="B53" s="8"/>
      <c r="C53" s="8"/>
      <c r="D53" s="8"/>
      <c r="E53" s="10"/>
      <c r="F53" s="8"/>
    </row>
    <row r="54" customFormat="false" ht="15" hidden="false" customHeight="true" outlineLevel="0" collapsed="false">
      <c r="A54" s="8"/>
      <c r="B54" s="8"/>
      <c r="C54" s="8"/>
      <c r="D54" s="8"/>
      <c r="E54" s="10"/>
      <c r="F54" s="8"/>
    </row>
    <row r="55" customFormat="false" ht="15" hidden="false" customHeight="true" outlineLevel="0" collapsed="false">
      <c r="A55" s="8"/>
      <c r="B55" s="8"/>
      <c r="C55" s="8"/>
      <c r="D55" s="8"/>
      <c r="E55" s="10"/>
      <c r="F55" s="8"/>
    </row>
    <row r="56" customFormat="false" ht="15" hidden="false" customHeight="true" outlineLevel="0" collapsed="false">
      <c r="A56" s="8"/>
      <c r="B56" s="8"/>
      <c r="C56" s="8"/>
      <c r="D56" s="8"/>
      <c r="E56" s="10"/>
      <c r="F56" s="8"/>
    </row>
    <row r="57" customFormat="false" ht="15" hidden="false" customHeight="true" outlineLevel="0" collapsed="false">
      <c r="A57" s="8"/>
      <c r="B57" s="8"/>
      <c r="C57" s="8"/>
      <c r="D57" s="8"/>
      <c r="E57" s="10"/>
      <c r="F57" s="8"/>
    </row>
    <row r="58" customFormat="false" ht="15" hidden="false" customHeight="true" outlineLevel="0" collapsed="false">
      <c r="A58" s="8"/>
      <c r="B58" s="8"/>
      <c r="C58" s="8"/>
      <c r="D58" s="8"/>
      <c r="E58" s="10"/>
      <c r="F58" s="8"/>
    </row>
    <row r="59" customFormat="false" ht="15" hidden="false" customHeight="true" outlineLevel="0" collapsed="false">
      <c r="A59" s="8"/>
      <c r="B59" s="8"/>
      <c r="C59" s="8"/>
      <c r="D59" s="8"/>
      <c r="E59" s="10"/>
      <c r="F59" s="8"/>
    </row>
    <row r="60" customFormat="false" ht="15" hidden="false" customHeight="true" outlineLevel="0" collapsed="false">
      <c r="A60" s="8"/>
      <c r="B60" s="8"/>
      <c r="C60" s="8"/>
      <c r="D60" s="8"/>
      <c r="E60" s="10"/>
      <c r="F60" s="8"/>
    </row>
    <row r="61" customFormat="false" ht="15" hidden="false" customHeight="true" outlineLevel="0" collapsed="false">
      <c r="A61" s="8"/>
      <c r="B61" s="8"/>
      <c r="C61" s="8"/>
      <c r="D61" s="8"/>
      <c r="E61" s="10"/>
      <c r="F61" s="8"/>
    </row>
    <row r="62" customFormat="false" ht="15" hidden="false" customHeight="true" outlineLevel="0" collapsed="false">
      <c r="A62" s="8"/>
      <c r="B62" s="8"/>
      <c r="C62" s="8"/>
      <c r="D62" s="8"/>
      <c r="E62" s="10"/>
      <c r="F62" s="8"/>
    </row>
    <row r="63" customFormat="false" ht="15" hidden="false" customHeight="true" outlineLevel="0" collapsed="false">
      <c r="A63" s="8"/>
      <c r="B63" s="8"/>
      <c r="C63" s="8"/>
      <c r="D63" s="8"/>
      <c r="E63" s="10"/>
      <c r="F63" s="8"/>
    </row>
    <row r="64" customFormat="false" ht="15" hidden="false" customHeight="true" outlineLevel="0" collapsed="false">
      <c r="A64" s="8"/>
      <c r="B64" s="8"/>
      <c r="C64" s="8"/>
      <c r="D64" s="8"/>
      <c r="E64" s="10"/>
      <c r="F64" s="8"/>
    </row>
    <row r="65" customFormat="false" ht="15" hidden="false" customHeight="true" outlineLevel="0" collapsed="false">
      <c r="A65" s="8"/>
      <c r="B65" s="8"/>
      <c r="C65" s="8"/>
      <c r="D65" s="8"/>
      <c r="E65" s="10"/>
      <c r="F65" s="8"/>
    </row>
    <row r="66" customFormat="false" ht="15" hidden="false" customHeight="true" outlineLevel="0" collapsed="false">
      <c r="A66" s="8"/>
      <c r="B66" s="8"/>
      <c r="C66" s="8"/>
      <c r="D66" s="8"/>
      <c r="E66" s="10"/>
      <c r="F66" s="8"/>
    </row>
    <row r="67" customFormat="false" ht="15" hidden="false" customHeight="true" outlineLevel="0" collapsed="false">
      <c r="A67" s="8"/>
      <c r="B67" s="8"/>
      <c r="C67" s="8"/>
      <c r="D67" s="8"/>
      <c r="E67" s="10"/>
      <c r="F67" s="8"/>
    </row>
    <row r="68" customFormat="false" ht="15" hidden="false" customHeight="true" outlineLevel="0" collapsed="false">
      <c r="A68" s="8"/>
      <c r="B68" s="8"/>
      <c r="C68" s="8"/>
      <c r="D68" s="8"/>
      <c r="E68" s="10"/>
      <c r="F68" s="8"/>
    </row>
    <row r="69" customFormat="false" ht="15" hidden="false" customHeight="true" outlineLevel="0" collapsed="false">
      <c r="A69" s="8"/>
      <c r="B69" s="8"/>
      <c r="C69" s="8"/>
      <c r="D69" s="8"/>
      <c r="E69" s="10"/>
      <c r="F69" s="8"/>
    </row>
    <row r="70" customFormat="false" ht="15" hidden="false" customHeight="true" outlineLevel="0" collapsed="false">
      <c r="A70" s="8"/>
      <c r="B70" s="8"/>
      <c r="C70" s="8"/>
      <c r="D70" s="8"/>
      <c r="E70" s="10"/>
      <c r="F70" s="8"/>
    </row>
    <row r="71" customFormat="false" ht="15" hidden="false" customHeight="true" outlineLevel="0" collapsed="false">
      <c r="A71" s="8"/>
      <c r="B71" s="8"/>
      <c r="C71" s="8"/>
      <c r="D71" s="8"/>
      <c r="E71" s="10"/>
      <c r="F71" s="8"/>
    </row>
    <row r="72" customFormat="false" ht="15" hidden="false" customHeight="true" outlineLevel="0" collapsed="false">
      <c r="A72" s="8"/>
      <c r="B72" s="8"/>
      <c r="C72" s="8"/>
      <c r="D72" s="8"/>
      <c r="E72" s="10"/>
      <c r="F72" s="8"/>
    </row>
    <row r="73" customFormat="false" ht="15" hidden="false" customHeight="true" outlineLevel="0" collapsed="false">
      <c r="A73" s="8"/>
      <c r="B73" s="8"/>
      <c r="C73" s="8"/>
      <c r="D73" s="8"/>
      <c r="E73" s="10"/>
      <c r="F73" s="8"/>
    </row>
    <row r="74" customFormat="false" ht="15" hidden="false" customHeight="true" outlineLevel="0" collapsed="false">
      <c r="A74" s="8"/>
      <c r="B74" s="8"/>
      <c r="C74" s="8"/>
      <c r="D74" s="8"/>
      <c r="E74" s="10"/>
      <c r="F74" s="8"/>
    </row>
    <row r="75" customFormat="false" ht="15" hidden="false" customHeight="true" outlineLevel="0" collapsed="false">
      <c r="A75" s="8"/>
      <c r="B75" s="8"/>
      <c r="C75" s="8"/>
      <c r="D75" s="8"/>
      <c r="E75" s="10"/>
      <c r="F75" s="8"/>
    </row>
    <row r="76" customFormat="false" ht="15" hidden="false" customHeight="true" outlineLevel="0" collapsed="false">
      <c r="A76" s="8"/>
      <c r="B76" s="8"/>
      <c r="C76" s="8"/>
      <c r="D76" s="8"/>
      <c r="E76" s="10"/>
      <c r="F76" s="8"/>
    </row>
    <row r="77" customFormat="false" ht="15" hidden="false" customHeight="true" outlineLevel="0" collapsed="false">
      <c r="A77" s="8"/>
      <c r="B77" s="8"/>
      <c r="C77" s="8"/>
      <c r="D77" s="8"/>
      <c r="E77" s="10"/>
      <c r="F77" s="8"/>
    </row>
    <row r="78" customFormat="false" ht="15" hidden="false" customHeight="true" outlineLevel="0" collapsed="false">
      <c r="A78" s="8"/>
      <c r="B78" s="8"/>
      <c r="C78" s="8"/>
      <c r="D78" s="8"/>
      <c r="E78" s="10"/>
      <c r="F78" s="8"/>
    </row>
    <row r="79" customFormat="false" ht="15" hidden="false" customHeight="true" outlineLevel="0" collapsed="false">
      <c r="A79" s="8"/>
      <c r="B79" s="8"/>
      <c r="C79" s="8"/>
      <c r="D79" s="8"/>
      <c r="E79" s="10"/>
      <c r="F79" s="8"/>
    </row>
    <row r="80" customFormat="false" ht="15" hidden="false" customHeight="true" outlineLevel="0" collapsed="false">
      <c r="A80" s="8"/>
      <c r="B80" s="8"/>
      <c r="C80" s="8"/>
      <c r="D80" s="8"/>
      <c r="E80" s="10"/>
      <c r="F80" s="8"/>
    </row>
    <row r="81" customFormat="false" ht="15" hidden="false" customHeight="true" outlineLevel="0" collapsed="false">
      <c r="A81" s="8"/>
      <c r="B81" s="8"/>
      <c r="C81" s="8"/>
      <c r="D81" s="8"/>
      <c r="E81" s="10"/>
      <c r="F81" s="8"/>
    </row>
    <row r="82" customFormat="false" ht="15" hidden="false" customHeight="true" outlineLevel="0" collapsed="false">
      <c r="A82" s="8"/>
      <c r="B82" s="8"/>
      <c r="C82" s="8"/>
      <c r="D82" s="8"/>
      <c r="E82" s="10"/>
      <c r="F82" s="8"/>
    </row>
    <row r="83" customFormat="false" ht="15" hidden="false" customHeight="true" outlineLevel="0" collapsed="false">
      <c r="A83" s="8"/>
      <c r="B83" s="8"/>
      <c r="C83" s="8"/>
      <c r="D83" s="8"/>
      <c r="E83" s="10"/>
      <c r="F83" s="8"/>
    </row>
    <row r="84" customFormat="false" ht="15" hidden="false" customHeight="true" outlineLevel="0" collapsed="false">
      <c r="A84" s="8"/>
      <c r="B84" s="8"/>
      <c r="C84" s="8"/>
      <c r="D84" s="8"/>
      <c r="E84" s="10"/>
      <c r="F84" s="8"/>
    </row>
    <row r="85" customFormat="false" ht="15" hidden="false" customHeight="true" outlineLevel="0" collapsed="false">
      <c r="A85" s="8"/>
      <c r="B85" s="8"/>
      <c r="C85" s="8"/>
      <c r="D85" s="8"/>
      <c r="E85" s="10"/>
      <c r="F85" s="8"/>
    </row>
    <row r="86" customFormat="false" ht="15" hidden="false" customHeight="true" outlineLevel="0" collapsed="false">
      <c r="A86" s="8"/>
      <c r="B86" s="8"/>
      <c r="C86" s="8"/>
      <c r="D86" s="8"/>
      <c r="E86" s="10"/>
      <c r="F86" s="8"/>
    </row>
    <row r="87" customFormat="false" ht="15" hidden="false" customHeight="true" outlineLevel="0" collapsed="false">
      <c r="A87" s="8"/>
      <c r="B87" s="8"/>
      <c r="C87" s="8"/>
      <c r="D87" s="8"/>
      <c r="E87" s="10"/>
      <c r="F87" s="8"/>
    </row>
    <row r="88" customFormat="false" ht="15" hidden="false" customHeight="true" outlineLevel="0" collapsed="false">
      <c r="A88" s="8"/>
      <c r="B88" s="8"/>
      <c r="C88" s="8"/>
      <c r="D88" s="8"/>
      <c r="E88" s="10"/>
      <c r="F88" s="8"/>
    </row>
    <row r="89" customFormat="false" ht="15" hidden="false" customHeight="true" outlineLevel="0" collapsed="false">
      <c r="A89" s="8"/>
      <c r="B89" s="8"/>
      <c r="C89" s="8"/>
      <c r="D89" s="8"/>
      <c r="E89" s="10"/>
      <c r="F89" s="8"/>
    </row>
    <row r="90" customFormat="false" ht="15" hidden="false" customHeight="true" outlineLevel="0" collapsed="false">
      <c r="A90" s="8"/>
      <c r="B90" s="8"/>
      <c r="C90" s="8"/>
      <c r="D90" s="8"/>
      <c r="E90" s="10"/>
      <c r="F90" s="8"/>
    </row>
    <row r="91" customFormat="false" ht="15" hidden="false" customHeight="true" outlineLevel="0" collapsed="false">
      <c r="A91" s="8"/>
      <c r="B91" s="8"/>
      <c r="C91" s="8"/>
      <c r="D91" s="8"/>
      <c r="E91" s="10"/>
      <c r="F91" s="8"/>
    </row>
    <row r="92" customFormat="false" ht="15" hidden="false" customHeight="true" outlineLevel="0" collapsed="false">
      <c r="A92" s="8"/>
      <c r="B92" s="8"/>
      <c r="C92" s="8"/>
      <c r="D92" s="8"/>
      <c r="E92" s="10"/>
      <c r="F92" s="8"/>
    </row>
    <row r="93" customFormat="false" ht="15" hidden="false" customHeight="true" outlineLevel="0" collapsed="false">
      <c r="A93" s="8"/>
      <c r="B93" s="8"/>
      <c r="C93" s="8"/>
      <c r="D93" s="8"/>
      <c r="E93" s="10"/>
      <c r="F93" s="8"/>
    </row>
    <row r="94" customFormat="false" ht="15" hidden="false" customHeight="true" outlineLevel="0" collapsed="false">
      <c r="A94" s="8"/>
      <c r="B94" s="8"/>
      <c r="C94" s="8"/>
      <c r="D94" s="8"/>
      <c r="E94" s="10"/>
      <c r="F94" s="8"/>
    </row>
    <row r="95" customFormat="false" ht="15" hidden="false" customHeight="true" outlineLevel="0" collapsed="false">
      <c r="A95" s="8"/>
      <c r="B95" s="8"/>
      <c r="C95" s="8"/>
      <c r="D95" s="8"/>
      <c r="E95" s="10"/>
      <c r="F95" s="8"/>
    </row>
    <row r="96" customFormat="false" ht="15" hidden="false" customHeight="true" outlineLevel="0" collapsed="false">
      <c r="A96" s="8"/>
      <c r="B96" s="8"/>
      <c r="C96" s="8"/>
      <c r="D96" s="8"/>
      <c r="E96" s="10"/>
      <c r="F96" s="8"/>
    </row>
    <row r="97" customFormat="false" ht="15" hidden="false" customHeight="true" outlineLevel="0" collapsed="false">
      <c r="A97" s="8"/>
      <c r="B97" s="8"/>
      <c r="C97" s="8"/>
      <c r="D97" s="8"/>
      <c r="E97" s="10"/>
      <c r="F97" s="8"/>
    </row>
    <row r="98" customFormat="false" ht="15" hidden="false" customHeight="true" outlineLevel="0" collapsed="false">
      <c r="A98" s="8"/>
      <c r="B98" s="8"/>
      <c r="C98" s="8"/>
      <c r="D98" s="8"/>
      <c r="E98" s="10"/>
      <c r="F98" s="8"/>
    </row>
    <row r="99" customFormat="false" ht="15" hidden="false" customHeight="true" outlineLevel="0" collapsed="false">
      <c r="A99" s="8"/>
      <c r="B99" s="8"/>
      <c r="C99" s="8"/>
      <c r="D99" s="8"/>
      <c r="E99" s="10"/>
      <c r="F99" s="8"/>
    </row>
    <row r="100" customFormat="false" ht="15" hidden="false" customHeight="true" outlineLevel="0" collapsed="false">
      <c r="A100" s="8"/>
      <c r="B100" s="8"/>
      <c r="C100" s="8"/>
      <c r="D100" s="8"/>
      <c r="E100" s="10"/>
      <c r="F100" s="8"/>
    </row>
    <row r="101" customFormat="false" ht="15" hidden="false" customHeight="true" outlineLevel="0" collapsed="false">
      <c r="A101" s="8"/>
      <c r="B101" s="8"/>
      <c r="C101" s="8"/>
      <c r="D101" s="8"/>
      <c r="E101" s="10"/>
      <c r="F101" s="8"/>
    </row>
    <row r="102" customFormat="false" ht="15" hidden="false" customHeight="true" outlineLevel="0" collapsed="false">
      <c r="A102" s="8"/>
      <c r="B102" s="8"/>
      <c r="C102" s="8"/>
      <c r="D102" s="8"/>
      <c r="E102" s="10"/>
      <c r="F102" s="8"/>
    </row>
    <row r="103" customFormat="false" ht="15" hidden="false" customHeight="true" outlineLevel="0" collapsed="false">
      <c r="A103" s="8"/>
      <c r="B103" s="8"/>
      <c r="C103" s="8"/>
      <c r="D103" s="8"/>
      <c r="E103" s="10"/>
      <c r="F103" s="8"/>
    </row>
    <row r="104" customFormat="false" ht="15" hidden="false" customHeight="true" outlineLevel="0" collapsed="false">
      <c r="A104" s="8"/>
      <c r="B104" s="8"/>
      <c r="C104" s="8"/>
      <c r="D104" s="8"/>
      <c r="E104" s="10"/>
      <c r="F104" s="8"/>
    </row>
    <row r="105" customFormat="false" ht="15" hidden="false" customHeight="true" outlineLevel="0" collapsed="false">
      <c r="A105" s="8"/>
      <c r="B105" s="8"/>
      <c r="C105" s="8"/>
      <c r="D105" s="8"/>
      <c r="E105" s="10"/>
      <c r="F105" s="8"/>
    </row>
    <row r="106" customFormat="false" ht="15" hidden="false" customHeight="true" outlineLevel="0" collapsed="false">
      <c r="A106" s="8"/>
      <c r="B106" s="8"/>
      <c r="C106" s="8"/>
      <c r="D106" s="8"/>
      <c r="E106" s="10"/>
      <c r="F106" s="8"/>
    </row>
    <row r="107" customFormat="false" ht="15" hidden="false" customHeight="true" outlineLevel="0" collapsed="false">
      <c r="A107" s="8"/>
      <c r="B107" s="8"/>
      <c r="C107" s="8"/>
      <c r="D107" s="8"/>
      <c r="E107" s="10"/>
      <c r="F107" s="8"/>
    </row>
    <row r="108" customFormat="false" ht="15" hidden="false" customHeight="true" outlineLevel="0" collapsed="false">
      <c r="A108" s="8"/>
      <c r="B108" s="8"/>
      <c r="C108" s="8"/>
      <c r="D108" s="8"/>
      <c r="E108" s="10"/>
      <c r="F108" s="8"/>
    </row>
    <row r="109" customFormat="false" ht="15" hidden="false" customHeight="true" outlineLevel="0" collapsed="false">
      <c r="A109" s="8"/>
      <c r="B109" s="8"/>
      <c r="C109" s="8"/>
      <c r="D109" s="8"/>
      <c r="E109" s="10"/>
      <c r="F109" s="8"/>
    </row>
    <row r="110" customFormat="false" ht="15" hidden="false" customHeight="true" outlineLevel="0" collapsed="false">
      <c r="A110" s="8"/>
      <c r="B110" s="8"/>
      <c r="C110" s="8"/>
      <c r="D110" s="8"/>
      <c r="E110" s="10"/>
      <c r="F110" s="8"/>
    </row>
    <row r="111" customFormat="false" ht="15" hidden="false" customHeight="true" outlineLevel="0" collapsed="false">
      <c r="A111" s="8"/>
      <c r="B111" s="8"/>
      <c r="C111" s="8"/>
      <c r="D111" s="8"/>
      <c r="E111" s="10"/>
      <c r="F111" s="8"/>
    </row>
    <row r="112" customFormat="false" ht="15" hidden="false" customHeight="true" outlineLevel="0" collapsed="false">
      <c r="A112" s="8"/>
      <c r="B112" s="8"/>
      <c r="C112" s="8"/>
      <c r="D112" s="8"/>
      <c r="E112" s="10"/>
      <c r="F112" s="8"/>
    </row>
    <row r="113" customFormat="false" ht="15" hidden="false" customHeight="true" outlineLevel="0" collapsed="false">
      <c r="A113" s="8"/>
      <c r="B113" s="8"/>
      <c r="C113" s="8"/>
      <c r="D113" s="8"/>
      <c r="E113" s="10"/>
      <c r="F113" s="8"/>
    </row>
    <row r="114" customFormat="false" ht="15" hidden="false" customHeight="true" outlineLevel="0" collapsed="false">
      <c r="A114" s="8"/>
      <c r="B114" s="8"/>
      <c r="C114" s="8"/>
      <c r="D114" s="8"/>
      <c r="E114" s="10"/>
      <c r="F114" s="8"/>
    </row>
    <row r="115" customFormat="false" ht="15" hidden="false" customHeight="true" outlineLevel="0" collapsed="false">
      <c r="A115" s="8"/>
      <c r="B115" s="8"/>
      <c r="C115" s="8"/>
      <c r="D115" s="8"/>
      <c r="E115" s="10"/>
      <c r="F115" s="8"/>
    </row>
    <row r="116" customFormat="false" ht="15" hidden="false" customHeight="true" outlineLevel="0" collapsed="false">
      <c r="A116" s="8"/>
      <c r="B116" s="8"/>
      <c r="C116" s="8"/>
      <c r="D116" s="8"/>
      <c r="E116" s="10"/>
      <c r="F116" s="8"/>
    </row>
    <row r="117" customFormat="false" ht="15" hidden="false" customHeight="true" outlineLevel="0" collapsed="false">
      <c r="A117" s="8"/>
      <c r="B117" s="8"/>
      <c r="C117" s="8"/>
      <c r="D117" s="8"/>
      <c r="E117" s="10"/>
      <c r="F117" s="8"/>
    </row>
    <row r="118" customFormat="false" ht="15" hidden="false" customHeight="true" outlineLevel="0" collapsed="false">
      <c r="A118" s="8"/>
      <c r="B118" s="8"/>
      <c r="C118" s="8"/>
      <c r="D118" s="8"/>
      <c r="E118" s="10"/>
      <c r="F118" s="8"/>
    </row>
    <row r="119" customFormat="false" ht="15" hidden="false" customHeight="true" outlineLevel="0" collapsed="false">
      <c r="A119" s="8"/>
      <c r="B119" s="8"/>
      <c r="C119" s="8"/>
      <c r="D119" s="8"/>
      <c r="E119" s="10"/>
      <c r="F119" s="8"/>
    </row>
    <row r="120" customFormat="false" ht="15" hidden="false" customHeight="true" outlineLevel="0" collapsed="false">
      <c r="A120" s="8"/>
      <c r="B120" s="8"/>
      <c r="C120" s="8"/>
      <c r="D120" s="8"/>
      <c r="E120" s="10"/>
      <c r="F120" s="8"/>
    </row>
    <row r="121" customFormat="false" ht="15" hidden="false" customHeight="true" outlineLevel="0" collapsed="false">
      <c r="A121" s="8"/>
      <c r="B121" s="8"/>
      <c r="C121" s="8"/>
      <c r="D121" s="8"/>
      <c r="E121" s="10"/>
      <c r="F121" s="8"/>
    </row>
    <row r="122" customFormat="false" ht="15" hidden="false" customHeight="true" outlineLevel="0" collapsed="false">
      <c r="A122" s="8"/>
      <c r="B122" s="8"/>
      <c r="C122" s="8"/>
      <c r="D122" s="8"/>
      <c r="E122" s="10"/>
      <c r="F122" s="8"/>
    </row>
    <row r="123" customFormat="false" ht="15" hidden="false" customHeight="true" outlineLevel="0" collapsed="false">
      <c r="A123" s="8"/>
      <c r="B123" s="8"/>
      <c r="C123" s="8"/>
      <c r="D123" s="8"/>
      <c r="E123" s="10"/>
      <c r="F123" s="8"/>
    </row>
    <row r="124" customFormat="false" ht="15" hidden="false" customHeight="true" outlineLevel="0" collapsed="false">
      <c r="A124" s="8"/>
      <c r="B124" s="8"/>
      <c r="C124" s="8"/>
      <c r="D124" s="8"/>
      <c r="E124" s="10"/>
      <c r="F124" s="8"/>
    </row>
    <row r="125" customFormat="false" ht="15" hidden="false" customHeight="true" outlineLevel="0" collapsed="false">
      <c r="A125" s="8"/>
      <c r="B125" s="8"/>
      <c r="C125" s="8"/>
      <c r="D125" s="8"/>
      <c r="E125" s="10"/>
      <c r="F125" s="8"/>
    </row>
    <row r="126" customFormat="false" ht="15" hidden="false" customHeight="true" outlineLevel="0" collapsed="false">
      <c r="A126" s="8"/>
      <c r="B126" s="8"/>
      <c r="C126" s="8"/>
      <c r="D126" s="8"/>
      <c r="E126" s="10"/>
      <c r="F126" s="8"/>
    </row>
    <row r="127" customFormat="false" ht="15" hidden="false" customHeight="true" outlineLevel="0" collapsed="false">
      <c r="A127" s="8"/>
      <c r="B127" s="8"/>
      <c r="C127" s="8"/>
      <c r="D127" s="8"/>
      <c r="E127" s="10"/>
      <c r="F127" s="8"/>
    </row>
    <row r="128" customFormat="false" ht="15" hidden="false" customHeight="true" outlineLevel="0" collapsed="false">
      <c r="A128" s="8"/>
      <c r="B128" s="8"/>
      <c r="C128" s="8"/>
      <c r="D128" s="8"/>
      <c r="E128" s="10"/>
      <c r="F128" s="8"/>
    </row>
    <row r="129" customFormat="false" ht="15" hidden="false" customHeight="true" outlineLevel="0" collapsed="false">
      <c r="A129" s="8"/>
      <c r="B129" s="8"/>
      <c r="C129" s="8"/>
      <c r="D129" s="8"/>
      <c r="E129" s="10"/>
      <c r="F129" s="8"/>
    </row>
    <row r="130" customFormat="false" ht="15" hidden="false" customHeight="true" outlineLevel="0" collapsed="false">
      <c r="A130" s="8"/>
      <c r="B130" s="8"/>
      <c r="C130" s="8"/>
      <c r="D130" s="8"/>
      <c r="E130" s="10"/>
      <c r="F130" s="8"/>
    </row>
    <row r="131" customFormat="false" ht="15" hidden="false" customHeight="true" outlineLevel="0" collapsed="false">
      <c r="A131" s="8"/>
      <c r="B131" s="8"/>
      <c r="C131" s="8"/>
      <c r="D131" s="8"/>
      <c r="E131" s="10"/>
      <c r="F131" s="8"/>
    </row>
    <row r="132" customFormat="false" ht="15" hidden="false" customHeight="true" outlineLevel="0" collapsed="false">
      <c r="A132" s="8"/>
      <c r="B132" s="8"/>
      <c r="C132" s="8"/>
      <c r="D132" s="8"/>
      <c r="E132" s="10"/>
      <c r="F132" s="8"/>
    </row>
    <row r="133" customFormat="false" ht="15" hidden="false" customHeight="true" outlineLevel="0" collapsed="false">
      <c r="A133" s="8"/>
      <c r="B133" s="8"/>
      <c r="C133" s="8"/>
      <c r="D133" s="8"/>
      <c r="E133" s="10"/>
      <c r="F133" s="8"/>
    </row>
    <row r="134" customFormat="false" ht="15" hidden="false" customHeight="true" outlineLevel="0" collapsed="false">
      <c r="A134" s="8"/>
      <c r="B134" s="8"/>
      <c r="C134" s="8"/>
      <c r="D134" s="8"/>
      <c r="E134" s="10"/>
      <c r="F134" s="8"/>
    </row>
    <row r="135" customFormat="false" ht="15" hidden="false" customHeight="true" outlineLevel="0" collapsed="false">
      <c r="A135" s="8"/>
      <c r="B135" s="8"/>
      <c r="C135" s="8"/>
      <c r="D135" s="8"/>
      <c r="E135" s="10"/>
      <c r="F135" s="8"/>
    </row>
    <row r="136" customFormat="false" ht="15" hidden="false" customHeight="true" outlineLevel="0" collapsed="false">
      <c r="A136" s="8"/>
      <c r="B136" s="8"/>
      <c r="C136" s="8"/>
      <c r="D136" s="8"/>
      <c r="E136" s="10"/>
      <c r="F136" s="8"/>
    </row>
    <row r="137" customFormat="false" ht="15" hidden="false" customHeight="true" outlineLevel="0" collapsed="false">
      <c r="A137" s="8"/>
      <c r="B137" s="8"/>
      <c r="C137" s="8"/>
      <c r="D137" s="8"/>
      <c r="E137" s="10"/>
      <c r="F137" s="8"/>
    </row>
    <row r="138" customFormat="false" ht="15" hidden="false" customHeight="true" outlineLevel="0" collapsed="false">
      <c r="A138" s="8"/>
      <c r="B138" s="8"/>
      <c r="C138" s="8"/>
      <c r="D138" s="8"/>
      <c r="E138" s="10"/>
      <c r="F138" s="8"/>
    </row>
    <row r="139" customFormat="false" ht="15" hidden="false" customHeight="true" outlineLevel="0" collapsed="false">
      <c r="A139" s="8"/>
      <c r="B139" s="8"/>
      <c r="C139" s="8"/>
      <c r="D139" s="8"/>
      <c r="E139" s="10"/>
      <c r="F139" s="8"/>
    </row>
    <row r="140" customFormat="false" ht="15" hidden="false" customHeight="true" outlineLevel="0" collapsed="false">
      <c r="A140" s="8"/>
      <c r="B140" s="8"/>
      <c r="C140" s="8"/>
      <c r="D140" s="8"/>
      <c r="E140" s="10"/>
      <c r="F140" s="8"/>
    </row>
    <row r="141" customFormat="false" ht="15" hidden="false" customHeight="true" outlineLevel="0" collapsed="false">
      <c r="A141" s="8"/>
      <c r="B141" s="8"/>
      <c r="C141" s="8"/>
      <c r="D141" s="8"/>
      <c r="E141" s="10"/>
      <c r="F141" s="8"/>
    </row>
    <row r="142" customFormat="false" ht="15" hidden="false" customHeight="true" outlineLevel="0" collapsed="false">
      <c r="A142" s="8"/>
      <c r="B142" s="8"/>
      <c r="C142" s="8"/>
      <c r="D142" s="8"/>
      <c r="E142" s="10"/>
      <c r="F142" s="8"/>
    </row>
    <row r="143" customFormat="false" ht="15" hidden="false" customHeight="true" outlineLevel="0" collapsed="false">
      <c r="A143" s="8"/>
      <c r="B143" s="8"/>
      <c r="C143" s="8"/>
      <c r="D143" s="8"/>
      <c r="E143" s="10"/>
      <c r="F143" s="8"/>
    </row>
    <row r="144" customFormat="false" ht="15" hidden="false" customHeight="true" outlineLevel="0" collapsed="false">
      <c r="A144" s="8"/>
      <c r="B144" s="8"/>
      <c r="C144" s="8"/>
      <c r="D144" s="8"/>
      <c r="E144" s="10"/>
      <c r="F144" s="8"/>
    </row>
    <row r="145" customFormat="false" ht="15" hidden="false" customHeight="true" outlineLevel="0" collapsed="false">
      <c r="A145" s="8"/>
      <c r="B145" s="8"/>
      <c r="C145" s="8"/>
      <c r="D145" s="8"/>
      <c r="E145" s="10"/>
      <c r="F145" s="8"/>
    </row>
    <row r="146" customFormat="false" ht="15" hidden="false" customHeight="true" outlineLevel="0" collapsed="false">
      <c r="A146" s="8"/>
      <c r="B146" s="8"/>
      <c r="C146" s="8"/>
      <c r="D146" s="8"/>
      <c r="E146" s="10"/>
      <c r="F146" s="8"/>
    </row>
    <row r="147" customFormat="false" ht="15" hidden="false" customHeight="true" outlineLevel="0" collapsed="false">
      <c r="A147" s="8"/>
      <c r="B147" s="8"/>
      <c r="C147" s="8"/>
      <c r="D147" s="8"/>
      <c r="E147" s="10"/>
      <c r="F147" s="8"/>
    </row>
    <row r="148" customFormat="false" ht="15" hidden="false" customHeight="true" outlineLevel="0" collapsed="false">
      <c r="A148" s="8"/>
      <c r="B148" s="8"/>
      <c r="C148" s="8"/>
      <c r="D148" s="8"/>
      <c r="E148" s="10"/>
      <c r="F148" s="8"/>
    </row>
    <row r="149" customFormat="false" ht="15" hidden="false" customHeight="true" outlineLevel="0" collapsed="false">
      <c r="A149" s="8"/>
      <c r="B149" s="8"/>
      <c r="C149" s="8"/>
      <c r="D149" s="8"/>
      <c r="E149" s="10"/>
      <c r="F149" s="8"/>
    </row>
    <row r="150" customFormat="false" ht="15" hidden="false" customHeight="true" outlineLevel="0" collapsed="false">
      <c r="A150" s="8"/>
      <c r="B150" s="8"/>
      <c r="C150" s="8"/>
      <c r="D150" s="8"/>
      <c r="E150" s="10"/>
      <c r="F150" s="8"/>
    </row>
    <row r="151" customFormat="false" ht="15" hidden="false" customHeight="true" outlineLevel="0" collapsed="false">
      <c r="A151" s="8"/>
      <c r="B151" s="8"/>
      <c r="C151" s="8"/>
      <c r="D151" s="8"/>
      <c r="E151" s="10"/>
      <c r="F151" s="8"/>
    </row>
    <row r="152" customFormat="false" ht="15" hidden="false" customHeight="true" outlineLevel="0" collapsed="false">
      <c r="A152" s="8"/>
      <c r="B152" s="8"/>
      <c r="C152" s="8"/>
      <c r="D152" s="8"/>
      <c r="E152" s="10"/>
      <c r="F152" s="8"/>
    </row>
    <row r="153" customFormat="false" ht="15" hidden="false" customHeight="true" outlineLevel="0" collapsed="false">
      <c r="A153" s="8"/>
      <c r="B153" s="8"/>
      <c r="C153" s="8"/>
      <c r="D153" s="8"/>
      <c r="E153" s="10"/>
      <c r="F153" s="8"/>
    </row>
    <row r="154" customFormat="false" ht="15" hidden="false" customHeight="true" outlineLevel="0" collapsed="false">
      <c r="A154" s="8"/>
      <c r="B154" s="8"/>
      <c r="C154" s="8"/>
      <c r="D154" s="8"/>
      <c r="E154" s="10"/>
      <c r="F154" s="8"/>
    </row>
    <row r="155" customFormat="false" ht="15" hidden="false" customHeight="true" outlineLevel="0" collapsed="false">
      <c r="A155" s="8"/>
      <c r="B155" s="8"/>
      <c r="C155" s="8"/>
      <c r="D155" s="8"/>
      <c r="E155" s="10"/>
      <c r="F155" s="8"/>
    </row>
    <row r="156" customFormat="false" ht="15" hidden="false" customHeight="true" outlineLevel="0" collapsed="false">
      <c r="A156" s="8"/>
      <c r="B156" s="8"/>
      <c r="C156" s="8"/>
      <c r="D156" s="8"/>
      <c r="E156" s="10"/>
      <c r="F156" s="8"/>
    </row>
    <row r="157" customFormat="false" ht="15" hidden="false" customHeight="true" outlineLevel="0" collapsed="false">
      <c r="A157" s="8"/>
      <c r="B157" s="8"/>
      <c r="C157" s="8"/>
      <c r="D157" s="8"/>
      <c r="E157" s="10"/>
      <c r="F157" s="8"/>
    </row>
    <row r="158" customFormat="false" ht="15" hidden="false" customHeight="true" outlineLevel="0" collapsed="false">
      <c r="A158" s="8"/>
      <c r="B158" s="8"/>
      <c r="C158" s="8"/>
      <c r="D158" s="8"/>
      <c r="E158" s="10"/>
      <c r="F158" s="8"/>
    </row>
    <row r="159" customFormat="false" ht="15" hidden="false" customHeight="true" outlineLevel="0" collapsed="false">
      <c r="A159" s="8"/>
      <c r="B159" s="8"/>
      <c r="C159" s="8"/>
      <c r="D159" s="8"/>
      <c r="E159" s="10"/>
      <c r="F159" s="8"/>
    </row>
    <row r="160" customFormat="false" ht="15" hidden="false" customHeight="true" outlineLevel="0" collapsed="false">
      <c r="A160" s="8"/>
      <c r="B160" s="8"/>
      <c r="C160" s="8"/>
      <c r="D160" s="8"/>
      <c r="E160" s="10"/>
      <c r="F160" s="8"/>
    </row>
    <row r="161" customFormat="false" ht="15" hidden="false" customHeight="true" outlineLevel="0" collapsed="false">
      <c r="A161" s="8"/>
      <c r="B161" s="8"/>
      <c r="C161" s="8"/>
      <c r="D161" s="8"/>
      <c r="E161" s="10"/>
      <c r="F161" s="8"/>
    </row>
    <row r="162" customFormat="false" ht="15" hidden="false" customHeight="true" outlineLevel="0" collapsed="false">
      <c r="A162" s="8"/>
      <c r="B162" s="8"/>
      <c r="C162" s="8"/>
      <c r="D162" s="8"/>
      <c r="E162" s="10"/>
      <c r="F162" s="8"/>
    </row>
    <row r="163" customFormat="false" ht="15" hidden="false" customHeight="true" outlineLevel="0" collapsed="false">
      <c r="A163" s="8"/>
      <c r="B163" s="8"/>
      <c r="C163" s="8"/>
      <c r="D163" s="8"/>
      <c r="E163" s="10"/>
      <c r="F163" s="8"/>
    </row>
    <row r="164" customFormat="false" ht="15" hidden="false" customHeight="true" outlineLevel="0" collapsed="false">
      <c r="A164" s="8"/>
      <c r="B164" s="8"/>
      <c r="C164" s="8"/>
      <c r="D164" s="8"/>
      <c r="E164" s="10"/>
      <c r="F164" s="8"/>
    </row>
    <row r="165" customFormat="false" ht="15" hidden="false" customHeight="true" outlineLevel="0" collapsed="false">
      <c r="A165" s="8"/>
      <c r="B165" s="8"/>
      <c r="C165" s="8"/>
      <c r="D165" s="8"/>
      <c r="E165" s="10"/>
      <c r="F165" s="8"/>
    </row>
    <row r="166" customFormat="false" ht="15" hidden="false" customHeight="true" outlineLevel="0" collapsed="false">
      <c r="A166" s="8"/>
      <c r="B166" s="8"/>
      <c r="C166" s="8"/>
      <c r="D166" s="8"/>
      <c r="E166" s="10"/>
      <c r="F166" s="8"/>
    </row>
    <row r="167" customFormat="false" ht="15" hidden="false" customHeight="true" outlineLevel="0" collapsed="false">
      <c r="A167" s="8"/>
      <c r="B167" s="8"/>
      <c r="C167" s="8"/>
      <c r="D167" s="8"/>
      <c r="E167" s="10"/>
      <c r="F167" s="8"/>
    </row>
    <row r="168" customFormat="false" ht="15" hidden="false" customHeight="true" outlineLevel="0" collapsed="false">
      <c r="A168" s="8"/>
      <c r="B168" s="8"/>
      <c r="C168" s="8"/>
      <c r="D168" s="8"/>
      <c r="E168" s="10"/>
      <c r="F168" s="8"/>
    </row>
    <row r="169" customFormat="false" ht="15" hidden="false" customHeight="true" outlineLevel="0" collapsed="false">
      <c r="A169" s="8"/>
      <c r="B169" s="8"/>
      <c r="C169" s="8"/>
      <c r="D169" s="8"/>
      <c r="E169" s="10"/>
      <c r="F169" s="8"/>
    </row>
    <row r="170" customFormat="false" ht="15" hidden="false" customHeight="true" outlineLevel="0" collapsed="false">
      <c r="A170" s="8"/>
      <c r="B170" s="8"/>
      <c r="C170" s="8"/>
      <c r="D170" s="8"/>
      <c r="E170" s="10"/>
      <c r="F170" s="8"/>
    </row>
    <row r="171" customFormat="false" ht="15" hidden="false" customHeight="true" outlineLevel="0" collapsed="false">
      <c r="A171" s="8"/>
      <c r="B171" s="8"/>
      <c r="C171" s="8"/>
      <c r="D171" s="8"/>
      <c r="E171" s="10"/>
      <c r="F171" s="8"/>
    </row>
    <row r="172" customFormat="false" ht="15" hidden="false" customHeight="true" outlineLevel="0" collapsed="false">
      <c r="A172" s="8"/>
      <c r="B172" s="8"/>
      <c r="C172" s="8"/>
      <c r="D172" s="8"/>
      <c r="E172" s="10"/>
      <c r="F172" s="8"/>
    </row>
    <row r="173" customFormat="false" ht="15" hidden="false" customHeight="true" outlineLevel="0" collapsed="false">
      <c r="A173" s="8"/>
      <c r="B173" s="8"/>
      <c r="C173" s="8"/>
      <c r="D173" s="8"/>
      <c r="E173" s="10"/>
      <c r="F173" s="8"/>
    </row>
    <row r="174" customFormat="false" ht="15" hidden="false" customHeight="true" outlineLevel="0" collapsed="false">
      <c r="A174" s="8"/>
      <c r="B174" s="8"/>
      <c r="C174" s="8"/>
      <c r="D174" s="8"/>
      <c r="E174" s="10"/>
      <c r="F174" s="8"/>
    </row>
    <row r="175" customFormat="false" ht="15" hidden="false" customHeight="true" outlineLevel="0" collapsed="false">
      <c r="A175" s="8"/>
      <c r="B175" s="8"/>
      <c r="C175" s="8"/>
      <c r="D175" s="8"/>
      <c r="E175" s="10"/>
      <c r="F175" s="8"/>
    </row>
    <row r="176" customFormat="false" ht="15" hidden="false" customHeight="true" outlineLevel="0" collapsed="false">
      <c r="A176" s="8"/>
      <c r="B176" s="8"/>
      <c r="C176" s="8"/>
      <c r="D176" s="8"/>
      <c r="E176" s="10"/>
      <c r="F176" s="8"/>
    </row>
    <row r="177" customFormat="false" ht="15" hidden="false" customHeight="true" outlineLevel="0" collapsed="false">
      <c r="A177" s="8"/>
      <c r="B177" s="8"/>
      <c r="C177" s="8"/>
      <c r="D177" s="8"/>
      <c r="E177" s="10"/>
      <c r="F177" s="8"/>
    </row>
    <row r="178" customFormat="false" ht="15" hidden="false" customHeight="true" outlineLevel="0" collapsed="false">
      <c r="A178" s="8"/>
      <c r="B178" s="8"/>
      <c r="C178" s="8"/>
      <c r="D178" s="8"/>
      <c r="E178" s="10"/>
      <c r="F178" s="8"/>
    </row>
    <row r="179" customFormat="false" ht="15" hidden="false" customHeight="true" outlineLevel="0" collapsed="false">
      <c r="A179" s="8"/>
      <c r="B179" s="8"/>
      <c r="C179" s="8"/>
      <c r="D179" s="8"/>
      <c r="E179" s="10"/>
      <c r="F179" s="8"/>
    </row>
    <row r="180" customFormat="false" ht="15" hidden="false" customHeight="true" outlineLevel="0" collapsed="false">
      <c r="A180" s="8"/>
      <c r="B180" s="8"/>
      <c r="C180" s="8"/>
      <c r="D180" s="8"/>
      <c r="E180" s="10"/>
      <c r="F180" s="8"/>
    </row>
    <row r="181" customFormat="false" ht="15" hidden="false" customHeight="true" outlineLevel="0" collapsed="false">
      <c r="A181" s="8"/>
      <c r="B181" s="8"/>
      <c r="C181" s="8"/>
      <c r="D181" s="8"/>
      <c r="E181" s="10"/>
      <c r="F181" s="8"/>
    </row>
    <row r="182" customFormat="false" ht="15" hidden="false" customHeight="true" outlineLevel="0" collapsed="false">
      <c r="A182" s="8"/>
      <c r="B182" s="8"/>
      <c r="C182" s="8"/>
      <c r="D182" s="8"/>
      <c r="E182" s="10"/>
      <c r="F182" s="8"/>
    </row>
    <row r="183" customFormat="false" ht="15" hidden="false" customHeight="true" outlineLevel="0" collapsed="false">
      <c r="A183" s="8"/>
      <c r="B183" s="8"/>
      <c r="C183" s="8"/>
      <c r="D183" s="8"/>
      <c r="E183" s="10"/>
      <c r="F183" s="8"/>
    </row>
    <row r="184" customFormat="false" ht="15" hidden="false" customHeight="true" outlineLevel="0" collapsed="false">
      <c r="A184" s="8"/>
      <c r="B184" s="8"/>
      <c r="C184" s="8"/>
      <c r="D184" s="8"/>
      <c r="E184" s="10"/>
      <c r="F184" s="8"/>
    </row>
    <row r="185" customFormat="false" ht="15" hidden="false" customHeight="true" outlineLevel="0" collapsed="false">
      <c r="A185" s="8"/>
      <c r="B185" s="8"/>
      <c r="C185" s="8"/>
      <c r="D185" s="8"/>
      <c r="E185" s="10"/>
      <c r="F185" s="8"/>
    </row>
    <row r="186" customFormat="false" ht="15" hidden="false" customHeight="true" outlineLevel="0" collapsed="false">
      <c r="A186" s="8"/>
      <c r="B186" s="8"/>
      <c r="C186" s="8"/>
      <c r="D186" s="8"/>
      <c r="E186" s="10"/>
      <c r="F186" s="8"/>
    </row>
    <row r="187" customFormat="false" ht="15" hidden="false" customHeight="true" outlineLevel="0" collapsed="false">
      <c r="A187" s="8"/>
      <c r="B187" s="8"/>
      <c r="C187" s="8"/>
      <c r="D187" s="8"/>
      <c r="E187" s="10"/>
      <c r="F187" s="8"/>
    </row>
    <row r="188" customFormat="false" ht="15" hidden="false" customHeight="true" outlineLevel="0" collapsed="false">
      <c r="A188" s="8"/>
      <c r="B188" s="8"/>
      <c r="C188" s="8"/>
      <c r="D188" s="8"/>
      <c r="E188" s="10"/>
      <c r="F188" s="8"/>
    </row>
    <row r="189" customFormat="false" ht="15" hidden="false" customHeight="true" outlineLevel="0" collapsed="false">
      <c r="A189" s="8"/>
      <c r="B189" s="8"/>
      <c r="C189" s="8"/>
      <c r="D189" s="8"/>
      <c r="E189" s="10"/>
      <c r="F189" s="8"/>
    </row>
    <row r="190" customFormat="false" ht="15" hidden="false" customHeight="true" outlineLevel="0" collapsed="false">
      <c r="A190" s="8"/>
      <c r="B190" s="8"/>
      <c r="C190" s="8"/>
      <c r="D190" s="8"/>
      <c r="E190" s="10"/>
      <c r="F190" s="8"/>
    </row>
    <row r="191" customFormat="false" ht="15" hidden="false" customHeight="true" outlineLevel="0" collapsed="false">
      <c r="A191" s="8"/>
      <c r="B191" s="8"/>
      <c r="C191" s="8"/>
      <c r="D191" s="8"/>
      <c r="E191" s="10"/>
      <c r="F191" s="8"/>
    </row>
    <row r="192" customFormat="false" ht="15" hidden="false" customHeight="true" outlineLevel="0" collapsed="false">
      <c r="A192" s="8"/>
      <c r="B192" s="8"/>
      <c r="C192" s="8"/>
      <c r="D192" s="8"/>
      <c r="E192" s="10"/>
      <c r="F192" s="8"/>
    </row>
    <row r="193" customFormat="false" ht="15" hidden="false" customHeight="true" outlineLevel="0" collapsed="false">
      <c r="A193" s="8"/>
      <c r="B193" s="8"/>
      <c r="C193" s="8"/>
      <c r="D193" s="8"/>
      <c r="E193" s="10"/>
      <c r="F193" s="8"/>
    </row>
    <row r="194" customFormat="false" ht="15" hidden="false" customHeight="true" outlineLevel="0" collapsed="false">
      <c r="A194" s="8"/>
      <c r="B194" s="8"/>
      <c r="C194" s="8"/>
      <c r="D194" s="8"/>
      <c r="E194" s="10"/>
      <c r="F194" s="8"/>
    </row>
    <row r="195" customFormat="false" ht="15" hidden="false" customHeight="true" outlineLevel="0" collapsed="false">
      <c r="A195" s="8"/>
      <c r="B195" s="8"/>
      <c r="C195" s="8"/>
      <c r="D195" s="8"/>
      <c r="E195" s="10"/>
      <c r="F195" s="8"/>
    </row>
    <row r="196" customFormat="false" ht="15" hidden="false" customHeight="true" outlineLevel="0" collapsed="false">
      <c r="A196" s="8"/>
      <c r="B196" s="8"/>
      <c r="C196" s="8"/>
      <c r="D196" s="8"/>
      <c r="E196" s="10"/>
      <c r="F196" s="8"/>
    </row>
    <row r="197" customFormat="false" ht="15" hidden="false" customHeight="true" outlineLevel="0" collapsed="false">
      <c r="A197" s="8"/>
      <c r="B197" s="8"/>
      <c r="C197" s="8"/>
      <c r="D197" s="8"/>
      <c r="E197" s="10"/>
      <c r="F197" s="8"/>
    </row>
    <row r="198" customFormat="false" ht="15" hidden="false" customHeight="true" outlineLevel="0" collapsed="false">
      <c r="A198" s="8"/>
      <c r="B198" s="8"/>
      <c r="C198" s="8"/>
      <c r="D198" s="8"/>
      <c r="E198" s="10"/>
      <c r="F198" s="8"/>
    </row>
    <row r="199" customFormat="false" ht="15" hidden="false" customHeight="true" outlineLevel="0" collapsed="false">
      <c r="A199" s="8"/>
      <c r="B199" s="8"/>
      <c r="C199" s="8"/>
      <c r="D199" s="8"/>
      <c r="E199" s="10"/>
      <c r="F199" s="8"/>
    </row>
    <row r="200" customFormat="false" ht="15" hidden="false" customHeight="true" outlineLevel="0" collapsed="false">
      <c r="A200" s="8"/>
      <c r="B200" s="8"/>
      <c r="C200" s="8"/>
      <c r="D200" s="8"/>
      <c r="E200" s="10"/>
      <c r="F200" s="8"/>
    </row>
    <row r="201" customFormat="false" ht="15" hidden="false" customHeight="true" outlineLevel="0" collapsed="false">
      <c r="A201" s="8"/>
      <c r="B201" s="8"/>
      <c r="C201" s="8"/>
      <c r="D201" s="8"/>
      <c r="E201" s="10"/>
      <c r="F201" s="8"/>
    </row>
    <row r="202" customFormat="false" ht="15" hidden="false" customHeight="true" outlineLevel="0" collapsed="false">
      <c r="A202" s="8"/>
      <c r="B202" s="8"/>
      <c r="C202" s="8"/>
      <c r="D202" s="8"/>
      <c r="E202" s="10"/>
      <c r="F202" s="8"/>
    </row>
    <row r="203" customFormat="false" ht="15" hidden="false" customHeight="true" outlineLevel="0" collapsed="false">
      <c r="A203" s="8"/>
      <c r="B203" s="8"/>
      <c r="C203" s="8"/>
      <c r="D203" s="8"/>
      <c r="E203" s="10"/>
      <c r="F203" s="8"/>
    </row>
    <row r="204" customFormat="false" ht="15" hidden="false" customHeight="true" outlineLevel="0" collapsed="false">
      <c r="A204" s="8"/>
      <c r="B204" s="8"/>
      <c r="C204" s="8"/>
      <c r="D204" s="8"/>
      <c r="E204" s="10"/>
      <c r="F204" s="8"/>
    </row>
    <row r="205" customFormat="false" ht="15" hidden="false" customHeight="true" outlineLevel="0" collapsed="false">
      <c r="A205" s="8"/>
      <c r="B205" s="8"/>
      <c r="C205" s="8"/>
      <c r="D205" s="8"/>
      <c r="E205" s="10"/>
      <c r="F205" s="8"/>
    </row>
    <row r="206" customFormat="false" ht="15" hidden="false" customHeight="true" outlineLevel="0" collapsed="false">
      <c r="A206" s="8"/>
      <c r="B206" s="8"/>
      <c r="C206" s="8"/>
      <c r="D206" s="8"/>
      <c r="E206" s="10"/>
      <c r="F206" s="8"/>
    </row>
    <row r="207" customFormat="false" ht="15" hidden="false" customHeight="true" outlineLevel="0" collapsed="false">
      <c r="A207" s="8"/>
      <c r="B207" s="8"/>
      <c r="C207" s="8"/>
      <c r="D207" s="8"/>
      <c r="E207" s="10"/>
      <c r="F207" s="8"/>
    </row>
    <row r="208" customFormat="false" ht="15" hidden="false" customHeight="true" outlineLevel="0" collapsed="false">
      <c r="A208" s="8"/>
      <c r="B208" s="8"/>
      <c r="C208" s="8"/>
      <c r="D208" s="8"/>
      <c r="E208" s="10"/>
      <c r="F208" s="8"/>
    </row>
    <row r="209" customFormat="false" ht="15" hidden="false" customHeight="true" outlineLevel="0" collapsed="false">
      <c r="A209" s="8"/>
      <c r="B209" s="8"/>
      <c r="C209" s="8"/>
      <c r="D209" s="8"/>
      <c r="E209" s="10"/>
      <c r="F209" s="8"/>
    </row>
    <row r="210" customFormat="false" ht="15" hidden="false" customHeight="true" outlineLevel="0" collapsed="false">
      <c r="A210" s="8"/>
      <c r="B210" s="8"/>
      <c r="C210" s="8"/>
      <c r="D210" s="8"/>
      <c r="E210" s="10"/>
      <c r="F210" s="8"/>
    </row>
    <row r="211" customFormat="false" ht="15" hidden="false" customHeight="true" outlineLevel="0" collapsed="false">
      <c r="A211" s="8"/>
      <c r="B211" s="8"/>
      <c r="C211" s="8"/>
      <c r="D211" s="8"/>
      <c r="E211" s="10"/>
      <c r="F211" s="8"/>
    </row>
    <row r="212" customFormat="false" ht="15" hidden="false" customHeight="true" outlineLevel="0" collapsed="false">
      <c r="A212" s="8"/>
      <c r="B212" s="8"/>
      <c r="C212" s="8"/>
      <c r="D212" s="8"/>
      <c r="E212" s="10"/>
      <c r="F212" s="8"/>
    </row>
    <row r="213" customFormat="false" ht="15" hidden="false" customHeight="true" outlineLevel="0" collapsed="false">
      <c r="A213" s="8"/>
      <c r="B213" s="8"/>
      <c r="C213" s="8"/>
      <c r="D213" s="8"/>
      <c r="E213" s="10"/>
      <c r="F213" s="8"/>
    </row>
    <row r="214" customFormat="false" ht="15" hidden="false" customHeight="true" outlineLevel="0" collapsed="false">
      <c r="A214" s="8"/>
      <c r="B214" s="8"/>
      <c r="C214" s="8"/>
      <c r="D214" s="8"/>
      <c r="E214" s="10"/>
      <c r="F214" s="8"/>
    </row>
    <row r="215" customFormat="false" ht="15" hidden="false" customHeight="true" outlineLevel="0" collapsed="false">
      <c r="A215" s="8"/>
      <c r="B215" s="8"/>
      <c r="C215" s="8"/>
      <c r="D215" s="8"/>
      <c r="E215" s="10"/>
      <c r="F215" s="8"/>
    </row>
    <row r="216" customFormat="false" ht="15" hidden="false" customHeight="true" outlineLevel="0" collapsed="false">
      <c r="A216" s="8"/>
      <c r="B216" s="8"/>
      <c r="C216" s="8"/>
      <c r="D216" s="8"/>
      <c r="E216" s="10"/>
      <c r="F216" s="8"/>
    </row>
    <row r="217" customFormat="false" ht="15" hidden="false" customHeight="true" outlineLevel="0" collapsed="false">
      <c r="A217" s="8"/>
      <c r="B217" s="8"/>
      <c r="C217" s="8"/>
      <c r="D217" s="8"/>
      <c r="E217" s="10"/>
      <c r="F217" s="8"/>
    </row>
    <row r="218" customFormat="false" ht="15" hidden="false" customHeight="true" outlineLevel="0" collapsed="false">
      <c r="A218" s="8"/>
      <c r="B218" s="8"/>
      <c r="C218" s="8"/>
      <c r="D218" s="8"/>
      <c r="E218" s="10"/>
      <c r="F218" s="8"/>
    </row>
    <row r="219" customFormat="false" ht="15" hidden="false" customHeight="true" outlineLevel="0" collapsed="false">
      <c r="A219" s="8"/>
      <c r="B219" s="8"/>
      <c r="C219" s="8"/>
      <c r="D219" s="8"/>
      <c r="E219" s="10"/>
      <c r="F219" s="8"/>
    </row>
    <row r="220" customFormat="false" ht="15" hidden="false" customHeight="true" outlineLevel="0" collapsed="false">
      <c r="A220" s="8"/>
      <c r="B220" s="8"/>
      <c r="C220" s="8"/>
      <c r="D220" s="8"/>
      <c r="E220" s="10"/>
      <c r="F220" s="8"/>
    </row>
    <row r="221" customFormat="false" ht="15" hidden="false" customHeight="true" outlineLevel="0" collapsed="false">
      <c r="A221" s="8"/>
      <c r="B221" s="8"/>
      <c r="C221" s="8"/>
      <c r="D221" s="8"/>
      <c r="E221" s="10"/>
      <c r="F221" s="8"/>
    </row>
    <row r="222" customFormat="false" ht="15" hidden="false" customHeight="true" outlineLevel="0" collapsed="false">
      <c r="A222" s="8"/>
      <c r="B222" s="8"/>
      <c r="C222" s="8"/>
      <c r="D222" s="8"/>
      <c r="E222" s="10"/>
      <c r="F222" s="8"/>
    </row>
    <row r="223" customFormat="false" ht="15" hidden="false" customHeight="true" outlineLevel="0" collapsed="false">
      <c r="A223" s="8"/>
      <c r="B223" s="8"/>
      <c r="C223" s="8"/>
      <c r="D223" s="8"/>
      <c r="E223" s="10"/>
      <c r="F223" s="8"/>
    </row>
    <row r="224" customFormat="false" ht="15" hidden="false" customHeight="true" outlineLevel="0" collapsed="false">
      <c r="A224" s="8"/>
      <c r="B224" s="8"/>
      <c r="C224" s="8"/>
      <c r="D224" s="8"/>
      <c r="E224" s="10"/>
      <c r="F224" s="8"/>
    </row>
    <row r="225" customFormat="false" ht="15" hidden="false" customHeight="true" outlineLevel="0" collapsed="false">
      <c r="A225" s="8"/>
      <c r="B225" s="8"/>
      <c r="C225" s="8"/>
      <c r="D225" s="8"/>
      <c r="E225" s="10"/>
      <c r="F225" s="8"/>
    </row>
    <row r="226" customFormat="false" ht="15" hidden="false" customHeight="true" outlineLevel="0" collapsed="false">
      <c r="A226" s="8"/>
      <c r="B226" s="8"/>
      <c r="C226" s="8"/>
      <c r="D226" s="8"/>
      <c r="E226" s="10"/>
      <c r="F226" s="8"/>
    </row>
    <row r="227" customFormat="false" ht="15" hidden="false" customHeight="true" outlineLevel="0" collapsed="false">
      <c r="A227" s="8"/>
      <c r="B227" s="8"/>
      <c r="C227" s="8"/>
      <c r="D227" s="8"/>
      <c r="E227" s="10"/>
      <c r="F227" s="8"/>
    </row>
    <row r="228" customFormat="false" ht="15" hidden="false" customHeight="true" outlineLevel="0" collapsed="false">
      <c r="A228" s="8"/>
      <c r="B228" s="8"/>
      <c r="C228" s="8"/>
      <c r="D228" s="8"/>
      <c r="E228" s="10"/>
      <c r="F228" s="8"/>
    </row>
    <row r="229" customFormat="false" ht="15" hidden="false" customHeight="true" outlineLevel="0" collapsed="false">
      <c r="A229" s="8"/>
      <c r="B229" s="8"/>
      <c r="C229" s="8"/>
      <c r="D229" s="8"/>
      <c r="E229" s="10"/>
      <c r="F229" s="8"/>
    </row>
    <row r="230" customFormat="false" ht="15" hidden="false" customHeight="true" outlineLevel="0" collapsed="false">
      <c r="A230" s="8"/>
      <c r="B230" s="8"/>
      <c r="C230" s="8"/>
      <c r="D230" s="8"/>
      <c r="E230" s="10"/>
      <c r="F230" s="8"/>
    </row>
    <row r="231" customFormat="false" ht="15" hidden="false" customHeight="true" outlineLevel="0" collapsed="false">
      <c r="A231" s="8"/>
      <c r="B231" s="8"/>
      <c r="C231" s="8"/>
      <c r="D231" s="8"/>
      <c r="E231" s="10"/>
      <c r="F231" s="8"/>
    </row>
    <row r="232" customFormat="false" ht="15" hidden="false" customHeight="true" outlineLevel="0" collapsed="false">
      <c r="A232" s="8"/>
      <c r="B232" s="8"/>
      <c r="C232" s="8"/>
      <c r="D232" s="8"/>
      <c r="E232" s="10"/>
      <c r="F232" s="8"/>
    </row>
    <row r="233" customFormat="false" ht="15" hidden="false" customHeight="true" outlineLevel="0" collapsed="false">
      <c r="A233" s="8"/>
      <c r="B233" s="8"/>
      <c r="C233" s="8"/>
      <c r="D233" s="8"/>
      <c r="E233" s="10"/>
      <c r="F233" s="8"/>
    </row>
    <row r="234" customFormat="false" ht="15" hidden="false" customHeight="true" outlineLevel="0" collapsed="false">
      <c r="A234" s="8"/>
      <c r="B234" s="8"/>
      <c r="C234" s="8"/>
      <c r="D234" s="8"/>
      <c r="E234" s="10"/>
      <c r="F234" s="8"/>
    </row>
    <row r="235" customFormat="false" ht="15" hidden="false" customHeight="true" outlineLevel="0" collapsed="false">
      <c r="A235" s="8"/>
      <c r="B235" s="8"/>
      <c r="C235" s="8"/>
      <c r="D235" s="8"/>
      <c r="E235" s="10"/>
      <c r="F235" s="8"/>
    </row>
    <row r="236" customFormat="false" ht="15" hidden="false" customHeight="true" outlineLevel="0" collapsed="false">
      <c r="A236" s="8"/>
      <c r="B236" s="8"/>
      <c r="C236" s="8"/>
      <c r="D236" s="8"/>
      <c r="E236" s="10"/>
      <c r="F236" s="8"/>
    </row>
    <row r="237" customFormat="false" ht="15" hidden="false" customHeight="true" outlineLevel="0" collapsed="false">
      <c r="A237" s="8"/>
      <c r="B237" s="8"/>
      <c r="C237" s="8"/>
      <c r="D237" s="8"/>
      <c r="E237" s="10"/>
      <c r="F237" s="8"/>
    </row>
    <row r="238" customFormat="false" ht="15" hidden="false" customHeight="true" outlineLevel="0" collapsed="false">
      <c r="A238" s="8"/>
      <c r="B238" s="8"/>
      <c r="C238" s="8"/>
      <c r="D238" s="8"/>
      <c r="E238" s="10"/>
      <c r="F238" s="8"/>
    </row>
    <row r="239" customFormat="false" ht="15" hidden="false" customHeight="true" outlineLevel="0" collapsed="false">
      <c r="A239" s="8"/>
      <c r="B239" s="8"/>
      <c r="C239" s="8"/>
      <c r="D239" s="8"/>
      <c r="E239" s="10"/>
      <c r="F239" s="8"/>
    </row>
    <row r="240" customFormat="false" ht="15" hidden="false" customHeight="true" outlineLevel="0" collapsed="false">
      <c r="A240" s="8"/>
      <c r="B240" s="8"/>
      <c r="C240" s="8"/>
      <c r="D240" s="8"/>
      <c r="E240" s="10"/>
      <c r="F240" s="8"/>
    </row>
    <row r="241" customFormat="false" ht="15" hidden="false" customHeight="true" outlineLevel="0" collapsed="false">
      <c r="A241" s="8"/>
      <c r="B241" s="8"/>
      <c r="C241" s="8"/>
      <c r="D241" s="8"/>
      <c r="E241" s="10"/>
      <c r="F241" s="8"/>
    </row>
    <row r="242" customFormat="false" ht="15" hidden="false" customHeight="true" outlineLevel="0" collapsed="false">
      <c r="A242" s="8"/>
      <c r="B242" s="8"/>
      <c r="C242" s="8"/>
      <c r="D242" s="8"/>
      <c r="E242" s="10"/>
      <c r="F242" s="8"/>
    </row>
    <row r="243" customFormat="false" ht="15" hidden="false" customHeight="true" outlineLevel="0" collapsed="false">
      <c r="A243" s="8"/>
      <c r="B243" s="8"/>
      <c r="C243" s="8"/>
      <c r="D243" s="8"/>
      <c r="E243" s="10"/>
      <c r="F243" s="8"/>
    </row>
    <row r="244" customFormat="false" ht="15" hidden="false" customHeight="true" outlineLevel="0" collapsed="false">
      <c r="A244" s="8"/>
      <c r="B244" s="8"/>
      <c r="C244" s="8"/>
      <c r="D244" s="8"/>
      <c r="E244" s="10"/>
      <c r="F244" s="8"/>
    </row>
    <row r="245" customFormat="false" ht="15" hidden="false" customHeight="true" outlineLevel="0" collapsed="false">
      <c r="A245" s="8"/>
      <c r="B245" s="8"/>
      <c r="C245" s="8"/>
      <c r="D245" s="8"/>
      <c r="E245" s="10"/>
      <c r="F245" s="8"/>
    </row>
    <row r="246" customFormat="false" ht="15" hidden="false" customHeight="true" outlineLevel="0" collapsed="false">
      <c r="A246" s="8"/>
      <c r="B246" s="8"/>
      <c r="C246" s="8"/>
      <c r="D246" s="8"/>
      <c r="E246" s="10"/>
      <c r="F246" s="8"/>
    </row>
    <row r="247" customFormat="false" ht="15" hidden="false" customHeight="true" outlineLevel="0" collapsed="false">
      <c r="A247" s="8"/>
      <c r="B247" s="8"/>
      <c r="C247" s="8"/>
      <c r="D247" s="8"/>
      <c r="E247" s="10"/>
      <c r="F247" s="8"/>
    </row>
    <row r="248" customFormat="false" ht="15" hidden="false" customHeight="true" outlineLevel="0" collapsed="false">
      <c r="A248" s="8"/>
      <c r="B248" s="8"/>
      <c r="C248" s="8"/>
      <c r="D248" s="8"/>
      <c r="E248" s="10"/>
      <c r="F248" s="8"/>
    </row>
    <row r="249" customFormat="false" ht="15" hidden="false" customHeight="true" outlineLevel="0" collapsed="false">
      <c r="A249" s="8"/>
      <c r="B249" s="8"/>
      <c r="C249" s="8"/>
      <c r="D249" s="8"/>
      <c r="E249" s="10"/>
      <c r="F249" s="8"/>
    </row>
    <row r="250" customFormat="false" ht="15" hidden="false" customHeight="true" outlineLevel="0" collapsed="false">
      <c r="A250" s="8"/>
      <c r="B250" s="8"/>
      <c r="C250" s="8"/>
      <c r="D250" s="8"/>
      <c r="E250" s="10"/>
      <c r="F250" s="8"/>
    </row>
    <row r="251" customFormat="false" ht="15" hidden="false" customHeight="true" outlineLevel="0" collapsed="false">
      <c r="A251" s="8"/>
      <c r="B251" s="8"/>
      <c r="C251" s="8"/>
      <c r="D251" s="8"/>
      <c r="E251" s="10"/>
      <c r="F251" s="8"/>
    </row>
    <row r="252" customFormat="false" ht="15" hidden="false" customHeight="true" outlineLevel="0" collapsed="false">
      <c r="A252" s="8"/>
      <c r="B252" s="8"/>
      <c r="C252" s="8"/>
      <c r="D252" s="8"/>
      <c r="E252" s="10"/>
      <c r="F252" s="8"/>
    </row>
    <row r="253" customFormat="false" ht="15" hidden="false" customHeight="true" outlineLevel="0" collapsed="false">
      <c r="A253" s="8"/>
      <c r="B253" s="8"/>
      <c r="C253" s="8"/>
      <c r="D253" s="8"/>
      <c r="E253" s="10"/>
      <c r="F253" s="8"/>
    </row>
    <row r="254" customFormat="false" ht="15" hidden="false" customHeight="true" outlineLevel="0" collapsed="false">
      <c r="A254" s="8"/>
      <c r="B254" s="8"/>
      <c r="C254" s="8"/>
      <c r="D254" s="8"/>
      <c r="E254" s="10"/>
      <c r="F254" s="8"/>
    </row>
    <row r="255" customFormat="false" ht="15" hidden="false" customHeight="true" outlineLevel="0" collapsed="false">
      <c r="A255" s="8"/>
      <c r="B255" s="8"/>
      <c r="C255" s="8"/>
      <c r="D255" s="8"/>
      <c r="E255" s="10"/>
      <c r="F255" s="8"/>
    </row>
    <row r="256" customFormat="false" ht="15" hidden="false" customHeight="true" outlineLevel="0" collapsed="false">
      <c r="A256" s="8"/>
      <c r="B256" s="8"/>
      <c r="C256" s="8"/>
      <c r="D256" s="8"/>
      <c r="E256" s="10"/>
      <c r="F256" s="8"/>
    </row>
    <row r="257" customFormat="false" ht="15" hidden="false" customHeight="true" outlineLevel="0" collapsed="false">
      <c r="A257" s="8"/>
      <c r="B257" s="8"/>
      <c r="C257" s="8"/>
      <c r="D257" s="8"/>
      <c r="E257" s="10"/>
      <c r="F257" s="8"/>
    </row>
    <row r="258" customFormat="false" ht="15" hidden="false" customHeight="true" outlineLevel="0" collapsed="false">
      <c r="A258" s="8"/>
      <c r="B258" s="8"/>
      <c r="C258" s="8"/>
      <c r="D258" s="8"/>
      <c r="E258" s="10"/>
      <c r="F258" s="8"/>
    </row>
    <row r="259" customFormat="false" ht="15" hidden="false" customHeight="true" outlineLevel="0" collapsed="false">
      <c r="A259" s="8"/>
      <c r="B259" s="8"/>
      <c r="C259" s="8"/>
      <c r="D259" s="8"/>
      <c r="E259" s="10"/>
      <c r="F259" s="8"/>
    </row>
    <row r="260" customFormat="false" ht="15" hidden="false" customHeight="true" outlineLevel="0" collapsed="false">
      <c r="A260" s="8"/>
      <c r="B260" s="8"/>
      <c r="C260" s="8"/>
      <c r="D260" s="8"/>
      <c r="E260" s="10"/>
      <c r="F260" s="8"/>
    </row>
    <row r="261" customFormat="false" ht="15" hidden="false" customHeight="true" outlineLevel="0" collapsed="false">
      <c r="A261" s="8"/>
      <c r="B261" s="8"/>
      <c r="C261" s="8"/>
      <c r="D261" s="8"/>
      <c r="E261" s="10"/>
      <c r="F261" s="8"/>
    </row>
    <row r="262" customFormat="false" ht="15" hidden="false" customHeight="true" outlineLevel="0" collapsed="false">
      <c r="A262" s="8"/>
      <c r="B262" s="8"/>
      <c r="C262" s="8"/>
      <c r="D262" s="8"/>
      <c r="E262" s="10"/>
      <c r="F262" s="8"/>
    </row>
    <row r="263" customFormat="false" ht="15" hidden="false" customHeight="true" outlineLevel="0" collapsed="false">
      <c r="A263" s="8"/>
      <c r="B263" s="8"/>
      <c r="C263" s="8"/>
      <c r="D263" s="8"/>
      <c r="E263" s="10"/>
      <c r="F263" s="8"/>
    </row>
    <row r="264" customFormat="false" ht="15" hidden="false" customHeight="true" outlineLevel="0" collapsed="false">
      <c r="A264" s="8"/>
      <c r="B264" s="8"/>
      <c r="C264" s="8"/>
      <c r="D264" s="8"/>
      <c r="E264" s="10"/>
      <c r="F264" s="8"/>
    </row>
    <row r="265" customFormat="false" ht="15" hidden="false" customHeight="true" outlineLevel="0" collapsed="false">
      <c r="A265" s="8"/>
      <c r="B265" s="8"/>
      <c r="C265" s="8"/>
      <c r="D265" s="8"/>
      <c r="E265" s="10"/>
      <c r="F265" s="8"/>
    </row>
    <row r="266" customFormat="false" ht="15" hidden="false" customHeight="true" outlineLevel="0" collapsed="false">
      <c r="A266" s="8"/>
      <c r="B266" s="8"/>
      <c r="C266" s="8"/>
      <c r="D266" s="8"/>
      <c r="E266" s="10"/>
      <c r="F266" s="8"/>
    </row>
    <row r="267" customFormat="false" ht="15" hidden="false" customHeight="true" outlineLevel="0" collapsed="false">
      <c r="A267" s="8"/>
      <c r="B267" s="8"/>
      <c r="C267" s="8"/>
      <c r="D267" s="8"/>
      <c r="E267" s="10"/>
      <c r="F267" s="8"/>
    </row>
    <row r="268" customFormat="false" ht="15" hidden="false" customHeight="true" outlineLevel="0" collapsed="false">
      <c r="A268" s="8"/>
      <c r="B268" s="8"/>
      <c r="C268" s="8"/>
      <c r="D268" s="8"/>
      <c r="E268" s="10"/>
      <c r="F268" s="8"/>
    </row>
    <row r="269" customFormat="false" ht="15" hidden="false" customHeight="true" outlineLevel="0" collapsed="false">
      <c r="A269" s="8"/>
      <c r="B269" s="8"/>
      <c r="C269" s="8"/>
      <c r="D269" s="8"/>
      <c r="E269" s="10"/>
      <c r="F269" s="8"/>
    </row>
    <row r="270" customFormat="false" ht="15" hidden="false" customHeight="true" outlineLevel="0" collapsed="false">
      <c r="A270" s="8"/>
      <c r="B270" s="8"/>
      <c r="C270" s="8"/>
      <c r="D270" s="8"/>
      <c r="E270" s="10"/>
      <c r="F270" s="8"/>
    </row>
    <row r="271" customFormat="false" ht="15" hidden="false" customHeight="true" outlineLevel="0" collapsed="false">
      <c r="A271" s="8"/>
      <c r="B271" s="8"/>
      <c r="C271" s="8"/>
      <c r="D271" s="8"/>
      <c r="E271" s="10"/>
      <c r="F271" s="8"/>
    </row>
    <row r="272" customFormat="false" ht="15" hidden="false" customHeight="true" outlineLevel="0" collapsed="false">
      <c r="A272" s="8"/>
      <c r="B272" s="8"/>
      <c r="C272" s="8"/>
      <c r="D272" s="8"/>
      <c r="E272" s="10"/>
      <c r="F272" s="8"/>
    </row>
    <row r="273" customFormat="false" ht="15" hidden="false" customHeight="true" outlineLevel="0" collapsed="false">
      <c r="A273" s="8"/>
      <c r="B273" s="8"/>
      <c r="C273" s="8"/>
      <c r="D273" s="8"/>
      <c r="E273" s="10"/>
      <c r="F273" s="8"/>
    </row>
    <row r="274" customFormat="false" ht="15" hidden="false" customHeight="true" outlineLevel="0" collapsed="false">
      <c r="A274" s="8"/>
      <c r="B274" s="8"/>
      <c r="C274" s="8"/>
      <c r="D274" s="8"/>
      <c r="E274" s="10"/>
      <c r="F274" s="8"/>
    </row>
    <row r="275" customFormat="false" ht="15" hidden="false" customHeight="true" outlineLevel="0" collapsed="false">
      <c r="A275" s="8"/>
      <c r="B275" s="8"/>
      <c r="C275" s="8"/>
      <c r="D275" s="8"/>
      <c r="E275" s="10"/>
      <c r="F275" s="8"/>
    </row>
    <row r="276" customFormat="false" ht="15" hidden="false" customHeight="true" outlineLevel="0" collapsed="false">
      <c r="A276" s="8"/>
      <c r="B276" s="8"/>
      <c r="C276" s="8"/>
      <c r="D276" s="8"/>
      <c r="E276" s="10"/>
      <c r="F276" s="8"/>
    </row>
    <row r="277" customFormat="false" ht="15" hidden="false" customHeight="true" outlineLevel="0" collapsed="false">
      <c r="A277" s="8"/>
      <c r="B277" s="8"/>
      <c r="C277" s="8"/>
      <c r="D277" s="8"/>
      <c r="E277" s="10"/>
      <c r="F277" s="8"/>
    </row>
    <row r="278" customFormat="false" ht="15" hidden="false" customHeight="true" outlineLevel="0" collapsed="false">
      <c r="A278" s="8"/>
      <c r="B278" s="8"/>
      <c r="C278" s="8"/>
      <c r="D278" s="8"/>
      <c r="E278" s="10"/>
      <c r="F278" s="8"/>
    </row>
    <row r="279" customFormat="false" ht="15" hidden="false" customHeight="true" outlineLevel="0" collapsed="false">
      <c r="A279" s="8"/>
      <c r="B279" s="8"/>
      <c r="C279" s="8"/>
      <c r="D279" s="8"/>
      <c r="E279" s="10"/>
      <c r="F279" s="8"/>
    </row>
    <row r="280" customFormat="false" ht="15" hidden="false" customHeight="true" outlineLevel="0" collapsed="false">
      <c r="A280" s="8"/>
      <c r="B280" s="8"/>
      <c r="C280" s="8"/>
      <c r="D280" s="8"/>
      <c r="E280" s="10"/>
      <c r="F280" s="8"/>
    </row>
    <row r="281" customFormat="false" ht="15" hidden="false" customHeight="true" outlineLevel="0" collapsed="false">
      <c r="A281" s="8"/>
      <c r="B281" s="8"/>
      <c r="C281" s="8"/>
      <c r="D281" s="8"/>
      <c r="E281" s="10"/>
      <c r="F281" s="8"/>
    </row>
    <row r="282" customFormat="false" ht="15" hidden="false" customHeight="true" outlineLevel="0" collapsed="false">
      <c r="A282" s="8"/>
      <c r="B282" s="8"/>
      <c r="C282" s="8"/>
      <c r="D282" s="8"/>
      <c r="E282" s="10"/>
      <c r="F282" s="8"/>
    </row>
    <row r="283" customFormat="false" ht="15" hidden="false" customHeight="true" outlineLevel="0" collapsed="false">
      <c r="A283" s="8"/>
      <c r="B283" s="8"/>
      <c r="C283" s="8"/>
      <c r="D283" s="8"/>
      <c r="E283" s="10"/>
      <c r="F283" s="8"/>
    </row>
    <row r="284" customFormat="false" ht="15" hidden="false" customHeight="true" outlineLevel="0" collapsed="false">
      <c r="A284" s="8"/>
      <c r="B284" s="8"/>
      <c r="C284" s="8"/>
      <c r="D284" s="8"/>
      <c r="E284" s="10"/>
      <c r="F284" s="8"/>
    </row>
    <row r="285" customFormat="false" ht="15" hidden="false" customHeight="true" outlineLevel="0" collapsed="false">
      <c r="A285" s="8"/>
      <c r="B285" s="8"/>
      <c r="C285" s="8"/>
      <c r="D285" s="8"/>
      <c r="E285" s="10"/>
      <c r="F285" s="8"/>
    </row>
    <row r="286" customFormat="false" ht="15" hidden="false" customHeight="true" outlineLevel="0" collapsed="false">
      <c r="A286" s="8"/>
      <c r="B286" s="8"/>
      <c r="C286" s="8"/>
      <c r="D286" s="8"/>
      <c r="E286" s="10"/>
      <c r="F286" s="8"/>
    </row>
    <row r="287" customFormat="false" ht="15" hidden="false" customHeight="true" outlineLevel="0" collapsed="false">
      <c r="A287" s="8"/>
      <c r="B287" s="8"/>
      <c r="C287" s="8"/>
      <c r="D287" s="8"/>
      <c r="E287" s="10"/>
      <c r="F287" s="8"/>
    </row>
    <row r="288" customFormat="false" ht="15" hidden="false" customHeight="true" outlineLevel="0" collapsed="false">
      <c r="A288" s="8"/>
      <c r="B288" s="8"/>
      <c r="C288" s="8"/>
      <c r="D288" s="8"/>
      <c r="E288" s="10"/>
      <c r="F288" s="8"/>
    </row>
    <row r="289" customFormat="false" ht="15" hidden="false" customHeight="true" outlineLevel="0" collapsed="false">
      <c r="A289" s="8"/>
      <c r="B289" s="8"/>
      <c r="C289" s="8"/>
      <c r="D289" s="8"/>
      <c r="E289" s="10"/>
      <c r="F289" s="8"/>
    </row>
    <row r="290" customFormat="false" ht="15" hidden="false" customHeight="true" outlineLevel="0" collapsed="false">
      <c r="A290" s="8"/>
      <c r="B290" s="8"/>
      <c r="C290" s="8"/>
      <c r="D290" s="8"/>
      <c r="E290" s="10"/>
      <c r="F290" s="8"/>
    </row>
    <row r="291" customFormat="false" ht="15" hidden="false" customHeight="true" outlineLevel="0" collapsed="false">
      <c r="A291" s="8"/>
      <c r="B291" s="8"/>
      <c r="C291" s="8"/>
      <c r="D291" s="8"/>
      <c r="E291" s="10"/>
      <c r="F291" s="8"/>
    </row>
    <row r="292" customFormat="false" ht="15" hidden="false" customHeight="true" outlineLevel="0" collapsed="false">
      <c r="A292" s="8"/>
      <c r="B292" s="8"/>
      <c r="C292" s="8"/>
      <c r="D292" s="8"/>
      <c r="E292" s="10"/>
      <c r="F292" s="8"/>
    </row>
    <row r="293" customFormat="false" ht="15" hidden="false" customHeight="true" outlineLevel="0" collapsed="false">
      <c r="A293" s="8"/>
      <c r="B293" s="8"/>
      <c r="C293" s="8"/>
      <c r="D293" s="8"/>
      <c r="E293" s="10"/>
      <c r="F293" s="8"/>
    </row>
    <row r="294" customFormat="false" ht="15" hidden="false" customHeight="true" outlineLevel="0" collapsed="false">
      <c r="A294" s="8"/>
      <c r="B294" s="8"/>
      <c r="C294" s="8"/>
      <c r="D294" s="8"/>
      <c r="E294" s="10"/>
      <c r="F294" s="8"/>
    </row>
    <row r="295" customFormat="false" ht="15" hidden="false" customHeight="true" outlineLevel="0" collapsed="false">
      <c r="A295" s="8"/>
      <c r="B295" s="8"/>
      <c r="C295" s="8"/>
      <c r="D295" s="8"/>
      <c r="E295" s="10"/>
      <c r="F295" s="8"/>
    </row>
    <row r="296" customFormat="false" ht="15" hidden="false" customHeight="true" outlineLevel="0" collapsed="false">
      <c r="A296" s="8"/>
      <c r="B296" s="8"/>
      <c r="C296" s="8"/>
      <c r="D296" s="8"/>
      <c r="E296" s="10"/>
      <c r="F296" s="8"/>
    </row>
    <row r="297" customFormat="false" ht="15" hidden="false" customHeight="true" outlineLevel="0" collapsed="false">
      <c r="A297" s="8"/>
      <c r="B297" s="8"/>
      <c r="C297" s="8"/>
      <c r="D297" s="8"/>
      <c r="E297" s="10"/>
      <c r="F297" s="8"/>
    </row>
    <row r="298" customFormat="false" ht="15" hidden="false" customHeight="true" outlineLevel="0" collapsed="false">
      <c r="A298" s="8"/>
      <c r="B298" s="8"/>
      <c r="C298" s="8"/>
      <c r="D298" s="8"/>
      <c r="E298" s="10"/>
      <c r="F298" s="8"/>
    </row>
    <row r="299" customFormat="false" ht="15" hidden="false" customHeight="true" outlineLevel="0" collapsed="false">
      <c r="A299" s="8"/>
      <c r="B299" s="8"/>
      <c r="C299" s="8"/>
      <c r="D299" s="8"/>
      <c r="E299" s="10"/>
      <c r="F299" s="8"/>
    </row>
    <row r="300" customFormat="false" ht="15" hidden="false" customHeight="true" outlineLevel="0" collapsed="false">
      <c r="A300" s="8"/>
      <c r="B300" s="8"/>
      <c r="C300" s="8"/>
      <c r="D300" s="8"/>
      <c r="E300" s="10"/>
      <c r="F300" s="8"/>
    </row>
  </sheetData>
  <autoFilter ref="A2:F300"/>
  <mergeCells count="1">
    <mergeCell ref="A1:F1"/>
  </mergeCells>
  <dataValidations count="1">
    <dataValidation allowBlank="true" errorStyle="stop" operator="between" showDropDown="false" showErrorMessage="false" showInputMessage="false" sqref="B3:B300" type="list">
      <formula1>"Reglementaire,OMS,International,Protocole,Formulaire"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4"/>
    <col collapsed="false" customWidth="true" hidden="false" outlineLevel="0" max="4" min="4" style="1" width="24"/>
    <col collapsed="false" customWidth="true" hidden="false" outlineLevel="0" max="5" min="5" style="1" width="18"/>
  </cols>
  <sheetData>
    <row r="1" customFormat="false" ht="30" hidden="false" customHeight="true" outlineLevel="0" collapsed="false">
      <c r="A1" s="2" t="s">
        <v>215</v>
      </c>
      <c r="B1" s="2"/>
      <c r="C1" s="2"/>
      <c r="D1" s="2"/>
      <c r="E1" s="2"/>
    </row>
    <row r="3" customFormat="false" ht="15" hidden="false" customHeight="true" outlineLevel="0" collapsed="false">
      <c r="A3" s="5" t="s">
        <v>216</v>
      </c>
      <c r="D3" s="5" t="s">
        <v>217</v>
      </c>
    </row>
    <row r="4" customFormat="false" ht="15" hidden="false" customHeight="true" outlineLevel="0" collapsed="false">
      <c r="A4" s="12" t="s">
        <v>218</v>
      </c>
      <c r="B4" s="8" t="n">
        <f aca="false">COUNTA(A1_Etudiants!$B$3:$B$50000)</f>
        <v>0</v>
      </c>
      <c r="D4" s="12" t="s">
        <v>219</v>
      </c>
      <c r="E4" s="11" t="n">
        <f aca="false">SUM(F1_Mouvements!$I$3:$I$50000)</f>
        <v>0</v>
      </c>
    </row>
    <row r="5" customFormat="false" ht="15" hidden="false" customHeight="true" outlineLevel="0" collapsed="false">
      <c r="A5" s="12" t="s">
        <v>220</v>
      </c>
      <c r="B5" s="8" t="n">
        <f aca="false">COUNTIF(A1_Etudiants!$M$3:$M$50000,"Actif")</f>
        <v>0</v>
      </c>
      <c r="D5" s="12" t="s">
        <v>221</v>
      </c>
      <c r="E5" s="11" t="n">
        <f aca="false">SUM(F1_Mouvements!$J$3:$J$50000)</f>
        <v>0</v>
      </c>
    </row>
    <row r="6" customFormat="false" ht="15" hidden="false" customHeight="true" outlineLevel="0" collapsed="false">
      <c r="A6" s="12" t="s">
        <v>222</v>
      </c>
      <c r="B6" s="8" t="n">
        <f aca="false">COUNTIF(A1_Etudiants!$M$3:$M$50000,"Diplome")</f>
        <v>0</v>
      </c>
      <c r="D6" s="12" t="s">
        <v>223</v>
      </c>
      <c r="E6" s="11" t="n">
        <f aca="false">E4-E5</f>
        <v>0</v>
      </c>
    </row>
    <row r="7" customFormat="false" ht="15" hidden="false" customHeight="true" outlineLevel="0" collapsed="false">
      <c r="A7" s="12" t="s">
        <v>224</v>
      </c>
      <c r="B7" s="8" t="n">
        <f aca="false">COUNTIF(A1_Etudiants!$M$3:$M$50000,"Abandonne")</f>
        <v>0</v>
      </c>
    </row>
    <row r="8" customFormat="false" ht="15" hidden="false" customHeight="true" outlineLevel="0" collapsed="false">
      <c r="A8" s="12" t="s">
        <v>225</v>
      </c>
      <c r="B8" s="8" t="n">
        <f aca="false">COUNTIF(A1_Etudiants!$M$3:$M$50000,"Radie")</f>
        <v>0</v>
      </c>
    </row>
    <row r="10" customFormat="false" ht="15" hidden="false" customHeight="true" outlineLevel="0" collapsed="false">
      <c r="A10" s="5" t="s">
        <v>226</v>
      </c>
      <c r="D10" s="5" t="s">
        <v>227</v>
      </c>
    </row>
    <row r="11" customFormat="false" ht="15" hidden="false" customHeight="true" outlineLevel="0" collapsed="false">
      <c r="A11" s="8" t="str">
        <f aca="false">IF(P0_Parametres!A3="","",P0_Parametres!A3)</f>
        <v/>
      </c>
      <c r="B11" s="8" t="str">
        <f aca="false">IF(P0_Parametres!A3="","",COUNTIF(A1_Etudiants!$J$3:$J$50000,P0_Parametres!A3))</f>
        <v/>
      </c>
      <c r="D11" s="12" t="s">
        <v>228</v>
      </c>
      <c r="E11" s="8" t="n">
        <f aca="false">SUM(E2_Releve_heures!$D$3:$D$50000)</f>
        <v>0</v>
      </c>
    </row>
    <row r="12" customFormat="false" ht="15" hidden="false" customHeight="true" outlineLevel="0" collapsed="false">
      <c r="A12" s="8" t="str">
        <f aca="false">IF(P0_Parametres!A4="","",P0_Parametres!A4)</f>
        <v/>
      </c>
      <c r="B12" s="8" t="str">
        <f aca="false">IF(P0_Parametres!A4="","",COUNTIF(A1_Etudiants!$J$3:$J$50000,P0_Parametres!A4))</f>
        <v/>
      </c>
      <c r="D12" s="12" t="s">
        <v>229</v>
      </c>
      <c r="E12" s="8" t="n">
        <f aca="false">COUNTA(E1_Enseignants!$A$3:$A$50000)</f>
        <v>0</v>
      </c>
    </row>
    <row r="13" customFormat="false" ht="15" hidden="false" customHeight="true" outlineLevel="0" collapsed="false">
      <c r="A13" s="8" t="str">
        <f aca="false">IF(P0_Parametres!A5="","",P0_Parametres!A5)</f>
        <v/>
      </c>
      <c r="B13" s="8" t="str">
        <f aca="false">IF(P0_Parametres!A5="","",COUNTIF(A1_Etudiants!$J$3:$J$50000,P0_Parametres!A5))</f>
        <v/>
      </c>
    </row>
    <row r="14" customFormat="false" ht="15" hidden="false" customHeight="true" outlineLevel="0" collapsed="false">
      <c r="A14" s="5" t="s">
        <v>230</v>
      </c>
      <c r="B14" s="8" t="str">
        <f aca="false">IF(P0_Parametres!A6="","",COUNTIF(A1_Etudiants!$J$3:$J$50000,P0_Parametres!A6))</f>
        <v/>
      </c>
    </row>
    <row r="15" customFormat="false" ht="15" hidden="false" customHeight="true" outlineLevel="0" collapsed="false">
      <c r="A15" s="12" t="s">
        <v>231</v>
      </c>
      <c r="B15" s="13" t="n">
        <f aca="false">IFERROR(COUNTIF(A2_Presences!$E$3:$E$50000,"O")/COUNTA(A2_Presences!$E$3:$E$50000),0)</f>
        <v>0</v>
      </c>
    </row>
    <row r="16" customFormat="false" ht="15" hidden="false" customHeight="true" outlineLevel="0" collapsed="false">
      <c r="A16" s="8" t="str">
        <f aca="false">IF(P0_Parametres!A8="","",P0_Parametres!A8)</f>
        <v/>
      </c>
      <c r="B16" s="8" t="str">
        <f aca="false">IF(P0_Parametres!A8="","",COUNTIF(A1_Etudiants!$J$3:$J$50000,P0_Parametres!A8))</f>
        <v/>
      </c>
    </row>
    <row r="17" customFormat="false" ht="15" hidden="false" customHeight="true" outlineLevel="0" collapsed="false">
      <c r="A17" s="8" t="str">
        <f aca="false">IF(P0_Parametres!A9="","",P0_Parametres!A9)</f>
        <v/>
      </c>
      <c r="B17" s="8" t="str">
        <f aca="false">IF(P0_Parametres!A9="","",COUNTIF(A1_Etudiants!$J$3:$J$50000,P0_Parametres!A9))</f>
        <v/>
      </c>
    </row>
    <row r="18" customFormat="false" ht="15" hidden="false" customHeight="true" outlineLevel="0" collapsed="false">
      <c r="A18" s="8" t="str">
        <f aca="false">IF(P0_Parametres!A10="","",P0_Parametres!A10)</f>
        <v/>
      </c>
      <c r="B18" s="8" t="str">
        <f aca="false">IF(P0_Parametres!A10="","",COUNTIF(A1_Etudiants!$J$3:$J$50000,P0_Parametres!A10))</f>
        <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8"/>
    <col collapsed="false" customWidth="true" hidden="false" outlineLevel="0" max="2" min="2" style="1" width="26"/>
    <col collapsed="false" customWidth="true" hidden="false" outlineLevel="0" max="4" min="3" style="1" width="11"/>
    <col collapsed="false" customWidth="true" hidden="false" outlineLevel="0" max="5" min="5" style="1" width="15"/>
    <col collapsed="false" customWidth="true" hidden="false" outlineLevel="0" max="6" min="6" style="1" width="24"/>
    <col collapsed="false" customWidth="true" hidden="false" outlineLevel="0" max="7" min="7" style="1" width="62"/>
  </cols>
  <sheetData>
    <row r="1" customFormat="false" ht="30" hidden="false" customHeight="true" outlineLevel="0" collapsed="false">
      <c r="A1" s="2" t="s">
        <v>232</v>
      </c>
      <c r="B1" s="2"/>
      <c r="C1" s="2"/>
      <c r="D1" s="2"/>
      <c r="E1" s="2"/>
      <c r="F1" s="2"/>
      <c r="G1" s="2"/>
    </row>
    <row r="2" customFormat="false" ht="27.75" hidden="false" customHeight="true" outlineLevel="0" collapsed="false">
      <c r="A2" s="14" t="s">
        <v>233</v>
      </c>
      <c r="B2" s="14" t="s">
        <v>234</v>
      </c>
      <c r="C2" s="14" t="s">
        <v>235</v>
      </c>
      <c r="D2" s="14" t="s">
        <v>236</v>
      </c>
      <c r="E2" s="14" t="s">
        <v>237</v>
      </c>
      <c r="F2" s="14" t="s">
        <v>238</v>
      </c>
      <c r="G2" s="14" t="s">
        <v>239</v>
      </c>
    </row>
    <row r="3" customFormat="false" ht="15" hidden="false" customHeight="true" outlineLevel="0" collapsed="false">
      <c r="A3" s="15" t="s">
        <v>240</v>
      </c>
      <c r="B3" s="16" t="s">
        <v>28</v>
      </c>
      <c r="C3" s="15" t="s">
        <v>241</v>
      </c>
      <c r="D3" s="15" t="s">
        <v>242</v>
      </c>
      <c r="E3" s="15" t="s">
        <v>243</v>
      </c>
      <c r="F3" s="15" t="s">
        <v>244</v>
      </c>
      <c r="G3" s="17" t="s">
        <v>245</v>
      </c>
    </row>
    <row r="4" customFormat="false" ht="15" hidden="false" customHeight="true" outlineLevel="0" collapsed="false">
      <c r="A4" s="15" t="s">
        <v>240</v>
      </c>
      <c r="B4" s="16" t="s">
        <v>29</v>
      </c>
      <c r="C4" s="15" t="s">
        <v>241</v>
      </c>
      <c r="D4" s="15" t="s">
        <v>242</v>
      </c>
      <c r="E4" s="15" t="s">
        <v>243</v>
      </c>
      <c r="F4" s="15" t="s">
        <v>244</v>
      </c>
      <c r="G4" s="17" t="s">
        <v>246</v>
      </c>
    </row>
    <row r="5" customFormat="false" ht="15" hidden="false" customHeight="true" outlineLevel="0" collapsed="false">
      <c r="A5" s="15" t="s">
        <v>240</v>
      </c>
      <c r="B5" s="16" t="s">
        <v>247</v>
      </c>
      <c r="C5" s="15" t="s">
        <v>241</v>
      </c>
      <c r="D5" s="15" t="s">
        <v>248</v>
      </c>
      <c r="E5" s="15" t="s">
        <v>249</v>
      </c>
      <c r="F5" s="15" t="s">
        <v>244</v>
      </c>
      <c r="G5" s="17" t="s">
        <v>250</v>
      </c>
    </row>
    <row r="6" customFormat="false" ht="15" hidden="false" customHeight="true" outlineLevel="0" collapsed="false">
      <c r="A6" s="15" t="s">
        <v>240</v>
      </c>
      <c r="B6" s="16" t="s">
        <v>31</v>
      </c>
      <c r="C6" s="15" t="s">
        <v>241</v>
      </c>
      <c r="D6" s="15" t="s">
        <v>242</v>
      </c>
      <c r="E6" s="15" t="s">
        <v>243</v>
      </c>
      <c r="F6" s="15" t="s">
        <v>244</v>
      </c>
      <c r="G6" s="17" t="s">
        <v>251</v>
      </c>
    </row>
    <row r="7" customFormat="false" ht="15" hidden="false" customHeight="true" outlineLevel="0" collapsed="false">
      <c r="A7" s="15" t="s">
        <v>240</v>
      </c>
      <c r="B7" s="16" t="s">
        <v>252</v>
      </c>
      <c r="C7" s="15" t="s">
        <v>241</v>
      </c>
      <c r="D7" s="15" t="s">
        <v>242</v>
      </c>
      <c r="E7" s="15" t="s">
        <v>253</v>
      </c>
      <c r="F7" s="15" t="s">
        <v>244</v>
      </c>
      <c r="G7" s="17" t="s">
        <v>254</v>
      </c>
    </row>
    <row r="8" customFormat="false" ht="15" hidden="false" customHeight="true" outlineLevel="0" collapsed="false">
      <c r="A8" s="15" t="s">
        <v>240</v>
      </c>
      <c r="B8" s="16" t="s">
        <v>255</v>
      </c>
      <c r="C8" s="15" t="s">
        <v>241</v>
      </c>
      <c r="D8" s="15" t="s">
        <v>248</v>
      </c>
      <c r="E8" s="15" t="s">
        <v>249</v>
      </c>
      <c r="F8" s="15" t="s">
        <v>244</v>
      </c>
      <c r="G8" s="17" t="s">
        <v>256</v>
      </c>
    </row>
    <row r="9" customFormat="false" ht="15" hidden="false" customHeight="true" outlineLevel="0" collapsed="false">
      <c r="A9" s="15" t="s">
        <v>240</v>
      </c>
      <c r="B9" s="16" t="s">
        <v>257</v>
      </c>
      <c r="C9" s="15" t="s">
        <v>241</v>
      </c>
      <c r="D9" s="15" t="s">
        <v>242</v>
      </c>
      <c r="E9" s="15" t="s">
        <v>253</v>
      </c>
      <c r="F9" s="15" t="s">
        <v>244</v>
      </c>
      <c r="G9" s="17" t="s">
        <v>258</v>
      </c>
    </row>
    <row r="10" customFormat="false" ht="15" hidden="false" customHeight="true" outlineLevel="0" collapsed="false">
      <c r="A10" s="15" t="s">
        <v>240</v>
      </c>
      <c r="B10" s="16" t="s">
        <v>259</v>
      </c>
      <c r="C10" s="15" t="s">
        <v>241</v>
      </c>
      <c r="D10" s="15" t="s">
        <v>242</v>
      </c>
      <c r="E10" s="15" t="s">
        <v>253</v>
      </c>
      <c r="F10" s="15" t="s">
        <v>244</v>
      </c>
      <c r="G10" s="17" t="s">
        <v>260</v>
      </c>
    </row>
    <row r="11" customFormat="false" ht="15" hidden="false" customHeight="true" outlineLevel="0" collapsed="false">
      <c r="A11" s="15" t="s">
        <v>240</v>
      </c>
      <c r="B11" s="16" t="s">
        <v>261</v>
      </c>
      <c r="C11" s="15" t="s">
        <v>241</v>
      </c>
      <c r="D11" s="15" t="s">
        <v>248</v>
      </c>
      <c r="E11" s="15" t="s">
        <v>253</v>
      </c>
      <c r="F11" s="15" t="s">
        <v>244</v>
      </c>
      <c r="G11" s="17" t="s">
        <v>262</v>
      </c>
    </row>
    <row r="12" customFormat="false" ht="15" hidden="false" customHeight="true" outlineLevel="0" collapsed="false">
      <c r="A12" s="15" t="s">
        <v>240</v>
      </c>
      <c r="B12" s="16" t="s">
        <v>263</v>
      </c>
      <c r="C12" s="15" t="s">
        <v>241</v>
      </c>
      <c r="D12" s="15" t="s">
        <v>248</v>
      </c>
      <c r="E12" s="15" t="s">
        <v>249</v>
      </c>
      <c r="F12" s="15" t="s">
        <v>244</v>
      </c>
      <c r="G12" s="17" t="s">
        <v>264</v>
      </c>
    </row>
    <row r="13" customFormat="false" ht="15" hidden="false" customHeight="true" outlineLevel="0" collapsed="false">
      <c r="A13" s="15" t="s">
        <v>240</v>
      </c>
      <c r="B13" s="16" t="s">
        <v>265</v>
      </c>
      <c r="C13" s="15" t="s">
        <v>241</v>
      </c>
      <c r="D13" s="15" t="s">
        <v>242</v>
      </c>
      <c r="E13" s="15" t="s">
        <v>249</v>
      </c>
      <c r="F13" s="15" t="s">
        <v>244</v>
      </c>
      <c r="G13" s="17" t="s">
        <v>266</v>
      </c>
    </row>
    <row r="14" customFormat="false" ht="15" hidden="false" customHeight="true" outlineLevel="0" collapsed="false">
      <c r="A14" s="15" t="s">
        <v>240</v>
      </c>
      <c r="B14" s="16" t="s">
        <v>267</v>
      </c>
      <c r="C14" s="15" t="s">
        <v>241</v>
      </c>
      <c r="D14" s="15" t="s">
        <v>248</v>
      </c>
      <c r="E14" s="15" t="s">
        <v>249</v>
      </c>
      <c r="F14" s="15" t="s">
        <v>244</v>
      </c>
      <c r="G14" s="17" t="s">
        <v>268</v>
      </c>
    </row>
    <row r="15" customFormat="false" ht="15" hidden="false" customHeight="true" outlineLevel="0" collapsed="false">
      <c r="A15" s="15" t="s">
        <v>240</v>
      </c>
      <c r="B15" s="16" t="s">
        <v>269</v>
      </c>
      <c r="C15" s="15" t="s">
        <v>241</v>
      </c>
      <c r="D15" s="15" t="s">
        <v>242</v>
      </c>
      <c r="E15" s="15" t="s">
        <v>253</v>
      </c>
      <c r="F15" s="15" t="s">
        <v>244</v>
      </c>
      <c r="G15" s="17" t="s">
        <v>270</v>
      </c>
    </row>
    <row r="16" customFormat="false" ht="15" hidden="false" customHeight="true" outlineLevel="0" collapsed="false">
      <c r="A16" s="15" t="s">
        <v>240</v>
      </c>
      <c r="B16" s="16" t="s">
        <v>271</v>
      </c>
      <c r="C16" s="15" t="s">
        <v>241</v>
      </c>
      <c r="D16" s="15" t="s">
        <v>242</v>
      </c>
      <c r="E16" s="15" t="s">
        <v>249</v>
      </c>
      <c r="F16" s="15" t="s">
        <v>244</v>
      </c>
      <c r="G16" s="17" t="s">
        <v>272</v>
      </c>
    </row>
    <row r="17" customFormat="false" ht="30" hidden="false" customHeight="true" outlineLevel="0" collapsed="false">
      <c r="A17" s="15" t="s">
        <v>240</v>
      </c>
      <c r="B17" s="16" t="s">
        <v>273</v>
      </c>
      <c r="C17" s="15" t="s">
        <v>241</v>
      </c>
      <c r="D17" s="15" t="s">
        <v>248</v>
      </c>
      <c r="E17" s="15" t="s">
        <v>249</v>
      </c>
      <c r="F17" s="15" t="s">
        <v>244</v>
      </c>
      <c r="G17" s="17" t="s">
        <v>274</v>
      </c>
    </row>
    <row r="18" customFormat="false" ht="15" hidden="false" customHeight="true" outlineLevel="0" collapsed="false">
      <c r="A18" s="15" t="s">
        <v>275</v>
      </c>
      <c r="B18" s="16" t="s">
        <v>276</v>
      </c>
      <c r="C18" s="15" t="s">
        <v>241</v>
      </c>
      <c r="D18" s="15" t="s">
        <v>242</v>
      </c>
      <c r="E18" s="15" t="s">
        <v>253</v>
      </c>
      <c r="F18" s="15" t="s">
        <v>244</v>
      </c>
      <c r="G18" s="17" t="s">
        <v>277</v>
      </c>
    </row>
    <row r="19" customFormat="false" ht="15" hidden="false" customHeight="true" outlineLevel="0" collapsed="false">
      <c r="A19" s="15" t="s">
        <v>275</v>
      </c>
      <c r="B19" s="16" t="s">
        <v>278</v>
      </c>
      <c r="C19" s="15" t="s">
        <v>241</v>
      </c>
      <c r="D19" s="15" t="s">
        <v>242</v>
      </c>
      <c r="E19" s="15" t="s">
        <v>253</v>
      </c>
      <c r="F19" s="15" t="s">
        <v>244</v>
      </c>
      <c r="G19" s="17" t="s">
        <v>279</v>
      </c>
    </row>
    <row r="20" customFormat="false" ht="15" hidden="false" customHeight="true" outlineLevel="0" collapsed="false">
      <c r="A20" s="15" t="s">
        <v>275</v>
      </c>
      <c r="B20" s="16" t="s">
        <v>280</v>
      </c>
      <c r="C20" s="15" t="s">
        <v>241</v>
      </c>
      <c r="D20" s="15" t="s">
        <v>242</v>
      </c>
      <c r="E20" s="15" t="s">
        <v>253</v>
      </c>
      <c r="F20" s="15" t="s">
        <v>244</v>
      </c>
      <c r="G20" s="17" t="s">
        <v>281</v>
      </c>
    </row>
    <row r="21" customFormat="false" ht="15" hidden="false" customHeight="true" outlineLevel="0" collapsed="false">
      <c r="A21" s="15" t="s">
        <v>275</v>
      </c>
      <c r="B21" s="16" t="s">
        <v>282</v>
      </c>
      <c r="C21" s="15" t="s">
        <v>241</v>
      </c>
      <c r="D21" s="15" t="s">
        <v>242</v>
      </c>
      <c r="E21" s="15" t="s">
        <v>253</v>
      </c>
      <c r="F21" s="15" t="s">
        <v>244</v>
      </c>
      <c r="G21" s="17" t="s">
        <v>283</v>
      </c>
    </row>
    <row r="22" customFormat="false" ht="15" hidden="false" customHeight="true" outlineLevel="0" collapsed="false">
      <c r="A22" s="15" t="s">
        <v>275</v>
      </c>
      <c r="B22" s="16" t="s">
        <v>284</v>
      </c>
      <c r="C22" s="15" t="s">
        <v>285</v>
      </c>
      <c r="D22" s="15" t="s">
        <v>242</v>
      </c>
      <c r="E22" s="15" t="s">
        <v>253</v>
      </c>
      <c r="F22" s="15" t="s">
        <v>286</v>
      </c>
      <c r="G22" s="17" t="s">
        <v>287</v>
      </c>
    </row>
    <row r="23" customFormat="false" ht="15" hidden="false" customHeight="true" outlineLevel="0" collapsed="false">
      <c r="A23" s="15" t="s">
        <v>288</v>
      </c>
      <c r="B23" s="16" t="s">
        <v>289</v>
      </c>
      <c r="C23" s="15" t="s">
        <v>290</v>
      </c>
      <c r="D23" s="15" t="s">
        <v>248</v>
      </c>
      <c r="E23" s="15" t="s">
        <v>249</v>
      </c>
      <c r="F23" s="15" t="s">
        <v>244</v>
      </c>
      <c r="G23" s="17" t="s">
        <v>291</v>
      </c>
    </row>
    <row r="24" customFormat="false" ht="15" hidden="false" customHeight="true" outlineLevel="0" collapsed="false">
      <c r="A24" s="15" t="s">
        <v>288</v>
      </c>
      <c r="B24" s="16" t="s">
        <v>117</v>
      </c>
      <c r="C24" s="15" t="s">
        <v>241</v>
      </c>
      <c r="D24" s="15" t="s">
        <v>242</v>
      </c>
      <c r="E24" s="15" t="s">
        <v>243</v>
      </c>
      <c r="F24" s="15" t="s">
        <v>244</v>
      </c>
      <c r="G24" s="17" t="s">
        <v>292</v>
      </c>
    </row>
    <row r="25" customFormat="false" ht="15" hidden="false" customHeight="true" outlineLevel="0" collapsed="false">
      <c r="A25" s="15" t="s">
        <v>288</v>
      </c>
      <c r="B25" s="16" t="s">
        <v>293</v>
      </c>
      <c r="C25" s="15" t="s">
        <v>285</v>
      </c>
      <c r="D25" s="15" t="s">
        <v>248</v>
      </c>
      <c r="E25" s="15" t="s">
        <v>249</v>
      </c>
      <c r="F25" s="15" t="s">
        <v>255</v>
      </c>
      <c r="G25" s="17" t="s">
        <v>294</v>
      </c>
    </row>
    <row r="26" customFormat="false" ht="15" hidden="false" customHeight="true" outlineLevel="0" collapsed="false">
      <c r="A26" s="15" t="s">
        <v>288</v>
      </c>
      <c r="B26" s="16" t="s">
        <v>119</v>
      </c>
      <c r="C26" s="15" t="s">
        <v>241</v>
      </c>
      <c r="D26" s="15" t="s">
        <v>242</v>
      </c>
      <c r="E26" s="15" t="s">
        <v>243</v>
      </c>
      <c r="F26" s="15" t="s">
        <v>244</v>
      </c>
      <c r="G26" s="17" t="s">
        <v>295</v>
      </c>
    </row>
    <row r="27" customFormat="false" ht="15" hidden="false" customHeight="true" outlineLevel="0" collapsed="false">
      <c r="A27" s="15" t="s">
        <v>288</v>
      </c>
      <c r="B27" s="16" t="s">
        <v>120</v>
      </c>
      <c r="C27" s="15" t="s">
        <v>241</v>
      </c>
      <c r="D27" s="15" t="s">
        <v>242</v>
      </c>
      <c r="E27" s="15" t="s">
        <v>243</v>
      </c>
      <c r="F27" s="15" t="s">
        <v>244</v>
      </c>
      <c r="G27" s="17" t="s">
        <v>296</v>
      </c>
    </row>
    <row r="28" customFormat="false" ht="15" hidden="false" customHeight="true" outlineLevel="0" collapsed="false">
      <c r="A28" s="15" t="s">
        <v>288</v>
      </c>
      <c r="B28" s="16" t="s">
        <v>121</v>
      </c>
      <c r="C28" s="15" t="s">
        <v>297</v>
      </c>
      <c r="D28" s="15" t="s">
        <v>248</v>
      </c>
      <c r="E28" s="15" t="s">
        <v>243</v>
      </c>
      <c r="F28" s="15" t="s">
        <v>244</v>
      </c>
      <c r="G28" s="17" t="s">
        <v>298</v>
      </c>
    </row>
    <row r="29" customFormat="false" ht="15" hidden="false" customHeight="true" outlineLevel="0" collapsed="false">
      <c r="A29" s="15" t="s">
        <v>288</v>
      </c>
      <c r="B29" s="16" t="s">
        <v>122</v>
      </c>
      <c r="C29" s="15" t="s">
        <v>241</v>
      </c>
      <c r="D29" s="15" t="s">
        <v>248</v>
      </c>
      <c r="E29" s="15" t="s">
        <v>243</v>
      </c>
      <c r="F29" s="15" t="s">
        <v>244</v>
      </c>
      <c r="G29" s="17" t="s">
        <v>299</v>
      </c>
    </row>
    <row r="30" customFormat="false" ht="15" hidden="false" customHeight="true" outlineLevel="0" collapsed="false">
      <c r="A30" s="15" t="s">
        <v>288</v>
      </c>
      <c r="B30" s="16" t="s">
        <v>300</v>
      </c>
      <c r="C30" s="15" t="s">
        <v>241</v>
      </c>
      <c r="D30" s="15" t="s">
        <v>248</v>
      </c>
      <c r="E30" s="15" t="s">
        <v>253</v>
      </c>
      <c r="F30" s="15" t="s">
        <v>244</v>
      </c>
      <c r="G30" s="17" t="s">
        <v>301</v>
      </c>
    </row>
    <row r="31" customFormat="false" ht="15" hidden="false" customHeight="true" outlineLevel="0" collapsed="false">
      <c r="A31" s="15" t="s">
        <v>288</v>
      </c>
      <c r="B31" s="16" t="s">
        <v>124</v>
      </c>
      <c r="C31" s="15" t="s">
        <v>285</v>
      </c>
      <c r="D31" s="15" t="s">
        <v>242</v>
      </c>
      <c r="E31" s="15" t="s">
        <v>243</v>
      </c>
      <c r="F31" s="15" t="s">
        <v>29</v>
      </c>
      <c r="G31" s="17" t="s">
        <v>302</v>
      </c>
    </row>
    <row r="32" customFormat="false" ht="15" hidden="false" customHeight="true" outlineLevel="0" collapsed="false">
      <c r="A32" s="15" t="s">
        <v>288</v>
      </c>
      <c r="B32" s="16" t="s">
        <v>125</v>
      </c>
      <c r="C32" s="15" t="s">
        <v>285</v>
      </c>
      <c r="D32" s="15" t="s">
        <v>242</v>
      </c>
      <c r="E32" s="15" t="s">
        <v>243</v>
      </c>
      <c r="F32" s="15" t="s">
        <v>28</v>
      </c>
      <c r="G32" s="17" t="s">
        <v>303</v>
      </c>
    </row>
    <row r="33" customFormat="false" ht="15" hidden="false" customHeight="true" outlineLevel="0" collapsed="false">
      <c r="A33" s="15" t="s">
        <v>288</v>
      </c>
      <c r="B33" s="16" t="s">
        <v>304</v>
      </c>
      <c r="C33" s="15" t="s">
        <v>285</v>
      </c>
      <c r="D33" s="15" t="s">
        <v>248</v>
      </c>
      <c r="E33" s="15" t="s">
        <v>249</v>
      </c>
      <c r="F33" s="15" t="s">
        <v>247</v>
      </c>
      <c r="G33" s="17" t="s">
        <v>305</v>
      </c>
    </row>
    <row r="34" customFormat="false" ht="15" hidden="false" customHeight="true" outlineLevel="0" collapsed="false">
      <c r="A34" s="15" t="s">
        <v>288</v>
      </c>
      <c r="B34" s="16" t="s">
        <v>306</v>
      </c>
      <c r="C34" s="15" t="s">
        <v>285</v>
      </c>
      <c r="D34" s="15" t="s">
        <v>242</v>
      </c>
      <c r="E34" s="15" t="s">
        <v>249</v>
      </c>
      <c r="F34" s="15" t="s">
        <v>271</v>
      </c>
      <c r="G34" s="17" t="s">
        <v>307</v>
      </c>
    </row>
    <row r="35" customFormat="false" ht="15" hidden="false" customHeight="true" outlineLevel="0" collapsed="false">
      <c r="A35" s="15" t="s">
        <v>288</v>
      </c>
      <c r="B35" s="16" t="s">
        <v>207</v>
      </c>
      <c r="C35" s="15" t="s">
        <v>285</v>
      </c>
      <c r="D35" s="15" t="s">
        <v>242</v>
      </c>
      <c r="E35" s="15" t="s">
        <v>253</v>
      </c>
      <c r="F35" s="15" t="s">
        <v>252</v>
      </c>
      <c r="G35" s="17" t="s">
        <v>308</v>
      </c>
    </row>
    <row r="36" customFormat="false" ht="15" hidden="false" customHeight="true" outlineLevel="0" collapsed="false">
      <c r="A36" s="15" t="s">
        <v>288</v>
      </c>
      <c r="B36" s="16" t="s">
        <v>129</v>
      </c>
      <c r="C36" s="15" t="s">
        <v>297</v>
      </c>
      <c r="D36" s="15" t="s">
        <v>248</v>
      </c>
      <c r="E36" s="15" t="s">
        <v>243</v>
      </c>
      <c r="F36" s="15" t="s">
        <v>244</v>
      </c>
      <c r="G36" s="17" t="s">
        <v>309</v>
      </c>
    </row>
    <row r="37" customFormat="false" ht="15" hidden="false" customHeight="true" outlineLevel="0" collapsed="false">
      <c r="A37" s="15" t="s">
        <v>288</v>
      </c>
      <c r="B37" s="16" t="s">
        <v>310</v>
      </c>
      <c r="C37" s="15" t="s">
        <v>241</v>
      </c>
      <c r="D37" s="15" t="s">
        <v>248</v>
      </c>
      <c r="E37" s="15" t="s">
        <v>249</v>
      </c>
      <c r="F37" s="15" t="s">
        <v>244</v>
      </c>
      <c r="G37" s="17" t="s">
        <v>311</v>
      </c>
    </row>
    <row r="38" customFormat="false" ht="15" hidden="false" customHeight="true" outlineLevel="0" collapsed="false">
      <c r="A38" s="15" t="s">
        <v>312</v>
      </c>
      <c r="B38" s="16" t="s">
        <v>297</v>
      </c>
      <c r="C38" s="15" t="s">
        <v>297</v>
      </c>
      <c r="D38" s="15" t="s">
        <v>242</v>
      </c>
      <c r="E38" s="15" t="s">
        <v>253</v>
      </c>
      <c r="F38" s="15" t="s">
        <v>244</v>
      </c>
      <c r="G38" s="17" t="s">
        <v>313</v>
      </c>
    </row>
    <row r="39" customFormat="false" ht="15" hidden="false" customHeight="true" outlineLevel="0" collapsed="false">
      <c r="A39" s="15" t="s">
        <v>312</v>
      </c>
      <c r="B39" s="16" t="s">
        <v>117</v>
      </c>
      <c r="C39" s="15" t="s">
        <v>285</v>
      </c>
      <c r="D39" s="15" t="s">
        <v>242</v>
      </c>
      <c r="E39" s="15" t="s">
        <v>253</v>
      </c>
      <c r="F39" s="15" t="s">
        <v>314</v>
      </c>
      <c r="G39" s="17" t="s">
        <v>315</v>
      </c>
    </row>
    <row r="40" customFormat="false" ht="15" hidden="false" customHeight="true" outlineLevel="0" collapsed="false">
      <c r="A40" s="15" t="s">
        <v>312</v>
      </c>
      <c r="B40" s="16" t="s">
        <v>316</v>
      </c>
      <c r="C40" s="15" t="s">
        <v>285</v>
      </c>
      <c r="D40" s="15" t="s">
        <v>242</v>
      </c>
      <c r="E40" s="15" t="s">
        <v>253</v>
      </c>
      <c r="F40" s="15" t="s">
        <v>317</v>
      </c>
      <c r="G40" s="17" t="s">
        <v>318</v>
      </c>
    </row>
    <row r="41" customFormat="false" ht="15" hidden="false" customHeight="true" outlineLevel="0" collapsed="false">
      <c r="A41" s="15" t="s">
        <v>312</v>
      </c>
      <c r="B41" s="16" t="s">
        <v>319</v>
      </c>
      <c r="C41" s="15" t="s">
        <v>285</v>
      </c>
      <c r="D41" s="15" t="s">
        <v>242</v>
      </c>
      <c r="E41" s="15" t="s">
        <v>253</v>
      </c>
      <c r="F41" s="15" t="s">
        <v>320</v>
      </c>
      <c r="G41" s="17" t="s">
        <v>321</v>
      </c>
    </row>
    <row r="42" customFormat="false" ht="15" hidden="false" customHeight="true" outlineLevel="0" collapsed="false">
      <c r="A42" s="15" t="s">
        <v>312</v>
      </c>
      <c r="B42" s="16" t="s">
        <v>322</v>
      </c>
      <c r="C42" s="15" t="s">
        <v>285</v>
      </c>
      <c r="D42" s="15" t="s">
        <v>242</v>
      </c>
      <c r="E42" s="15" t="s">
        <v>253</v>
      </c>
      <c r="F42" s="15" t="s">
        <v>286</v>
      </c>
      <c r="G42" s="17" t="s">
        <v>323</v>
      </c>
    </row>
    <row r="43" customFormat="false" ht="15" hidden="false" customHeight="true" outlineLevel="0" collapsed="false">
      <c r="A43" s="15" t="s">
        <v>312</v>
      </c>
      <c r="B43" s="16" t="s">
        <v>310</v>
      </c>
      <c r="C43" s="15" t="s">
        <v>241</v>
      </c>
      <c r="D43" s="15" t="s">
        <v>248</v>
      </c>
      <c r="E43" s="15" t="s">
        <v>249</v>
      </c>
      <c r="F43" s="15" t="s">
        <v>244</v>
      </c>
      <c r="G43" s="17" t="s">
        <v>324</v>
      </c>
    </row>
    <row r="44" customFormat="false" ht="15" hidden="false" customHeight="true" outlineLevel="0" collapsed="false">
      <c r="A44" s="15" t="s">
        <v>325</v>
      </c>
      <c r="B44" s="16" t="s">
        <v>138</v>
      </c>
      <c r="C44" s="15" t="s">
        <v>241</v>
      </c>
      <c r="D44" s="15" t="s">
        <v>242</v>
      </c>
      <c r="E44" s="15" t="s">
        <v>243</v>
      </c>
      <c r="F44" s="15" t="s">
        <v>244</v>
      </c>
      <c r="G44" s="17" t="s">
        <v>326</v>
      </c>
    </row>
    <row r="45" customFormat="false" ht="15" hidden="false" customHeight="true" outlineLevel="0" collapsed="false">
      <c r="A45" s="15" t="s">
        <v>325</v>
      </c>
      <c r="B45" s="16" t="s">
        <v>306</v>
      </c>
      <c r="C45" s="15" t="s">
        <v>285</v>
      </c>
      <c r="D45" s="15" t="s">
        <v>242</v>
      </c>
      <c r="E45" s="15" t="s">
        <v>249</v>
      </c>
      <c r="F45" s="15" t="s">
        <v>271</v>
      </c>
      <c r="G45" s="17" t="s">
        <v>307</v>
      </c>
    </row>
    <row r="46" customFormat="false" ht="15" hidden="false" customHeight="true" outlineLevel="0" collapsed="false">
      <c r="A46" s="15" t="s">
        <v>325</v>
      </c>
      <c r="B46" s="16" t="s">
        <v>139</v>
      </c>
      <c r="C46" s="15" t="s">
        <v>285</v>
      </c>
      <c r="D46" s="15" t="s">
        <v>242</v>
      </c>
      <c r="E46" s="15" t="s">
        <v>243</v>
      </c>
      <c r="F46" s="15" t="s">
        <v>31</v>
      </c>
      <c r="G46" s="17" t="s">
        <v>327</v>
      </c>
    </row>
    <row r="47" customFormat="false" ht="15" hidden="false" customHeight="true" outlineLevel="0" collapsed="false">
      <c r="A47" s="15" t="s">
        <v>325</v>
      </c>
      <c r="B47" s="16" t="s">
        <v>125</v>
      </c>
      <c r="C47" s="15" t="s">
        <v>285</v>
      </c>
      <c r="D47" s="15" t="s">
        <v>242</v>
      </c>
      <c r="E47" s="15" t="s">
        <v>243</v>
      </c>
      <c r="F47" s="15" t="s">
        <v>28</v>
      </c>
      <c r="G47" s="17" t="s">
        <v>328</v>
      </c>
    </row>
    <row r="48" customFormat="false" ht="15" hidden="false" customHeight="true" outlineLevel="0" collapsed="false">
      <c r="A48" s="15" t="s">
        <v>325</v>
      </c>
      <c r="B48" s="16" t="s">
        <v>124</v>
      </c>
      <c r="C48" s="15" t="s">
        <v>285</v>
      </c>
      <c r="D48" s="15" t="s">
        <v>242</v>
      </c>
      <c r="E48" s="15" t="s">
        <v>243</v>
      </c>
      <c r="F48" s="15" t="s">
        <v>29</v>
      </c>
      <c r="G48" s="17" t="s">
        <v>329</v>
      </c>
    </row>
    <row r="49" customFormat="false" ht="15" hidden="false" customHeight="true" outlineLevel="0" collapsed="false">
      <c r="A49" s="15" t="s">
        <v>325</v>
      </c>
      <c r="B49" s="16" t="s">
        <v>304</v>
      </c>
      <c r="C49" s="15" t="s">
        <v>285</v>
      </c>
      <c r="D49" s="15" t="s">
        <v>248</v>
      </c>
      <c r="E49" s="15" t="s">
        <v>249</v>
      </c>
      <c r="F49" s="15" t="s">
        <v>247</v>
      </c>
      <c r="G49" s="17" t="s">
        <v>305</v>
      </c>
    </row>
    <row r="50" customFormat="false" ht="15" hidden="false" customHeight="true" outlineLevel="0" collapsed="false">
      <c r="A50" s="15" t="s">
        <v>325</v>
      </c>
      <c r="B50" s="16" t="s">
        <v>140</v>
      </c>
      <c r="C50" s="15" t="s">
        <v>241</v>
      </c>
      <c r="D50" s="15" t="s">
        <v>242</v>
      </c>
      <c r="E50" s="15" t="s">
        <v>243</v>
      </c>
      <c r="F50" s="15" t="s">
        <v>244</v>
      </c>
      <c r="G50" s="17" t="s">
        <v>330</v>
      </c>
    </row>
    <row r="51" customFormat="false" ht="15" hidden="false" customHeight="true" outlineLevel="0" collapsed="false">
      <c r="A51" s="15" t="s">
        <v>325</v>
      </c>
      <c r="B51" s="16" t="s">
        <v>141</v>
      </c>
      <c r="C51" s="15" t="s">
        <v>285</v>
      </c>
      <c r="D51" s="15" t="s">
        <v>242</v>
      </c>
      <c r="E51" s="15" t="s">
        <v>243</v>
      </c>
      <c r="F51" s="15" t="s">
        <v>331</v>
      </c>
      <c r="G51" s="17" t="s">
        <v>332</v>
      </c>
    </row>
    <row r="52" customFormat="false" ht="15" hidden="false" customHeight="true" outlineLevel="0" collapsed="false">
      <c r="A52" s="15" t="s">
        <v>325</v>
      </c>
      <c r="B52" s="16" t="s">
        <v>142</v>
      </c>
      <c r="C52" s="15" t="s">
        <v>285</v>
      </c>
      <c r="D52" s="15" t="s">
        <v>248</v>
      </c>
      <c r="E52" s="15" t="s">
        <v>243</v>
      </c>
      <c r="F52" s="15" t="s">
        <v>333</v>
      </c>
      <c r="G52" s="17" t="s">
        <v>334</v>
      </c>
    </row>
    <row r="53" customFormat="false" ht="15" hidden="false" customHeight="true" outlineLevel="0" collapsed="false">
      <c r="A53" s="15" t="s">
        <v>325</v>
      </c>
      <c r="B53" s="16" t="s">
        <v>143</v>
      </c>
      <c r="C53" s="15" t="s">
        <v>285</v>
      </c>
      <c r="D53" s="15" t="s">
        <v>242</v>
      </c>
      <c r="E53" s="15" t="s">
        <v>243</v>
      </c>
      <c r="F53" s="15" t="s">
        <v>335</v>
      </c>
      <c r="G53" s="17" t="s">
        <v>336</v>
      </c>
    </row>
    <row r="54" customFormat="false" ht="15" hidden="false" customHeight="true" outlineLevel="0" collapsed="false">
      <c r="A54" s="15" t="s">
        <v>325</v>
      </c>
      <c r="B54" s="16" t="s">
        <v>144</v>
      </c>
      <c r="C54" s="15" t="s">
        <v>241</v>
      </c>
      <c r="D54" s="15" t="s">
        <v>242</v>
      </c>
      <c r="E54" s="15" t="s">
        <v>243</v>
      </c>
      <c r="F54" s="15" t="s">
        <v>244</v>
      </c>
      <c r="G54" s="17" t="s">
        <v>337</v>
      </c>
    </row>
    <row r="55" customFormat="false" ht="15" hidden="false" customHeight="true" outlineLevel="0" collapsed="false">
      <c r="A55" s="15" t="s">
        <v>325</v>
      </c>
      <c r="B55" s="16" t="s">
        <v>145</v>
      </c>
      <c r="C55" s="15" t="s">
        <v>241</v>
      </c>
      <c r="D55" s="15" t="s">
        <v>242</v>
      </c>
      <c r="E55" s="15" t="s">
        <v>243</v>
      </c>
      <c r="F55" s="15" t="s">
        <v>244</v>
      </c>
      <c r="G55" s="17" t="s">
        <v>338</v>
      </c>
    </row>
    <row r="56" customFormat="false" ht="15" hidden="false" customHeight="true" outlineLevel="0" collapsed="false">
      <c r="A56" s="15" t="s">
        <v>325</v>
      </c>
      <c r="B56" s="16" t="s">
        <v>235</v>
      </c>
      <c r="C56" s="15" t="s">
        <v>285</v>
      </c>
      <c r="D56" s="15" t="s">
        <v>248</v>
      </c>
      <c r="E56" s="15" t="s">
        <v>249</v>
      </c>
      <c r="F56" s="15" t="s">
        <v>267</v>
      </c>
      <c r="G56" s="17" t="s">
        <v>339</v>
      </c>
    </row>
    <row r="57" customFormat="false" ht="15" hidden="false" customHeight="true" outlineLevel="0" collapsed="false">
      <c r="A57" s="15" t="s">
        <v>325</v>
      </c>
      <c r="B57" s="16" t="s">
        <v>340</v>
      </c>
      <c r="C57" s="15" t="s">
        <v>290</v>
      </c>
      <c r="D57" s="15" t="s">
        <v>248</v>
      </c>
      <c r="E57" s="15" t="s">
        <v>249</v>
      </c>
      <c r="F57" s="15" t="s">
        <v>244</v>
      </c>
      <c r="G57" s="17" t="s">
        <v>341</v>
      </c>
    </row>
    <row r="58" customFormat="false" ht="15" hidden="false" customHeight="true" outlineLevel="0" collapsed="false">
      <c r="A58" s="15" t="s">
        <v>342</v>
      </c>
      <c r="B58" s="16" t="s">
        <v>117</v>
      </c>
      <c r="C58" s="15" t="s">
        <v>285</v>
      </c>
      <c r="D58" s="15" t="s">
        <v>242</v>
      </c>
      <c r="E58" s="15" t="s">
        <v>253</v>
      </c>
      <c r="F58" s="15" t="s">
        <v>314</v>
      </c>
      <c r="G58" s="17" t="s">
        <v>343</v>
      </c>
    </row>
    <row r="59" customFormat="false" ht="15" hidden="false" customHeight="true" outlineLevel="0" collapsed="false">
      <c r="A59" s="15" t="s">
        <v>342</v>
      </c>
      <c r="B59" s="16" t="s">
        <v>344</v>
      </c>
      <c r="C59" s="15" t="s">
        <v>285</v>
      </c>
      <c r="D59" s="15" t="s">
        <v>242</v>
      </c>
      <c r="E59" s="15" t="s">
        <v>253</v>
      </c>
      <c r="F59" s="15" t="s">
        <v>345</v>
      </c>
      <c r="G59" s="17" t="s">
        <v>346</v>
      </c>
    </row>
    <row r="60" customFormat="false" ht="15" hidden="false" customHeight="true" outlineLevel="0" collapsed="false">
      <c r="A60" s="15" t="s">
        <v>342</v>
      </c>
      <c r="B60" s="16" t="s">
        <v>347</v>
      </c>
      <c r="C60" s="15" t="s">
        <v>285</v>
      </c>
      <c r="D60" s="15" t="s">
        <v>242</v>
      </c>
      <c r="E60" s="15" t="s">
        <v>253</v>
      </c>
      <c r="F60" s="15" t="s">
        <v>271</v>
      </c>
      <c r="G60" s="17" t="s">
        <v>348</v>
      </c>
    </row>
    <row r="61" customFormat="false" ht="15" hidden="false" customHeight="true" outlineLevel="0" collapsed="false">
      <c r="A61" s="15" t="s">
        <v>342</v>
      </c>
      <c r="B61" s="16" t="s">
        <v>349</v>
      </c>
      <c r="C61" s="15" t="s">
        <v>297</v>
      </c>
      <c r="D61" s="15" t="s">
        <v>248</v>
      </c>
      <c r="E61" s="15" t="s">
        <v>253</v>
      </c>
      <c r="F61" s="15" t="s">
        <v>244</v>
      </c>
      <c r="G61" s="17" t="s">
        <v>350</v>
      </c>
    </row>
    <row r="62" customFormat="false" ht="15" hidden="false" customHeight="true" outlineLevel="0" collapsed="false">
      <c r="A62" s="15" t="s">
        <v>342</v>
      </c>
      <c r="B62" s="16" t="s">
        <v>207</v>
      </c>
      <c r="C62" s="15" t="s">
        <v>285</v>
      </c>
      <c r="D62" s="15" t="s">
        <v>248</v>
      </c>
      <c r="E62" s="15" t="s">
        <v>249</v>
      </c>
      <c r="F62" s="15" t="s">
        <v>351</v>
      </c>
      <c r="G62" s="17" t="s">
        <v>352</v>
      </c>
    </row>
    <row r="63" customFormat="false" ht="15" hidden="false" customHeight="true" outlineLevel="0" collapsed="false">
      <c r="A63" s="15" t="s">
        <v>342</v>
      </c>
      <c r="B63" s="16" t="s">
        <v>353</v>
      </c>
      <c r="C63" s="15" t="s">
        <v>297</v>
      </c>
      <c r="D63" s="15" t="s">
        <v>248</v>
      </c>
      <c r="E63" s="15" t="s">
        <v>249</v>
      </c>
      <c r="F63" s="15" t="s">
        <v>244</v>
      </c>
      <c r="G63" s="17" t="s">
        <v>354</v>
      </c>
    </row>
    <row r="64" customFormat="false" ht="15" hidden="false" customHeight="true" outlineLevel="0" collapsed="false">
      <c r="A64" s="15" t="s">
        <v>342</v>
      </c>
      <c r="B64" s="16" t="s">
        <v>355</v>
      </c>
      <c r="C64" s="15" t="s">
        <v>297</v>
      </c>
      <c r="D64" s="15" t="s">
        <v>248</v>
      </c>
      <c r="E64" s="15" t="s">
        <v>253</v>
      </c>
      <c r="F64" s="15" t="s">
        <v>244</v>
      </c>
      <c r="G64" s="17" t="s">
        <v>356</v>
      </c>
    </row>
    <row r="65" customFormat="false" ht="15" hidden="false" customHeight="true" outlineLevel="0" collapsed="false">
      <c r="A65" s="15" t="s">
        <v>357</v>
      </c>
      <c r="B65" s="16" t="s">
        <v>117</v>
      </c>
      <c r="C65" s="15" t="s">
        <v>285</v>
      </c>
      <c r="D65" s="15" t="s">
        <v>242</v>
      </c>
      <c r="E65" s="15" t="s">
        <v>249</v>
      </c>
      <c r="F65" s="15" t="s">
        <v>314</v>
      </c>
      <c r="G65" s="17" t="s">
        <v>343</v>
      </c>
    </row>
    <row r="66" customFormat="false" ht="15" hidden="false" customHeight="true" outlineLevel="0" collapsed="false">
      <c r="A66" s="15" t="s">
        <v>357</v>
      </c>
      <c r="B66" s="16" t="s">
        <v>306</v>
      </c>
      <c r="C66" s="15" t="s">
        <v>285</v>
      </c>
      <c r="D66" s="15" t="s">
        <v>242</v>
      </c>
      <c r="E66" s="15" t="s">
        <v>249</v>
      </c>
      <c r="F66" s="15" t="s">
        <v>271</v>
      </c>
      <c r="G66" s="17" t="s">
        <v>307</v>
      </c>
    </row>
    <row r="67" customFormat="false" ht="15" hidden="false" customHeight="true" outlineLevel="0" collapsed="false">
      <c r="A67" s="15" t="s">
        <v>357</v>
      </c>
      <c r="B67" s="16" t="s">
        <v>358</v>
      </c>
      <c r="C67" s="15" t="s">
        <v>290</v>
      </c>
      <c r="D67" s="15" t="s">
        <v>242</v>
      </c>
      <c r="E67" s="15" t="s">
        <v>249</v>
      </c>
      <c r="F67" s="15" t="s">
        <v>244</v>
      </c>
      <c r="G67" s="17" t="s">
        <v>359</v>
      </c>
    </row>
    <row r="68" customFormat="false" ht="15" hidden="false" customHeight="true" outlineLevel="0" collapsed="false">
      <c r="A68" s="15" t="s">
        <v>357</v>
      </c>
      <c r="B68" s="16" t="s">
        <v>360</v>
      </c>
      <c r="C68" s="15" t="s">
        <v>285</v>
      </c>
      <c r="D68" s="15" t="s">
        <v>242</v>
      </c>
      <c r="E68" s="15" t="s">
        <v>249</v>
      </c>
      <c r="F68" s="15" t="s">
        <v>269</v>
      </c>
      <c r="G68" s="17" t="s">
        <v>361</v>
      </c>
    </row>
    <row r="69" customFormat="false" ht="15" hidden="false" customHeight="true" outlineLevel="0" collapsed="false">
      <c r="A69" s="15" t="s">
        <v>357</v>
      </c>
      <c r="B69" s="16" t="s">
        <v>362</v>
      </c>
      <c r="C69" s="15" t="s">
        <v>297</v>
      </c>
      <c r="D69" s="15" t="s">
        <v>248</v>
      </c>
      <c r="E69" s="15" t="s">
        <v>249</v>
      </c>
      <c r="F69" s="15" t="s">
        <v>244</v>
      </c>
      <c r="G69" s="17" t="s">
        <v>363</v>
      </c>
    </row>
    <row r="70" customFormat="false" ht="15" hidden="false" customHeight="true" outlineLevel="0" collapsed="false">
      <c r="A70" s="15" t="s">
        <v>357</v>
      </c>
      <c r="B70" s="16" t="s">
        <v>364</v>
      </c>
      <c r="C70" s="15" t="s">
        <v>297</v>
      </c>
      <c r="D70" s="15" t="s">
        <v>248</v>
      </c>
      <c r="E70" s="15" t="s">
        <v>249</v>
      </c>
      <c r="F70" s="15" t="s">
        <v>244</v>
      </c>
      <c r="G70" s="17" t="s">
        <v>365</v>
      </c>
    </row>
    <row r="71" customFormat="false" ht="15" hidden="false" customHeight="true" outlineLevel="0" collapsed="false">
      <c r="A71" s="15" t="s">
        <v>357</v>
      </c>
      <c r="B71" s="16" t="s">
        <v>366</v>
      </c>
      <c r="C71" s="15" t="s">
        <v>285</v>
      </c>
      <c r="D71" s="15" t="s">
        <v>248</v>
      </c>
      <c r="E71" s="15" t="s">
        <v>249</v>
      </c>
      <c r="F71" s="15" t="s">
        <v>286</v>
      </c>
      <c r="G71" s="17" t="s">
        <v>367</v>
      </c>
    </row>
    <row r="72" customFormat="false" ht="15" hidden="false" customHeight="true" outlineLevel="0" collapsed="false">
      <c r="A72" s="15" t="s">
        <v>357</v>
      </c>
      <c r="B72" s="16" t="s">
        <v>368</v>
      </c>
      <c r="C72" s="15" t="s">
        <v>290</v>
      </c>
      <c r="D72" s="15" t="s">
        <v>248</v>
      </c>
      <c r="E72" s="15" t="s">
        <v>249</v>
      </c>
      <c r="F72" s="15" t="s">
        <v>244</v>
      </c>
      <c r="G72" s="17" t="s">
        <v>369</v>
      </c>
    </row>
    <row r="73" customFormat="false" ht="15" hidden="false" customHeight="true" outlineLevel="0" collapsed="false">
      <c r="A73" s="15" t="s">
        <v>357</v>
      </c>
      <c r="B73" s="16" t="s">
        <v>370</v>
      </c>
      <c r="C73" s="15" t="s">
        <v>241</v>
      </c>
      <c r="D73" s="15" t="s">
        <v>248</v>
      </c>
      <c r="E73" s="15" t="s">
        <v>253</v>
      </c>
      <c r="F73" s="15" t="s">
        <v>244</v>
      </c>
      <c r="G73" s="17" t="s">
        <v>371</v>
      </c>
    </row>
    <row r="74" customFormat="false" ht="15" hidden="false" customHeight="true" outlineLevel="0" collapsed="false">
      <c r="A74" s="15" t="s">
        <v>372</v>
      </c>
      <c r="B74" s="16" t="s">
        <v>165</v>
      </c>
      <c r="C74" s="15" t="s">
        <v>241</v>
      </c>
      <c r="D74" s="15" t="s">
        <v>242</v>
      </c>
      <c r="E74" s="15" t="s">
        <v>243</v>
      </c>
      <c r="F74" s="15" t="s">
        <v>244</v>
      </c>
      <c r="G74" s="17" t="s">
        <v>373</v>
      </c>
    </row>
    <row r="75" customFormat="false" ht="15" hidden="false" customHeight="true" outlineLevel="0" collapsed="false">
      <c r="A75" s="15" t="s">
        <v>372</v>
      </c>
      <c r="B75" s="16" t="s">
        <v>293</v>
      </c>
      <c r="C75" s="15" t="s">
        <v>285</v>
      </c>
      <c r="D75" s="15" t="s">
        <v>248</v>
      </c>
      <c r="E75" s="15" t="s">
        <v>249</v>
      </c>
      <c r="F75" s="15" t="s">
        <v>255</v>
      </c>
      <c r="G75" s="17" t="s">
        <v>374</v>
      </c>
    </row>
    <row r="76" customFormat="false" ht="15" hidden="false" customHeight="true" outlineLevel="0" collapsed="false">
      <c r="A76" s="15" t="s">
        <v>372</v>
      </c>
      <c r="B76" s="16" t="s">
        <v>119</v>
      </c>
      <c r="C76" s="15" t="s">
        <v>241</v>
      </c>
      <c r="D76" s="15" t="s">
        <v>242</v>
      </c>
      <c r="E76" s="15" t="s">
        <v>243</v>
      </c>
      <c r="F76" s="15" t="s">
        <v>244</v>
      </c>
      <c r="G76" s="17" t="s">
        <v>375</v>
      </c>
    </row>
    <row r="77" customFormat="false" ht="15" hidden="false" customHeight="true" outlineLevel="0" collapsed="false">
      <c r="A77" s="15" t="s">
        <v>372</v>
      </c>
      <c r="B77" s="16" t="s">
        <v>120</v>
      </c>
      <c r="C77" s="15" t="s">
        <v>241</v>
      </c>
      <c r="D77" s="15" t="s">
        <v>242</v>
      </c>
      <c r="E77" s="15" t="s">
        <v>243</v>
      </c>
      <c r="F77" s="15" t="s">
        <v>244</v>
      </c>
      <c r="G77" s="17" t="s">
        <v>296</v>
      </c>
    </row>
    <row r="78" customFormat="false" ht="15" hidden="false" customHeight="true" outlineLevel="0" collapsed="false">
      <c r="A78" s="15" t="s">
        <v>372</v>
      </c>
      <c r="B78" s="16" t="inlineStr">
        <is>
          <t xml:space="preserve">Statut</t>
        </is>
      </c>
      <c r="C78" s="15" t="s">
        <v>285</v>
      </c>
      <c r="D78" s="15" t="s">
        <v>248</v>
      </c>
      <c r="E78" s="15" t="s">
        <v>249</v>
      </c>
      <c r="F78" s="15" t="inlineStr">
        <is>
          <t xml:space="preserve">Statuts_enseignant</t>
        </is>
      </c>
      <c r="G78" s="17" t="s">
        <v>378</v>
      </c>
    </row>
    <row r="79" customFormat="false" ht="15" hidden="false" customHeight="true" outlineLevel="0" collapsed="false">
      <c r="A79" s="15" t="s">
        <v>372</v>
      </c>
      <c r="B79" s="16" t="s">
        <v>167</v>
      </c>
      <c r="C79" s="15" t="s">
        <v>241</v>
      </c>
      <c r="D79" s="15" t="s">
        <v>248</v>
      </c>
      <c r="E79" s="15" t="s">
        <v>243</v>
      </c>
      <c r="F79" s="15" t="s">
        <v>244</v>
      </c>
      <c r="G79" s="17" t="s">
        <v>379</v>
      </c>
    </row>
    <row r="80" customFormat="false" ht="15" hidden="false" customHeight="true" outlineLevel="0" collapsed="false">
      <c r="A80" s="15" t="s">
        <v>372</v>
      </c>
      <c r="B80" s="16" t="s">
        <v>380</v>
      </c>
      <c r="C80" s="15" t="s">
        <v>241</v>
      </c>
      <c r="D80" s="15" t="s">
        <v>248</v>
      </c>
      <c r="E80" s="15" t="s">
        <v>249</v>
      </c>
      <c r="F80" s="15" t="s">
        <v>244</v>
      </c>
      <c r="G80" s="17" t="s">
        <v>381</v>
      </c>
    </row>
    <row r="81" customFormat="false" ht="15" hidden="false" customHeight="true" outlineLevel="0" collapsed="false">
      <c r="A81" s="15" t="s">
        <v>372</v>
      </c>
      <c r="B81" s="16" t="s">
        <v>169</v>
      </c>
      <c r="C81" s="15" t="s">
        <v>241</v>
      </c>
      <c r="D81" s="15" t="s">
        <v>248</v>
      </c>
      <c r="E81" s="15" t="s">
        <v>243</v>
      </c>
      <c r="F81" s="15" t="s">
        <v>244</v>
      </c>
      <c r="G81" s="17" t="s">
        <v>382</v>
      </c>
    </row>
    <row r="82" customFormat="false" ht="15" hidden="false" customHeight="true" outlineLevel="0" collapsed="false">
      <c r="A82" s="15" t="s">
        <v>372</v>
      </c>
      <c r="B82" s="16" t="s">
        <v>383</v>
      </c>
      <c r="C82" s="15" t="s">
        <v>241</v>
      </c>
      <c r="D82" s="15" t="s">
        <v>248</v>
      </c>
      <c r="E82" s="15" t="s">
        <v>249</v>
      </c>
      <c r="F82" s="15" t="s">
        <v>244</v>
      </c>
      <c r="G82" s="17" t="s">
        <v>384</v>
      </c>
    </row>
    <row r="83" customFormat="false" ht="15" hidden="false" customHeight="true" outlineLevel="0" collapsed="false">
      <c r="A83" s="15" t="s">
        <v>385</v>
      </c>
      <c r="B83" s="16" t="s">
        <v>386</v>
      </c>
      <c r="C83" s="15" t="s">
        <v>241</v>
      </c>
      <c r="D83" s="15" t="s">
        <v>242</v>
      </c>
      <c r="E83" s="15" t="s">
        <v>249</v>
      </c>
      <c r="F83" s="15" t="s">
        <v>244</v>
      </c>
      <c r="G83" s="17" t="s">
        <v>387</v>
      </c>
    </row>
    <row r="84" customFormat="false" ht="15" hidden="false" customHeight="true" outlineLevel="0" collapsed="false">
      <c r="A84" s="15" t="s">
        <v>385</v>
      </c>
      <c r="B84" s="16" t="s">
        <v>165</v>
      </c>
      <c r="C84" s="15" t="s">
        <v>285</v>
      </c>
      <c r="D84" s="15" t="s">
        <v>242</v>
      </c>
      <c r="E84" s="15" t="s">
        <v>249</v>
      </c>
      <c r="F84" s="15" t="s">
        <v>388</v>
      </c>
      <c r="G84" s="17" t="s">
        <v>389</v>
      </c>
    </row>
    <row r="85" customFormat="false" ht="15" hidden="false" customHeight="true" outlineLevel="0" collapsed="false">
      <c r="A85" s="15" t="s">
        <v>385</v>
      </c>
      <c r="B85" s="16" t="s">
        <v>340</v>
      </c>
      <c r="C85" s="15" t="s">
        <v>290</v>
      </c>
      <c r="D85" s="15" t="s">
        <v>248</v>
      </c>
      <c r="E85" s="15" t="s">
        <v>249</v>
      </c>
      <c r="F85" s="15" t="s">
        <v>244</v>
      </c>
      <c r="G85" s="17" t="s">
        <v>390</v>
      </c>
    </row>
    <row r="86" customFormat="false" ht="15" hidden="false" customHeight="true" outlineLevel="0" collapsed="false">
      <c r="A86" s="15" t="s">
        <v>385</v>
      </c>
      <c r="B86" s="16" t="s">
        <v>391</v>
      </c>
      <c r="C86" s="15" t="s">
        <v>290</v>
      </c>
      <c r="D86" s="15" t="s">
        <v>242</v>
      </c>
      <c r="E86" s="15" t="s">
        <v>249</v>
      </c>
      <c r="F86" s="15" t="s">
        <v>244</v>
      </c>
      <c r="G86" s="17" t="s">
        <v>392</v>
      </c>
    </row>
    <row r="87" customFormat="false" ht="30" hidden="false" customHeight="true" outlineLevel="0" collapsed="false">
      <c r="A87" s="15" t="s">
        <v>385</v>
      </c>
      <c r="B87" s="16" t="s">
        <v>393</v>
      </c>
      <c r="C87" s="15" t="s">
        <v>394</v>
      </c>
      <c r="D87" s="15" t="s">
        <v>395</v>
      </c>
      <c r="E87" s="15" t="s">
        <v>249</v>
      </c>
      <c r="F87" s="15" t="s">
        <v>244</v>
      </c>
      <c r="G87" s="17" t="s">
        <v>396</v>
      </c>
    </row>
    <row r="88" customFormat="false" ht="15" hidden="false" customHeight="true" outlineLevel="0" collapsed="false">
      <c r="A88" s="15" t="s">
        <v>397</v>
      </c>
      <c r="B88" s="16" t="s">
        <v>177</v>
      </c>
      <c r="C88" s="15" t="s">
        <v>241</v>
      </c>
      <c r="D88" s="15" t="s">
        <v>242</v>
      </c>
      <c r="E88" s="15" t="s">
        <v>243</v>
      </c>
      <c r="F88" s="15" t="s">
        <v>244</v>
      </c>
      <c r="G88" s="17" t="s">
        <v>398</v>
      </c>
    </row>
    <row r="89" customFormat="false" ht="15" hidden="false" customHeight="true" outlineLevel="0" collapsed="false">
      <c r="A89" s="15" t="s">
        <v>397</v>
      </c>
      <c r="B89" s="16" t="s">
        <v>178</v>
      </c>
      <c r="C89" s="15" t="s">
        <v>241</v>
      </c>
      <c r="D89" s="15" t="s">
        <v>242</v>
      </c>
      <c r="E89" s="15" t="s">
        <v>243</v>
      </c>
      <c r="F89" s="15" t="s">
        <v>244</v>
      </c>
      <c r="G89" s="17" t="s">
        <v>399</v>
      </c>
    </row>
    <row r="90" customFormat="false" ht="15" hidden="false" customHeight="true" outlineLevel="0" collapsed="false">
      <c r="A90" s="15" t="s">
        <v>397</v>
      </c>
      <c r="B90" s="16" t="s">
        <v>235</v>
      </c>
      <c r="C90" s="15" t="s">
        <v>285</v>
      </c>
      <c r="D90" s="15" t="s">
        <v>248</v>
      </c>
      <c r="E90" s="15" t="s">
        <v>249</v>
      </c>
      <c r="F90" s="15" t="s">
        <v>267</v>
      </c>
      <c r="G90" s="17" t="s">
        <v>268</v>
      </c>
    </row>
    <row r="91" customFormat="false" ht="15" hidden="false" customHeight="true" outlineLevel="0" collapsed="false">
      <c r="A91" s="15" t="s">
        <v>397</v>
      </c>
      <c r="B91" s="16" t="s">
        <v>179</v>
      </c>
      <c r="C91" s="15" t="s">
        <v>290</v>
      </c>
      <c r="D91" s="15" t="s">
        <v>248</v>
      </c>
      <c r="E91" s="15" t="s">
        <v>243</v>
      </c>
      <c r="F91" s="15" t="s">
        <v>244</v>
      </c>
      <c r="G91" s="17" t="s">
        <v>400</v>
      </c>
    </row>
    <row r="92" customFormat="false" ht="15" hidden="false" customHeight="true" outlineLevel="0" collapsed="false">
      <c r="A92" s="15" t="s">
        <v>397</v>
      </c>
      <c r="B92" s="16" t="s">
        <v>401</v>
      </c>
      <c r="C92" s="15" t="s">
        <v>241</v>
      </c>
      <c r="D92" s="15" t="s">
        <v>248</v>
      </c>
      <c r="E92" s="15" t="s">
        <v>249</v>
      </c>
      <c r="F92" s="15" t="s">
        <v>244</v>
      </c>
      <c r="G92" s="17" t="s">
        <v>402</v>
      </c>
    </row>
    <row r="93" customFormat="false" ht="15" hidden="false" customHeight="true" outlineLevel="0" collapsed="false">
      <c r="A93" s="15" t="s">
        <v>397</v>
      </c>
      <c r="B93" s="16" t="s">
        <v>403</v>
      </c>
      <c r="C93" s="15" t="s">
        <v>241</v>
      </c>
      <c r="D93" s="15" t="s">
        <v>248</v>
      </c>
      <c r="E93" s="15" t="s">
        <v>249</v>
      </c>
      <c r="F93" s="15" t="s">
        <v>244</v>
      </c>
      <c r="G93" s="17" t="s">
        <v>404</v>
      </c>
    </row>
    <row r="94" customFormat="false" ht="15" hidden="false" customHeight="true" outlineLevel="0" collapsed="false">
      <c r="A94" s="15" t="s">
        <v>405</v>
      </c>
      <c r="B94" s="16" t="s">
        <v>183</v>
      </c>
      <c r="C94" s="15" t="s">
        <v>297</v>
      </c>
      <c r="D94" s="15" t="s">
        <v>242</v>
      </c>
      <c r="E94" s="15" t="s">
        <v>243</v>
      </c>
      <c r="F94" s="15" t="s">
        <v>244</v>
      </c>
      <c r="G94" s="17" t="s">
        <v>406</v>
      </c>
    </row>
    <row r="95" customFormat="false" ht="15" hidden="false" customHeight="true" outlineLevel="0" collapsed="false">
      <c r="A95" s="15" t="s">
        <v>405</v>
      </c>
      <c r="B95" s="16" t="s">
        <v>407</v>
      </c>
      <c r="C95" s="15" t="s">
        <v>285</v>
      </c>
      <c r="D95" s="15" t="s">
        <v>242</v>
      </c>
      <c r="E95" s="15" t="s">
        <v>249</v>
      </c>
      <c r="F95" s="15" t="s">
        <v>408</v>
      </c>
      <c r="G95" s="17" t="s">
        <v>409</v>
      </c>
    </row>
    <row r="96" customFormat="false" ht="15" hidden="false" customHeight="true" outlineLevel="0" collapsed="false">
      <c r="A96" s="15" t="s">
        <v>405</v>
      </c>
      <c r="B96" s="16" t="s">
        <v>410</v>
      </c>
      <c r="C96" s="15" t="s">
        <v>285</v>
      </c>
      <c r="D96" s="15" t="s">
        <v>242</v>
      </c>
      <c r="E96" s="15" t="s">
        <v>253</v>
      </c>
      <c r="F96" s="15" t="s">
        <v>411</v>
      </c>
      <c r="G96" s="17" t="s">
        <v>412</v>
      </c>
    </row>
    <row r="97" customFormat="false" ht="15" hidden="false" customHeight="true" outlineLevel="0" collapsed="false">
      <c r="A97" s="15" t="s">
        <v>405</v>
      </c>
      <c r="B97" s="16" t="s">
        <v>413</v>
      </c>
      <c r="C97" s="15" t="s">
        <v>285</v>
      </c>
      <c r="D97" s="15" t="s">
        <v>248</v>
      </c>
      <c r="E97" s="15" t="s">
        <v>253</v>
      </c>
      <c r="F97" s="15" t="s">
        <v>261</v>
      </c>
      <c r="G97" s="17" t="s">
        <v>414</v>
      </c>
    </row>
    <row r="98" customFormat="false" ht="15" hidden="false" customHeight="true" outlineLevel="0" collapsed="false">
      <c r="A98" s="15" t="s">
        <v>405</v>
      </c>
      <c r="B98" s="16" t="s">
        <v>415</v>
      </c>
      <c r="C98" s="15" t="s">
        <v>285</v>
      </c>
      <c r="D98" s="15" t="s">
        <v>248</v>
      </c>
      <c r="E98" s="15" t="s">
        <v>249</v>
      </c>
      <c r="F98" s="15" t="s">
        <v>263</v>
      </c>
      <c r="G98" s="17" t="s">
        <v>416</v>
      </c>
    </row>
    <row r="99" customFormat="false" ht="15" hidden="false" customHeight="true" outlineLevel="0" collapsed="false">
      <c r="A99" s="15" t="s">
        <v>405</v>
      </c>
      <c r="B99" s="16" t="s">
        <v>417</v>
      </c>
      <c r="C99" s="15" t="s">
        <v>285</v>
      </c>
      <c r="D99" s="15" t="s">
        <v>242</v>
      </c>
      <c r="E99" s="15" t="s">
        <v>249</v>
      </c>
      <c r="F99" s="15" t="s">
        <v>265</v>
      </c>
      <c r="G99" s="17" t="s">
        <v>418</v>
      </c>
    </row>
    <row r="100" customFormat="false" ht="15" hidden="false" customHeight="true" outlineLevel="0" collapsed="false">
      <c r="A100" s="15" t="s">
        <v>405</v>
      </c>
      <c r="B100" s="16" t="s">
        <v>419</v>
      </c>
      <c r="C100" s="15" t="s">
        <v>241</v>
      </c>
      <c r="D100" s="15" t="s">
        <v>248</v>
      </c>
      <c r="E100" s="15" t="s">
        <v>249</v>
      </c>
      <c r="F100" s="15" t="s">
        <v>244</v>
      </c>
      <c r="G100" s="17" t="s">
        <v>420</v>
      </c>
    </row>
    <row r="101" customFormat="false" ht="15" hidden="false" customHeight="true" outlineLevel="0" collapsed="false">
      <c r="A101" s="15" t="s">
        <v>405</v>
      </c>
      <c r="B101" s="16" t="s">
        <v>190</v>
      </c>
      <c r="C101" s="15" t="s">
        <v>241</v>
      </c>
      <c r="D101" s="15" t="s">
        <v>242</v>
      </c>
      <c r="E101" s="15" t="s">
        <v>243</v>
      </c>
      <c r="F101" s="15" t="s">
        <v>244</v>
      </c>
      <c r="G101" s="17" t="s">
        <v>421</v>
      </c>
    </row>
    <row r="102" customFormat="false" ht="15" hidden="false" customHeight="true" outlineLevel="0" collapsed="false">
      <c r="A102" s="15" t="s">
        <v>405</v>
      </c>
      <c r="B102" s="16" t="s">
        <v>191</v>
      </c>
      <c r="C102" s="15" t="s">
        <v>422</v>
      </c>
      <c r="D102" s="15" t="s">
        <v>423</v>
      </c>
      <c r="E102" s="15" t="s">
        <v>243</v>
      </c>
      <c r="F102" s="15" t="s">
        <v>244</v>
      </c>
      <c r="G102" s="17" t="s">
        <v>424</v>
      </c>
    </row>
    <row r="103" customFormat="false" ht="15" hidden="false" customHeight="true" outlineLevel="0" collapsed="false">
      <c r="A103" s="15" t="s">
        <v>405</v>
      </c>
      <c r="B103" s="16" t="s">
        <v>192</v>
      </c>
      <c r="C103" s="15" t="s">
        <v>422</v>
      </c>
      <c r="D103" s="15" t="s">
        <v>423</v>
      </c>
      <c r="E103" s="15" t="s">
        <v>243</v>
      </c>
      <c r="F103" s="15" t="s">
        <v>244</v>
      </c>
      <c r="G103" s="17" t="s">
        <v>425</v>
      </c>
    </row>
    <row r="104" customFormat="false" ht="15" hidden="false" customHeight="true" outlineLevel="0" collapsed="false">
      <c r="A104" s="15" t="s">
        <v>405</v>
      </c>
      <c r="B104" s="16" t="s">
        <v>426</v>
      </c>
      <c r="C104" s="15" t="s">
        <v>241</v>
      </c>
      <c r="D104" s="15" t="s">
        <v>248</v>
      </c>
      <c r="E104" s="15" t="s">
        <v>249</v>
      </c>
      <c r="F104" s="15" t="s">
        <v>244</v>
      </c>
      <c r="G104" s="17" t="s">
        <v>427</v>
      </c>
    </row>
    <row r="105" customFormat="false" ht="15" hidden="false" customHeight="true" outlineLevel="0" collapsed="false">
      <c r="A105" s="15" t="s">
        <v>405</v>
      </c>
      <c r="B105" s="16" t="s">
        <v>207</v>
      </c>
      <c r="C105" s="15" t="s">
        <v>285</v>
      </c>
      <c r="D105" s="15" t="s">
        <v>248</v>
      </c>
      <c r="E105" s="15" t="s">
        <v>249</v>
      </c>
      <c r="F105" s="15" t="s">
        <v>428</v>
      </c>
      <c r="G105" s="17" t="s">
        <v>429</v>
      </c>
    </row>
    <row r="106" customFormat="false" ht="15" hidden="false" customHeight="true" outlineLevel="0" collapsed="false">
      <c r="A106" s="15" t="s">
        <v>405</v>
      </c>
      <c r="B106" s="16" t="s">
        <v>430</v>
      </c>
      <c r="C106" s="15" t="s">
        <v>297</v>
      </c>
      <c r="D106" s="15" t="s">
        <v>248</v>
      </c>
      <c r="E106" s="15" t="s">
        <v>249</v>
      </c>
      <c r="F106" s="15" t="s">
        <v>244</v>
      </c>
      <c r="G106" s="17" t="s">
        <v>431</v>
      </c>
    </row>
    <row r="107" customFormat="false" ht="15" hidden="false" customHeight="true" outlineLevel="0" collapsed="false">
      <c r="A107" s="15" t="s">
        <v>405</v>
      </c>
      <c r="B107" s="16" t="s">
        <v>432</v>
      </c>
      <c r="C107" s="15" t="s">
        <v>297</v>
      </c>
      <c r="D107" s="15" t="s">
        <v>248</v>
      </c>
      <c r="E107" s="15" t="s">
        <v>249</v>
      </c>
      <c r="F107" s="15" t="s">
        <v>244</v>
      </c>
      <c r="G107" s="17" t="s">
        <v>433</v>
      </c>
    </row>
    <row r="108" customFormat="false" ht="15" hidden="false" customHeight="true" outlineLevel="0" collapsed="false">
      <c r="A108" s="15" t="s">
        <v>405</v>
      </c>
      <c r="B108" s="16" t="s">
        <v>310</v>
      </c>
      <c r="C108" s="15" t="s">
        <v>241</v>
      </c>
      <c r="D108" s="15" t="s">
        <v>248</v>
      </c>
      <c r="E108" s="15" t="s">
        <v>249</v>
      </c>
      <c r="F108" s="15" t="s">
        <v>244</v>
      </c>
      <c r="G108" s="17" t="s">
        <v>311</v>
      </c>
    </row>
    <row r="109" customFormat="false" ht="30" hidden="false" customHeight="true" outlineLevel="0" collapsed="false">
      <c r="A109" s="15" t="s">
        <v>405</v>
      </c>
      <c r="B109" s="16" t="s">
        <v>434</v>
      </c>
      <c r="C109" s="15" t="s">
        <v>285</v>
      </c>
      <c r="D109" s="15" t="s">
        <v>248</v>
      </c>
      <c r="E109" s="15" t="s">
        <v>249</v>
      </c>
      <c r="F109" s="15" t="s">
        <v>273</v>
      </c>
      <c r="G109" s="17" t="s">
        <v>435</v>
      </c>
    </row>
    <row r="110" customFormat="false" ht="15" hidden="false" customHeight="true" outlineLevel="0" collapsed="false">
      <c r="A110" s="15" t="s">
        <v>436</v>
      </c>
      <c r="B110" s="16" t="s">
        <v>437</v>
      </c>
      <c r="C110" s="15" t="s">
        <v>285</v>
      </c>
      <c r="D110" s="15" t="s">
        <v>242</v>
      </c>
      <c r="E110" s="15" t="s">
        <v>249</v>
      </c>
      <c r="F110" s="15" t="s">
        <v>265</v>
      </c>
      <c r="G110" s="17" t="s">
        <v>438</v>
      </c>
    </row>
    <row r="111" customFormat="false" ht="15" hidden="false" customHeight="true" outlineLevel="0" collapsed="false">
      <c r="A111" s="15" t="s">
        <v>436</v>
      </c>
      <c r="B111" s="16" t="s">
        <v>235</v>
      </c>
      <c r="C111" s="15" t="s">
        <v>285</v>
      </c>
      <c r="D111" s="15" t="s">
        <v>248</v>
      </c>
      <c r="E111" s="15" t="s">
        <v>249</v>
      </c>
      <c r="F111" s="15" t="s">
        <v>439</v>
      </c>
      <c r="G111" s="17" t="s">
        <v>440</v>
      </c>
    </row>
    <row r="112" customFormat="false" ht="15" hidden="false" customHeight="true" outlineLevel="0" collapsed="false">
      <c r="A112" s="15" t="s">
        <v>436</v>
      </c>
      <c r="B112" s="16" t="s">
        <v>441</v>
      </c>
      <c r="C112" s="15" t="s">
        <v>422</v>
      </c>
      <c r="D112" s="15" t="s">
        <v>242</v>
      </c>
      <c r="E112" s="15" t="s">
        <v>249</v>
      </c>
      <c r="F112" s="15" t="s">
        <v>244</v>
      </c>
      <c r="G112" s="17" t="s">
        <v>442</v>
      </c>
    </row>
    <row r="113" customFormat="false" ht="15" hidden="false" customHeight="true" outlineLevel="0" collapsed="false">
      <c r="A113" s="15" t="s">
        <v>436</v>
      </c>
      <c r="B113" s="16" t="s">
        <v>443</v>
      </c>
      <c r="C113" s="15" t="s">
        <v>394</v>
      </c>
      <c r="D113" s="15" t="s">
        <v>395</v>
      </c>
      <c r="E113" s="15" t="s">
        <v>249</v>
      </c>
      <c r="F113" s="15" t="s">
        <v>244</v>
      </c>
      <c r="G113" s="17" t="s">
        <v>444</v>
      </c>
    </row>
    <row r="114" customFormat="false" ht="15" hidden="false" customHeight="true" outlineLevel="0" collapsed="false">
      <c r="A114" s="15" t="s">
        <v>445</v>
      </c>
      <c r="B114" s="16" t="s">
        <v>106</v>
      </c>
      <c r="C114" s="15" t="s">
        <v>290</v>
      </c>
      <c r="D114" s="15" t="s">
        <v>242</v>
      </c>
      <c r="E114" s="15" t="s">
        <v>243</v>
      </c>
      <c r="F114" s="15" t="s">
        <v>244</v>
      </c>
      <c r="G114" s="17" t="s">
        <v>446</v>
      </c>
    </row>
    <row r="115" customFormat="false" ht="15" hidden="false" customHeight="true" outlineLevel="0" collapsed="false">
      <c r="A115" s="15" t="s">
        <v>445</v>
      </c>
      <c r="B115" s="16" t="s">
        <v>202</v>
      </c>
      <c r="C115" s="15" t="s">
        <v>241</v>
      </c>
      <c r="D115" s="15" t="s">
        <v>242</v>
      </c>
      <c r="E115" s="15" t="s">
        <v>243</v>
      </c>
      <c r="F115" s="15" t="s">
        <v>244</v>
      </c>
      <c r="G115" s="17" t="s">
        <v>447</v>
      </c>
    </row>
    <row r="116" customFormat="false" ht="15" hidden="false" customHeight="true" outlineLevel="0" collapsed="false">
      <c r="A116" s="15" t="s">
        <v>445</v>
      </c>
      <c r="B116" s="16" t="s">
        <v>203</v>
      </c>
      <c r="C116" s="15" t="s">
        <v>241</v>
      </c>
      <c r="D116" s="15" t="s">
        <v>242</v>
      </c>
      <c r="E116" s="15" t="s">
        <v>243</v>
      </c>
      <c r="F116" s="15" t="s">
        <v>244</v>
      </c>
      <c r="G116" s="17" t="s">
        <v>448</v>
      </c>
    </row>
    <row r="117" customFormat="false" ht="15" hidden="false" customHeight="true" outlineLevel="0" collapsed="false">
      <c r="A117" s="15" t="s">
        <v>445</v>
      </c>
      <c r="B117" s="16" t="s">
        <v>204</v>
      </c>
      <c r="C117" s="15" t="s">
        <v>241</v>
      </c>
      <c r="D117" s="15" t="s">
        <v>242</v>
      </c>
      <c r="E117" s="15" t="s">
        <v>243</v>
      </c>
      <c r="F117" s="15" t="s">
        <v>244</v>
      </c>
      <c r="G117" s="17" t="s">
        <v>449</v>
      </c>
    </row>
    <row r="118" customFormat="false" ht="15" hidden="false" customHeight="true" outlineLevel="0" collapsed="false">
      <c r="A118" s="15" t="s">
        <v>445</v>
      </c>
      <c r="B118" s="16" t="s">
        <v>205</v>
      </c>
      <c r="C118" s="15" t="s">
        <v>241</v>
      </c>
      <c r="D118" s="15" t="s">
        <v>248</v>
      </c>
      <c r="E118" s="15" t="s">
        <v>243</v>
      </c>
      <c r="F118" s="15" t="s">
        <v>244</v>
      </c>
      <c r="G118" s="17" t="s">
        <v>450</v>
      </c>
    </row>
    <row r="119" customFormat="false" ht="15" hidden="false" customHeight="true" outlineLevel="0" collapsed="false">
      <c r="A119" s="15" t="s">
        <v>445</v>
      </c>
      <c r="B119" s="16" t="s">
        <v>206</v>
      </c>
      <c r="C119" s="15" t="s">
        <v>297</v>
      </c>
      <c r="D119" s="15" t="s">
        <v>248</v>
      </c>
      <c r="E119" s="15" t="s">
        <v>243</v>
      </c>
      <c r="F119" s="15" t="s">
        <v>244</v>
      </c>
      <c r="G119" s="17" t="s">
        <v>451</v>
      </c>
    </row>
    <row r="120" customFormat="false" ht="15" hidden="false" customHeight="true" outlineLevel="0" collapsed="false">
      <c r="A120" s="15" t="s">
        <v>445</v>
      </c>
      <c r="B120" s="16" t="s">
        <v>207</v>
      </c>
      <c r="C120" s="15" t="s">
        <v>285</v>
      </c>
      <c r="D120" s="15" t="s">
        <v>248</v>
      </c>
      <c r="E120" s="15" t="s">
        <v>243</v>
      </c>
      <c r="F120" s="15" t="s">
        <v>452</v>
      </c>
      <c r="G120" s="17" t="s">
        <v>453</v>
      </c>
    </row>
    <row r="121" customFormat="false" ht="15" hidden="false" customHeight="true" outlineLevel="0" collapsed="false">
      <c r="A121" s="15" t="s">
        <v>454</v>
      </c>
      <c r="B121" s="16" t="s">
        <v>455</v>
      </c>
      <c r="C121" s="15" t="s">
        <v>241</v>
      </c>
      <c r="D121" s="15" t="s">
        <v>242</v>
      </c>
      <c r="E121" s="15" t="s">
        <v>253</v>
      </c>
      <c r="F121" s="15" t="s">
        <v>244</v>
      </c>
      <c r="G121" s="17" t="s">
        <v>456</v>
      </c>
    </row>
    <row r="122" customFormat="false" ht="15" hidden="false" customHeight="true" outlineLevel="0" collapsed="false">
      <c r="A122" s="15" t="s">
        <v>454</v>
      </c>
      <c r="B122" s="16" t="s">
        <v>235</v>
      </c>
      <c r="C122" s="15" t="s">
        <v>285</v>
      </c>
      <c r="D122" s="15" t="s">
        <v>248</v>
      </c>
      <c r="E122" s="15" t="s">
        <v>253</v>
      </c>
      <c r="F122" s="15" t="s">
        <v>457</v>
      </c>
      <c r="G122" s="17" t="s">
        <v>458</v>
      </c>
    </row>
    <row r="123" customFormat="false" ht="15" hidden="false" customHeight="true" outlineLevel="0" collapsed="false">
      <c r="A123" s="15" t="s">
        <v>454</v>
      </c>
      <c r="B123" s="16" t="s">
        <v>3</v>
      </c>
      <c r="C123" s="15" t="s">
        <v>241</v>
      </c>
      <c r="D123" s="15" t="s">
        <v>248</v>
      </c>
      <c r="E123" s="15" t="s">
        <v>253</v>
      </c>
      <c r="F123" s="15" t="s">
        <v>244</v>
      </c>
      <c r="G123" s="17" t="s">
        <v>459</v>
      </c>
    </row>
    <row r="124" customFormat="false" ht="15" hidden="false" customHeight="true" outlineLevel="0" collapsed="false">
      <c r="A124" s="15" t="s">
        <v>454</v>
      </c>
      <c r="B124" s="16" t="s">
        <v>460</v>
      </c>
      <c r="C124" s="15" t="s">
        <v>241</v>
      </c>
      <c r="D124" s="15" t="s">
        <v>248</v>
      </c>
      <c r="E124" s="15" t="s">
        <v>249</v>
      </c>
      <c r="F124" s="15" t="s">
        <v>244</v>
      </c>
      <c r="G124" s="17" t="s">
        <v>461</v>
      </c>
    </row>
    <row r="125" customFormat="false" ht="15" hidden="false" customHeight="true" outlineLevel="0" collapsed="false">
      <c r="A125" s="15" t="s">
        <v>454</v>
      </c>
      <c r="B125" s="16" t="s">
        <v>462</v>
      </c>
      <c r="C125" s="15" t="s">
        <v>297</v>
      </c>
      <c r="D125" s="15" t="s">
        <v>248</v>
      </c>
      <c r="E125" s="15" t="s">
        <v>253</v>
      </c>
      <c r="F125" s="15" t="s">
        <v>244</v>
      </c>
      <c r="G125" s="17" t="s">
        <v>463</v>
      </c>
    </row>
    <row r="126" customFormat="false" ht="15" hidden="false" customHeight="true" outlineLevel="0" collapsed="false">
      <c r="A126" s="15" t="s">
        <v>454</v>
      </c>
      <c r="B126" s="16" t="s">
        <v>464</v>
      </c>
      <c r="C126" s="15" t="s">
        <v>241</v>
      </c>
      <c r="D126" s="15" t="s">
        <v>248</v>
      </c>
      <c r="E126" s="15" t="s">
        <v>253</v>
      </c>
      <c r="F126" s="15" t="s">
        <v>244</v>
      </c>
      <c r="G126" s="17" t="s">
        <v>465</v>
      </c>
    </row>
    <row r="127" customFormat="false" ht="15" hidden="false" customHeight="true" outlineLevel="0" collapsed="false">
      <c r="A127" s="15" t="s">
        <v>466</v>
      </c>
      <c r="B127" s="16" t="s">
        <v>467</v>
      </c>
      <c r="C127" s="15" t="s">
        <v>241</v>
      </c>
      <c r="D127" s="15" t="s">
        <v>248</v>
      </c>
      <c r="E127" s="15" t="s">
        <v>249</v>
      </c>
      <c r="F127" s="15" t="s">
        <v>244</v>
      </c>
      <c r="G127" s="17" t="s">
        <v>468</v>
      </c>
    </row>
    <row r="128" customFormat="false" ht="15" hidden="false" customHeight="true" outlineLevel="0" collapsed="false">
      <c r="A128" s="15" t="s">
        <v>466</v>
      </c>
      <c r="B128" s="16" t="s">
        <v>469</v>
      </c>
      <c r="C128" s="15" t="s">
        <v>394</v>
      </c>
      <c r="D128" s="15" t="s">
        <v>395</v>
      </c>
      <c r="E128" s="15" t="s">
        <v>249</v>
      </c>
      <c r="F128" s="15" t="s">
        <v>244</v>
      </c>
      <c r="G128" s="17" t="s">
        <v>470</v>
      </c>
    </row>
    <row r="129" customFormat="false" ht="15" hidden="false" customHeight="true" outlineLevel="0" collapsed="false">
      <c r="A129" s="15" t="s">
        <v>240</v>
      </c>
      <c r="B129" s="15" t="s">
        <v>345</v>
      </c>
      <c r="C129" s="15" t="s">
        <v>241</v>
      </c>
      <c r="D129" s="15" t="s">
        <v>242</v>
      </c>
      <c r="E129" s="15" t="s">
        <v>253</v>
      </c>
      <c r="F129" s="15" t="s">
        <v>244</v>
      </c>
      <c r="G129" s="15" t="s">
        <v>471</v>
      </c>
    </row>
    <row r="130" customFormat="false" ht="15" hidden="false" customHeight="true" outlineLevel="0" collapsed="false">
      <c r="A130" s="15" t="s">
        <v>240</v>
      </c>
      <c r="B130" s="15" t="s">
        <v>351</v>
      </c>
      <c r="C130" s="15" t="s">
        <v>241</v>
      </c>
      <c r="D130" s="15" t="s">
        <v>248</v>
      </c>
      <c r="E130" s="15" t="s">
        <v>249</v>
      </c>
      <c r="F130" s="15" t="s">
        <v>244</v>
      </c>
      <c r="G130" s="15" t="s">
        <v>472</v>
      </c>
    </row>
    <row r="131" customFormat="false" ht="15" hidden="false" customHeight="true" outlineLevel="0" collapsed="false">
      <c r="A131" s="1" t="s">
        <v>275</v>
      </c>
      <c r="B131" s="1" t="s">
        <v>473</v>
      </c>
      <c r="C131" s="1" t="s">
        <v>285</v>
      </c>
      <c r="D131" s="1" t="s">
        <v>248</v>
      </c>
      <c r="E131" s="1" t="s">
        <v>474</v>
      </c>
      <c r="F131" s="1" t="s">
        <v>286</v>
      </c>
      <c r="G131" s="1" t="s">
        <v>475</v>
      </c>
    </row>
    <row r="132" customFormat="false" ht="15" hidden="false" customHeight="true" outlineLevel="0" collapsed="false">
      <c r="A132" s="18" t="s">
        <v>476</v>
      </c>
      <c r="B132" s="18" t="s">
        <v>477</v>
      </c>
      <c r="C132" s="18" t="s">
        <v>241</v>
      </c>
      <c r="D132" s="18" t="s">
        <v>242</v>
      </c>
      <c r="E132" s="18" t="s">
        <v>249</v>
      </c>
      <c r="F132" s="18" t="s">
        <v>244</v>
      </c>
      <c r="G132" s="18" t="s">
        <v>478</v>
      </c>
    </row>
    <row r="133" customFormat="false" ht="15" hidden="false" customHeight="true" outlineLevel="0" collapsed="false">
      <c r="A133" s="18" t="s">
        <v>476</v>
      </c>
      <c r="B133" s="18" t="s">
        <v>142</v>
      </c>
      <c r="C133" s="18" t="s">
        <v>285</v>
      </c>
      <c r="D133" s="18" t="s">
        <v>242</v>
      </c>
      <c r="E133" s="18" t="s">
        <v>253</v>
      </c>
      <c r="F133" s="18" t="s">
        <v>333</v>
      </c>
      <c r="G133" s="18" t="s">
        <v>479</v>
      </c>
    </row>
    <row r="134" customFormat="false" ht="15" hidden="false" customHeight="true" outlineLevel="0" collapsed="false">
      <c r="A134" s="18" t="s">
        <v>476</v>
      </c>
      <c r="B134" s="18" t="s">
        <v>297</v>
      </c>
      <c r="C134" s="18" t="s">
        <v>297</v>
      </c>
      <c r="D134" s="18" t="s">
        <v>242</v>
      </c>
      <c r="E134" s="18" t="s">
        <v>253</v>
      </c>
      <c r="F134" s="18" t="s">
        <v>244</v>
      </c>
      <c r="G134" s="18" t="s">
        <v>480</v>
      </c>
    </row>
    <row r="135" customFormat="false" ht="15" hidden="false" customHeight="false" outlineLevel="0" collapsed="false">
      <c r="A135" s="18" t="s">
        <v>476</v>
      </c>
      <c r="B135" s="18" t="s">
        <v>144</v>
      </c>
      <c r="C135" s="18" t="s">
        <v>241</v>
      </c>
      <c r="D135" s="18" t="s">
        <v>248</v>
      </c>
      <c r="E135" s="18" t="s">
        <v>253</v>
      </c>
      <c r="F135" s="18" t="s">
        <v>244</v>
      </c>
      <c r="G135" s="18" t="s">
        <v>481</v>
      </c>
    </row>
    <row r="136" customFormat="false" ht="15" hidden="false" customHeight="false" outlineLevel="0" collapsed="false">
      <c r="A136" s="18" t="s">
        <v>476</v>
      </c>
      <c r="B136" s="18" t="s">
        <v>145</v>
      </c>
      <c r="C136" s="18" t="s">
        <v>241</v>
      </c>
      <c r="D136" s="18" t="s">
        <v>248</v>
      </c>
      <c r="E136" s="18" t="s">
        <v>253</v>
      </c>
      <c r="F136" s="18" t="s">
        <v>244</v>
      </c>
      <c r="G136" s="18" t="s">
        <v>338</v>
      </c>
    </row>
    <row r="137" customFormat="false" ht="41.75" hidden="false" customHeight="false" outlineLevel="0" collapsed="false">
      <c r="A137" s="18" t="s">
        <v>476</v>
      </c>
      <c r="B137" s="18" t="s">
        <v>235</v>
      </c>
      <c r="C137" s="18" t="s">
        <v>285</v>
      </c>
      <c r="D137" s="18" t="s">
        <v>248</v>
      </c>
      <c r="E137" s="18" t="s">
        <v>253</v>
      </c>
      <c r="F137" s="18" t="s">
        <v>482</v>
      </c>
      <c r="G137" s="18" t="s">
        <v>483</v>
      </c>
    </row>
    <row r="138" customFormat="false" ht="15" hidden="false" customHeight="false" outlineLevel="0" collapsed="false">
      <c r="A138" s="18" t="s">
        <v>476</v>
      </c>
      <c r="B138" s="18" t="s">
        <v>484</v>
      </c>
      <c r="C138" s="18" t="s">
        <v>241</v>
      </c>
      <c r="D138" s="18" t="s">
        <v>242</v>
      </c>
      <c r="E138" s="18" t="s">
        <v>253</v>
      </c>
      <c r="F138" s="18" t="s">
        <v>244</v>
      </c>
      <c r="G138" s="18" t="s">
        <v>485</v>
      </c>
    </row>
    <row r="139" customFormat="false" ht="15" hidden="false" customHeight="false" outlineLevel="0" collapsed="false">
      <c r="A139" s="18" t="s">
        <v>476</v>
      </c>
      <c r="B139" s="18" t="s">
        <v>486</v>
      </c>
      <c r="C139" s="18" t="s">
        <v>241</v>
      </c>
      <c r="D139" s="18" t="s">
        <v>248</v>
      </c>
      <c r="E139" s="18" t="s">
        <v>253</v>
      </c>
      <c r="F139" s="18" t="s">
        <v>244</v>
      </c>
      <c r="G139" s="18" t="s">
        <v>487</v>
      </c>
    </row>
    <row r="140" customFormat="false" ht="28.35" hidden="false" customHeight="false" outlineLevel="0" collapsed="false">
      <c r="A140" s="18" t="s">
        <v>476</v>
      </c>
      <c r="B140" s="18" t="s">
        <v>207</v>
      </c>
      <c r="C140" s="18" t="s">
        <v>285</v>
      </c>
      <c r="D140" s="18" t="s">
        <v>248</v>
      </c>
      <c r="E140" s="18" t="s">
        <v>253</v>
      </c>
      <c r="F140" s="18" t="s">
        <v>488</v>
      </c>
      <c r="G140" s="18" t="s">
        <v>489</v>
      </c>
    </row>
    <row r="141" customFormat="false" ht="15" hidden="false" customHeight="false" outlineLevel="0" collapsed="false">
      <c r="A141" s="18" t="s">
        <v>476</v>
      </c>
      <c r="B141" s="18" t="s">
        <v>310</v>
      </c>
      <c r="C141" s="18" t="s">
        <v>241</v>
      </c>
      <c r="D141" s="18" t="s">
        <v>248</v>
      </c>
      <c r="E141" s="18" t="s">
        <v>249</v>
      </c>
      <c r="F141" s="18" t="s">
        <v>244</v>
      </c>
      <c r="G141" s="18" t="s">
        <v>490</v>
      </c>
    </row>
    <row r="142" customFormat="false" ht="15" hidden="false" customHeight="false" outlineLevel="0" collapsed="false">
      <c r="A142" s="18" t="s">
        <v>491</v>
      </c>
      <c r="B142" s="18" t="s">
        <v>492</v>
      </c>
      <c r="C142" s="18" t="s">
        <v>241</v>
      </c>
      <c r="D142" s="18" t="s">
        <v>242</v>
      </c>
      <c r="E142" s="18" t="s">
        <v>249</v>
      </c>
      <c r="F142" s="18" t="s">
        <v>244</v>
      </c>
      <c r="G142" s="18" t="s">
        <v>493</v>
      </c>
    </row>
    <row r="143" customFormat="false" ht="15" hidden="false" customHeight="false" outlineLevel="0" collapsed="false">
      <c r="A143" s="18" t="s">
        <v>491</v>
      </c>
      <c r="B143" s="18" t="s">
        <v>494</v>
      </c>
      <c r="C143" s="18" t="s">
        <v>241</v>
      </c>
      <c r="D143" s="18" t="s">
        <v>242</v>
      </c>
      <c r="E143" s="18" t="s">
        <v>253</v>
      </c>
      <c r="F143" s="18" t="s">
        <v>244</v>
      </c>
      <c r="G143" s="18" t="s">
        <v>495</v>
      </c>
    </row>
    <row r="144" customFormat="false" ht="15" hidden="false" customHeight="false" outlineLevel="0" collapsed="false">
      <c r="A144" s="18" t="s">
        <v>491</v>
      </c>
      <c r="B144" s="18" t="s">
        <v>410</v>
      </c>
      <c r="C144" s="18" t="s">
        <v>285</v>
      </c>
      <c r="D144" s="18" t="s">
        <v>248</v>
      </c>
      <c r="E144" s="18" t="s">
        <v>253</v>
      </c>
      <c r="F144" s="18" t="s">
        <v>496</v>
      </c>
      <c r="G144" s="18" t="s">
        <v>497</v>
      </c>
    </row>
    <row r="145" customFormat="false" ht="15" hidden="false" customHeight="false" outlineLevel="0" collapsed="false">
      <c r="A145" s="18" t="s">
        <v>491</v>
      </c>
      <c r="B145" s="18" t="s">
        <v>498</v>
      </c>
      <c r="C145" s="18" t="s">
        <v>285</v>
      </c>
      <c r="D145" s="18" t="s">
        <v>248</v>
      </c>
      <c r="E145" s="18" t="s">
        <v>253</v>
      </c>
      <c r="F145" s="18" t="s">
        <v>333</v>
      </c>
      <c r="G145" s="18" t="s">
        <v>499</v>
      </c>
    </row>
    <row r="146" customFormat="false" ht="15" hidden="false" customHeight="false" outlineLevel="0" collapsed="false">
      <c r="A146" s="18" t="s">
        <v>491</v>
      </c>
      <c r="B146" s="18" t="s">
        <v>500</v>
      </c>
      <c r="C146" s="18" t="s">
        <v>297</v>
      </c>
      <c r="D146" s="18" t="s">
        <v>248</v>
      </c>
      <c r="E146" s="18" t="s">
        <v>253</v>
      </c>
      <c r="F146" s="18" t="s">
        <v>244</v>
      </c>
      <c r="G146" s="18" t="s">
        <v>501</v>
      </c>
    </row>
    <row r="147" customFormat="false" ht="28.35" hidden="false" customHeight="false" outlineLevel="0" collapsed="false">
      <c r="A147" s="18" t="s">
        <v>491</v>
      </c>
      <c r="B147" s="18" t="s">
        <v>434</v>
      </c>
      <c r="C147" s="18" t="s">
        <v>285</v>
      </c>
      <c r="D147" s="18" t="s">
        <v>248</v>
      </c>
      <c r="E147" s="18" t="s">
        <v>253</v>
      </c>
      <c r="F147" s="18" t="s">
        <v>273</v>
      </c>
      <c r="G147" s="18" t="s">
        <v>502</v>
      </c>
    </row>
    <row r="148" customFormat="false" ht="15" hidden="false" customHeight="false" outlineLevel="0" collapsed="false">
      <c r="A148" s="18" t="s">
        <v>491</v>
      </c>
      <c r="B148" s="18" t="s">
        <v>503</v>
      </c>
      <c r="C148" s="18" t="s">
        <v>290</v>
      </c>
      <c r="D148" s="18" t="s">
        <v>248</v>
      </c>
      <c r="E148" s="18" t="s">
        <v>253</v>
      </c>
      <c r="F148" s="18" t="s">
        <v>244</v>
      </c>
      <c r="G148" s="18" t="s">
        <v>504</v>
      </c>
    </row>
    <row r="149" customFormat="false" ht="15" hidden="false" customHeight="false" outlineLevel="0" collapsed="false">
      <c r="A149" s="18" t="s">
        <v>491</v>
      </c>
      <c r="B149" s="18" t="s">
        <v>419</v>
      </c>
      <c r="C149" s="18" t="s">
        <v>241</v>
      </c>
      <c r="D149" s="18" t="s">
        <v>248</v>
      </c>
      <c r="E149" s="18" t="s">
        <v>253</v>
      </c>
      <c r="F149" s="18" t="s">
        <v>244</v>
      </c>
      <c r="G149" s="18" t="s">
        <v>505</v>
      </c>
    </row>
    <row r="150" customFormat="false" ht="15" hidden="false" customHeight="false" outlineLevel="0" collapsed="false">
      <c r="A150" s="18" t="s">
        <v>491</v>
      </c>
      <c r="B150" s="18" t="s">
        <v>68</v>
      </c>
      <c r="C150" s="18" t="s">
        <v>285</v>
      </c>
      <c r="D150" s="18" t="s">
        <v>248</v>
      </c>
      <c r="E150" s="18" t="s">
        <v>253</v>
      </c>
      <c r="F150" s="18" t="s">
        <v>506</v>
      </c>
      <c r="G150" s="18" t="s">
        <v>507</v>
      </c>
    </row>
    <row r="151" customFormat="false" ht="15" hidden="false" customHeight="false" outlineLevel="0" collapsed="false">
      <c r="A151" s="18" t="s">
        <v>491</v>
      </c>
      <c r="B151" s="18" t="s">
        <v>508</v>
      </c>
      <c r="C151" s="18" t="s">
        <v>241</v>
      </c>
      <c r="D151" s="18" t="s">
        <v>248</v>
      </c>
      <c r="E151" s="18" t="s">
        <v>253</v>
      </c>
      <c r="F151" s="18" t="s">
        <v>244</v>
      </c>
      <c r="G151" s="18" t="s">
        <v>509</v>
      </c>
    </row>
    <row r="152" customFormat="false" ht="15" hidden="false" customHeight="false" outlineLevel="0" collapsed="false">
      <c r="A152" s="18" t="s">
        <v>491</v>
      </c>
      <c r="B152" s="18" t="s">
        <v>310</v>
      </c>
      <c r="C152" s="18" t="s">
        <v>241</v>
      </c>
      <c r="D152" s="18" t="s">
        <v>248</v>
      </c>
      <c r="E152" s="18" t="s">
        <v>249</v>
      </c>
      <c r="F152" s="18" t="s">
        <v>244</v>
      </c>
      <c r="G152" s="18" t="s">
        <v>490</v>
      </c>
    </row>
    <row r="153" customFormat="false" ht="15" hidden="false" customHeight="false" outlineLevel="0" collapsed="false">
      <c r="A153" t="inlineStr">
        <is>
          <t xml:space="preserve">F4_Bailleurs</t>
        </is>
      </c>
      <c r="B153" t="inlineStr">
        <is>
          <t xml:space="preserve">ID bailleur</t>
        </is>
      </c>
      <c r="C153" t="inlineStr">
        <is>
          <t xml:space="preserve">Texte</t>
        </is>
      </c>
      <c r="D153" t="inlineStr">
        <is>
          <t xml:space="preserve">Oui</t>
        </is>
      </c>
      <c r="E153" t="inlineStr">
        <is>
          <t xml:space="preserve">Initiative</t>
        </is>
      </c>
      <c r="F153" t="inlineStr">
        <is>
          <t xml:space="preserve">-</t>
        </is>
      </c>
      <c r="G153" t="inlineStr">
        <is>
          <t xml:space="preserve">Identifiant unique du bailleur (cle de jointure F1/F3/M1).</t>
        </is>
      </c>
    </row>
    <row r="154" customFormat="false" ht="15" hidden="false" customHeight="false" outlineLevel="0" collapsed="false">
      <c r="A154" t="inlineStr">
        <is>
          <t xml:space="preserve">F4_Bailleurs</t>
        </is>
      </c>
      <c r="B154" t="inlineStr">
        <is>
          <t xml:space="preserve">Nom / raison sociale</t>
        </is>
      </c>
      <c r="C154" t="inlineStr">
        <is>
          <t xml:space="preserve">Texte</t>
        </is>
      </c>
      <c r="D154" t="inlineStr">
        <is>
          <t xml:space="preserve">Oui</t>
        </is>
      </c>
      <c r="E154" t="inlineStr">
        <is>
          <t xml:space="preserve">Hors TDR</t>
        </is>
      </c>
      <c r="F154" t="inlineStr">
        <is>
          <t xml:space="preserve">-</t>
        </is>
      </c>
      <c r="G154" t="inlineStr">
        <is>
          <t xml:space="preserve">Denomination complete du financeur.</t>
        </is>
      </c>
    </row>
    <row r="155" customFormat="false" ht="15" hidden="false" customHeight="false" outlineLevel="0" collapsed="false">
      <c r="A155" t="inlineStr">
        <is>
          <t xml:space="preserve">F4_Bailleurs</t>
        </is>
      </c>
      <c r="B155" t="inlineStr">
        <is>
          <t xml:space="preserve">Type</t>
        </is>
      </c>
      <c r="C155" t="inlineStr">
        <is>
          <t xml:space="preserve">Liste</t>
        </is>
      </c>
      <c r="D155" t="inlineStr">
        <is>
          <t xml:space="preserve">Oui</t>
        </is>
      </c>
      <c r="E155" t="inlineStr">
        <is>
          <t xml:space="preserve">Initiative</t>
        </is>
      </c>
      <c r="F155" t="inlineStr">
        <is>
          <t xml:space="preserve">Types_bailleur</t>
        </is>
      </c>
      <c r="G155" t="inlineStr">
        <is>
          <t xml:space="preserve">Nature du bailleur (liste parametrable).</t>
        </is>
      </c>
    </row>
    <row r="156" customFormat="false" ht="15" hidden="false" customHeight="false" outlineLevel="0" collapsed="false">
      <c r="A156" t="inlineStr">
        <is>
          <t xml:space="preserve">F4_Bailleurs</t>
        </is>
      </c>
      <c r="B156" t="inlineStr">
        <is>
          <t xml:space="preserve">Reference contrat / convention</t>
        </is>
      </c>
      <c r="C156" t="inlineStr">
        <is>
          <t xml:space="preserve">Texte</t>
        </is>
      </c>
      <c r="D156" t="inlineStr">
        <is>
          <t xml:space="preserve">Non</t>
        </is>
      </c>
      <c r="E156" t="inlineStr">
        <is>
          <t xml:space="preserve">Hors TDR</t>
        </is>
      </c>
      <c r="F156" t="inlineStr">
        <is>
          <t xml:space="preserve">-</t>
        </is>
      </c>
      <c r="G156" t="inlineStr">
        <is>
          <t xml:space="preserve">Reference de l'acte de financement.</t>
        </is>
      </c>
    </row>
    <row r="157" customFormat="false" ht="15" hidden="false" customHeight="false" outlineLevel="0" collapsed="false">
      <c r="A157" t="inlineStr">
        <is>
          <t xml:space="preserve">F4_Bailleurs</t>
        </is>
      </c>
      <c r="B157" t="inlineStr">
        <is>
          <t xml:space="preserve">Date debut</t>
        </is>
      </c>
      <c r="C157" t="inlineStr">
        <is>
          <t xml:space="preserve">Date</t>
        </is>
      </c>
      <c r="D157" t="inlineStr">
        <is>
          <t xml:space="preserve">Non</t>
        </is>
      </c>
      <c r="E157" t="inlineStr">
        <is>
          <t xml:space="preserve">Hors TDR</t>
        </is>
      </c>
      <c r="F157" t="inlineStr">
        <is>
          <t xml:space="preserve">-</t>
        </is>
      </c>
      <c r="G157" t="inlineStr">
        <is>
          <t xml:space="preserve">Date de debut du financement (JJ/MM/AAAA).</t>
        </is>
      </c>
    </row>
    <row r="158" customFormat="false" ht="15" hidden="false" customHeight="false" outlineLevel="0" collapsed="false">
      <c r="A158" t="inlineStr">
        <is>
          <t xml:space="preserve">F4_Bailleurs</t>
        </is>
      </c>
      <c r="B158" t="inlineStr">
        <is>
          <t xml:space="preserve">Date fin</t>
        </is>
      </c>
      <c r="C158" t="inlineStr">
        <is>
          <t xml:space="preserve">Date</t>
        </is>
      </c>
      <c r="D158" t="inlineStr">
        <is>
          <t xml:space="preserve">Non</t>
        </is>
      </c>
      <c r="E158" t="inlineStr">
        <is>
          <t xml:space="preserve">Hors TDR</t>
        </is>
      </c>
      <c r="F158" t="inlineStr">
        <is>
          <t xml:space="preserve">-</t>
        </is>
      </c>
      <c r="G158" t="inlineStr">
        <is>
          <t xml:space="preserve">Date de fin du financement (JJ/MM/AAAA).</t>
        </is>
      </c>
    </row>
    <row r="159" customFormat="false" ht="15" hidden="false" customHeight="false" outlineLevel="0" collapsed="false">
      <c r="A159" t="inlineStr">
        <is>
          <t xml:space="preserve">F4_Bailleurs</t>
        </is>
      </c>
      <c r="B159" t="inlineStr">
        <is>
          <t xml:space="preserve">Budget alloue (KMF)</t>
        </is>
      </c>
      <c r="C159" t="inlineStr">
        <is>
          <t xml:space="preserve">KMF</t>
        </is>
      </c>
      <c r="D159" t="inlineStr">
        <is>
          <t xml:space="preserve">Non</t>
        </is>
      </c>
      <c r="E159" t="inlineStr">
        <is>
          <t xml:space="preserve">Hors TDR</t>
        </is>
      </c>
      <c r="F159" t="inlineStr">
        <is>
          <t xml:space="preserve">-</t>
        </is>
      </c>
      <c r="G159" t="inlineStr">
        <is>
          <t xml:space="preserve">Montant alloue, en KMF.</t>
        </is>
      </c>
    </row>
    <row r="160" customFormat="false" ht="15" hidden="false" customHeight="false" outlineLevel="0" collapsed="false">
      <c r="A160" t="inlineStr">
        <is>
          <t xml:space="preserve">F4_Bailleurs</t>
        </is>
      </c>
      <c r="B160" t="inlineStr">
        <is>
          <t xml:space="preserve">Perimetre du financement</t>
        </is>
      </c>
      <c r="C160" t="inlineStr">
        <is>
          <t xml:space="preserve">Texte</t>
        </is>
      </c>
      <c r="D160" t="inlineStr">
        <is>
          <t xml:space="preserve">Non</t>
        </is>
      </c>
      <c r="E160" t="inlineStr">
        <is>
          <t xml:space="preserve">Hors TDR</t>
        </is>
      </c>
      <c r="F160" t="inlineStr">
        <is>
          <t xml:space="preserve">-</t>
        </is>
      </c>
      <c r="G160" t="inlineStr">
        <is>
          <t xml:space="preserve">Objet / perimetre couvert par le financement.</t>
        </is>
      </c>
    </row>
    <row r="161" customFormat="false" ht="15" hidden="false" customHeight="false" outlineLevel="0" collapsed="false">
      <c r="A161" t="inlineStr">
        <is>
          <t xml:space="preserve">F4_Bailleurs</t>
        </is>
      </c>
      <c r="B161" t="inlineStr">
        <is>
          <t xml:space="preserve">Documents lies</t>
        </is>
      </c>
      <c r="C161" t="inlineStr">
        <is>
          <t xml:space="preserve">Nombre</t>
        </is>
      </c>
      <c r="D161" t="inlineStr">
        <is>
          <t xml:space="preserve">Non</t>
        </is>
      </c>
      <c r="E161" t="inlineStr">
        <is>
          <t xml:space="preserve">Initiative</t>
        </is>
      </c>
      <c r="F161" t="inlineStr">
        <is>
          <t xml:space="preserve">-</t>
        </is>
      </c>
      <c r="G161" t="inlineStr">
        <is>
          <t xml:space="preserve">Compteur automatique : nombre de documents lies (lecture seule).</t>
        </is>
      </c>
    </row>
    <row r="162" customFormat="false" ht="15" hidden="false" customHeight="false" outlineLevel="0" collapsed="false">
      <c r="A162" t="inlineStr">
        <is>
          <t xml:space="preserve">F4_Bailleurs</t>
        </is>
      </c>
      <c r="B162" t="inlineStr">
        <is>
          <t xml:space="preserve">Statut</t>
        </is>
      </c>
      <c r="C162" t="inlineStr">
        <is>
          <t xml:space="preserve">Liste</t>
        </is>
      </c>
      <c r="D162" t="inlineStr">
        <is>
          <t xml:space="preserve">Oui</t>
        </is>
      </c>
      <c r="E162" t="inlineStr">
        <is>
          <t xml:space="preserve">Initiative</t>
        </is>
      </c>
      <c r="F162" t="inlineStr">
        <is>
          <t xml:space="preserve">Statuts_bailleur</t>
        </is>
      </c>
      <c r="G162" t="inlineStr">
        <is>
          <t xml:space="preserve">Statut du financement (liste parametrable).</t>
        </is>
      </c>
    </row>
    <row r="163" customFormat="false" ht="15" hidden="false" customHeight="false" outlineLevel="0" collapsed="false">
      <c r="A163" t="inlineStr">
        <is>
          <t xml:space="preserve">F4_Bailleurs</t>
        </is>
      </c>
      <c r="B163" t="inlineStr">
        <is>
          <t xml:space="preserve">Observations</t>
        </is>
      </c>
      <c r="C163" t="inlineStr">
        <is>
          <t xml:space="preserve">Texte</t>
        </is>
      </c>
      <c r="D163" t="inlineStr">
        <is>
          <t xml:space="preserve">Non</t>
        </is>
      </c>
      <c r="E163" t="inlineStr">
        <is>
          <t xml:space="preserve">Hors TDR</t>
        </is>
      </c>
      <c r="F163" t="inlineStr">
        <is>
          <t xml:space="preserve">-</t>
        </is>
      </c>
      <c r="G163" t="inlineStr">
        <is>
          <t xml:space="preserve">Notes libres.</t>
        </is>
      </c>
    </row>
    <row r="164" customFormat="false" ht="15" hidden="false" customHeight="false" outlineLevel="0" collapsed="false">
      <c r="A164" t="inlineStr">
        <is>
          <t xml:space="preserve">F4_Bailleurs</t>
        </is>
      </c>
      <c r="B164" t="inlineStr">
        <is>
          <t xml:space="preserve">Saisi par</t>
        </is>
      </c>
      <c r="C164" t="inlineStr">
        <is>
          <t xml:space="preserve">Texte</t>
        </is>
      </c>
      <c r="D164" t="inlineStr">
        <is>
          <t xml:space="preserve">Non</t>
        </is>
      </c>
      <c r="E164" t="inlineStr">
        <is>
          <t xml:space="preserve">Initiative</t>
        </is>
      </c>
      <c r="F164" t="inlineStr">
        <is>
          <t xml:space="preserve">-</t>
        </is>
      </c>
      <c r="G164" t="inlineStr">
        <is>
          <t xml:space="preserve">Renseigne automatiquement (login).</t>
        </is>
      </c>
    </row>
  </sheetData>
  <autoFilter ref="A2:G134"/>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1" width="28"/>
    <col collapsed="false" customWidth="true" hidden="false" outlineLevel="0" max="2" min="2" style="1" width="95"/>
  </cols>
  <sheetData>
    <row r="1" customFormat="false" ht="30" hidden="false" customHeight="true" outlineLevel="0" collapsed="false">
      <c r="A1" s="2" t="s">
        <v>510</v>
      </c>
      <c r="B1" s="2"/>
    </row>
    <row r="3" customFormat="false" ht="15.75" hidden="false" customHeight="true" outlineLevel="0" collapsed="false">
      <c r="A3" s="19" t="s">
        <v>511</v>
      </c>
      <c r="B3" s="19"/>
    </row>
    <row r="4" customFormat="false" ht="45" hidden="false" customHeight="true" outlineLevel="0" collapsed="false">
      <c r="A4" s="20" t="s">
        <v>512</v>
      </c>
      <c r="B4" s="4" t="s">
        <v>513</v>
      </c>
    </row>
    <row r="5" customFormat="false" ht="30" hidden="false" customHeight="true" outlineLevel="0" collapsed="false">
      <c r="A5" s="20" t="s">
        <v>514</v>
      </c>
      <c r="B5" s="4" t="s">
        <v>515</v>
      </c>
    </row>
    <row r="6" customFormat="false" ht="15" hidden="false" customHeight="true" outlineLevel="0" collapsed="false">
      <c r="A6" s="20" t="s">
        <v>25</v>
      </c>
      <c r="B6" s="4" t="s">
        <v>516</v>
      </c>
    </row>
    <row r="7" customFormat="false" ht="15" hidden="false" customHeight="true" outlineLevel="0" collapsed="false">
      <c r="A7" s="20" t="s">
        <v>517</v>
      </c>
      <c r="B7" s="4" t="s">
        <v>518</v>
      </c>
    </row>
    <row r="8" customFormat="false" ht="15.75" hidden="false" customHeight="true" outlineLevel="0" collapsed="false">
      <c r="A8" s="19" t="s">
        <v>519</v>
      </c>
      <c r="B8" s="19"/>
    </row>
    <row r="9" customFormat="false" ht="45" hidden="false" customHeight="true" outlineLevel="0" collapsed="false">
      <c r="A9" s="20" t="s">
        <v>520</v>
      </c>
      <c r="B9" s="4" t="s">
        <v>521</v>
      </c>
    </row>
    <row r="10" customFormat="false" ht="15" hidden="false" customHeight="true" outlineLevel="0" collapsed="false">
      <c r="A10" s="20" t="s">
        <v>522</v>
      </c>
      <c r="B10" s="4" t="s">
        <v>523</v>
      </c>
    </row>
    <row r="11" customFormat="false" ht="30" hidden="false" customHeight="true" outlineLevel="0" collapsed="false">
      <c r="A11" s="20" t="s">
        <v>112</v>
      </c>
      <c r="B11" s="4" t="s">
        <v>524</v>
      </c>
    </row>
    <row r="12" customFormat="false" ht="30" hidden="false" customHeight="true" outlineLevel="0" collapsed="false">
      <c r="A12" s="20" t="s">
        <v>525</v>
      </c>
      <c r="B12" s="4" t="s">
        <v>526</v>
      </c>
    </row>
    <row r="13" customFormat="false" ht="15.75" hidden="false" customHeight="true" outlineLevel="0" collapsed="false">
      <c r="A13" s="19" t="s">
        <v>527</v>
      </c>
      <c r="B13" s="19"/>
    </row>
    <row r="14" customFormat="false" ht="15" hidden="false" customHeight="true" outlineLevel="0" collapsed="false">
      <c r="A14" s="20" t="s">
        <v>528</v>
      </c>
      <c r="B14" s="4" t="s">
        <v>529</v>
      </c>
    </row>
    <row r="15" customFormat="false" ht="15" hidden="false" customHeight="true" outlineLevel="0" collapsed="false">
      <c r="A15" s="20" t="s">
        <v>530</v>
      </c>
      <c r="B15" s="4" t="s">
        <v>531</v>
      </c>
    </row>
    <row r="16" customFormat="false" ht="30" hidden="false" customHeight="true" outlineLevel="0" collapsed="false">
      <c r="A16" s="20" t="s">
        <v>532</v>
      </c>
      <c r="B16" s="4" t="s">
        <v>533</v>
      </c>
    </row>
    <row r="17" customFormat="false" ht="15.75" hidden="false" customHeight="true" outlineLevel="0" collapsed="false">
      <c r="A17" s="19" t="s">
        <v>534</v>
      </c>
      <c r="B17" s="19"/>
    </row>
    <row r="18" customFormat="false" ht="30" hidden="false" customHeight="true" outlineLevel="0" collapsed="false">
      <c r="A18" s="20" t="s">
        <v>535</v>
      </c>
      <c r="B18" s="4" t="s">
        <v>536</v>
      </c>
    </row>
    <row r="19" customFormat="false" ht="15.75" hidden="false" customHeight="true" outlineLevel="0" collapsed="false">
      <c r="A19" s="19" t="s">
        <v>537</v>
      </c>
      <c r="B19" s="19"/>
    </row>
    <row r="20" customFormat="false" ht="60" hidden="false" customHeight="true" outlineLevel="0" collapsed="false">
      <c r="A20" s="20" t="s">
        <v>538</v>
      </c>
      <c r="B20" s="4" t="s">
        <v>539</v>
      </c>
    </row>
    <row r="21" customFormat="false" ht="15" hidden="false" customHeight="true" outlineLevel="0" collapsed="false">
      <c r="A21" s="20" t="s">
        <v>540</v>
      </c>
      <c r="B21" s="4" t="s">
        <v>541</v>
      </c>
    </row>
    <row r="22" customFormat="false" ht="30" hidden="false" customHeight="true" outlineLevel="0" collapsed="false">
      <c r="A22" s="20"/>
      <c r="B22" s="4"/>
    </row>
    <row r="23" customFormat="false" ht="15.75" hidden="false" customHeight="true" outlineLevel="0" collapsed="false">
      <c r="A23" s="19" t="s">
        <v>542</v>
      </c>
      <c r="B23" s="19"/>
    </row>
    <row r="24" customFormat="false" ht="15" hidden="false" customHeight="true" outlineLevel="0" collapsed="false">
      <c r="A24" s="20" t="s">
        <v>543</v>
      </c>
      <c r="B24" s="4" t="s">
        <v>544</v>
      </c>
    </row>
    <row r="25" customFormat="false" ht="15" hidden="false" customHeight="true" outlineLevel="0" collapsed="false">
      <c r="A25" s="20" t="s">
        <v>545</v>
      </c>
      <c r="B25" s="4" t="s">
        <v>546</v>
      </c>
    </row>
    <row r="26" customFormat="false" ht="15" hidden="false" customHeight="true" outlineLevel="0" collapsed="false">
      <c r="A26" s="20" t="s">
        <v>547</v>
      </c>
      <c r="B26" s="4" t="s">
        <v>548</v>
      </c>
    </row>
    <row r="27" customFormat="false" ht="15.75" hidden="false" customHeight="true" outlineLevel="0" collapsed="false">
      <c r="A27" s="19" t="s">
        <v>549</v>
      </c>
      <c r="B27" s="19"/>
    </row>
    <row r="28" customFormat="false" ht="15" hidden="false" customHeight="true" outlineLevel="0" collapsed="false">
      <c r="A28" s="20" t="s">
        <v>550</v>
      </c>
      <c r="B28" s="4" t="s">
        <v>551</v>
      </c>
    </row>
    <row r="29" customFormat="false" ht="15" hidden="false" customHeight="true" outlineLevel="0" collapsed="false">
      <c r="A29" s="20" t="s">
        <v>552</v>
      </c>
      <c r="B29" s="4" t="s">
        <v>553</v>
      </c>
    </row>
    <row r="30" customFormat="false" ht="15" hidden="false" customHeight="true" outlineLevel="0" collapsed="false">
      <c r="A30" s="20" t="s">
        <v>554</v>
      </c>
      <c r="B30" s="4" t="s">
        <v>555</v>
      </c>
    </row>
  </sheetData>
  <mergeCells count="8">
    <mergeCell ref="A1:B1"/>
    <mergeCell ref="A3:B3"/>
    <mergeCell ref="A8:B8"/>
    <mergeCell ref="A13:B13"/>
    <mergeCell ref="A17:B17"/>
    <mergeCell ref="A19:B19"/>
    <mergeCell ref="A23:B23"/>
    <mergeCell ref="A27:B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1" width="17"/>
    <col collapsed="false" customWidth="true" hidden="false" outlineLevel="0" max="4" min="2" style="1" width="14"/>
    <col collapsed="false" customWidth="true" hidden="false" outlineLevel="0" max="8" min="5" style="1" width="22"/>
  </cols>
  <sheetData>
    <row r="1" customFormat="false" ht="30" hidden="false" customHeight="true" outlineLevel="0" collapsed="false">
      <c r="A1" s="2" t="s">
        <v>556</v>
      </c>
      <c r="B1" s="2"/>
      <c r="C1" s="2"/>
      <c r="D1" s="2"/>
      <c r="E1" s="2"/>
      <c r="F1" s="2"/>
      <c r="G1" s="2"/>
      <c r="H1" s="2"/>
    </row>
    <row r="2" customFormat="false" ht="31.5" hidden="false" customHeight="true" outlineLevel="0" collapsed="false">
      <c r="A2" s="7" t="s">
        <v>156</v>
      </c>
      <c r="B2" s="7" t="s">
        <v>118</v>
      </c>
      <c r="C2" s="7" t="s">
        <v>557</v>
      </c>
      <c r="D2" s="7" t="s">
        <v>558</v>
      </c>
      <c r="E2" s="7" t="s">
        <v>559</v>
      </c>
      <c r="F2" s="7" t="s">
        <v>560</v>
      </c>
      <c r="G2" s="7" t="s">
        <v>561</v>
      </c>
      <c r="H2" s="7" t="s">
        <v>562</v>
      </c>
    </row>
    <row r="3" customFormat="false" ht="15" hidden="false" customHeight="true" outlineLevel="0" collapsed="false">
      <c r="A3" s="8"/>
      <c r="B3" s="8"/>
      <c r="C3" s="8"/>
      <c r="D3" s="8"/>
      <c r="E3" s="8"/>
      <c r="F3" s="8"/>
      <c r="G3" s="8"/>
      <c r="H3" s="8" t="str">
        <f aca="false">IF(A3="","",IF(COUNTIF(A1_Etudiants!$B$3:$B$50000,A3)=0,"NOUVEAU","EXISTANT"))</f>
        <v/>
      </c>
    </row>
    <row r="4" customFormat="false" ht="15" hidden="false" customHeight="true" outlineLevel="0" collapsed="false">
      <c r="A4" s="8"/>
      <c r="B4" s="8"/>
      <c r="C4" s="8"/>
      <c r="D4" s="8"/>
      <c r="E4" s="8"/>
      <c r="F4" s="8"/>
      <c r="G4" s="8"/>
      <c r="H4" s="8" t="str">
        <f aca="false">IF(A4="","",IF(COUNTIF(A1_Etudiants!$B$3:$B$50000,A4)=0,"NOUVEAU","EXISTANT"))</f>
        <v/>
      </c>
    </row>
    <row r="5" customFormat="false" ht="15" hidden="false" customHeight="true" outlineLevel="0" collapsed="false">
      <c r="A5" s="8"/>
      <c r="B5" s="8"/>
      <c r="C5" s="8"/>
      <c r="D5" s="8"/>
      <c r="E5" s="8"/>
      <c r="F5" s="8"/>
      <c r="G5" s="8"/>
      <c r="H5" s="8" t="str">
        <f aca="false">IF(A5="","",IF(COUNTIF(A1_Etudiants!$B$3:$B$50000,A5)=0,"NOUVEAU","EXISTANT"))</f>
        <v/>
      </c>
    </row>
    <row r="6" customFormat="false" ht="15" hidden="false" customHeight="true" outlineLevel="0" collapsed="false">
      <c r="A6" s="8"/>
      <c r="B6" s="8"/>
      <c r="C6" s="8"/>
      <c r="D6" s="8"/>
      <c r="E6" s="8"/>
      <c r="F6" s="8"/>
      <c r="G6" s="8"/>
      <c r="H6" s="8" t="str">
        <f aca="false">IF(A6="","",IF(COUNTIF(A1_Etudiants!$B$3:$B$50000,A6)=0,"NOUVEAU","EXISTANT"))</f>
        <v/>
      </c>
    </row>
    <row r="7" customFormat="false" ht="15" hidden="false" customHeight="true" outlineLevel="0" collapsed="false">
      <c r="A7" s="8"/>
      <c r="B7" s="8"/>
      <c r="C7" s="8"/>
      <c r="D7" s="8"/>
      <c r="E7" s="8"/>
      <c r="F7" s="8"/>
      <c r="G7" s="8"/>
      <c r="H7" s="8" t="str">
        <f aca="false">IF(A7="","",IF(COUNTIF(A1_Etudiants!$B$3:$B$50000,A7)=0,"NOUVEAU","EXISTANT"))</f>
        <v/>
      </c>
    </row>
    <row r="8" customFormat="false" ht="15" hidden="false" customHeight="true" outlineLevel="0" collapsed="false">
      <c r="A8" s="8"/>
      <c r="B8" s="8"/>
      <c r="C8" s="8"/>
      <c r="D8" s="8"/>
      <c r="E8" s="8"/>
      <c r="F8" s="8"/>
      <c r="G8" s="8"/>
      <c r="H8" s="8" t="str">
        <f aca="false">IF(A8="","",IF(COUNTIF(A1_Etudiants!$B$3:$B$50000,A8)=0,"NOUVEAU","EXISTANT"))</f>
        <v/>
      </c>
    </row>
    <row r="9" customFormat="false" ht="15" hidden="false" customHeight="true" outlineLevel="0" collapsed="false">
      <c r="A9" s="8"/>
      <c r="B9" s="8"/>
      <c r="C9" s="8"/>
      <c r="D9" s="8"/>
      <c r="E9" s="8"/>
      <c r="F9" s="8"/>
      <c r="G9" s="8"/>
      <c r="H9" s="8" t="str">
        <f aca="false">IF(A9="","",IF(COUNTIF(A1_Etudiants!$B$3:$B$50000,A9)=0,"NOUVEAU","EXISTANT"))</f>
        <v/>
      </c>
    </row>
    <row r="10" customFormat="false" ht="15" hidden="false" customHeight="true" outlineLevel="0" collapsed="false">
      <c r="A10" s="8"/>
      <c r="B10" s="8"/>
      <c r="C10" s="8"/>
      <c r="D10" s="8"/>
      <c r="E10" s="8"/>
      <c r="F10" s="8"/>
      <c r="G10" s="8"/>
      <c r="H10" s="8" t="str">
        <f aca="false">IF(A10="","",IF(COUNTIF(A1_Etudiants!$B$3:$B$50000,A10)=0,"NOUVEAU","EXISTANT"))</f>
        <v/>
      </c>
    </row>
    <row r="11" customFormat="false" ht="15" hidden="false" customHeight="true" outlineLevel="0" collapsed="false">
      <c r="A11" s="8"/>
      <c r="B11" s="8"/>
      <c r="C11" s="8"/>
      <c r="D11" s="8"/>
      <c r="E11" s="8"/>
      <c r="F11" s="8"/>
      <c r="G11" s="8"/>
      <c r="H11" s="8" t="str">
        <f aca="false">IF(A11="","",IF(COUNTIF(A1_Etudiants!$B$3:$B$50000,A11)=0,"NOUVEAU","EXISTANT"))</f>
        <v/>
      </c>
    </row>
    <row r="12" customFormat="false" ht="15" hidden="false" customHeight="true" outlineLevel="0" collapsed="false">
      <c r="A12" s="8"/>
      <c r="B12" s="8"/>
      <c r="C12" s="8"/>
      <c r="D12" s="8"/>
      <c r="E12" s="8"/>
      <c r="F12" s="8"/>
      <c r="G12" s="8"/>
      <c r="H12" s="8" t="str">
        <f aca="false">IF(A12="","",IF(COUNTIF(A1_Etudiants!$B$3:$B$50000,A12)=0,"NOUVEAU","EXISTANT"))</f>
        <v/>
      </c>
    </row>
    <row r="13" customFormat="false" ht="15" hidden="false" customHeight="true" outlineLevel="0" collapsed="false">
      <c r="A13" s="8"/>
      <c r="B13" s="8"/>
      <c r="C13" s="8"/>
      <c r="D13" s="8"/>
      <c r="E13" s="8"/>
      <c r="F13" s="8"/>
      <c r="G13" s="8"/>
      <c r="H13" s="8" t="str">
        <f aca="false">IF(A13="","",IF(COUNTIF(A1_Etudiants!$B$3:$B$50000,A13)=0,"NOUVEAU","EXISTANT"))</f>
        <v/>
      </c>
    </row>
    <row r="14" customFormat="false" ht="15" hidden="false" customHeight="true" outlineLevel="0" collapsed="false">
      <c r="A14" s="8"/>
      <c r="B14" s="8"/>
      <c r="C14" s="8"/>
      <c r="D14" s="8"/>
      <c r="E14" s="8"/>
      <c r="F14" s="8"/>
      <c r="G14" s="8"/>
      <c r="H14" s="8" t="str">
        <f aca="false">IF(A14="","",IF(COUNTIF(A1_Etudiants!$B$3:$B$50000,A14)=0,"NOUVEAU","EXISTANT"))</f>
        <v/>
      </c>
    </row>
    <row r="15" customFormat="false" ht="15" hidden="false" customHeight="true" outlineLevel="0" collapsed="false">
      <c r="A15" s="8"/>
      <c r="B15" s="8"/>
      <c r="C15" s="8"/>
      <c r="D15" s="8"/>
      <c r="E15" s="8"/>
      <c r="F15" s="8"/>
      <c r="G15" s="8"/>
      <c r="H15" s="8" t="str">
        <f aca="false">IF(A15="","",IF(COUNTIF(A1_Etudiants!$B$3:$B$50000,A15)=0,"NOUVEAU","EXISTANT"))</f>
        <v/>
      </c>
    </row>
    <row r="16" customFormat="false" ht="15" hidden="false" customHeight="true" outlineLevel="0" collapsed="false">
      <c r="A16" s="8"/>
      <c r="B16" s="8"/>
      <c r="C16" s="8"/>
      <c r="D16" s="8"/>
      <c r="E16" s="8"/>
      <c r="F16" s="8"/>
      <c r="G16" s="8"/>
      <c r="H16" s="8" t="str">
        <f aca="false">IF(A16="","",IF(COUNTIF(A1_Etudiants!$B$3:$B$50000,A16)=0,"NOUVEAU","EXISTANT"))</f>
        <v/>
      </c>
    </row>
    <row r="17" customFormat="false" ht="15" hidden="false" customHeight="true" outlineLevel="0" collapsed="false">
      <c r="A17" s="8"/>
      <c r="B17" s="8"/>
      <c r="C17" s="8"/>
      <c r="D17" s="8"/>
      <c r="E17" s="8"/>
      <c r="F17" s="8"/>
      <c r="G17" s="8"/>
      <c r="H17" s="8" t="str">
        <f aca="false">IF(A17="","",IF(COUNTIF(A1_Etudiants!$B$3:$B$50000,A17)=0,"NOUVEAU","EXISTANT"))</f>
        <v/>
      </c>
    </row>
    <row r="18" customFormat="false" ht="15" hidden="false" customHeight="true" outlineLevel="0" collapsed="false">
      <c r="A18" s="8"/>
      <c r="B18" s="8"/>
      <c r="C18" s="8"/>
      <c r="D18" s="8"/>
      <c r="E18" s="8"/>
      <c r="F18" s="8"/>
      <c r="G18" s="8"/>
      <c r="H18" s="8" t="str">
        <f aca="false">IF(A18="","",IF(COUNTIF(A1_Etudiants!$B$3:$B$50000,A18)=0,"NOUVEAU","EXISTANT"))</f>
        <v/>
      </c>
    </row>
    <row r="19" customFormat="false" ht="15" hidden="false" customHeight="true" outlineLevel="0" collapsed="false">
      <c r="A19" s="8"/>
      <c r="B19" s="8"/>
      <c r="C19" s="8"/>
      <c r="D19" s="8"/>
      <c r="E19" s="8"/>
      <c r="F19" s="8"/>
      <c r="G19" s="8"/>
      <c r="H19" s="8" t="str">
        <f aca="false">IF(A19="","",IF(COUNTIF(A1_Etudiants!$B$3:$B$50000,A19)=0,"NOUVEAU","EXISTANT"))</f>
        <v/>
      </c>
    </row>
    <row r="20" customFormat="false" ht="15" hidden="false" customHeight="true" outlineLevel="0" collapsed="false">
      <c r="A20" s="8"/>
      <c r="B20" s="8"/>
      <c r="C20" s="8"/>
      <c r="D20" s="8"/>
      <c r="E20" s="8"/>
      <c r="F20" s="8"/>
      <c r="G20" s="8"/>
      <c r="H20" s="8" t="str">
        <f aca="false">IF(A20="","",IF(COUNTIF(A1_Etudiants!$B$3:$B$50000,A20)=0,"NOUVEAU","EXISTANT"))</f>
        <v/>
      </c>
    </row>
    <row r="21" customFormat="false" ht="15" hidden="false" customHeight="true" outlineLevel="0" collapsed="false">
      <c r="A21" s="8"/>
      <c r="B21" s="8"/>
      <c r="C21" s="8"/>
      <c r="D21" s="8"/>
      <c r="E21" s="8"/>
      <c r="F21" s="8"/>
      <c r="G21" s="8"/>
      <c r="H21" s="8" t="str">
        <f aca="false">IF(A21="","",IF(COUNTIF(A1_Etudiants!$B$3:$B$50000,A21)=0,"NOUVEAU","EXISTANT"))</f>
        <v/>
      </c>
    </row>
    <row r="22" customFormat="false" ht="15" hidden="false" customHeight="true" outlineLevel="0" collapsed="false">
      <c r="A22" s="8"/>
      <c r="B22" s="8"/>
      <c r="C22" s="8"/>
      <c r="D22" s="8"/>
      <c r="E22" s="8"/>
      <c r="F22" s="8"/>
      <c r="G22" s="8"/>
      <c r="H22" s="8" t="str">
        <f aca="false">IF(A22="","",IF(COUNTIF(A1_Etudiants!$B$3:$B$50000,A22)=0,"NOUVEAU","EXISTANT"))</f>
        <v/>
      </c>
    </row>
    <row r="23" customFormat="false" ht="15" hidden="false" customHeight="true" outlineLevel="0" collapsed="false">
      <c r="A23" s="8"/>
      <c r="B23" s="8"/>
      <c r="C23" s="8"/>
      <c r="D23" s="8"/>
      <c r="E23" s="8"/>
      <c r="F23" s="8"/>
      <c r="G23" s="8"/>
      <c r="H23" s="8" t="str">
        <f aca="false">IF(A23="","",IF(COUNTIF(A1_Etudiants!$B$3:$B$50000,A23)=0,"NOUVEAU","EXISTANT"))</f>
        <v/>
      </c>
    </row>
    <row r="24" customFormat="false" ht="15" hidden="false" customHeight="true" outlineLevel="0" collapsed="false">
      <c r="A24" s="8"/>
      <c r="B24" s="8"/>
      <c r="C24" s="8"/>
      <c r="D24" s="8"/>
      <c r="E24" s="8"/>
      <c r="F24" s="8"/>
      <c r="G24" s="8"/>
      <c r="H24" s="8" t="str">
        <f aca="false">IF(A24="","",IF(COUNTIF(A1_Etudiants!$B$3:$B$50000,A24)=0,"NOUVEAU","EXISTANT"))</f>
        <v/>
      </c>
    </row>
    <row r="25" customFormat="false" ht="15" hidden="false" customHeight="true" outlineLevel="0" collapsed="false">
      <c r="A25" s="8"/>
      <c r="B25" s="8"/>
      <c r="C25" s="8"/>
      <c r="D25" s="8"/>
      <c r="E25" s="8"/>
      <c r="F25" s="8"/>
      <c r="G25" s="8"/>
      <c r="H25" s="8" t="str">
        <f aca="false">IF(A25="","",IF(COUNTIF(A1_Etudiants!$B$3:$B$50000,A25)=0,"NOUVEAU","EXISTANT"))</f>
        <v/>
      </c>
    </row>
    <row r="26" customFormat="false" ht="15" hidden="false" customHeight="true" outlineLevel="0" collapsed="false">
      <c r="A26" s="8"/>
      <c r="B26" s="8"/>
      <c r="C26" s="8"/>
      <c r="D26" s="8"/>
      <c r="E26" s="8"/>
      <c r="F26" s="8"/>
      <c r="G26" s="8"/>
      <c r="H26" s="8" t="str">
        <f aca="false">IF(A26="","",IF(COUNTIF(A1_Etudiants!$B$3:$B$50000,A26)=0,"NOUVEAU","EXISTANT"))</f>
        <v/>
      </c>
    </row>
    <row r="27" customFormat="false" ht="15" hidden="false" customHeight="true" outlineLevel="0" collapsed="false">
      <c r="A27" s="8"/>
      <c r="B27" s="8"/>
      <c r="C27" s="8"/>
      <c r="D27" s="8"/>
      <c r="E27" s="8"/>
      <c r="F27" s="8"/>
      <c r="G27" s="8"/>
      <c r="H27" s="8" t="str">
        <f aca="false">IF(A27="","",IF(COUNTIF(A1_Etudiants!$B$3:$B$50000,A27)=0,"NOUVEAU","EXISTANT"))</f>
        <v/>
      </c>
    </row>
    <row r="28" customFormat="false" ht="15" hidden="false" customHeight="true" outlineLevel="0" collapsed="false">
      <c r="A28" s="8"/>
      <c r="B28" s="8"/>
      <c r="C28" s="8"/>
      <c r="D28" s="8"/>
      <c r="E28" s="8"/>
      <c r="F28" s="8"/>
      <c r="G28" s="8"/>
      <c r="H28" s="8" t="str">
        <f aca="false">IF(A28="","",IF(COUNTIF(A1_Etudiants!$B$3:$B$50000,A28)=0,"NOUVEAU","EXISTANT"))</f>
        <v/>
      </c>
    </row>
    <row r="29" customFormat="false" ht="15" hidden="false" customHeight="true" outlineLevel="0" collapsed="false">
      <c r="A29" s="8"/>
      <c r="B29" s="8"/>
      <c r="C29" s="8"/>
      <c r="D29" s="8"/>
      <c r="E29" s="8"/>
      <c r="F29" s="8"/>
      <c r="G29" s="8"/>
      <c r="H29" s="8" t="str">
        <f aca="false">IF(A29="","",IF(COUNTIF(A1_Etudiants!$B$3:$B$50000,A29)=0,"NOUVEAU","EXISTANT"))</f>
        <v/>
      </c>
    </row>
    <row r="30" customFormat="false" ht="15" hidden="false" customHeight="true" outlineLevel="0" collapsed="false">
      <c r="A30" s="8"/>
      <c r="B30" s="8"/>
      <c r="C30" s="8"/>
      <c r="D30" s="8"/>
      <c r="E30" s="8"/>
      <c r="F30" s="8"/>
      <c r="G30" s="8"/>
      <c r="H30" s="8" t="str">
        <f aca="false">IF(A30="","",IF(COUNTIF(A1_Etudiants!$B$3:$B$50000,A30)=0,"NOUVEAU","EXISTANT"))</f>
        <v/>
      </c>
    </row>
    <row r="31" customFormat="false" ht="15" hidden="false" customHeight="true" outlineLevel="0" collapsed="false">
      <c r="A31" s="8"/>
      <c r="B31" s="8"/>
      <c r="C31" s="8"/>
      <c r="D31" s="8"/>
      <c r="E31" s="8"/>
      <c r="F31" s="8"/>
      <c r="G31" s="8"/>
      <c r="H31" s="8" t="str">
        <f aca="false">IF(A31="","",IF(COUNTIF(A1_Etudiants!$B$3:$B$50000,A31)=0,"NOUVEAU","EXISTANT"))</f>
        <v/>
      </c>
    </row>
    <row r="32" customFormat="false" ht="15" hidden="false" customHeight="true" outlineLevel="0" collapsed="false">
      <c r="A32" s="8"/>
      <c r="B32" s="8"/>
      <c r="C32" s="8"/>
      <c r="D32" s="8"/>
      <c r="E32" s="8"/>
      <c r="F32" s="8"/>
      <c r="G32" s="8"/>
      <c r="H32" s="8" t="str">
        <f aca="false">IF(A32="","",IF(COUNTIF(A1_Etudiants!$B$3:$B$50000,A32)=0,"NOUVEAU","EXISTANT"))</f>
        <v/>
      </c>
    </row>
    <row r="33" customFormat="false" ht="15" hidden="false" customHeight="true" outlineLevel="0" collapsed="false">
      <c r="A33" s="8"/>
      <c r="B33" s="8"/>
      <c r="C33" s="8"/>
      <c r="D33" s="8"/>
      <c r="E33" s="8"/>
      <c r="F33" s="8"/>
      <c r="G33" s="8"/>
      <c r="H33" s="8" t="str">
        <f aca="false">IF(A33="","",IF(COUNTIF(A1_Etudiants!$B$3:$B$50000,A33)=0,"NOUVEAU","EXISTANT"))</f>
        <v/>
      </c>
    </row>
    <row r="34" customFormat="false" ht="15" hidden="false" customHeight="true" outlineLevel="0" collapsed="false">
      <c r="A34" s="8"/>
      <c r="B34" s="8"/>
      <c r="C34" s="8"/>
      <c r="D34" s="8"/>
      <c r="E34" s="8"/>
      <c r="F34" s="8"/>
      <c r="G34" s="8"/>
      <c r="H34" s="8" t="str">
        <f aca="false">IF(A34="","",IF(COUNTIF(A1_Etudiants!$B$3:$B$50000,A34)=0,"NOUVEAU","EXISTANT"))</f>
        <v/>
      </c>
    </row>
    <row r="35" customFormat="false" ht="15" hidden="false" customHeight="true" outlineLevel="0" collapsed="false">
      <c r="A35" s="8"/>
      <c r="B35" s="8"/>
      <c r="C35" s="8"/>
      <c r="D35" s="8"/>
      <c r="E35" s="8"/>
      <c r="F35" s="8"/>
      <c r="G35" s="8"/>
      <c r="H35" s="8" t="str">
        <f aca="false">IF(A35="","",IF(COUNTIF(A1_Etudiants!$B$3:$B$50000,A35)=0,"NOUVEAU","EXISTANT"))</f>
        <v/>
      </c>
    </row>
    <row r="36" customFormat="false" ht="15" hidden="false" customHeight="true" outlineLevel="0" collapsed="false">
      <c r="A36" s="8"/>
      <c r="B36" s="8"/>
      <c r="C36" s="8"/>
      <c r="D36" s="8"/>
      <c r="E36" s="8"/>
      <c r="F36" s="8"/>
      <c r="G36" s="8"/>
      <c r="H36" s="8" t="str">
        <f aca="false">IF(A36="","",IF(COUNTIF(A1_Etudiants!$B$3:$B$50000,A36)=0,"NOUVEAU","EXISTANT"))</f>
        <v/>
      </c>
    </row>
    <row r="37" customFormat="false" ht="15" hidden="false" customHeight="true" outlineLevel="0" collapsed="false">
      <c r="A37" s="8"/>
      <c r="B37" s="8"/>
      <c r="C37" s="8"/>
      <c r="D37" s="8"/>
      <c r="E37" s="8"/>
      <c r="F37" s="8"/>
      <c r="G37" s="8"/>
      <c r="H37" s="8" t="str">
        <f aca="false">IF(A37="","",IF(COUNTIF(A1_Etudiants!$B$3:$B$50000,A37)=0,"NOUVEAU","EXISTANT"))</f>
        <v/>
      </c>
    </row>
    <row r="38" customFormat="false" ht="15" hidden="false" customHeight="true" outlineLevel="0" collapsed="false">
      <c r="A38" s="8"/>
      <c r="B38" s="8"/>
      <c r="C38" s="8"/>
      <c r="D38" s="8"/>
      <c r="E38" s="8"/>
      <c r="F38" s="8"/>
      <c r="G38" s="8"/>
      <c r="H38" s="8" t="str">
        <f aca="false">IF(A38="","",IF(COUNTIF(A1_Etudiants!$B$3:$B$50000,A38)=0,"NOUVEAU","EXISTANT"))</f>
        <v/>
      </c>
    </row>
    <row r="39" customFormat="false" ht="15" hidden="false" customHeight="true" outlineLevel="0" collapsed="false">
      <c r="A39" s="8"/>
      <c r="B39" s="8"/>
      <c r="C39" s="8"/>
      <c r="D39" s="8"/>
      <c r="E39" s="8"/>
      <c r="F39" s="8"/>
      <c r="G39" s="8"/>
      <c r="H39" s="8" t="str">
        <f aca="false">IF(A39="","",IF(COUNTIF(A1_Etudiants!$B$3:$B$50000,A39)=0,"NOUVEAU","EXISTANT"))</f>
        <v/>
      </c>
    </row>
    <row r="40" customFormat="false" ht="15" hidden="false" customHeight="true" outlineLevel="0" collapsed="false">
      <c r="A40" s="8"/>
      <c r="B40" s="8"/>
      <c r="C40" s="8"/>
      <c r="D40" s="8"/>
      <c r="E40" s="8"/>
      <c r="F40" s="8"/>
      <c r="G40" s="8"/>
      <c r="H40" s="8" t="str">
        <f aca="false">IF(A40="","",IF(COUNTIF(A1_Etudiants!$B$3:$B$50000,A40)=0,"NOUVEAU","EXISTANT"))</f>
        <v/>
      </c>
    </row>
    <row r="41" customFormat="false" ht="15" hidden="false" customHeight="true" outlineLevel="0" collapsed="false">
      <c r="A41" s="8"/>
      <c r="B41" s="8"/>
      <c r="C41" s="8"/>
      <c r="D41" s="8"/>
      <c r="E41" s="8"/>
      <c r="F41" s="8"/>
      <c r="G41" s="8"/>
      <c r="H41" s="8" t="str">
        <f aca="false">IF(A41="","",IF(COUNTIF(A1_Etudiants!$B$3:$B$50000,A41)=0,"NOUVEAU","EXISTANT"))</f>
        <v/>
      </c>
    </row>
    <row r="42" customFormat="false" ht="15" hidden="false" customHeight="true" outlineLevel="0" collapsed="false">
      <c r="A42" s="8"/>
      <c r="B42" s="8"/>
      <c r="C42" s="8"/>
      <c r="D42" s="8"/>
      <c r="E42" s="8"/>
      <c r="F42" s="8"/>
      <c r="G42" s="8"/>
      <c r="H42" s="8" t="str">
        <f aca="false">IF(A42="","",IF(COUNTIF(A1_Etudiants!$B$3:$B$50000,A42)=0,"NOUVEAU","EXISTANT"))</f>
        <v/>
      </c>
    </row>
    <row r="43" customFormat="false" ht="15" hidden="false" customHeight="true" outlineLevel="0" collapsed="false">
      <c r="A43" s="8"/>
      <c r="B43" s="8"/>
      <c r="C43" s="8"/>
      <c r="D43" s="8"/>
      <c r="E43" s="8"/>
      <c r="F43" s="8"/>
      <c r="G43" s="8"/>
      <c r="H43" s="8" t="str">
        <f aca="false">IF(A43="","",IF(COUNTIF(A1_Etudiants!$B$3:$B$50000,A43)=0,"NOUVEAU","EXISTANT"))</f>
        <v/>
      </c>
    </row>
    <row r="44" customFormat="false" ht="15" hidden="false" customHeight="true" outlineLevel="0" collapsed="false">
      <c r="A44" s="8"/>
      <c r="B44" s="8"/>
      <c r="C44" s="8"/>
      <c r="D44" s="8"/>
      <c r="E44" s="8"/>
      <c r="F44" s="8"/>
      <c r="G44" s="8"/>
      <c r="H44" s="8" t="str">
        <f aca="false">IF(A44="","",IF(COUNTIF(A1_Etudiants!$B$3:$B$50000,A44)=0,"NOUVEAU","EXISTANT"))</f>
        <v/>
      </c>
    </row>
    <row r="45" customFormat="false" ht="15" hidden="false" customHeight="true" outlineLevel="0" collapsed="false">
      <c r="A45" s="8"/>
      <c r="B45" s="8"/>
      <c r="C45" s="8"/>
      <c r="D45" s="8"/>
      <c r="E45" s="8"/>
      <c r="F45" s="8"/>
      <c r="G45" s="8"/>
      <c r="H45" s="8" t="str">
        <f aca="false">IF(A45="","",IF(COUNTIF(A1_Etudiants!$B$3:$B$50000,A45)=0,"NOUVEAU","EXISTANT"))</f>
        <v/>
      </c>
    </row>
    <row r="46" customFormat="false" ht="15" hidden="false" customHeight="true" outlineLevel="0" collapsed="false">
      <c r="A46" s="8"/>
      <c r="B46" s="8"/>
      <c r="C46" s="8"/>
      <c r="D46" s="8"/>
      <c r="E46" s="8"/>
      <c r="F46" s="8"/>
      <c r="G46" s="8"/>
      <c r="H46" s="8" t="str">
        <f aca="false">IF(A46="","",IF(COUNTIF(A1_Etudiants!$B$3:$B$50000,A46)=0,"NOUVEAU","EXISTANT"))</f>
        <v/>
      </c>
    </row>
    <row r="47" customFormat="false" ht="15" hidden="false" customHeight="true" outlineLevel="0" collapsed="false">
      <c r="A47" s="8"/>
      <c r="B47" s="8"/>
      <c r="C47" s="8"/>
      <c r="D47" s="8"/>
      <c r="E47" s="8"/>
      <c r="F47" s="8"/>
      <c r="G47" s="8"/>
      <c r="H47" s="8" t="str">
        <f aca="false">IF(A47="","",IF(COUNTIF(A1_Etudiants!$B$3:$B$50000,A47)=0,"NOUVEAU","EXISTANT"))</f>
        <v/>
      </c>
    </row>
    <row r="48" customFormat="false" ht="15" hidden="false" customHeight="true" outlineLevel="0" collapsed="false">
      <c r="A48" s="8"/>
      <c r="B48" s="8"/>
      <c r="C48" s="8"/>
      <c r="D48" s="8"/>
      <c r="E48" s="8"/>
      <c r="F48" s="8"/>
      <c r="G48" s="8"/>
      <c r="H48" s="8" t="str">
        <f aca="false">IF(A48="","",IF(COUNTIF(A1_Etudiants!$B$3:$B$50000,A48)=0,"NOUVEAU","EXISTANT"))</f>
        <v/>
      </c>
    </row>
    <row r="49" customFormat="false" ht="15" hidden="false" customHeight="true" outlineLevel="0" collapsed="false">
      <c r="A49" s="8"/>
      <c r="B49" s="8"/>
      <c r="C49" s="8"/>
      <c r="D49" s="8"/>
      <c r="E49" s="8"/>
      <c r="F49" s="8"/>
      <c r="G49" s="8"/>
      <c r="H49" s="8" t="str">
        <f aca="false">IF(A49="","",IF(COUNTIF(A1_Etudiants!$B$3:$B$50000,A49)=0,"NOUVEAU","EXISTANT"))</f>
        <v/>
      </c>
    </row>
    <row r="50" customFormat="false" ht="15" hidden="false" customHeight="true" outlineLevel="0" collapsed="false">
      <c r="A50" s="8"/>
      <c r="B50" s="8"/>
      <c r="C50" s="8"/>
      <c r="D50" s="8"/>
      <c r="E50" s="8"/>
      <c r="F50" s="8"/>
      <c r="G50" s="8"/>
      <c r="H50" s="8" t="str">
        <f aca="false">IF(A50="","",IF(COUNTIF(A1_Etudiants!$B$3:$B$50000,A50)=0,"NOUVEAU","EXISTANT"))</f>
        <v/>
      </c>
    </row>
    <row r="51" customFormat="false" ht="15" hidden="false" customHeight="true" outlineLevel="0" collapsed="false">
      <c r="A51" s="8"/>
      <c r="B51" s="8"/>
      <c r="C51" s="8"/>
      <c r="D51" s="8"/>
      <c r="E51" s="8"/>
      <c r="F51" s="8"/>
      <c r="G51" s="8"/>
      <c r="H51" s="8" t="str">
        <f aca="false">IF(A51="","",IF(COUNTIF(A1_Etudiants!$B$3:$B$50000,A51)=0,"NOUVEAU","EXISTANT"))</f>
        <v/>
      </c>
    </row>
    <row r="52" customFormat="false" ht="15" hidden="false" customHeight="true" outlineLevel="0" collapsed="false">
      <c r="A52" s="8"/>
      <c r="B52" s="8"/>
      <c r="C52" s="8"/>
      <c r="D52" s="8"/>
      <c r="E52" s="8"/>
      <c r="F52" s="8"/>
      <c r="G52" s="8"/>
      <c r="H52" s="8" t="str">
        <f aca="false">IF(A52="","",IF(COUNTIF(A1_Etudiants!$B$3:$B$50000,A52)=0,"NOUVEAU","EXISTANT"))</f>
        <v/>
      </c>
    </row>
    <row r="53" customFormat="false" ht="15" hidden="false" customHeight="true" outlineLevel="0" collapsed="false">
      <c r="A53" s="8"/>
      <c r="B53" s="8"/>
      <c r="C53" s="8"/>
      <c r="D53" s="8"/>
      <c r="E53" s="8"/>
      <c r="F53" s="8"/>
      <c r="G53" s="8"/>
      <c r="H53" s="8" t="str">
        <f aca="false">IF(A53="","",IF(COUNTIF(A1_Etudiants!$B$3:$B$50000,A53)=0,"NOUVEAU","EXISTANT"))</f>
        <v/>
      </c>
    </row>
    <row r="54" customFormat="false" ht="15" hidden="false" customHeight="true" outlineLevel="0" collapsed="false">
      <c r="A54" s="8"/>
      <c r="B54" s="8"/>
      <c r="C54" s="8"/>
      <c r="D54" s="8"/>
      <c r="E54" s="8"/>
      <c r="F54" s="8"/>
      <c r="G54" s="8"/>
      <c r="H54" s="8" t="str">
        <f aca="false">IF(A54="","",IF(COUNTIF(A1_Etudiants!$B$3:$B$50000,A54)=0,"NOUVEAU","EXISTANT"))</f>
        <v/>
      </c>
    </row>
    <row r="55" customFormat="false" ht="15" hidden="false" customHeight="true" outlineLevel="0" collapsed="false">
      <c r="A55" s="8"/>
      <c r="B55" s="8"/>
      <c r="C55" s="8"/>
      <c r="D55" s="8"/>
      <c r="E55" s="8"/>
      <c r="F55" s="8"/>
      <c r="G55" s="8"/>
      <c r="H55" s="8" t="str">
        <f aca="false">IF(A55="","",IF(COUNTIF(A1_Etudiants!$B$3:$B$50000,A55)=0,"NOUVEAU","EXISTANT"))</f>
        <v/>
      </c>
    </row>
    <row r="56" customFormat="false" ht="15" hidden="false" customHeight="true" outlineLevel="0" collapsed="false">
      <c r="A56" s="8"/>
      <c r="B56" s="8"/>
      <c r="C56" s="8"/>
      <c r="D56" s="8"/>
      <c r="E56" s="8"/>
      <c r="F56" s="8"/>
      <c r="G56" s="8"/>
      <c r="H56" s="8" t="str">
        <f aca="false">IF(A56="","",IF(COUNTIF(A1_Etudiants!$B$3:$B$50000,A56)=0,"NOUVEAU","EXISTANT"))</f>
        <v/>
      </c>
    </row>
    <row r="57" customFormat="false" ht="15" hidden="false" customHeight="true" outlineLevel="0" collapsed="false">
      <c r="A57" s="8"/>
      <c r="B57" s="8"/>
      <c r="C57" s="8"/>
      <c r="D57" s="8"/>
      <c r="E57" s="8"/>
      <c r="F57" s="8"/>
      <c r="G57" s="8"/>
      <c r="H57" s="8" t="str">
        <f aca="false">IF(A57="","",IF(COUNTIF(A1_Etudiants!$B$3:$B$50000,A57)=0,"NOUVEAU","EXISTANT"))</f>
        <v/>
      </c>
    </row>
    <row r="58" customFormat="false" ht="15" hidden="false" customHeight="true" outlineLevel="0" collapsed="false">
      <c r="A58" s="8"/>
      <c r="B58" s="8"/>
      <c r="C58" s="8"/>
      <c r="D58" s="8"/>
      <c r="E58" s="8"/>
      <c r="F58" s="8"/>
      <c r="G58" s="8"/>
      <c r="H58" s="8" t="str">
        <f aca="false">IF(A58="","",IF(COUNTIF(A1_Etudiants!$B$3:$B$50000,A58)=0,"NOUVEAU","EXISTANT"))</f>
        <v/>
      </c>
    </row>
    <row r="59" customFormat="false" ht="15" hidden="false" customHeight="true" outlineLevel="0" collapsed="false">
      <c r="A59" s="8"/>
      <c r="B59" s="8"/>
      <c r="C59" s="8"/>
      <c r="D59" s="8"/>
      <c r="E59" s="8"/>
      <c r="F59" s="8"/>
      <c r="G59" s="8"/>
      <c r="H59" s="8" t="str">
        <f aca="false">IF(A59="","",IF(COUNTIF(A1_Etudiants!$B$3:$B$50000,A59)=0,"NOUVEAU","EXISTANT"))</f>
        <v/>
      </c>
    </row>
    <row r="60" customFormat="false" ht="15" hidden="false" customHeight="true" outlineLevel="0" collapsed="false">
      <c r="A60" s="8"/>
      <c r="B60" s="8"/>
      <c r="C60" s="8"/>
      <c r="D60" s="8"/>
      <c r="E60" s="8"/>
      <c r="F60" s="8"/>
      <c r="G60" s="8"/>
      <c r="H60" s="8" t="str">
        <f aca="false">IF(A60="","",IF(COUNTIF(A1_Etudiants!$B$3:$B$50000,A60)=0,"NOUVEAU","EXISTANT"))</f>
        <v/>
      </c>
    </row>
    <row r="61" customFormat="false" ht="15" hidden="false" customHeight="true" outlineLevel="0" collapsed="false">
      <c r="A61" s="8"/>
      <c r="B61" s="8"/>
      <c r="C61" s="8"/>
      <c r="D61" s="8"/>
      <c r="E61" s="8"/>
      <c r="F61" s="8"/>
      <c r="G61" s="8"/>
      <c r="H61" s="8" t="str">
        <f aca="false">IF(A61="","",IF(COUNTIF(A1_Etudiants!$B$3:$B$50000,A61)=0,"NOUVEAU","EXISTANT"))</f>
        <v/>
      </c>
    </row>
    <row r="62" customFormat="false" ht="15" hidden="false" customHeight="true" outlineLevel="0" collapsed="false">
      <c r="A62" s="8"/>
      <c r="B62" s="8"/>
      <c r="C62" s="8"/>
      <c r="D62" s="8"/>
      <c r="E62" s="8"/>
      <c r="F62" s="8"/>
      <c r="G62" s="8"/>
      <c r="H62" s="8" t="str">
        <f aca="false">IF(A62="","",IF(COUNTIF(A1_Etudiants!$B$3:$B$50000,A62)=0,"NOUVEAU","EXISTANT"))</f>
        <v/>
      </c>
    </row>
    <row r="63" customFormat="false" ht="15" hidden="false" customHeight="true" outlineLevel="0" collapsed="false">
      <c r="A63" s="8"/>
      <c r="B63" s="8"/>
      <c r="C63" s="8"/>
      <c r="D63" s="8"/>
      <c r="E63" s="8"/>
      <c r="F63" s="8"/>
      <c r="G63" s="8"/>
      <c r="H63" s="8" t="str">
        <f aca="false">IF(A63="","",IF(COUNTIF(A1_Etudiants!$B$3:$B$50000,A63)=0,"NOUVEAU","EXISTANT"))</f>
        <v/>
      </c>
    </row>
    <row r="64" customFormat="false" ht="15" hidden="false" customHeight="true" outlineLevel="0" collapsed="false">
      <c r="A64" s="8"/>
      <c r="B64" s="8"/>
      <c r="C64" s="8"/>
      <c r="D64" s="8"/>
      <c r="E64" s="8"/>
      <c r="F64" s="8"/>
      <c r="G64" s="8"/>
      <c r="H64" s="8" t="str">
        <f aca="false">IF(A64="","",IF(COUNTIF(A1_Etudiants!$B$3:$B$50000,A64)=0,"NOUVEAU","EXISTANT"))</f>
        <v/>
      </c>
    </row>
    <row r="65" customFormat="false" ht="15" hidden="false" customHeight="true" outlineLevel="0" collapsed="false">
      <c r="A65" s="8"/>
      <c r="B65" s="8"/>
      <c r="C65" s="8"/>
      <c r="D65" s="8"/>
      <c r="E65" s="8"/>
      <c r="F65" s="8"/>
      <c r="G65" s="8"/>
      <c r="H65" s="8" t="str">
        <f aca="false">IF(A65="","",IF(COUNTIF(A1_Etudiants!$B$3:$B$50000,A65)=0,"NOUVEAU","EXISTANT"))</f>
        <v/>
      </c>
    </row>
    <row r="66" customFormat="false" ht="15" hidden="false" customHeight="true" outlineLevel="0" collapsed="false">
      <c r="A66" s="8"/>
      <c r="B66" s="8"/>
      <c r="C66" s="8"/>
      <c r="D66" s="8"/>
      <c r="E66" s="8"/>
      <c r="F66" s="8"/>
      <c r="G66" s="8"/>
      <c r="H66" s="8" t="str">
        <f aca="false">IF(A66="","",IF(COUNTIF(A1_Etudiants!$B$3:$B$50000,A66)=0,"NOUVEAU","EXISTANT"))</f>
        <v/>
      </c>
    </row>
    <row r="67" customFormat="false" ht="15" hidden="false" customHeight="true" outlineLevel="0" collapsed="false">
      <c r="A67" s="8"/>
      <c r="B67" s="8"/>
      <c r="C67" s="8"/>
      <c r="D67" s="8"/>
      <c r="E67" s="8"/>
      <c r="F67" s="8"/>
      <c r="G67" s="8"/>
      <c r="H67" s="8" t="str">
        <f aca="false">IF(A67="","",IF(COUNTIF(A1_Etudiants!$B$3:$B$50000,A67)=0,"NOUVEAU","EXISTANT"))</f>
        <v/>
      </c>
    </row>
    <row r="68" customFormat="false" ht="15" hidden="false" customHeight="true" outlineLevel="0" collapsed="false">
      <c r="A68" s="8"/>
      <c r="B68" s="8"/>
      <c r="C68" s="8"/>
      <c r="D68" s="8"/>
      <c r="E68" s="8"/>
      <c r="F68" s="8"/>
      <c r="G68" s="8"/>
      <c r="H68" s="8" t="str">
        <f aca="false">IF(A68="","",IF(COUNTIF(A1_Etudiants!$B$3:$B$50000,A68)=0,"NOUVEAU","EXISTANT"))</f>
        <v/>
      </c>
    </row>
    <row r="69" customFormat="false" ht="15" hidden="false" customHeight="true" outlineLevel="0" collapsed="false">
      <c r="A69" s="8"/>
      <c r="B69" s="8"/>
      <c r="C69" s="8"/>
      <c r="D69" s="8"/>
      <c r="E69" s="8"/>
      <c r="F69" s="8"/>
      <c r="G69" s="8"/>
      <c r="H69" s="8" t="str">
        <f aca="false">IF(A69="","",IF(COUNTIF(A1_Etudiants!$B$3:$B$50000,A69)=0,"NOUVEAU","EXISTANT"))</f>
        <v/>
      </c>
    </row>
    <row r="70" customFormat="false" ht="15" hidden="false" customHeight="true" outlineLevel="0" collapsed="false">
      <c r="A70" s="8"/>
      <c r="B70" s="8"/>
      <c r="C70" s="8"/>
      <c r="D70" s="8"/>
      <c r="E70" s="8"/>
      <c r="F70" s="8"/>
      <c r="G70" s="8"/>
      <c r="H70" s="8" t="str">
        <f aca="false">IF(A70="","",IF(COUNTIF(A1_Etudiants!$B$3:$B$50000,A70)=0,"NOUVEAU","EXISTANT"))</f>
        <v/>
      </c>
    </row>
    <row r="71" customFormat="false" ht="15" hidden="false" customHeight="true" outlineLevel="0" collapsed="false">
      <c r="A71" s="8"/>
      <c r="B71" s="8"/>
      <c r="C71" s="8"/>
      <c r="D71" s="8"/>
      <c r="E71" s="8"/>
      <c r="F71" s="8"/>
      <c r="G71" s="8"/>
      <c r="H71" s="8" t="str">
        <f aca="false">IF(A71="","",IF(COUNTIF(A1_Etudiants!$B$3:$B$50000,A71)=0,"NOUVEAU","EXISTANT"))</f>
        <v/>
      </c>
    </row>
    <row r="72" customFormat="false" ht="15" hidden="false" customHeight="true" outlineLevel="0" collapsed="false">
      <c r="A72" s="8"/>
      <c r="B72" s="8"/>
      <c r="C72" s="8"/>
      <c r="D72" s="8"/>
      <c r="E72" s="8"/>
      <c r="F72" s="8"/>
      <c r="G72" s="8"/>
      <c r="H72" s="8" t="str">
        <f aca="false">IF(A72="","",IF(COUNTIF(A1_Etudiants!$B$3:$B$50000,A72)=0,"NOUVEAU","EXISTANT"))</f>
        <v/>
      </c>
    </row>
    <row r="73" customFormat="false" ht="15" hidden="false" customHeight="true" outlineLevel="0" collapsed="false">
      <c r="A73" s="8"/>
      <c r="B73" s="8"/>
      <c r="C73" s="8"/>
      <c r="D73" s="8"/>
      <c r="E73" s="8"/>
      <c r="F73" s="8"/>
      <c r="G73" s="8"/>
      <c r="H73" s="8" t="str">
        <f aca="false">IF(A73="","",IF(COUNTIF(A1_Etudiants!$B$3:$B$50000,A73)=0,"NOUVEAU","EXISTANT"))</f>
        <v/>
      </c>
    </row>
    <row r="74" customFormat="false" ht="15" hidden="false" customHeight="true" outlineLevel="0" collapsed="false">
      <c r="A74" s="8"/>
      <c r="B74" s="8"/>
      <c r="C74" s="8"/>
      <c r="D74" s="8"/>
      <c r="E74" s="8"/>
      <c r="F74" s="8"/>
      <c r="G74" s="8"/>
      <c r="H74" s="8" t="str">
        <f aca="false">IF(A74="","",IF(COUNTIF(A1_Etudiants!$B$3:$B$50000,A74)=0,"NOUVEAU","EXISTANT"))</f>
        <v/>
      </c>
    </row>
    <row r="75" customFormat="false" ht="15" hidden="false" customHeight="true" outlineLevel="0" collapsed="false">
      <c r="A75" s="8"/>
      <c r="B75" s="8"/>
      <c r="C75" s="8"/>
      <c r="D75" s="8"/>
      <c r="E75" s="8"/>
      <c r="F75" s="8"/>
      <c r="G75" s="8"/>
      <c r="H75" s="8" t="str">
        <f aca="false">IF(A75="","",IF(COUNTIF(A1_Etudiants!$B$3:$B$50000,A75)=0,"NOUVEAU","EXISTANT"))</f>
        <v/>
      </c>
    </row>
    <row r="76" customFormat="false" ht="15" hidden="false" customHeight="true" outlineLevel="0" collapsed="false">
      <c r="A76" s="8"/>
      <c r="B76" s="8"/>
      <c r="C76" s="8"/>
      <c r="D76" s="8"/>
      <c r="E76" s="8"/>
      <c r="F76" s="8"/>
      <c r="G76" s="8"/>
      <c r="H76" s="8" t="str">
        <f aca="false">IF(A76="","",IF(COUNTIF(A1_Etudiants!$B$3:$B$50000,A76)=0,"NOUVEAU","EXISTANT"))</f>
        <v/>
      </c>
    </row>
    <row r="77" customFormat="false" ht="15" hidden="false" customHeight="true" outlineLevel="0" collapsed="false">
      <c r="A77" s="8"/>
      <c r="B77" s="8"/>
      <c r="C77" s="8"/>
      <c r="D77" s="8"/>
      <c r="E77" s="8"/>
      <c r="F77" s="8"/>
      <c r="G77" s="8"/>
      <c r="H77" s="8" t="str">
        <f aca="false">IF(A77="","",IF(COUNTIF(A1_Etudiants!$B$3:$B$50000,A77)=0,"NOUVEAU","EXISTANT"))</f>
        <v/>
      </c>
    </row>
    <row r="78" customFormat="false" ht="15" hidden="false" customHeight="true" outlineLevel="0" collapsed="false">
      <c r="A78" s="8"/>
      <c r="B78" s="8"/>
      <c r="C78" s="8"/>
      <c r="D78" s="8"/>
      <c r="E78" s="8"/>
      <c r="F78" s="8"/>
      <c r="G78" s="8"/>
      <c r="H78" s="8" t="str">
        <f aca="false">IF(A78="","",IF(COUNTIF(A1_Etudiants!$B$3:$B$50000,A78)=0,"NOUVEAU","EXISTANT"))</f>
        <v/>
      </c>
    </row>
    <row r="79" customFormat="false" ht="15" hidden="false" customHeight="true" outlineLevel="0" collapsed="false">
      <c r="A79" s="8"/>
      <c r="B79" s="8"/>
      <c r="C79" s="8"/>
      <c r="D79" s="8"/>
      <c r="E79" s="8"/>
      <c r="F79" s="8"/>
      <c r="G79" s="8"/>
      <c r="H79" s="8" t="str">
        <f aca="false">IF(A79="","",IF(COUNTIF(A1_Etudiants!$B$3:$B$50000,A79)=0,"NOUVEAU","EXISTANT"))</f>
        <v/>
      </c>
    </row>
    <row r="80" customFormat="false" ht="15" hidden="false" customHeight="true" outlineLevel="0" collapsed="false">
      <c r="A80" s="8"/>
      <c r="B80" s="8"/>
      <c r="C80" s="8"/>
      <c r="D80" s="8"/>
      <c r="E80" s="8"/>
      <c r="F80" s="8"/>
      <c r="G80" s="8"/>
      <c r="H80" s="8" t="str">
        <f aca="false">IF(A80="","",IF(COUNTIF(A1_Etudiants!$B$3:$B$50000,A80)=0,"NOUVEAU","EXISTANT"))</f>
        <v/>
      </c>
    </row>
    <row r="81" customFormat="false" ht="15" hidden="false" customHeight="true" outlineLevel="0" collapsed="false">
      <c r="A81" s="8"/>
      <c r="B81" s="8"/>
      <c r="C81" s="8"/>
      <c r="D81" s="8"/>
      <c r="E81" s="8"/>
      <c r="F81" s="8"/>
      <c r="G81" s="8"/>
      <c r="H81" s="8" t="str">
        <f aca="false">IF(A81="","",IF(COUNTIF(A1_Etudiants!$B$3:$B$50000,A81)=0,"NOUVEAU","EXISTANT"))</f>
        <v/>
      </c>
    </row>
    <row r="82" customFormat="false" ht="15" hidden="false" customHeight="true" outlineLevel="0" collapsed="false">
      <c r="A82" s="8"/>
      <c r="B82" s="8"/>
      <c r="C82" s="8"/>
      <c r="D82" s="8"/>
      <c r="E82" s="8"/>
      <c r="F82" s="8"/>
      <c r="G82" s="8"/>
      <c r="H82" s="8" t="str">
        <f aca="false">IF(A82="","",IF(COUNTIF(A1_Etudiants!$B$3:$B$50000,A82)=0,"NOUVEAU","EXISTANT"))</f>
        <v/>
      </c>
    </row>
    <row r="83" customFormat="false" ht="15" hidden="false" customHeight="true" outlineLevel="0" collapsed="false">
      <c r="A83" s="8"/>
      <c r="B83" s="8"/>
      <c r="C83" s="8"/>
      <c r="D83" s="8"/>
      <c r="E83" s="8"/>
      <c r="F83" s="8"/>
      <c r="G83" s="8"/>
      <c r="H83" s="8" t="str">
        <f aca="false">IF(A83="","",IF(COUNTIF(A1_Etudiants!$B$3:$B$50000,A83)=0,"NOUVEAU","EXISTANT"))</f>
        <v/>
      </c>
    </row>
    <row r="84" customFormat="false" ht="15" hidden="false" customHeight="true" outlineLevel="0" collapsed="false">
      <c r="A84" s="8"/>
      <c r="B84" s="8"/>
      <c r="C84" s="8"/>
      <c r="D84" s="8"/>
      <c r="E84" s="8"/>
      <c r="F84" s="8"/>
      <c r="G84" s="8"/>
      <c r="H84" s="8" t="str">
        <f aca="false">IF(A84="","",IF(COUNTIF(A1_Etudiants!$B$3:$B$50000,A84)=0,"NOUVEAU","EXISTANT"))</f>
        <v/>
      </c>
    </row>
    <row r="85" customFormat="false" ht="15" hidden="false" customHeight="true" outlineLevel="0" collapsed="false">
      <c r="A85" s="8"/>
      <c r="B85" s="8"/>
      <c r="C85" s="8"/>
      <c r="D85" s="8"/>
      <c r="E85" s="8"/>
      <c r="F85" s="8"/>
      <c r="G85" s="8"/>
      <c r="H85" s="8" t="str">
        <f aca="false">IF(A85="","",IF(COUNTIF(A1_Etudiants!$B$3:$B$50000,A85)=0,"NOUVEAU","EXISTANT"))</f>
        <v/>
      </c>
    </row>
    <row r="86" customFormat="false" ht="15" hidden="false" customHeight="true" outlineLevel="0" collapsed="false">
      <c r="A86" s="8"/>
      <c r="B86" s="8"/>
      <c r="C86" s="8"/>
      <c r="D86" s="8"/>
      <c r="E86" s="8"/>
      <c r="F86" s="8"/>
      <c r="G86" s="8"/>
      <c r="H86" s="8" t="str">
        <f aca="false">IF(A86="","",IF(COUNTIF(A1_Etudiants!$B$3:$B$50000,A86)=0,"NOUVEAU","EXISTANT"))</f>
        <v/>
      </c>
    </row>
    <row r="87" customFormat="false" ht="15" hidden="false" customHeight="true" outlineLevel="0" collapsed="false">
      <c r="A87" s="8"/>
      <c r="B87" s="8"/>
      <c r="C87" s="8"/>
      <c r="D87" s="8"/>
      <c r="E87" s="8"/>
      <c r="F87" s="8"/>
      <c r="G87" s="8"/>
      <c r="H87" s="8" t="str">
        <f aca="false">IF(A87="","",IF(COUNTIF(A1_Etudiants!$B$3:$B$50000,A87)=0,"NOUVEAU","EXISTANT"))</f>
        <v/>
      </c>
    </row>
    <row r="88" customFormat="false" ht="15" hidden="false" customHeight="true" outlineLevel="0" collapsed="false">
      <c r="A88" s="8"/>
      <c r="B88" s="8"/>
      <c r="C88" s="8"/>
      <c r="D88" s="8"/>
      <c r="E88" s="8"/>
      <c r="F88" s="8"/>
      <c r="G88" s="8"/>
      <c r="H88" s="8" t="str">
        <f aca="false">IF(A88="","",IF(COUNTIF(A1_Etudiants!$B$3:$B$50000,A88)=0,"NOUVEAU","EXISTANT"))</f>
        <v/>
      </c>
    </row>
    <row r="89" customFormat="false" ht="15" hidden="false" customHeight="true" outlineLevel="0" collapsed="false">
      <c r="A89" s="8"/>
      <c r="B89" s="8"/>
      <c r="C89" s="8"/>
      <c r="D89" s="8"/>
      <c r="E89" s="8"/>
      <c r="F89" s="8"/>
      <c r="G89" s="8"/>
      <c r="H89" s="8" t="str">
        <f aca="false">IF(A89="","",IF(COUNTIF(A1_Etudiants!$B$3:$B$50000,A89)=0,"NOUVEAU","EXISTANT"))</f>
        <v/>
      </c>
    </row>
    <row r="90" customFormat="false" ht="15" hidden="false" customHeight="true" outlineLevel="0" collapsed="false">
      <c r="A90" s="8"/>
      <c r="B90" s="8"/>
      <c r="C90" s="8"/>
      <c r="D90" s="8"/>
      <c r="E90" s="8"/>
      <c r="F90" s="8"/>
      <c r="G90" s="8"/>
      <c r="H90" s="8" t="str">
        <f aca="false">IF(A90="","",IF(COUNTIF(A1_Etudiants!$B$3:$B$50000,A90)=0,"NOUVEAU","EXISTANT"))</f>
        <v/>
      </c>
    </row>
    <row r="91" customFormat="false" ht="15" hidden="false" customHeight="true" outlineLevel="0" collapsed="false">
      <c r="A91" s="8"/>
      <c r="B91" s="8"/>
      <c r="C91" s="8"/>
      <c r="D91" s="8"/>
      <c r="E91" s="8"/>
      <c r="F91" s="8"/>
      <c r="G91" s="8"/>
      <c r="H91" s="8" t="str">
        <f aca="false">IF(A91="","",IF(COUNTIF(A1_Etudiants!$B$3:$B$50000,A91)=0,"NOUVEAU","EXISTANT"))</f>
        <v/>
      </c>
    </row>
    <row r="92" customFormat="false" ht="15" hidden="false" customHeight="true" outlineLevel="0" collapsed="false">
      <c r="A92" s="8"/>
      <c r="B92" s="8"/>
      <c r="C92" s="8"/>
      <c r="D92" s="8"/>
      <c r="E92" s="8"/>
      <c r="F92" s="8"/>
      <c r="G92" s="8"/>
      <c r="H92" s="8" t="str">
        <f aca="false">IF(A92="","",IF(COUNTIF(A1_Etudiants!$B$3:$B$50000,A92)=0,"NOUVEAU","EXISTANT"))</f>
        <v/>
      </c>
    </row>
    <row r="93" customFormat="false" ht="15" hidden="false" customHeight="true" outlineLevel="0" collapsed="false">
      <c r="A93" s="8"/>
      <c r="B93" s="8"/>
      <c r="C93" s="8"/>
      <c r="D93" s="8"/>
      <c r="E93" s="8"/>
      <c r="F93" s="8"/>
      <c r="G93" s="8"/>
      <c r="H93" s="8" t="str">
        <f aca="false">IF(A93="","",IF(COUNTIF(A1_Etudiants!$B$3:$B$50000,A93)=0,"NOUVEAU","EXISTANT"))</f>
        <v/>
      </c>
    </row>
    <row r="94" customFormat="false" ht="15" hidden="false" customHeight="true" outlineLevel="0" collapsed="false">
      <c r="A94" s="8"/>
      <c r="B94" s="8"/>
      <c r="C94" s="8"/>
      <c r="D94" s="8"/>
      <c r="E94" s="8"/>
      <c r="F94" s="8"/>
      <c r="G94" s="8"/>
      <c r="H94" s="8" t="str">
        <f aca="false">IF(A94="","",IF(COUNTIF(A1_Etudiants!$B$3:$B$50000,A94)=0,"NOUVEAU","EXISTANT"))</f>
        <v/>
      </c>
    </row>
    <row r="95" customFormat="false" ht="15" hidden="false" customHeight="true" outlineLevel="0" collapsed="false">
      <c r="A95" s="8"/>
      <c r="B95" s="8"/>
      <c r="C95" s="8"/>
      <c r="D95" s="8"/>
      <c r="E95" s="8"/>
      <c r="F95" s="8"/>
      <c r="G95" s="8"/>
      <c r="H95" s="8" t="str">
        <f aca="false">IF(A95="","",IF(COUNTIF(A1_Etudiants!$B$3:$B$50000,A95)=0,"NOUVEAU","EXISTANT"))</f>
        <v/>
      </c>
    </row>
    <row r="96" customFormat="false" ht="15" hidden="false" customHeight="true" outlineLevel="0" collapsed="false">
      <c r="A96" s="8"/>
      <c r="B96" s="8"/>
      <c r="C96" s="8"/>
      <c r="D96" s="8"/>
      <c r="E96" s="8"/>
      <c r="F96" s="8"/>
      <c r="G96" s="8"/>
      <c r="H96" s="8" t="str">
        <f aca="false">IF(A96="","",IF(COUNTIF(A1_Etudiants!$B$3:$B$50000,A96)=0,"NOUVEAU","EXISTANT"))</f>
        <v/>
      </c>
    </row>
    <row r="97" customFormat="false" ht="15" hidden="false" customHeight="true" outlineLevel="0" collapsed="false">
      <c r="A97" s="8"/>
      <c r="B97" s="8"/>
      <c r="C97" s="8"/>
      <c r="D97" s="8"/>
      <c r="E97" s="8"/>
      <c r="F97" s="8"/>
      <c r="G97" s="8"/>
      <c r="H97" s="8" t="str">
        <f aca="false">IF(A97="","",IF(COUNTIF(A1_Etudiants!$B$3:$B$50000,A97)=0,"NOUVEAU","EXISTANT"))</f>
        <v/>
      </c>
    </row>
    <row r="98" customFormat="false" ht="15" hidden="false" customHeight="true" outlineLevel="0" collapsed="false">
      <c r="A98" s="8"/>
      <c r="B98" s="8"/>
      <c r="C98" s="8"/>
      <c r="D98" s="8"/>
      <c r="E98" s="8"/>
      <c r="F98" s="8"/>
      <c r="G98" s="8"/>
      <c r="H98" s="8" t="str">
        <f aca="false">IF(A98="","",IF(COUNTIF(A1_Etudiants!$B$3:$B$50000,A98)=0,"NOUVEAU","EXISTANT"))</f>
        <v/>
      </c>
    </row>
    <row r="99" customFormat="false" ht="15" hidden="false" customHeight="true" outlineLevel="0" collapsed="false">
      <c r="A99" s="8"/>
      <c r="B99" s="8"/>
      <c r="C99" s="8"/>
      <c r="D99" s="8"/>
      <c r="E99" s="8"/>
      <c r="F99" s="8"/>
      <c r="G99" s="8"/>
      <c r="H99" s="8" t="str">
        <f aca="false">IF(A99="","",IF(COUNTIF(A1_Etudiants!$B$3:$B$50000,A99)=0,"NOUVEAU","EXISTANT"))</f>
        <v/>
      </c>
    </row>
    <row r="100" customFormat="false" ht="15" hidden="false" customHeight="true" outlineLevel="0" collapsed="false">
      <c r="A100" s="8"/>
      <c r="B100" s="8"/>
      <c r="C100" s="8"/>
      <c r="D100" s="8"/>
      <c r="E100" s="8"/>
      <c r="F100" s="8"/>
      <c r="G100" s="8"/>
      <c r="H100" s="8" t="str">
        <f aca="false">IF(A100="","",IF(COUNTIF(A1_Etudiants!$B$3:$B$50000,A100)=0,"NOUVEAU","EXISTANT"))</f>
        <v/>
      </c>
    </row>
    <row r="101" customFormat="false" ht="15" hidden="false" customHeight="true" outlineLevel="0" collapsed="false">
      <c r="A101" s="8"/>
      <c r="B101" s="8"/>
      <c r="C101" s="8"/>
      <c r="D101" s="8"/>
      <c r="E101" s="8"/>
      <c r="F101" s="8"/>
      <c r="G101" s="8"/>
      <c r="H101" s="8" t="str">
        <f aca="false">IF(A101="","",IF(COUNTIF(A1_Etudiants!$B$3:$B$50000,A101)=0,"NOUVEAU","EXISTANT"))</f>
        <v/>
      </c>
    </row>
    <row r="102" customFormat="false" ht="15" hidden="false" customHeight="true" outlineLevel="0" collapsed="false">
      <c r="A102" s="8"/>
      <c r="B102" s="8"/>
      <c r="C102" s="8"/>
      <c r="D102" s="8"/>
      <c r="E102" s="8"/>
      <c r="F102" s="8"/>
      <c r="G102" s="8"/>
      <c r="H102" s="8" t="str">
        <f aca="false">IF(A102="","",IF(COUNTIF(A1_Etudiants!$B$3:$B$50000,A102)=0,"NOUVEAU","EXISTANT"))</f>
        <v/>
      </c>
    </row>
    <row r="103" customFormat="false" ht="15" hidden="false" customHeight="true" outlineLevel="0" collapsed="false">
      <c r="A103" s="8"/>
      <c r="B103" s="8"/>
      <c r="C103" s="8"/>
      <c r="D103" s="8"/>
      <c r="E103" s="8"/>
      <c r="F103" s="8"/>
      <c r="G103" s="8"/>
      <c r="H103" s="8" t="str">
        <f aca="false">IF(A103="","",IF(COUNTIF(A1_Etudiants!$B$3:$B$50000,A103)=0,"NOUVEAU","EXISTANT"))</f>
        <v/>
      </c>
    </row>
    <row r="104" customFormat="false" ht="15" hidden="false" customHeight="true" outlineLevel="0" collapsed="false">
      <c r="A104" s="8"/>
      <c r="B104" s="8"/>
      <c r="C104" s="8"/>
      <c r="D104" s="8"/>
      <c r="E104" s="8"/>
      <c r="F104" s="8"/>
      <c r="G104" s="8"/>
      <c r="H104" s="8" t="str">
        <f aca="false">IF(A104="","",IF(COUNTIF(A1_Etudiants!$B$3:$B$50000,A104)=0,"NOUVEAU","EXISTANT"))</f>
        <v/>
      </c>
    </row>
    <row r="105" customFormat="false" ht="15" hidden="false" customHeight="true" outlineLevel="0" collapsed="false">
      <c r="A105" s="8"/>
      <c r="B105" s="8"/>
      <c r="C105" s="8"/>
      <c r="D105" s="8"/>
      <c r="E105" s="8"/>
      <c r="F105" s="8"/>
      <c r="G105" s="8"/>
      <c r="H105" s="8" t="str">
        <f aca="false">IF(A105="","",IF(COUNTIF(A1_Etudiants!$B$3:$B$50000,A105)=0,"NOUVEAU","EXISTANT"))</f>
        <v/>
      </c>
    </row>
    <row r="106" customFormat="false" ht="15" hidden="false" customHeight="true" outlineLevel="0" collapsed="false">
      <c r="A106" s="8"/>
      <c r="B106" s="8"/>
      <c r="C106" s="8"/>
      <c r="D106" s="8"/>
      <c r="E106" s="8"/>
      <c r="F106" s="8"/>
      <c r="G106" s="8"/>
      <c r="H106" s="8" t="str">
        <f aca="false">IF(A106="","",IF(COUNTIF(A1_Etudiants!$B$3:$B$50000,A106)=0,"NOUVEAU","EXISTANT"))</f>
        <v/>
      </c>
    </row>
    <row r="107" customFormat="false" ht="15" hidden="false" customHeight="true" outlineLevel="0" collapsed="false">
      <c r="A107" s="8"/>
      <c r="B107" s="8"/>
      <c r="C107" s="8"/>
      <c r="D107" s="8"/>
      <c r="E107" s="8"/>
      <c r="F107" s="8"/>
      <c r="G107" s="8"/>
      <c r="H107" s="8" t="str">
        <f aca="false">IF(A107="","",IF(COUNTIF(A1_Etudiants!$B$3:$B$50000,A107)=0,"NOUVEAU","EXISTANT"))</f>
        <v/>
      </c>
    </row>
    <row r="108" customFormat="false" ht="15" hidden="false" customHeight="true" outlineLevel="0" collapsed="false">
      <c r="A108" s="8"/>
      <c r="B108" s="8"/>
      <c r="C108" s="8"/>
      <c r="D108" s="8"/>
      <c r="E108" s="8"/>
      <c r="F108" s="8"/>
      <c r="G108" s="8"/>
      <c r="H108" s="8" t="str">
        <f aca="false">IF(A108="","",IF(COUNTIF(A1_Etudiants!$B$3:$B$50000,A108)=0,"NOUVEAU","EXISTANT"))</f>
        <v/>
      </c>
    </row>
    <row r="109" customFormat="false" ht="15" hidden="false" customHeight="true" outlineLevel="0" collapsed="false">
      <c r="A109" s="8"/>
      <c r="B109" s="8"/>
      <c r="C109" s="8"/>
      <c r="D109" s="8"/>
      <c r="E109" s="8"/>
      <c r="F109" s="8"/>
      <c r="G109" s="8"/>
      <c r="H109" s="8" t="str">
        <f aca="false">IF(A109="","",IF(COUNTIF(A1_Etudiants!$B$3:$B$50000,A109)=0,"NOUVEAU","EXISTANT"))</f>
        <v/>
      </c>
    </row>
    <row r="110" customFormat="false" ht="15" hidden="false" customHeight="true" outlineLevel="0" collapsed="false">
      <c r="A110" s="8"/>
      <c r="B110" s="8"/>
      <c r="C110" s="8"/>
      <c r="D110" s="8"/>
      <c r="E110" s="8"/>
      <c r="F110" s="8"/>
      <c r="G110" s="8"/>
      <c r="H110" s="8" t="str">
        <f aca="false">IF(A110="","",IF(COUNTIF(A1_Etudiants!$B$3:$B$50000,A110)=0,"NOUVEAU","EXISTANT"))</f>
        <v/>
      </c>
    </row>
    <row r="111" customFormat="false" ht="15" hidden="false" customHeight="true" outlineLevel="0" collapsed="false">
      <c r="A111" s="8"/>
      <c r="B111" s="8"/>
      <c r="C111" s="8"/>
      <c r="D111" s="8"/>
      <c r="E111" s="8"/>
      <c r="F111" s="8"/>
      <c r="G111" s="8"/>
      <c r="H111" s="8" t="str">
        <f aca="false">IF(A111="","",IF(COUNTIF(A1_Etudiants!$B$3:$B$50000,A111)=0,"NOUVEAU","EXISTANT"))</f>
        <v/>
      </c>
    </row>
    <row r="112" customFormat="false" ht="15" hidden="false" customHeight="true" outlineLevel="0" collapsed="false">
      <c r="A112" s="8"/>
      <c r="B112" s="8"/>
      <c r="C112" s="8"/>
      <c r="D112" s="8"/>
      <c r="E112" s="8"/>
      <c r="F112" s="8"/>
      <c r="G112" s="8"/>
      <c r="H112" s="8" t="str">
        <f aca="false">IF(A112="","",IF(COUNTIF(A1_Etudiants!$B$3:$B$50000,A112)=0,"NOUVEAU","EXISTANT"))</f>
        <v/>
      </c>
    </row>
    <row r="113" customFormat="false" ht="15" hidden="false" customHeight="true" outlineLevel="0" collapsed="false">
      <c r="A113" s="8"/>
      <c r="B113" s="8"/>
      <c r="C113" s="8"/>
      <c r="D113" s="8"/>
      <c r="E113" s="8"/>
      <c r="F113" s="8"/>
      <c r="G113" s="8"/>
      <c r="H113" s="8" t="str">
        <f aca="false">IF(A113="","",IF(COUNTIF(A1_Etudiants!$B$3:$B$50000,A113)=0,"NOUVEAU","EXISTANT"))</f>
        <v/>
      </c>
    </row>
    <row r="114" customFormat="false" ht="15" hidden="false" customHeight="true" outlineLevel="0" collapsed="false">
      <c r="A114" s="8"/>
      <c r="B114" s="8"/>
      <c r="C114" s="8"/>
      <c r="D114" s="8"/>
      <c r="E114" s="8"/>
      <c r="F114" s="8"/>
      <c r="G114" s="8"/>
      <c r="H114" s="8" t="str">
        <f aca="false">IF(A114="","",IF(COUNTIF(A1_Etudiants!$B$3:$B$50000,A114)=0,"NOUVEAU","EXISTANT"))</f>
        <v/>
      </c>
    </row>
    <row r="115" customFormat="false" ht="15" hidden="false" customHeight="true" outlineLevel="0" collapsed="false">
      <c r="A115" s="8"/>
      <c r="B115" s="8"/>
      <c r="C115" s="8"/>
      <c r="D115" s="8"/>
      <c r="E115" s="8"/>
      <c r="F115" s="8"/>
      <c r="G115" s="8"/>
      <c r="H115" s="8" t="str">
        <f aca="false">IF(A115="","",IF(COUNTIF(A1_Etudiants!$B$3:$B$50000,A115)=0,"NOUVEAU","EXISTANT"))</f>
        <v/>
      </c>
    </row>
    <row r="116" customFormat="false" ht="15" hidden="false" customHeight="true" outlineLevel="0" collapsed="false">
      <c r="A116" s="8"/>
      <c r="B116" s="8"/>
      <c r="C116" s="8"/>
      <c r="D116" s="8"/>
      <c r="E116" s="8"/>
      <c r="F116" s="8"/>
      <c r="G116" s="8"/>
      <c r="H116" s="8" t="str">
        <f aca="false">IF(A116="","",IF(COUNTIF(A1_Etudiants!$B$3:$B$50000,A116)=0,"NOUVEAU","EXISTANT"))</f>
        <v/>
      </c>
    </row>
    <row r="117" customFormat="false" ht="15" hidden="false" customHeight="true" outlineLevel="0" collapsed="false">
      <c r="A117" s="8"/>
      <c r="B117" s="8"/>
      <c r="C117" s="8"/>
      <c r="D117" s="8"/>
      <c r="E117" s="8"/>
      <c r="F117" s="8"/>
      <c r="G117" s="8"/>
      <c r="H117" s="8" t="str">
        <f aca="false">IF(A117="","",IF(COUNTIF(A1_Etudiants!$B$3:$B$50000,A117)=0,"NOUVEAU","EXISTANT"))</f>
        <v/>
      </c>
    </row>
    <row r="118" customFormat="false" ht="15" hidden="false" customHeight="true" outlineLevel="0" collapsed="false">
      <c r="A118" s="8"/>
      <c r="B118" s="8"/>
      <c r="C118" s="8"/>
      <c r="D118" s="8"/>
      <c r="E118" s="8"/>
      <c r="F118" s="8"/>
      <c r="G118" s="8"/>
      <c r="H118" s="8" t="str">
        <f aca="false">IF(A118="","",IF(COUNTIF(A1_Etudiants!$B$3:$B$50000,A118)=0,"NOUVEAU","EXISTANT"))</f>
        <v/>
      </c>
    </row>
    <row r="119" customFormat="false" ht="15" hidden="false" customHeight="true" outlineLevel="0" collapsed="false">
      <c r="A119" s="8"/>
      <c r="B119" s="8"/>
      <c r="C119" s="8"/>
      <c r="D119" s="8"/>
      <c r="E119" s="8"/>
      <c r="F119" s="8"/>
      <c r="G119" s="8"/>
      <c r="H119" s="8" t="str">
        <f aca="false">IF(A119="","",IF(COUNTIF(A1_Etudiants!$B$3:$B$50000,A119)=0,"NOUVEAU","EXISTANT"))</f>
        <v/>
      </c>
    </row>
    <row r="120" customFormat="false" ht="15" hidden="false" customHeight="true" outlineLevel="0" collapsed="false">
      <c r="A120" s="8"/>
      <c r="B120" s="8"/>
      <c r="C120" s="8"/>
      <c r="D120" s="8"/>
      <c r="E120" s="8"/>
      <c r="F120" s="8"/>
      <c r="G120" s="8"/>
      <c r="H120" s="8" t="str">
        <f aca="false">IF(A120="","",IF(COUNTIF(A1_Etudiants!$B$3:$B$50000,A120)=0,"NOUVEAU","EXISTANT"))</f>
        <v/>
      </c>
    </row>
    <row r="121" customFormat="false" ht="15" hidden="false" customHeight="true" outlineLevel="0" collapsed="false">
      <c r="A121" s="8"/>
      <c r="B121" s="8"/>
      <c r="C121" s="8"/>
      <c r="D121" s="8"/>
      <c r="E121" s="8"/>
      <c r="F121" s="8"/>
      <c r="G121" s="8"/>
      <c r="H121" s="8" t="str">
        <f aca="false">IF(A121="","",IF(COUNTIF(A1_Etudiants!$B$3:$B$50000,A121)=0,"NOUVEAU","EXISTANT"))</f>
        <v/>
      </c>
    </row>
    <row r="122" customFormat="false" ht="15" hidden="false" customHeight="true" outlineLevel="0" collapsed="false">
      <c r="A122" s="8"/>
      <c r="B122" s="8"/>
      <c r="C122" s="8"/>
      <c r="D122" s="8"/>
      <c r="E122" s="8"/>
      <c r="F122" s="8"/>
      <c r="G122" s="8"/>
      <c r="H122" s="8" t="str">
        <f aca="false">IF(A122="","",IF(COUNTIF(A1_Etudiants!$B$3:$B$50000,A122)=0,"NOUVEAU","EXISTANT"))</f>
        <v/>
      </c>
    </row>
    <row r="123" customFormat="false" ht="15" hidden="false" customHeight="true" outlineLevel="0" collapsed="false">
      <c r="A123" s="8"/>
      <c r="B123" s="8"/>
      <c r="C123" s="8"/>
      <c r="D123" s="8"/>
      <c r="E123" s="8"/>
      <c r="F123" s="8"/>
      <c r="G123" s="8"/>
      <c r="H123" s="8" t="str">
        <f aca="false">IF(A123="","",IF(COUNTIF(A1_Etudiants!$B$3:$B$50000,A123)=0,"NOUVEAU","EXISTANT"))</f>
        <v/>
      </c>
    </row>
    <row r="124" customFormat="false" ht="15" hidden="false" customHeight="true" outlineLevel="0" collapsed="false">
      <c r="A124" s="8"/>
      <c r="B124" s="8"/>
      <c r="C124" s="8"/>
      <c r="D124" s="8"/>
      <c r="E124" s="8"/>
      <c r="F124" s="8"/>
      <c r="G124" s="8"/>
      <c r="H124" s="8" t="str">
        <f aca="false">IF(A124="","",IF(COUNTIF(A1_Etudiants!$B$3:$B$50000,A124)=0,"NOUVEAU","EXISTANT"))</f>
        <v/>
      </c>
    </row>
    <row r="125" customFormat="false" ht="15" hidden="false" customHeight="true" outlineLevel="0" collapsed="false">
      <c r="A125" s="8"/>
      <c r="B125" s="8"/>
      <c r="C125" s="8"/>
      <c r="D125" s="8"/>
      <c r="E125" s="8"/>
      <c r="F125" s="8"/>
      <c r="G125" s="8"/>
      <c r="H125" s="8" t="str">
        <f aca="false">IF(A125="","",IF(COUNTIF(A1_Etudiants!$B$3:$B$50000,A125)=0,"NOUVEAU","EXISTANT"))</f>
        <v/>
      </c>
    </row>
    <row r="126" customFormat="false" ht="15" hidden="false" customHeight="true" outlineLevel="0" collapsed="false">
      <c r="A126" s="8"/>
      <c r="B126" s="8"/>
      <c r="C126" s="8"/>
      <c r="D126" s="8"/>
      <c r="E126" s="8"/>
      <c r="F126" s="8"/>
      <c r="G126" s="8"/>
      <c r="H126" s="8" t="str">
        <f aca="false">IF(A126="","",IF(COUNTIF(A1_Etudiants!$B$3:$B$50000,A126)=0,"NOUVEAU","EXISTANT"))</f>
        <v/>
      </c>
    </row>
    <row r="127" customFormat="false" ht="15" hidden="false" customHeight="true" outlineLevel="0" collapsed="false">
      <c r="A127" s="8"/>
      <c r="B127" s="8"/>
      <c r="C127" s="8"/>
      <c r="D127" s="8"/>
      <c r="E127" s="8"/>
      <c r="F127" s="8"/>
      <c r="G127" s="8"/>
      <c r="H127" s="8" t="str">
        <f aca="false">IF(A127="","",IF(COUNTIF(A1_Etudiants!$B$3:$B$50000,A127)=0,"NOUVEAU","EXISTANT"))</f>
        <v/>
      </c>
    </row>
    <row r="128" customFormat="false" ht="15" hidden="false" customHeight="true" outlineLevel="0" collapsed="false">
      <c r="A128" s="8"/>
      <c r="B128" s="8"/>
      <c r="C128" s="8"/>
      <c r="D128" s="8"/>
      <c r="E128" s="8"/>
      <c r="F128" s="8"/>
      <c r="G128" s="8"/>
      <c r="H128" s="8" t="str">
        <f aca="false">IF(A128="","",IF(COUNTIF(A1_Etudiants!$B$3:$B$50000,A128)=0,"NOUVEAU","EXISTANT"))</f>
        <v/>
      </c>
    </row>
    <row r="129" customFormat="false" ht="15" hidden="false" customHeight="true" outlineLevel="0" collapsed="false">
      <c r="A129" s="8"/>
      <c r="B129" s="8"/>
      <c r="C129" s="8"/>
      <c r="D129" s="8"/>
      <c r="E129" s="8"/>
      <c r="F129" s="8"/>
      <c r="G129" s="8"/>
      <c r="H129" s="8" t="str">
        <f aca="false">IF(A129="","",IF(COUNTIF(A1_Etudiants!$B$3:$B$50000,A129)=0,"NOUVEAU","EXISTANT"))</f>
        <v/>
      </c>
    </row>
    <row r="130" customFormat="false" ht="15" hidden="false" customHeight="true" outlineLevel="0" collapsed="false">
      <c r="A130" s="8"/>
      <c r="B130" s="8"/>
      <c r="C130" s="8"/>
      <c r="D130" s="8"/>
      <c r="E130" s="8"/>
      <c r="F130" s="8"/>
      <c r="G130" s="8"/>
      <c r="H130" s="8" t="str">
        <f aca="false">IF(A130="","",IF(COUNTIF(A1_Etudiants!$B$3:$B$50000,A130)=0,"NOUVEAU","EXISTANT"))</f>
        <v/>
      </c>
    </row>
    <row r="131" customFormat="false" ht="15" hidden="false" customHeight="true" outlineLevel="0" collapsed="false">
      <c r="A131" s="8"/>
      <c r="B131" s="8"/>
      <c r="C131" s="8"/>
      <c r="D131" s="8"/>
      <c r="E131" s="8"/>
      <c r="F131" s="8"/>
      <c r="G131" s="8"/>
      <c r="H131" s="8" t="str">
        <f aca="false">IF(A131="","",IF(COUNTIF(A1_Etudiants!$B$3:$B$50000,A131)=0,"NOUVEAU","EXISTANT"))</f>
        <v/>
      </c>
    </row>
    <row r="132" customFormat="false" ht="15" hidden="false" customHeight="true" outlineLevel="0" collapsed="false">
      <c r="A132" s="8"/>
      <c r="B132" s="8"/>
      <c r="C132" s="8"/>
      <c r="D132" s="8"/>
      <c r="E132" s="8"/>
      <c r="F132" s="8"/>
      <c r="G132" s="8"/>
      <c r="H132" s="8" t="str">
        <f aca="false">IF(A132="","",IF(COUNTIF(A1_Etudiants!$B$3:$B$50000,A132)=0,"NOUVEAU","EXISTANT"))</f>
        <v/>
      </c>
    </row>
    <row r="133" customFormat="false" ht="15" hidden="false" customHeight="true" outlineLevel="0" collapsed="false">
      <c r="A133" s="8"/>
      <c r="B133" s="8"/>
      <c r="C133" s="8"/>
      <c r="D133" s="8"/>
      <c r="E133" s="8"/>
      <c r="F133" s="8"/>
      <c r="G133" s="8"/>
      <c r="H133" s="8" t="str">
        <f aca="false">IF(A133="","",IF(COUNTIF(A1_Etudiants!$B$3:$B$50000,A133)=0,"NOUVEAU","EXISTANT"))</f>
        <v/>
      </c>
    </row>
    <row r="134" customFormat="false" ht="15" hidden="false" customHeight="true" outlineLevel="0" collapsed="false">
      <c r="A134" s="8"/>
      <c r="B134" s="8"/>
      <c r="C134" s="8"/>
      <c r="D134" s="8"/>
      <c r="E134" s="8"/>
      <c r="F134" s="8"/>
      <c r="G134" s="8"/>
      <c r="H134" s="8" t="str">
        <f aca="false">IF(A134="","",IF(COUNTIF(A1_Etudiants!$B$3:$B$50000,A134)=0,"NOUVEAU","EXISTANT"))</f>
        <v/>
      </c>
    </row>
    <row r="135" customFormat="false" ht="15" hidden="false" customHeight="true" outlineLevel="0" collapsed="false">
      <c r="A135" s="8"/>
      <c r="B135" s="8"/>
      <c r="C135" s="8"/>
      <c r="D135" s="8"/>
      <c r="E135" s="8"/>
      <c r="F135" s="8"/>
      <c r="G135" s="8"/>
      <c r="H135" s="8" t="str">
        <f aca="false">IF(A135="","",IF(COUNTIF(A1_Etudiants!$B$3:$B$50000,A135)=0,"NOUVEAU","EXISTANT"))</f>
        <v/>
      </c>
    </row>
    <row r="136" customFormat="false" ht="15" hidden="false" customHeight="true" outlineLevel="0" collapsed="false">
      <c r="A136" s="8"/>
      <c r="B136" s="8"/>
      <c r="C136" s="8"/>
      <c r="D136" s="8"/>
      <c r="E136" s="8"/>
      <c r="F136" s="8"/>
      <c r="G136" s="8"/>
      <c r="H136" s="8" t="str">
        <f aca="false">IF(A136="","",IF(COUNTIF(A1_Etudiants!$B$3:$B$50000,A136)=0,"NOUVEAU","EXISTANT"))</f>
        <v/>
      </c>
    </row>
    <row r="137" customFormat="false" ht="15" hidden="false" customHeight="true" outlineLevel="0" collapsed="false">
      <c r="A137" s="8"/>
      <c r="B137" s="8"/>
      <c r="C137" s="8"/>
      <c r="D137" s="8"/>
      <c r="E137" s="8"/>
      <c r="F137" s="8"/>
      <c r="G137" s="8"/>
      <c r="H137" s="8" t="str">
        <f aca="false">IF(A137="","",IF(COUNTIF(A1_Etudiants!$B$3:$B$50000,A137)=0,"NOUVEAU","EXISTANT"))</f>
        <v/>
      </c>
    </row>
    <row r="138" customFormat="false" ht="15" hidden="false" customHeight="true" outlineLevel="0" collapsed="false">
      <c r="A138" s="8"/>
      <c r="B138" s="8"/>
      <c r="C138" s="8"/>
      <c r="D138" s="8"/>
      <c r="E138" s="8"/>
      <c r="F138" s="8"/>
      <c r="G138" s="8"/>
      <c r="H138" s="8" t="str">
        <f aca="false">IF(A138="","",IF(COUNTIF(A1_Etudiants!$B$3:$B$50000,A138)=0,"NOUVEAU","EXISTANT"))</f>
        <v/>
      </c>
    </row>
    <row r="139" customFormat="false" ht="15" hidden="false" customHeight="true" outlineLevel="0" collapsed="false">
      <c r="A139" s="8"/>
      <c r="B139" s="8"/>
      <c r="C139" s="8"/>
      <c r="D139" s="8"/>
      <c r="E139" s="8"/>
      <c r="F139" s="8"/>
      <c r="G139" s="8"/>
      <c r="H139" s="8" t="str">
        <f aca="false">IF(A139="","",IF(COUNTIF(A1_Etudiants!$B$3:$B$50000,A139)=0,"NOUVEAU","EXISTANT"))</f>
        <v/>
      </c>
    </row>
    <row r="140" customFormat="false" ht="15" hidden="false" customHeight="true" outlineLevel="0" collapsed="false">
      <c r="A140" s="8"/>
      <c r="B140" s="8"/>
      <c r="C140" s="8"/>
      <c r="D140" s="8"/>
      <c r="E140" s="8"/>
      <c r="F140" s="8"/>
      <c r="G140" s="8"/>
      <c r="H140" s="8" t="str">
        <f aca="false">IF(A140="","",IF(COUNTIF(A1_Etudiants!$B$3:$B$50000,A140)=0,"NOUVEAU","EXISTANT"))</f>
        <v/>
      </c>
    </row>
    <row r="141" customFormat="false" ht="15" hidden="false" customHeight="true" outlineLevel="0" collapsed="false">
      <c r="A141" s="8"/>
      <c r="B141" s="8"/>
      <c r="C141" s="8"/>
      <c r="D141" s="8"/>
      <c r="E141" s="8"/>
      <c r="F141" s="8"/>
      <c r="G141" s="8"/>
      <c r="H141" s="8" t="str">
        <f aca="false">IF(A141="","",IF(COUNTIF(A1_Etudiants!$B$3:$B$50000,A141)=0,"NOUVEAU","EXISTANT"))</f>
        <v/>
      </c>
    </row>
    <row r="142" customFormat="false" ht="15" hidden="false" customHeight="true" outlineLevel="0" collapsed="false">
      <c r="A142" s="8"/>
      <c r="B142" s="8"/>
      <c r="C142" s="8"/>
      <c r="D142" s="8"/>
      <c r="E142" s="8"/>
      <c r="F142" s="8"/>
      <c r="G142" s="8"/>
      <c r="H142" s="8" t="str">
        <f aca="false">IF(A142="","",IF(COUNTIF(A1_Etudiants!$B$3:$B$50000,A142)=0,"NOUVEAU","EXISTANT"))</f>
        <v/>
      </c>
    </row>
    <row r="143" customFormat="false" ht="15" hidden="false" customHeight="true" outlineLevel="0" collapsed="false">
      <c r="A143" s="8"/>
      <c r="B143" s="8"/>
      <c r="C143" s="8"/>
      <c r="D143" s="8"/>
      <c r="E143" s="8"/>
      <c r="F143" s="8"/>
      <c r="G143" s="8"/>
      <c r="H143" s="8" t="str">
        <f aca="false">IF(A143="","",IF(COUNTIF(A1_Etudiants!$B$3:$B$50000,A143)=0,"NOUVEAU","EXISTANT"))</f>
        <v/>
      </c>
    </row>
    <row r="144" customFormat="false" ht="15" hidden="false" customHeight="true" outlineLevel="0" collapsed="false">
      <c r="A144" s="8"/>
      <c r="B144" s="8"/>
      <c r="C144" s="8"/>
      <c r="D144" s="8"/>
      <c r="E144" s="8"/>
      <c r="F144" s="8"/>
      <c r="G144" s="8"/>
      <c r="H144" s="8" t="str">
        <f aca="false">IF(A144="","",IF(COUNTIF(A1_Etudiants!$B$3:$B$50000,A144)=0,"NOUVEAU","EXISTANT"))</f>
        <v/>
      </c>
    </row>
    <row r="145" customFormat="false" ht="15" hidden="false" customHeight="true" outlineLevel="0" collapsed="false">
      <c r="A145" s="8"/>
      <c r="B145" s="8"/>
      <c r="C145" s="8"/>
      <c r="D145" s="8"/>
      <c r="E145" s="8"/>
      <c r="F145" s="8"/>
      <c r="G145" s="8"/>
      <c r="H145" s="8" t="str">
        <f aca="false">IF(A145="","",IF(COUNTIF(A1_Etudiants!$B$3:$B$50000,A145)=0,"NOUVEAU","EXISTANT"))</f>
        <v/>
      </c>
    </row>
    <row r="146" customFormat="false" ht="15" hidden="false" customHeight="true" outlineLevel="0" collapsed="false">
      <c r="A146" s="8"/>
      <c r="B146" s="8"/>
      <c r="C146" s="8"/>
      <c r="D146" s="8"/>
      <c r="E146" s="8"/>
      <c r="F146" s="8"/>
      <c r="G146" s="8"/>
      <c r="H146" s="8" t="str">
        <f aca="false">IF(A146="","",IF(COUNTIF(A1_Etudiants!$B$3:$B$50000,A146)=0,"NOUVEAU","EXISTANT"))</f>
        <v/>
      </c>
    </row>
    <row r="147" customFormat="false" ht="15" hidden="false" customHeight="true" outlineLevel="0" collapsed="false">
      <c r="A147" s="8"/>
      <c r="B147" s="8"/>
      <c r="C147" s="8"/>
      <c r="D147" s="8"/>
      <c r="E147" s="8"/>
      <c r="F147" s="8"/>
      <c r="G147" s="8"/>
      <c r="H147" s="8" t="str">
        <f aca="false">IF(A147="","",IF(COUNTIF(A1_Etudiants!$B$3:$B$50000,A147)=0,"NOUVEAU","EXISTANT"))</f>
        <v/>
      </c>
    </row>
    <row r="148" customFormat="false" ht="15" hidden="false" customHeight="true" outlineLevel="0" collapsed="false">
      <c r="A148" s="8"/>
      <c r="B148" s="8"/>
      <c r="C148" s="8"/>
      <c r="D148" s="8"/>
      <c r="E148" s="8"/>
      <c r="F148" s="8"/>
      <c r="G148" s="8"/>
      <c r="H148" s="8" t="str">
        <f aca="false">IF(A148="","",IF(COUNTIF(A1_Etudiants!$B$3:$B$50000,A148)=0,"NOUVEAU","EXISTANT"))</f>
        <v/>
      </c>
    </row>
    <row r="149" customFormat="false" ht="15" hidden="false" customHeight="true" outlineLevel="0" collapsed="false">
      <c r="A149" s="8"/>
      <c r="B149" s="8"/>
      <c r="C149" s="8"/>
      <c r="D149" s="8"/>
      <c r="E149" s="8"/>
      <c r="F149" s="8"/>
      <c r="G149" s="8"/>
      <c r="H149" s="8" t="str">
        <f aca="false">IF(A149="","",IF(COUNTIF(A1_Etudiants!$B$3:$B$50000,A149)=0,"NOUVEAU","EXISTANT"))</f>
        <v/>
      </c>
    </row>
    <row r="150" customFormat="false" ht="15" hidden="false" customHeight="true" outlineLevel="0" collapsed="false">
      <c r="A150" s="8"/>
      <c r="B150" s="8"/>
      <c r="C150" s="8"/>
      <c r="D150" s="8"/>
      <c r="E150" s="8"/>
      <c r="F150" s="8"/>
      <c r="G150" s="8"/>
      <c r="H150" s="8" t="str">
        <f aca="false">IF(A150="","",IF(COUNTIF(A1_Etudiants!$B$3:$B$50000,A150)=0,"NOUVEAU","EXISTANT"))</f>
        <v/>
      </c>
    </row>
    <row r="151" customFormat="false" ht="15" hidden="false" customHeight="true" outlineLevel="0" collapsed="false">
      <c r="A151" s="8"/>
      <c r="B151" s="8"/>
      <c r="C151" s="8"/>
      <c r="D151" s="8"/>
      <c r="E151" s="8"/>
      <c r="F151" s="8"/>
      <c r="G151" s="8"/>
      <c r="H151" s="8" t="str">
        <f aca="false">IF(A151="","",IF(COUNTIF(A1_Etudiants!$B$3:$B$50000,A151)=0,"NOUVEAU","EXISTANT"))</f>
        <v/>
      </c>
    </row>
    <row r="152" customFormat="false" ht="15" hidden="false" customHeight="true" outlineLevel="0" collapsed="false">
      <c r="A152" s="8"/>
      <c r="B152" s="8"/>
      <c r="C152" s="8"/>
      <c r="D152" s="8"/>
      <c r="E152" s="8"/>
      <c r="F152" s="8"/>
      <c r="G152" s="8"/>
      <c r="H152" s="8" t="str">
        <f aca="false">IF(A152="","",IF(COUNTIF(A1_Etudiants!$B$3:$B$50000,A152)=0,"NOUVEAU","EXISTANT"))</f>
        <v/>
      </c>
    </row>
    <row r="153" customFormat="false" ht="15" hidden="false" customHeight="true" outlineLevel="0" collapsed="false">
      <c r="A153" s="8"/>
      <c r="B153" s="8"/>
      <c r="C153" s="8"/>
      <c r="D153" s="8"/>
      <c r="E153" s="8"/>
      <c r="F153" s="8"/>
      <c r="G153" s="8"/>
      <c r="H153" s="8" t="str">
        <f aca="false">IF(A153="","",IF(COUNTIF(A1_Etudiants!$B$3:$B$50000,A153)=0,"NOUVEAU","EXISTANT"))</f>
        <v/>
      </c>
    </row>
    <row r="154" customFormat="false" ht="15" hidden="false" customHeight="true" outlineLevel="0" collapsed="false">
      <c r="A154" s="8"/>
      <c r="B154" s="8"/>
      <c r="C154" s="8"/>
      <c r="D154" s="8"/>
      <c r="E154" s="8"/>
      <c r="F154" s="8"/>
      <c r="G154" s="8"/>
      <c r="H154" s="8" t="str">
        <f aca="false">IF(A154="","",IF(COUNTIF(A1_Etudiants!$B$3:$B$50000,A154)=0,"NOUVEAU","EXISTANT"))</f>
        <v/>
      </c>
    </row>
    <row r="155" customFormat="false" ht="15" hidden="false" customHeight="true" outlineLevel="0" collapsed="false">
      <c r="A155" s="8"/>
      <c r="B155" s="8"/>
      <c r="C155" s="8"/>
      <c r="D155" s="8"/>
      <c r="E155" s="8"/>
      <c r="F155" s="8"/>
      <c r="G155" s="8"/>
      <c r="H155" s="8" t="str">
        <f aca="false">IF(A155="","",IF(COUNTIF(A1_Etudiants!$B$3:$B$50000,A155)=0,"NOUVEAU","EXISTANT"))</f>
        <v/>
      </c>
    </row>
    <row r="156" customFormat="false" ht="15" hidden="false" customHeight="true" outlineLevel="0" collapsed="false">
      <c r="A156" s="8"/>
      <c r="B156" s="8"/>
      <c r="C156" s="8"/>
      <c r="D156" s="8"/>
      <c r="E156" s="8"/>
      <c r="F156" s="8"/>
      <c r="G156" s="8"/>
      <c r="H156" s="8" t="str">
        <f aca="false">IF(A156="","",IF(COUNTIF(A1_Etudiants!$B$3:$B$50000,A156)=0,"NOUVEAU","EXISTANT"))</f>
        <v/>
      </c>
    </row>
    <row r="157" customFormat="false" ht="15" hidden="false" customHeight="true" outlineLevel="0" collapsed="false">
      <c r="A157" s="8"/>
      <c r="B157" s="8"/>
      <c r="C157" s="8"/>
      <c r="D157" s="8"/>
      <c r="E157" s="8"/>
      <c r="F157" s="8"/>
      <c r="G157" s="8"/>
      <c r="H157" s="8" t="str">
        <f aca="false">IF(A157="","",IF(COUNTIF(A1_Etudiants!$B$3:$B$50000,A157)=0,"NOUVEAU","EXISTANT"))</f>
        <v/>
      </c>
    </row>
    <row r="158" customFormat="false" ht="15" hidden="false" customHeight="true" outlineLevel="0" collapsed="false">
      <c r="A158" s="8"/>
      <c r="B158" s="8"/>
      <c r="C158" s="8"/>
      <c r="D158" s="8"/>
      <c r="E158" s="8"/>
      <c r="F158" s="8"/>
      <c r="G158" s="8"/>
      <c r="H158" s="8" t="str">
        <f aca="false">IF(A158="","",IF(COUNTIF(A1_Etudiants!$B$3:$B$50000,A158)=0,"NOUVEAU","EXISTANT"))</f>
        <v/>
      </c>
    </row>
    <row r="159" customFormat="false" ht="15" hidden="false" customHeight="true" outlineLevel="0" collapsed="false">
      <c r="A159" s="8"/>
      <c r="B159" s="8"/>
      <c r="C159" s="8"/>
      <c r="D159" s="8"/>
      <c r="E159" s="8"/>
      <c r="F159" s="8"/>
      <c r="G159" s="8"/>
      <c r="H159" s="8" t="str">
        <f aca="false">IF(A159="","",IF(COUNTIF(A1_Etudiants!$B$3:$B$50000,A159)=0,"NOUVEAU","EXISTANT"))</f>
        <v/>
      </c>
    </row>
    <row r="160" customFormat="false" ht="15" hidden="false" customHeight="true" outlineLevel="0" collapsed="false">
      <c r="A160" s="8"/>
      <c r="B160" s="8"/>
      <c r="C160" s="8"/>
      <c r="D160" s="8"/>
      <c r="E160" s="8"/>
      <c r="F160" s="8"/>
      <c r="G160" s="8"/>
      <c r="H160" s="8" t="str">
        <f aca="false">IF(A160="","",IF(COUNTIF(A1_Etudiants!$B$3:$B$50000,A160)=0,"NOUVEAU","EXISTANT"))</f>
        <v/>
      </c>
    </row>
    <row r="161" customFormat="false" ht="15" hidden="false" customHeight="true" outlineLevel="0" collapsed="false">
      <c r="A161" s="8"/>
      <c r="B161" s="8"/>
      <c r="C161" s="8"/>
      <c r="D161" s="8"/>
      <c r="E161" s="8"/>
      <c r="F161" s="8"/>
      <c r="G161" s="8"/>
      <c r="H161" s="8" t="str">
        <f aca="false">IF(A161="","",IF(COUNTIF(A1_Etudiants!$B$3:$B$50000,A161)=0,"NOUVEAU","EXISTANT"))</f>
        <v/>
      </c>
    </row>
    <row r="162" customFormat="false" ht="15" hidden="false" customHeight="true" outlineLevel="0" collapsed="false">
      <c r="A162" s="8"/>
      <c r="B162" s="8"/>
      <c r="C162" s="8"/>
      <c r="D162" s="8"/>
      <c r="E162" s="8"/>
      <c r="F162" s="8"/>
      <c r="G162" s="8"/>
      <c r="H162" s="8" t="str">
        <f aca="false">IF(A162="","",IF(COUNTIF(A1_Etudiants!$B$3:$B$50000,A162)=0,"NOUVEAU","EXISTANT"))</f>
        <v/>
      </c>
    </row>
    <row r="163" customFormat="false" ht="15" hidden="false" customHeight="true" outlineLevel="0" collapsed="false">
      <c r="A163" s="8"/>
      <c r="B163" s="8"/>
      <c r="C163" s="8"/>
      <c r="D163" s="8"/>
      <c r="E163" s="8"/>
      <c r="F163" s="8"/>
      <c r="G163" s="8"/>
      <c r="H163" s="8" t="str">
        <f aca="false">IF(A163="","",IF(COUNTIF(A1_Etudiants!$B$3:$B$50000,A163)=0,"NOUVEAU","EXISTANT"))</f>
        <v/>
      </c>
    </row>
    <row r="164" customFormat="false" ht="15" hidden="false" customHeight="true" outlineLevel="0" collapsed="false">
      <c r="A164" s="8"/>
      <c r="B164" s="8"/>
      <c r="C164" s="8"/>
      <c r="D164" s="8"/>
      <c r="E164" s="8"/>
      <c r="F164" s="8"/>
      <c r="G164" s="8"/>
      <c r="H164" s="8" t="str">
        <f aca="false">IF(A164="","",IF(COUNTIF(A1_Etudiants!$B$3:$B$50000,A164)=0,"NOUVEAU","EXISTANT"))</f>
        <v/>
      </c>
    </row>
    <row r="165" customFormat="false" ht="15" hidden="false" customHeight="true" outlineLevel="0" collapsed="false">
      <c r="A165" s="8"/>
      <c r="B165" s="8"/>
      <c r="C165" s="8"/>
      <c r="D165" s="8"/>
      <c r="E165" s="8"/>
      <c r="F165" s="8"/>
      <c r="G165" s="8"/>
      <c r="H165" s="8" t="str">
        <f aca="false">IF(A165="","",IF(COUNTIF(A1_Etudiants!$B$3:$B$50000,A165)=0,"NOUVEAU","EXISTANT"))</f>
        <v/>
      </c>
    </row>
    <row r="166" customFormat="false" ht="15" hidden="false" customHeight="true" outlineLevel="0" collapsed="false">
      <c r="A166" s="8"/>
      <c r="B166" s="8"/>
      <c r="C166" s="8"/>
      <c r="D166" s="8"/>
      <c r="E166" s="8"/>
      <c r="F166" s="8"/>
      <c r="G166" s="8"/>
      <c r="H166" s="8" t="str">
        <f aca="false">IF(A166="","",IF(COUNTIF(A1_Etudiants!$B$3:$B$50000,A166)=0,"NOUVEAU","EXISTANT"))</f>
        <v/>
      </c>
    </row>
    <row r="167" customFormat="false" ht="15" hidden="false" customHeight="true" outlineLevel="0" collapsed="false">
      <c r="A167" s="8"/>
      <c r="B167" s="8"/>
      <c r="C167" s="8"/>
      <c r="D167" s="8"/>
      <c r="E167" s="8"/>
      <c r="F167" s="8"/>
      <c r="G167" s="8"/>
      <c r="H167" s="8" t="str">
        <f aca="false">IF(A167="","",IF(COUNTIF(A1_Etudiants!$B$3:$B$50000,A167)=0,"NOUVEAU","EXISTANT"))</f>
        <v/>
      </c>
    </row>
    <row r="168" customFormat="false" ht="15" hidden="false" customHeight="true" outlineLevel="0" collapsed="false">
      <c r="A168" s="8"/>
      <c r="B168" s="8"/>
      <c r="C168" s="8"/>
      <c r="D168" s="8"/>
      <c r="E168" s="8"/>
      <c r="F168" s="8"/>
      <c r="G168" s="8"/>
      <c r="H168" s="8" t="str">
        <f aca="false">IF(A168="","",IF(COUNTIF(A1_Etudiants!$B$3:$B$50000,A168)=0,"NOUVEAU","EXISTANT"))</f>
        <v/>
      </c>
    </row>
    <row r="169" customFormat="false" ht="15" hidden="false" customHeight="true" outlineLevel="0" collapsed="false">
      <c r="A169" s="8"/>
      <c r="B169" s="8"/>
      <c r="C169" s="8"/>
      <c r="D169" s="8"/>
      <c r="E169" s="8"/>
      <c r="F169" s="8"/>
      <c r="G169" s="8"/>
      <c r="H169" s="8" t="str">
        <f aca="false">IF(A169="","",IF(COUNTIF(A1_Etudiants!$B$3:$B$50000,A169)=0,"NOUVEAU","EXISTANT"))</f>
        <v/>
      </c>
    </row>
    <row r="170" customFormat="false" ht="15" hidden="false" customHeight="true" outlineLevel="0" collapsed="false">
      <c r="A170" s="8"/>
      <c r="B170" s="8"/>
      <c r="C170" s="8"/>
      <c r="D170" s="8"/>
      <c r="E170" s="8"/>
      <c r="F170" s="8"/>
      <c r="G170" s="8"/>
      <c r="H170" s="8" t="str">
        <f aca="false">IF(A170="","",IF(COUNTIF(A1_Etudiants!$B$3:$B$50000,A170)=0,"NOUVEAU","EXISTANT"))</f>
        <v/>
      </c>
    </row>
    <row r="171" customFormat="false" ht="15" hidden="false" customHeight="true" outlineLevel="0" collapsed="false">
      <c r="A171" s="8"/>
      <c r="B171" s="8"/>
      <c r="C171" s="8"/>
      <c r="D171" s="8"/>
      <c r="E171" s="8"/>
      <c r="F171" s="8"/>
      <c r="G171" s="8"/>
      <c r="H171" s="8" t="str">
        <f aca="false">IF(A171="","",IF(COUNTIF(A1_Etudiants!$B$3:$B$50000,A171)=0,"NOUVEAU","EXISTANT"))</f>
        <v/>
      </c>
    </row>
    <row r="172" customFormat="false" ht="15" hidden="false" customHeight="true" outlineLevel="0" collapsed="false">
      <c r="A172" s="8"/>
      <c r="B172" s="8"/>
      <c r="C172" s="8"/>
      <c r="D172" s="8"/>
      <c r="E172" s="8"/>
      <c r="F172" s="8"/>
      <c r="G172" s="8"/>
      <c r="H172" s="8" t="str">
        <f aca="false">IF(A172="","",IF(COUNTIF(A1_Etudiants!$B$3:$B$50000,A172)=0,"NOUVEAU","EXISTANT"))</f>
        <v/>
      </c>
    </row>
    <row r="173" customFormat="false" ht="15" hidden="false" customHeight="true" outlineLevel="0" collapsed="false">
      <c r="A173" s="8"/>
      <c r="B173" s="8"/>
      <c r="C173" s="8"/>
      <c r="D173" s="8"/>
      <c r="E173" s="8"/>
      <c r="F173" s="8"/>
      <c r="G173" s="8"/>
      <c r="H173" s="8" t="str">
        <f aca="false">IF(A173="","",IF(COUNTIF(A1_Etudiants!$B$3:$B$50000,A173)=0,"NOUVEAU","EXISTANT"))</f>
        <v/>
      </c>
    </row>
    <row r="174" customFormat="false" ht="15" hidden="false" customHeight="true" outlineLevel="0" collapsed="false">
      <c r="A174" s="8"/>
      <c r="B174" s="8"/>
      <c r="C174" s="8"/>
      <c r="D174" s="8"/>
      <c r="E174" s="8"/>
      <c r="F174" s="8"/>
      <c r="G174" s="8"/>
      <c r="H174" s="8" t="str">
        <f aca="false">IF(A174="","",IF(COUNTIF(A1_Etudiants!$B$3:$B$50000,A174)=0,"NOUVEAU","EXISTANT"))</f>
        <v/>
      </c>
    </row>
    <row r="175" customFormat="false" ht="15" hidden="false" customHeight="true" outlineLevel="0" collapsed="false">
      <c r="A175" s="8"/>
      <c r="B175" s="8"/>
      <c r="C175" s="8"/>
      <c r="D175" s="8"/>
      <c r="E175" s="8"/>
      <c r="F175" s="8"/>
      <c r="G175" s="8"/>
      <c r="H175" s="8" t="str">
        <f aca="false">IF(A175="","",IF(COUNTIF(A1_Etudiants!$B$3:$B$50000,A175)=0,"NOUVEAU","EXISTANT"))</f>
        <v/>
      </c>
    </row>
    <row r="176" customFormat="false" ht="15" hidden="false" customHeight="true" outlineLevel="0" collapsed="false">
      <c r="A176" s="8"/>
      <c r="B176" s="8"/>
      <c r="C176" s="8"/>
      <c r="D176" s="8"/>
      <c r="E176" s="8"/>
      <c r="F176" s="8"/>
      <c r="G176" s="8"/>
      <c r="H176" s="8" t="str">
        <f aca="false">IF(A176="","",IF(COUNTIF(A1_Etudiants!$B$3:$B$50000,A176)=0,"NOUVEAU","EXISTANT"))</f>
        <v/>
      </c>
    </row>
    <row r="177" customFormat="false" ht="15" hidden="false" customHeight="true" outlineLevel="0" collapsed="false">
      <c r="A177" s="8"/>
      <c r="B177" s="8"/>
      <c r="C177" s="8"/>
      <c r="D177" s="8"/>
      <c r="E177" s="8"/>
      <c r="F177" s="8"/>
      <c r="G177" s="8"/>
      <c r="H177" s="8" t="str">
        <f aca="false">IF(A177="","",IF(COUNTIF(A1_Etudiants!$B$3:$B$50000,A177)=0,"NOUVEAU","EXISTANT"))</f>
        <v/>
      </c>
    </row>
    <row r="178" customFormat="false" ht="15" hidden="false" customHeight="true" outlineLevel="0" collapsed="false">
      <c r="A178" s="8"/>
      <c r="B178" s="8"/>
      <c r="C178" s="8"/>
      <c r="D178" s="8"/>
      <c r="E178" s="8"/>
      <c r="F178" s="8"/>
      <c r="G178" s="8"/>
      <c r="H178" s="8" t="str">
        <f aca="false">IF(A178="","",IF(COUNTIF(A1_Etudiants!$B$3:$B$50000,A178)=0,"NOUVEAU","EXISTANT"))</f>
        <v/>
      </c>
    </row>
    <row r="179" customFormat="false" ht="15" hidden="false" customHeight="true" outlineLevel="0" collapsed="false">
      <c r="A179" s="8"/>
      <c r="B179" s="8"/>
      <c r="C179" s="8"/>
      <c r="D179" s="8"/>
      <c r="E179" s="8"/>
      <c r="F179" s="8"/>
      <c r="G179" s="8"/>
      <c r="H179" s="8" t="str">
        <f aca="false">IF(A179="","",IF(COUNTIF(A1_Etudiants!$B$3:$B$50000,A179)=0,"NOUVEAU","EXISTANT"))</f>
        <v/>
      </c>
    </row>
    <row r="180" customFormat="false" ht="15" hidden="false" customHeight="true" outlineLevel="0" collapsed="false">
      <c r="A180" s="8"/>
      <c r="B180" s="8"/>
      <c r="C180" s="8"/>
      <c r="D180" s="8"/>
      <c r="E180" s="8"/>
      <c r="F180" s="8"/>
      <c r="G180" s="8"/>
      <c r="H180" s="8" t="str">
        <f aca="false">IF(A180="","",IF(COUNTIF(A1_Etudiants!$B$3:$B$50000,A180)=0,"NOUVEAU","EXISTANT"))</f>
        <v/>
      </c>
    </row>
    <row r="181" customFormat="false" ht="15" hidden="false" customHeight="true" outlineLevel="0" collapsed="false">
      <c r="A181" s="8"/>
      <c r="B181" s="8"/>
      <c r="C181" s="8"/>
      <c r="D181" s="8"/>
      <c r="E181" s="8"/>
      <c r="F181" s="8"/>
      <c r="G181" s="8"/>
      <c r="H181" s="8" t="str">
        <f aca="false">IF(A181="","",IF(COUNTIF(A1_Etudiants!$B$3:$B$50000,A181)=0,"NOUVEAU","EXISTANT"))</f>
        <v/>
      </c>
    </row>
    <row r="182" customFormat="false" ht="15" hidden="false" customHeight="true" outlineLevel="0" collapsed="false">
      <c r="A182" s="8"/>
      <c r="B182" s="8"/>
      <c r="C182" s="8"/>
      <c r="D182" s="8"/>
      <c r="E182" s="8"/>
      <c r="F182" s="8"/>
      <c r="G182" s="8"/>
      <c r="H182" s="8" t="str">
        <f aca="false">IF(A182="","",IF(COUNTIF(A1_Etudiants!$B$3:$B$50000,A182)=0,"NOUVEAU","EXISTANT"))</f>
        <v/>
      </c>
    </row>
    <row r="183" customFormat="false" ht="15" hidden="false" customHeight="true" outlineLevel="0" collapsed="false">
      <c r="A183" s="8"/>
      <c r="B183" s="8"/>
      <c r="C183" s="8"/>
      <c r="D183" s="8"/>
      <c r="E183" s="8"/>
      <c r="F183" s="8"/>
      <c r="G183" s="8"/>
      <c r="H183" s="8" t="str">
        <f aca="false">IF(A183="","",IF(COUNTIF(A1_Etudiants!$B$3:$B$50000,A183)=0,"NOUVEAU","EXISTANT"))</f>
        <v/>
      </c>
    </row>
    <row r="184" customFormat="false" ht="15" hidden="false" customHeight="true" outlineLevel="0" collapsed="false">
      <c r="A184" s="8"/>
      <c r="B184" s="8"/>
      <c r="C184" s="8"/>
      <c r="D184" s="8"/>
      <c r="E184" s="8"/>
      <c r="F184" s="8"/>
      <c r="G184" s="8"/>
      <c r="H184" s="8" t="str">
        <f aca="false">IF(A184="","",IF(COUNTIF(A1_Etudiants!$B$3:$B$50000,A184)=0,"NOUVEAU","EXISTANT"))</f>
        <v/>
      </c>
    </row>
    <row r="185" customFormat="false" ht="15" hidden="false" customHeight="true" outlineLevel="0" collapsed="false">
      <c r="A185" s="8"/>
      <c r="B185" s="8"/>
      <c r="C185" s="8"/>
      <c r="D185" s="8"/>
      <c r="E185" s="8"/>
      <c r="F185" s="8"/>
      <c r="G185" s="8"/>
      <c r="H185" s="8" t="str">
        <f aca="false">IF(A185="","",IF(COUNTIF(A1_Etudiants!$B$3:$B$50000,A185)=0,"NOUVEAU","EXISTANT"))</f>
        <v/>
      </c>
    </row>
    <row r="186" customFormat="false" ht="15" hidden="false" customHeight="true" outlineLevel="0" collapsed="false">
      <c r="A186" s="8"/>
      <c r="B186" s="8"/>
      <c r="C186" s="8"/>
      <c r="D186" s="8"/>
      <c r="E186" s="8"/>
      <c r="F186" s="8"/>
      <c r="G186" s="8"/>
      <c r="H186" s="8" t="str">
        <f aca="false">IF(A186="","",IF(COUNTIF(A1_Etudiants!$B$3:$B$50000,A186)=0,"NOUVEAU","EXISTANT"))</f>
        <v/>
      </c>
    </row>
    <row r="187" customFormat="false" ht="15" hidden="false" customHeight="true" outlineLevel="0" collapsed="false">
      <c r="A187" s="8"/>
      <c r="B187" s="8"/>
      <c r="C187" s="8"/>
      <c r="D187" s="8"/>
      <c r="E187" s="8"/>
      <c r="F187" s="8"/>
      <c r="G187" s="8"/>
      <c r="H187" s="8" t="str">
        <f aca="false">IF(A187="","",IF(COUNTIF(A1_Etudiants!$B$3:$B$50000,A187)=0,"NOUVEAU","EXISTANT"))</f>
        <v/>
      </c>
    </row>
    <row r="188" customFormat="false" ht="15" hidden="false" customHeight="true" outlineLevel="0" collapsed="false">
      <c r="A188" s="8"/>
      <c r="B188" s="8"/>
      <c r="C188" s="8"/>
      <c r="D188" s="8"/>
      <c r="E188" s="8"/>
      <c r="F188" s="8"/>
      <c r="G188" s="8"/>
      <c r="H188" s="8" t="str">
        <f aca="false">IF(A188="","",IF(COUNTIF(A1_Etudiants!$B$3:$B$50000,A188)=0,"NOUVEAU","EXISTANT"))</f>
        <v/>
      </c>
    </row>
    <row r="189" customFormat="false" ht="15" hidden="false" customHeight="true" outlineLevel="0" collapsed="false">
      <c r="A189" s="8"/>
      <c r="B189" s="8"/>
      <c r="C189" s="8"/>
      <c r="D189" s="8"/>
      <c r="E189" s="8"/>
      <c r="F189" s="8"/>
      <c r="G189" s="8"/>
      <c r="H189" s="8" t="str">
        <f aca="false">IF(A189="","",IF(COUNTIF(A1_Etudiants!$B$3:$B$50000,A189)=0,"NOUVEAU","EXISTANT"))</f>
        <v/>
      </c>
    </row>
    <row r="190" customFormat="false" ht="15" hidden="false" customHeight="true" outlineLevel="0" collapsed="false">
      <c r="A190" s="8"/>
      <c r="B190" s="8"/>
      <c r="C190" s="8"/>
      <c r="D190" s="8"/>
      <c r="E190" s="8"/>
      <c r="F190" s="8"/>
      <c r="G190" s="8"/>
      <c r="H190" s="8" t="str">
        <f aca="false">IF(A190="","",IF(COUNTIF(A1_Etudiants!$B$3:$B$50000,A190)=0,"NOUVEAU","EXISTANT"))</f>
        <v/>
      </c>
    </row>
    <row r="191" customFormat="false" ht="15" hidden="false" customHeight="true" outlineLevel="0" collapsed="false">
      <c r="A191" s="8"/>
      <c r="B191" s="8"/>
      <c r="C191" s="8"/>
      <c r="D191" s="8"/>
      <c r="E191" s="8"/>
      <c r="F191" s="8"/>
      <c r="G191" s="8"/>
      <c r="H191" s="8" t="str">
        <f aca="false">IF(A191="","",IF(COUNTIF(A1_Etudiants!$B$3:$B$50000,A191)=0,"NOUVEAU","EXISTANT"))</f>
        <v/>
      </c>
    </row>
    <row r="192" customFormat="false" ht="15" hidden="false" customHeight="true" outlineLevel="0" collapsed="false">
      <c r="A192" s="8"/>
      <c r="B192" s="8"/>
      <c r="C192" s="8"/>
      <c r="D192" s="8"/>
      <c r="E192" s="8"/>
      <c r="F192" s="8"/>
      <c r="G192" s="8"/>
      <c r="H192" s="8" t="str">
        <f aca="false">IF(A192="","",IF(COUNTIF(A1_Etudiants!$B$3:$B$50000,A192)=0,"NOUVEAU","EXISTANT"))</f>
        <v/>
      </c>
    </row>
    <row r="193" customFormat="false" ht="15" hidden="false" customHeight="true" outlineLevel="0" collapsed="false">
      <c r="A193" s="8"/>
      <c r="B193" s="8"/>
      <c r="C193" s="8"/>
      <c r="D193" s="8"/>
      <c r="E193" s="8"/>
      <c r="F193" s="8"/>
      <c r="G193" s="8"/>
      <c r="H193" s="8" t="str">
        <f aca="false">IF(A193="","",IF(COUNTIF(A1_Etudiants!$B$3:$B$50000,A193)=0,"NOUVEAU","EXISTANT"))</f>
        <v/>
      </c>
    </row>
    <row r="194" customFormat="false" ht="15" hidden="false" customHeight="true" outlineLevel="0" collapsed="false">
      <c r="A194" s="8"/>
      <c r="B194" s="8"/>
      <c r="C194" s="8"/>
      <c r="D194" s="8"/>
      <c r="E194" s="8"/>
      <c r="F194" s="8"/>
      <c r="G194" s="8"/>
      <c r="H194" s="8" t="str">
        <f aca="false">IF(A194="","",IF(COUNTIF(A1_Etudiants!$B$3:$B$50000,A194)=0,"NOUVEAU","EXISTANT"))</f>
        <v/>
      </c>
    </row>
    <row r="195" customFormat="false" ht="15" hidden="false" customHeight="true" outlineLevel="0" collapsed="false">
      <c r="A195" s="8"/>
      <c r="B195" s="8"/>
      <c r="C195" s="8"/>
      <c r="D195" s="8"/>
      <c r="E195" s="8"/>
      <c r="F195" s="8"/>
      <c r="G195" s="8"/>
      <c r="H195" s="8" t="str">
        <f aca="false">IF(A195="","",IF(COUNTIF(A1_Etudiants!$B$3:$B$50000,A195)=0,"NOUVEAU","EXISTANT"))</f>
        <v/>
      </c>
    </row>
    <row r="196" customFormat="false" ht="15" hidden="false" customHeight="true" outlineLevel="0" collapsed="false">
      <c r="A196" s="8"/>
      <c r="B196" s="8"/>
      <c r="C196" s="8"/>
      <c r="D196" s="8"/>
      <c r="E196" s="8"/>
      <c r="F196" s="8"/>
      <c r="G196" s="8"/>
      <c r="H196" s="8" t="str">
        <f aca="false">IF(A196="","",IF(COUNTIF(A1_Etudiants!$B$3:$B$50000,A196)=0,"NOUVEAU","EXISTANT"))</f>
        <v/>
      </c>
    </row>
    <row r="197" customFormat="false" ht="15" hidden="false" customHeight="true" outlineLevel="0" collapsed="false">
      <c r="A197" s="8"/>
      <c r="B197" s="8"/>
      <c r="C197" s="8"/>
      <c r="D197" s="8"/>
      <c r="E197" s="8"/>
      <c r="F197" s="8"/>
      <c r="G197" s="8"/>
      <c r="H197" s="8" t="str">
        <f aca="false">IF(A197="","",IF(COUNTIF(A1_Etudiants!$B$3:$B$50000,A197)=0,"NOUVEAU","EXISTANT"))</f>
        <v/>
      </c>
    </row>
    <row r="198" customFormat="false" ht="15" hidden="false" customHeight="true" outlineLevel="0" collapsed="false">
      <c r="A198" s="8"/>
      <c r="B198" s="8"/>
      <c r="C198" s="8"/>
      <c r="D198" s="8"/>
      <c r="E198" s="8"/>
      <c r="F198" s="8"/>
      <c r="G198" s="8"/>
      <c r="H198" s="8" t="str">
        <f aca="false">IF(A198="","",IF(COUNTIF(A1_Etudiants!$B$3:$B$50000,A198)=0,"NOUVEAU","EXISTANT"))</f>
        <v/>
      </c>
    </row>
    <row r="199" customFormat="false" ht="15" hidden="false" customHeight="true" outlineLevel="0" collapsed="false">
      <c r="A199" s="8"/>
      <c r="B199" s="8"/>
      <c r="C199" s="8"/>
      <c r="D199" s="8"/>
      <c r="E199" s="8"/>
      <c r="F199" s="8"/>
      <c r="G199" s="8"/>
      <c r="H199" s="8" t="str">
        <f aca="false">IF(A199="","",IF(COUNTIF(A1_Etudiants!$B$3:$B$50000,A199)=0,"NOUVEAU","EXISTANT"))</f>
        <v/>
      </c>
    </row>
    <row r="200" customFormat="false" ht="15" hidden="false" customHeight="true" outlineLevel="0" collapsed="false">
      <c r="A200" s="8"/>
      <c r="B200" s="8"/>
      <c r="C200" s="8"/>
      <c r="D200" s="8"/>
      <c r="E200" s="8"/>
      <c r="F200" s="8"/>
      <c r="G200" s="8"/>
      <c r="H200" s="8" t="str">
        <f aca="false">IF(A200="","",IF(COUNTIF(A1_Etudiants!$B$3:$B$50000,A200)=0,"NOUVEAU","EXISTANT"))</f>
        <v/>
      </c>
    </row>
    <row r="201" customFormat="false" ht="15" hidden="false" customHeight="true" outlineLevel="0" collapsed="false">
      <c r="A201" s="8"/>
      <c r="B201" s="8"/>
      <c r="C201" s="8"/>
      <c r="D201" s="8"/>
      <c r="E201" s="8"/>
      <c r="F201" s="8"/>
      <c r="G201" s="8"/>
      <c r="H201" s="8" t="str">
        <f aca="false">IF(A201="","",IF(COUNTIF(A1_Etudiants!$B$3:$B$50000,A201)=0,"NOUVEAU","EXISTANT"))</f>
        <v/>
      </c>
    </row>
    <row r="202" customFormat="false" ht="15" hidden="false" customHeight="true" outlineLevel="0" collapsed="false">
      <c r="A202" s="8"/>
      <c r="B202" s="8"/>
      <c r="C202" s="8"/>
      <c r="D202" s="8"/>
      <c r="E202" s="8"/>
      <c r="F202" s="8"/>
      <c r="G202" s="8"/>
      <c r="H202" s="8" t="str">
        <f aca="false">IF(A202="","",IF(COUNTIF(A1_Etudiants!$B$3:$B$50000,A202)=0,"NOUVEAU","EXISTANT"))</f>
        <v/>
      </c>
    </row>
    <row r="203" customFormat="false" ht="15" hidden="false" customHeight="true" outlineLevel="0" collapsed="false">
      <c r="A203" s="8"/>
      <c r="B203" s="8"/>
      <c r="C203" s="8"/>
      <c r="D203" s="8"/>
      <c r="E203" s="8"/>
      <c r="F203" s="8"/>
      <c r="G203" s="8"/>
      <c r="H203" s="8" t="str">
        <f aca="false">IF(A203="","",IF(COUNTIF(A1_Etudiants!$B$3:$B$50000,A203)=0,"NOUVEAU","EXISTANT"))</f>
        <v/>
      </c>
    </row>
    <row r="204" customFormat="false" ht="15" hidden="false" customHeight="true" outlineLevel="0" collapsed="false">
      <c r="A204" s="8"/>
      <c r="B204" s="8"/>
      <c r="C204" s="8"/>
      <c r="D204" s="8"/>
      <c r="E204" s="8"/>
      <c r="F204" s="8"/>
      <c r="G204" s="8"/>
      <c r="H204" s="8" t="str">
        <f aca="false">IF(A204="","",IF(COUNTIF(A1_Etudiants!$B$3:$B$50000,A204)=0,"NOUVEAU","EXISTANT"))</f>
        <v/>
      </c>
    </row>
    <row r="205" customFormat="false" ht="15" hidden="false" customHeight="true" outlineLevel="0" collapsed="false">
      <c r="A205" s="8"/>
      <c r="B205" s="8"/>
      <c r="C205" s="8"/>
      <c r="D205" s="8"/>
      <c r="E205" s="8"/>
      <c r="F205" s="8"/>
      <c r="G205" s="8"/>
      <c r="H205" s="8" t="str">
        <f aca="false">IF(A205="","",IF(COUNTIF(A1_Etudiants!$B$3:$B$50000,A205)=0,"NOUVEAU","EXISTANT"))</f>
        <v/>
      </c>
    </row>
    <row r="206" customFormat="false" ht="15" hidden="false" customHeight="true" outlineLevel="0" collapsed="false">
      <c r="A206" s="8"/>
      <c r="B206" s="8"/>
      <c r="C206" s="8"/>
      <c r="D206" s="8"/>
      <c r="E206" s="8"/>
      <c r="F206" s="8"/>
      <c r="G206" s="8"/>
      <c r="H206" s="8" t="str">
        <f aca="false">IF(A206="","",IF(COUNTIF(A1_Etudiants!$B$3:$B$50000,A206)=0,"NOUVEAU","EXISTANT"))</f>
        <v/>
      </c>
    </row>
    <row r="207" customFormat="false" ht="15" hidden="false" customHeight="true" outlineLevel="0" collapsed="false">
      <c r="A207" s="8"/>
      <c r="B207" s="8"/>
      <c r="C207" s="8"/>
      <c r="D207" s="8"/>
      <c r="E207" s="8"/>
      <c r="F207" s="8"/>
      <c r="G207" s="8"/>
      <c r="H207" s="8" t="str">
        <f aca="false">IF(A207="","",IF(COUNTIF(A1_Etudiants!$B$3:$B$50000,A207)=0,"NOUVEAU","EXISTANT"))</f>
        <v/>
      </c>
    </row>
    <row r="208" customFormat="false" ht="15" hidden="false" customHeight="true" outlineLevel="0" collapsed="false">
      <c r="A208" s="8"/>
      <c r="B208" s="8"/>
      <c r="C208" s="8"/>
      <c r="D208" s="8"/>
      <c r="E208" s="8"/>
      <c r="F208" s="8"/>
      <c r="G208" s="8"/>
      <c r="H208" s="8" t="str">
        <f aca="false">IF(A208="","",IF(COUNTIF(A1_Etudiants!$B$3:$B$50000,A208)=0,"NOUVEAU","EXISTANT"))</f>
        <v/>
      </c>
    </row>
    <row r="209" customFormat="false" ht="15" hidden="false" customHeight="true" outlineLevel="0" collapsed="false">
      <c r="A209" s="8"/>
      <c r="B209" s="8"/>
      <c r="C209" s="8"/>
      <c r="D209" s="8"/>
      <c r="E209" s="8"/>
      <c r="F209" s="8"/>
      <c r="G209" s="8"/>
      <c r="H209" s="8" t="str">
        <f aca="false">IF(A209="","",IF(COUNTIF(A1_Etudiants!$B$3:$B$50000,A209)=0,"NOUVEAU","EXISTANT"))</f>
        <v/>
      </c>
    </row>
    <row r="210" customFormat="false" ht="15" hidden="false" customHeight="true" outlineLevel="0" collapsed="false">
      <c r="A210" s="8"/>
      <c r="B210" s="8"/>
      <c r="C210" s="8"/>
      <c r="D210" s="8"/>
      <c r="E210" s="8"/>
      <c r="F210" s="8"/>
      <c r="G210" s="8"/>
      <c r="H210" s="8" t="str">
        <f aca="false">IF(A210="","",IF(COUNTIF(A1_Etudiants!$B$3:$B$50000,A210)=0,"NOUVEAU","EXISTANT"))</f>
        <v/>
      </c>
    </row>
    <row r="211" customFormat="false" ht="15" hidden="false" customHeight="true" outlineLevel="0" collapsed="false">
      <c r="A211" s="8"/>
      <c r="B211" s="8"/>
      <c r="C211" s="8"/>
      <c r="D211" s="8"/>
      <c r="E211" s="8"/>
      <c r="F211" s="8"/>
      <c r="G211" s="8"/>
      <c r="H211" s="8" t="str">
        <f aca="false">IF(A211="","",IF(COUNTIF(A1_Etudiants!$B$3:$B$50000,A211)=0,"NOUVEAU","EXISTANT"))</f>
        <v/>
      </c>
    </row>
    <row r="212" customFormat="false" ht="15" hidden="false" customHeight="true" outlineLevel="0" collapsed="false">
      <c r="A212" s="8"/>
      <c r="B212" s="8"/>
      <c r="C212" s="8"/>
      <c r="D212" s="8"/>
      <c r="E212" s="8"/>
      <c r="F212" s="8"/>
      <c r="G212" s="8"/>
      <c r="H212" s="8" t="str">
        <f aca="false">IF(A212="","",IF(COUNTIF(A1_Etudiants!$B$3:$B$50000,A212)=0,"NOUVEAU","EXISTANT"))</f>
        <v/>
      </c>
    </row>
    <row r="213" customFormat="false" ht="15" hidden="false" customHeight="true" outlineLevel="0" collapsed="false">
      <c r="A213" s="8"/>
      <c r="B213" s="8"/>
      <c r="C213" s="8"/>
      <c r="D213" s="8"/>
      <c r="E213" s="8"/>
      <c r="F213" s="8"/>
      <c r="G213" s="8"/>
      <c r="H213" s="8" t="str">
        <f aca="false">IF(A213="","",IF(COUNTIF(A1_Etudiants!$B$3:$B$50000,A213)=0,"NOUVEAU","EXISTANT"))</f>
        <v/>
      </c>
    </row>
    <row r="214" customFormat="false" ht="15" hidden="false" customHeight="true" outlineLevel="0" collapsed="false">
      <c r="A214" s="8"/>
      <c r="B214" s="8"/>
      <c r="C214" s="8"/>
      <c r="D214" s="8"/>
      <c r="E214" s="8"/>
      <c r="F214" s="8"/>
      <c r="G214" s="8"/>
      <c r="H214" s="8" t="str">
        <f aca="false">IF(A214="","",IF(COUNTIF(A1_Etudiants!$B$3:$B$50000,A214)=0,"NOUVEAU","EXISTANT"))</f>
        <v/>
      </c>
    </row>
    <row r="215" customFormat="false" ht="15" hidden="false" customHeight="true" outlineLevel="0" collapsed="false">
      <c r="A215" s="8"/>
      <c r="B215" s="8"/>
      <c r="C215" s="8"/>
      <c r="D215" s="8"/>
      <c r="E215" s="8"/>
      <c r="F215" s="8"/>
      <c r="G215" s="8"/>
      <c r="H215" s="8" t="str">
        <f aca="false">IF(A215="","",IF(COUNTIF(A1_Etudiants!$B$3:$B$50000,A215)=0,"NOUVEAU","EXISTANT"))</f>
        <v/>
      </c>
    </row>
    <row r="216" customFormat="false" ht="15" hidden="false" customHeight="true" outlineLevel="0" collapsed="false">
      <c r="A216" s="8"/>
      <c r="B216" s="8"/>
      <c r="C216" s="8"/>
      <c r="D216" s="8"/>
      <c r="E216" s="8"/>
      <c r="F216" s="8"/>
      <c r="G216" s="8"/>
      <c r="H216" s="8" t="str">
        <f aca="false">IF(A216="","",IF(COUNTIF(A1_Etudiants!$B$3:$B$50000,A216)=0,"NOUVEAU","EXISTANT"))</f>
        <v/>
      </c>
    </row>
    <row r="217" customFormat="false" ht="15" hidden="false" customHeight="true" outlineLevel="0" collapsed="false">
      <c r="A217" s="8"/>
      <c r="B217" s="8"/>
      <c r="C217" s="8"/>
      <c r="D217" s="8"/>
      <c r="E217" s="8"/>
      <c r="F217" s="8"/>
      <c r="G217" s="8"/>
      <c r="H217" s="8" t="str">
        <f aca="false">IF(A217="","",IF(COUNTIF(A1_Etudiants!$B$3:$B$50000,A217)=0,"NOUVEAU","EXISTANT"))</f>
        <v/>
      </c>
    </row>
    <row r="218" customFormat="false" ht="15" hidden="false" customHeight="true" outlineLevel="0" collapsed="false">
      <c r="A218" s="8"/>
      <c r="B218" s="8"/>
      <c r="C218" s="8"/>
      <c r="D218" s="8"/>
      <c r="E218" s="8"/>
      <c r="F218" s="8"/>
      <c r="G218" s="8"/>
      <c r="H218" s="8" t="str">
        <f aca="false">IF(A218="","",IF(COUNTIF(A1_Etudiants!$B$3:$B$50000,A218)=0,"NOUVEAU","EXISTANT"))</f>
        <v/>
      </c>
    </row>
    <row r="219" customFormat="false" ht="15" hidden="false" customHeight="true" outlineLevel="0" collapsed="false">
      <c r="A219" s="8"/>
      <c r="B219" s="8"/>
      <c r="C219" s="8"/>
      <c r="D219" s="8"/>
      <c r="E219" s="8"/>
      <c r="F219" s="8"/>
      <c r="G219" s="8"/>
      <c r="H219" s="8" t="str">
        <f aca="false">IF(A219="","",IF(COUNTIF(A1_Etudiants!$B$3:$B$50000,A219)=0,"NOUVEAU","EXISTANT"))</f>
        <v/>
      </c>
    </row>
    <row r="220" customFormat="false" ht="15" hidden="false" customHeight="true" outlineLevel="0" collapsed="false">
      <c r="A220" s="8"/>
      <c r="B220" s="8"/>
      <c r="C220" s="8"/>
      <c r="D220" s="8"/>
      <c r="E220" s="8"/>
      <c r="F220" s="8"/>
      <c r="G220" s="8"/>
      <c r="H220" s="8" t="str">
        <f aca="false">IF(A220="","",IF(COUNTIF(A1_Etudiants!$B$3:$B$50000,A220)=0,"NOUVEAU","EXISTANT"))</f>
        <v/>
      </c>
    </row>
    <row r="221" customFormat="false" ht="15" hidden="false" customHeight="true" outlineLevel="0" collapsed="false">
      <c r="A221" s="8"/>
      <c r="B221" s="8"/>
      <c r="C221" s="8"/>
      <c r="D221" s="8"/>
      <c r="E221" s="8"/>
      <c r="F221" s="8"/>
      <c r="G221" s="8"/>
      <c r="H221" s="8" t="str">
        <f aca="false">IF(A221="","",IF(COUNTIF(A1_Etudiants!$B$3:$B$50000,A221)=0,"NOUVEAU","EXISTANT"))</f>
        <v/>
      </c>
    </row>
    <row r="222" customFormat="false" ht="15" hidden="false" customHeight="true" outlineLevel="0" collapsed="false">
      <c r="A222" s="8"/>
      <c r="B222" s="8"/>
      <c r="C222" s="8"/>
      <c r="D222" s="8"/>
      <c r="E222" s="8"/>
      <c r="F222" s="8"/>
      <c r="G222" s="8"/>
      <c r="H222" s="8" t="str">
        <f aca="false">IF(A222="","",IF(COUNTIF(A1_Etudiants!$B$3:$B$50000,A222)=0,"NOUVEAU","EXISTANT"))</f>
        <v/>
      </c>
    </row>
    <row r="223" customFormat="false" ht="15" hidden="false" customHeight="true" outlineLevel="0" collapsed="false">
      <c r="A223" s="8"/>
      <c r="B223" s="8"/>
      <c r="C223" s="8"/>
      <c r="D223" s="8"/>
      <c r="E223" s="8"/>
      <c r="F223" s="8"/>
      <c r="G223" s="8"/>
      <c r="H223" s="8" t="str">
        <f aca="false">IF(A223="","",IF(COUNTIF(A1_Etudiants!$B$3:$B$50000,A223)=0,"NOUVEAU","EXISTANT"))</f>
        <v/>
      </c>
    </row>
    <row r="224" customFormat="false" ht="15" hidden="false" customHeight="true" outlineLevel="0" collapsed="false">
      <c r="A224" s="8"/>
      <c r="B224" s="8"/>
      <c r="C224" s="8"/>
      <c r="D224" s="8"/>
      <c r="E224" s="8"/>
      <c r="F224" s="8"/>
      <c r="G224" s="8"/>
      <c r="H224" s="8" t="str">
        <f aca="false">IF(A224="","",IF(COUNTIF(A1_Etudiants!$B$3:$B$50000,A224)=0,"NOUVEAU","EXISTANT"))</f>
        <v/>
      </c>
    </row>
    <row r="225" customFormat="false" ht="15" hidden="false" customHeight="true" outlineLevel="0" collapsed="false">
      <c r="A225" s="8"/>
      <c r="B225" s="8"/>
      <c r="C225" s="8"/>
      <c r="D225" s="8"/>
      <c r="E225" s="8"/>
      <c r="F225" s="8"/>
      <c r="G225" s="8"/>
      <c r="H225" s="8" t="str">
        <f aca="false">IF(A225="","",IF(COUNTIF(A1_Etudiants!$B$3:$B$50000,A225)=0,"NOUVEAU","EXISTANT"))</f>
        <v/>
      </c>
    </row>
    <row r="226" customFormat="false" ht="15" hidden="false" customHeight="true" outlineLevel="0" collapsed="false">
      <c r="A226" s="8"/>
      <c r="B226" s="8"/>
      <c r="C226" s="8"/>
      <c r="D226" s="8"/>
      <c r="E226" s="8"/>
      <c r="F226" s="8"/>
      <c r="G226" s="8"/>
      <c r="H226" s="8" t="str">
        <f aca="false">IF(A226="","",IF(COUNTIF(A1_Etudiants!$B$3:$B$50000,A226)=0,"NOUVEAU","EXISTANT"))</f>
        <v/>
      </c>
    </row>
    <row r="227" customFormat="false" ht="15" hidden="false" customHeight="true" outlineLevel="0" collapsed="false">
      <c r="A227" s="8"/>
      <c r="B227" s="8"/>
      <c r="C227" s="8"/>
      <c r="D227" s="8"/>
      <c r="E227" s="8"/>
      <c r="F227" s="8"/>
      <c r="G227" s="8"/>
      <c r="H227" s="8" t="str">
        <f aca="false">IF(A227="","",IF(COUNTIF(A1_Etudiants!$B$3:$B$50000,A227)=0,"NOUVEAU","EXISTANT"))</f>
        <v/>
      </c>
    </row>
    <row r="228" customFormat="false" ht="15" hidden="false" customHeight="true" outlineLevel="0" collapsed="false">
      <c r="A228" s="8"/>
      <c r="B228" s="8"/>
      <c r="C228" s="8"/>
      <c r="D228" s="8"/>
      <c r="E228" s="8"/>
      <c r="F228" s="8"/>
      <c r="G228" s="8"/>
      <c r="H228" s="8" t="str">
        <f aca="false">IF(A228="","",IF(COUNTIF(A1_Etudiants!$B$3:$B$50000,A228)=0,"NOUVEAU","EXISTANT"))</f>
        <v/>
      </c>
    </row>
    <row r="229" customFormat="false" ht="15" hidden="false" customHeight="true" outlineLevel="0" collapsed="false">
      <c r="A229" s="8"/>
      <c r="B229" s="8"/>
      <c r="C229" s="8"/>
      <c r="D229" s="8"/>
      <c r="E229" s="8"/>
      <c r="F229" s="8"/>
      <c r="G229" s="8"/>
      <c r="H229" s="8" t="str">
        <f aca="false">IF(A229="","",IF(COUNTIF(A1_Etudiants!$B$3:$B$50000,A229)=0,"NOUVEAU","EXISTANT"))</f>
        <v/>
      </c>
    </row>
    <row r="230" customFormat="false" ht="15" hidden="false" customHeight="true" outlineLevel="0" collapsed="false">
      <c r="A230" s="8"/>
      <c r="B230" s="8"/>
      <c r="C230" s="8"/>
      <c r="D230" s="8"/>
      <c r="E230" s="8"/>
      <c r="F230" s="8"/>
      <c r="G230" s="8"/>
      <c r="H230" s="8" t="str">
        <f aca="false">IF(A230="","",IF(COUNTIF(A1_Etudiants!$B$3:$B$50000,A230)=0,"NOUVEAU","EXISTANT"))</f>
        <v/>
      </c>
    </row>
    <row r="231" customFormat="false" ht="15" hidden="false" customHeight="true" outlineLevel="0" collapsed="false">
      <c r="A231" s="8"/>
      <c r="B231" s="8"/>
      <c r="C231" s="8"/>
      <c r="D231" s="8"/>
      <c r="E231" s="8"/>
      <c r="F231" s="8"/>
      <c r="G231" s="8"/>
      <c r="H231" s="8" t="str">
        <f aca="false">IF(A231="","",IF(COUNTIF(A1_Etudiants!$B$3:$B$50000,A231)=0,"NOUVEAU","EXISTANT"))</f>
        <v/>
      </c>
    </row>
    <row r="232" customFormat="false" ht="15" hidden="false" customHeight="true" outlineLevel="0" collapsed="false">
      <c r="A232" s="8"/>
      <c r="B232" s="8"/>
      <c r="C232" s="8"/>
      <c r="D232" s="8"/>
      <c r="E232" s="8"/>
      <c r="F232" s="8"/>
      <c r="G232" s="8"/>
      <c r="H232" s="8" t="str">
        <f aca="false">IF(A232="","",IF(COUNTIF(A1_Etudiants!$B$3:$B$50000,A232)=0,"NOUVEAU","EXISTANT"))</f>
        <v/>
      </c>
    </row>
    <row r="233" customFormat="false" ht="15" hidden="false" customHeight="true" outlineLevel="0" collapsed="false">
      <c r="A233" s="8"/>
      <c r="B233" s="8"/>
      <c r="C233" s="8"/>
      <c r="D233" s="8"/>
      <c r="E233" s="8"/>
      <c r="F233" s="8"/>
      <c r="G233" s="8"/>
      <c r="H233" s="8" t="str">
        <f aca="false">IF(A233="","",IF(COUNTIF(A1_Etudiants!$B$3:$B$50000,A233)=0,"NOUVEAU","EXISTANT"))</f>
        <v/>
      </c>
    </row>
    <row r="234" customFormat="false" ht="15" hidden="false" customHeight="true" outlineLevel="0" collapsed="false">
      <c r="A234" s="8"/>
      <c r="B234" s="8"/>
      <c r="C234" s="8"/>
      <c r="D234" s="8"/>
      <c r="E234" s="8"/>
      <c r="F234" s="8"/>
      <c r="G234" s="8"/>
      <c r="H234" s="8" t="str">
        <f aca="false">IF(A234="","",IF(COUNTIF(A1_Etudiants!$B$3:$B$50000,A234)=0,"NOUVEAU","EXISTANT"))</f>
        <v/>
      </c>
    </row>
    <row r="235" customFormat="false" ht="15" hidden="false" customHeight="true" outlineLevel="0" collapsed="false">
      <c r="A235" s="8"/>
      <c r="B235" s="8"/>
      <c r="C235" s="8"/>
      <c r="D235" s="8"/>
      <c r="E235" s="8"/>
      <c r="F235" s="8"/>
      <c r="G235" s="8"/>
      <c r="H235" s="8" t="str">
        <f aca="false">IF(A235="","",IF(COUNTIF(A1_Etudiants!$B$3:$B$50000,A235)=0,"NOUVEAU","EXISTANT"))</f>
        <v/>
      </c>
    </row>
    <row r="236" customFormat="false" ht="15" hidden="false" customHeight="true" outlineLevel="0" collapsed="false">
      <c r="A236" s="8"/>
      <c r="B236" s="8"/>
      <c r="C236" s="8"/>
      <c r="D236" s="8"/>
      <c r="E236" s="8"/>
      <c r="F236" s="8"/>
      <c r="G236" s="8"/>
      <c r="H236" s="8" t="str">
        <f aca="false">IF(A236="","",IF(COUNTIF(A1_Etudiants!$B$3:$B$50000,A236)=0,"NOUVEAU","EXISTANT"))</f>
        <v/>
      </c>
    </row>
    <row r="237" customFormat="false" ht="15" hidden="false" customHeight="true" outlineLevel="0" collapsed="false">
      <c r="A237" s="8"/>
      <c r="B237" s="8"/>
      <c r="C237" s="8"/>
      <c r="D237" s="8"/>
      <c r="E237" s="8"/>
      <c r="F237" s="8"/>
      <c r="G237" s="8"/>
      <c r="H237" s="8" t="str">
        <f aca="false">IF(A237="","",IF(COUNTIF(A1_Etudiants!$B$3:$B$50000,A237)=0,"NOUVEAU","EXISTANT"))</f>
        <v/>
      </c>
    </row>
    <row r="238" customFormat="false" ht="15" hidden="false" customHeight="true" outlineLevel="0" collapsed="false">
      <c r="A238" s="8"/>
      <c r="B238" s="8"/>
      <c r="C238" s="8"/>
      <c r="D238" s="8"/>
      <c r="E238" s="8"/>
      <c r="F238" s="8"/>
      <c r="G238" s="8"/>
      <c r="H238" s="8" t="str">
        <f aca="false">IF(A238="","",IF(COUNTIF(A1_Etudiants!$B$3:$B$50000,A238)=0,"NOUVEAU","EXISTANT"))</f>
        <v/>
      </c>
    </row>
    <row r="239" customFormat="false" ht="15" hidden="false" customHeight="true" outlineLevel="0" collapsed="false">
      <c r="A239" s="8"/>
      <c r="B239" s="8"/>
      <c r="C239" s="8"/>
      <c r="D239" s="8"/>
      <c r="E239" s="8"/>
      <c r="F239" s="8"/>
      <c r="G239" s="8"/>
      <c r="H239" s="8" t="str">
        <f aca="false">IF(A239="","",IF(COUNTIF(A1_Etudiants!$B$3:$B$50000,A239)=0,"NOUVEAU","EXISTANT"))</f>
        <v/>
      </c>
    </row>
    <row r="240" customFormat="false" ht="15" hidden="false" customHeight="true" outlineLevel="0" collapsed="false">
      <c r="A240" s="8"/>
      <c r="B240" s="8"/>
      <c r="C240" s="8"/>
      <c r="D240" s="8"/>
      <c r="E240" s="8"/>
      <c r="F240" s="8"/>
      <c r="G240" s="8"/>
      <c r="H240" s="8" t="str">
        <f aca="false">IF(A240="","",IF(COUNTIF(A1_Etudiants!$B$3:$B$50000,A240)=0,"NOUVEAU","EXISTANT"))</f>
        <v/>
      </c>
    </row>
    <row r="241" customFormat="false" ht="15" hidden="false" customHeight="true" outlineLevel="0" collapsed="false">
      <c r="A241" s="8"/>
      <c r="B241" s="8"/>
      <c r="C241" s="8"/>
      <c r="D241" s="8"/>
      <c r="E241" s="8"/>
      <c r="F241" s="8"/>
      <c r="G241" s="8"/>
      <c r="H241" s="8" t="str">
        <f aca="false">IF(A241="","",IF(COUNTIF(A1_Etudiants!$B$3:$B$50000,A241)=0,"NOUVEAU","EXISTANT"))</f>
        <v/>
      </c>
    </row>
    <row r="242" customFormat="false" ht="15" hidden="false" customHeight="true" outlineLevel="0" collapsed="false">
      <c r="A242" s="8"/>
      <c r="B242" s="8"/>
      <c r="C242" s="8"/>
      <c r="D242" s="8"/>
      <c r="E242" s="8"/>
      <c r="F242" s="8"/>
      <c r="G242" s="8"/>
      <c r="H242" s="8" t="str">
        <f aca="false">IF(A242="","",IF(COUNTIF(A1_Etudiants!$B$3:$B$50000,A242)=0,"NOUVEAU","EXISTANT"))</f>
        <v/>
      </c>
    </row>
    <row r="243" customFormat="false" ht="15" hidden="false" customHeight="true" outlineLevel="0" collapsed="false">
      <c r="A243" s="8"/>
      <c r="B243" s="8"/>
      <c r="C243" s="8"/>
      <c r="D243" s="8"/>
      <c r="E243" s="8"/>
      <c r="F243" s="8"/>
      <c r="G243" s="8"/>
      <c r="H243" s="8" t="str">
        <f aca="false">IF(A243="","",IF(COUNTIF(A1_Etudiants!$B$3:$B$50000,A243)=0,"NOUVEAU","EXISTANT"))</f>
        <v/>
      </c>
    </row>
    <row r="244" customFormat="false" ht="15" hidden="false" customHeight="true" outlineLevel="0" collapsed="false">
      <c r="A244" s="8"/>
      <c r="B244" s="8"/>
      <c r="C244" s="8"/>
      <c r="D244" s="8"/>
      <c r="E244" s="8"/>
      <c r="F244" s="8"/>
      <c r="G244" s="8"/>
      <c r="H244" s="8" t="str">
        <f aca="false">IF(A244="","",IF(COUNTIF(A1_Etudiants!$B$3:$B$50000,A244)=0,"NOUVEAU","EXISTANT"))</f>
        <v/>
      </c>
    </row>
    <row r="245" customFormat="false" ht="15" hidden="false" customHeight="true" outlineLevel="0" collapsed="false">
      <c r="A245" s="8"/>
      <c r="B245" s="8"/>
      <c r="C245" s="8"/>
      <c r="D245" s="8"/>
      <c r="E245" s="8"/>
      <c r="F245" s="8"/>
      <c r="G245" s="8"/>
      <c r="H245" s="8" t="str">
        <f aca="false">IF(A245="","",IF(COUNTIF(A1_Etudiants!$B$3:$B$50000,A245)=0,"NOUVEAU","EXISTANT"))</f>
        <v/>
      </c>
    </row>
    <row r="246" customFormat="false" ht="15" hidden="false" customHeight="true" outlineLevel="0" collapsed="false">
      <c r="A246" s="8"/>
      <c r="B246" s="8"/>
      <c r="C246" s="8"/>
      <c r="D246" s="8"/>
      <c r="E246" s="8"/>
      <c r="F246" s="8"/>
      <c r="G246" s="8"/>
      <c r="H246" s="8" t="str">
        <f aca="false">IF(A246="","",IF(COUNTIF(A1_Etudiants!$B$3:$B$50000,A246)=0,"NOUVEAU","EXISTANT"))</f>
        <v/>
      </c>
    </row>
    <row r="247" customFormat="false" ht="15" hidden="false" customHeight="true" outlineLevel="0" collapsed="false">
      <c r="A247" s="8"/>
      <c r="B247" s="8"/>
      <c r="C247" s="8"/>
      <c r="D247" s="8"/>
      <c r="E247" s="8"/>
      <c r="F247" s="8"/>
      <c r="G247" s="8"/>
      <c r="H247" s="8" t="str">
        <f aca="false">IF(A247="","",IF(COUNTIF(A1_Etudiants!$B$3:$B$50000,A247)=0,"NOUVEAU","EXISTANT"))</f>
        <v/>
      </c>
    </row>
    <row r="248" customFormat="false" ht="15" hidden="false" customHeight="true" outlineLevel="0" collapsed="false">
      <c r="A248" s="8"/>
      <c r="B248" s="8"/>
      <c r="C248" s="8"/>
      <c r="D248" s="8"/>
      <c r="E248" s="8"/>
      <c r="F248" s="8"/>
      <c r="G248" s="8"/>
      <c r="H248" s="8" t="str">
        <f aca="false">IF(A248="","",IF(COUNTIF(A1_Etudiants!$B$3:$B$50000,A248)=0,"NOUVEAU","EXISTANT"))</f>
        <v/>
      </c>
    </row>
    <row r="249" customFormat="false" ht="15" hidden="false" customHeight="true" outlineLevel="0" collapsed="false">
      <c r="A249" s="8"/>
      <c r="B249" s="8"/>
      <c r="C249" s="8"/>
      <c r="D249" s="8"/>
      <c r="E249" s="8"/>
      <c r="F249" s="8"/>
      <c r="G249" s="8"/>
      <c r="H249" s="8" t="str">
        <f aca="false">IF(A249="","",IF(COUNTIF(A1_Etudiants!$B$3:$B$50000,A249)=0,"NOUVEAU","EXISTANT"))</f>
        <v/>
      </c>
    </row>
    <row r="250" customFormat="false" ht="15" hidden="false" customHeight="true" outlineLevel="0" collapsed="false">
      <c r="A250" s="8"/>
      <c r="B250" s="8"/>
      <c r="C250" s="8"/>
      <c r="D250" s="8"/>
      <c r="E250" s="8"/>
      <c r="F250" s="8"/>
      <c r="G250" s="8"/>
      <c r="H250" s="8" t="str">
        <f aca="false">IF(A250="","",IF(COUNTIF(A1_Etudiants!$B$3:$B$50000,A250)=0,"NOUVEAU","EXISTANT"))</f>
        <v/>
      </c>
    </row>
    <row r="251" customFormat="false" ht="15" hidden="false" customHeight="true" outlineLevel="0" collapsed="false">
      <c r="A251" s="8"/>
      <c r="B251" s="8"/>
      <c r="C251" s="8"/>
      <c r="D251" s="8"/>
      <c r="E251" s="8"/>
      <c r="F251" s="8"/>
      <c r="G251" s="8"/>
      <c r="H251" s="8" t="str">
        <f aca="false">IF(A251="","",IF(COUNTIF(A1_Etudiants!$B$3:$B$50000,A251)=0,"NOUVEAU","EXISTANT"))</f>
        <v/>
      </c>
    </row>
    <row r="252" customFormat="false" ht="15" hidden="false" customHeight="true" outlineLevel="0" collapsed="false">
      <c r="A252" s="8"/>
      <c r="B252" s="8"/>
      <c r="C252" s="8"/>
      <c r="D252" s="8"/>
      <c r="E252" s="8"/>
      <c r="F252" s="8"/>
      <c r="G252" s="8"/>
      <c r="H252" s="8" t="str">
        <f aca="false">IF(A252="","",IF(COUNTIF(A1_Etudiants!$B$3:$B$50000,A252)=0,"NOUVEAU","EXISTANT"))</f>
        <v/>
      </c>
    </row>
    <row r="253" customFormat="false" ht="15" hidden="false" customHeight="true" outlineLevel="0" collapsed="false">
      <c r="A253" s="8"/>
      <c r="B253" s="8"/>
      <c r="C253" s="8"/>
      <c r="D253" s="8"/>
      <c r="E253" s="8"/>
      <c r="F253" s="8"/>
      <c r="G253" s="8"/>
      <c r="H253" s="8" t="str">
        <f aca="false">IF(A253="","",IF(COUNTIF(A1_Etudiants!$B$3:$B$50000,A253)=0,"NOUVEAU","EXISTANT"))</f>
        <v/>
      </c>
    </row>
    <row r="254" customFormat="false" ht="15" hidden="false" customHeight="true" outlineLevel="0" collapsed="false">
      <c r="A254" s="8"/>
      <c r="B254" s="8"/>
      <c r="C254" s="8"/>
      <c r="D254" s="8"/>
      <c r="E254" s="8"/>
      <c r="F254" s="8"/>
      <c r="G254" s="8"/>
      <c r="H254" s="8" t="str">
        <f aca="false">IF(A254="","",IF(COUNTIF(A1_Etudiants!$B$3:$B$50000,A254)=0,"NOUVEAU","EXISTANT"))</f>
        <v/>
      </c>
    </row>
    <row r="255" customFormat="false" ht="15" hidden="false" customHeight="true" outlineLevel="0" collapsed="false">
      <c r="A255" s="8"/>
      <c r="B255" s="8"/>
      <c r="C255" s="8"/>
      <c r="D255" s="8"/>
      <c r="E255" s="8"/>
      <c r="F255" s="8"/>
      <c r="G255" s="8"/>
      <c r="H255" s="8" t="str">
        <f aca="false">IF(A255="","",IF(COUNTIF(A1_Etudiants!$B$3:$B$50000,A255)=0,"NOUVEAU","EXISTANT"))</f>
        <v/>
      </c>
    </row>
    <row r="256" customFormat="false" ht="15" hidden="false" customHeight="true" outlineLevel="0" collapsed="false">
      <c r="A256" s="8"/>
      <c r="B256" s="8"/>
      <c r="C256" s="8"/>
      <c r="D256" s="8"/>
      <c r="E256" s="8"/>
      <c r="F256" s="8"/>
      <c r="G256" s="8"/>
      <c r="H256" s="8" t="str">
        <f aca="false">IF(A256="","",IF(COUNTIF(A1_Etudiants!$B$3:$B$50000,A256)=0,"NOUVEAU","EXISTANT"))</f>
        <v/>
      </c>
    </row>
    <row r="257" customFormat="false" ht="15" hidden="false" customHeight="true" outlineLevel="0" collapsed="false">
      <c r="A257" s="8"/>
      <c r="B257" s="8"/>
      <c r="C257" s="8"/>
      <c r="D257" s="8"/>
      <c r="E257" s="8"/>
      <c r="F257" s="8"/>
      <c r="G257" s="8"/>
      <c r="H257" s="8" t="str">
        <f aca="false">IF(A257="","",IF(COUNTIF(A1_Etudiants!$B$3:$B$50000,A257)=0,"NOUVEAU","EXISTANT"))</f>
        <v/>
      </c>
    </row>
    <row r="258" customFormat="false" ht="15" hidden="false" customHeight="true" outlineLevel="0" collapsed="false">
      <c r="A258" s="8"/>
      <c r="B258" s="8"/>
      <c r="C258" s="8"/>
      <c r="D258" s="8"/>
      <c r="E258" s="8"/>
      <c r="F258" s="8"/>
      <c r="G258" s="8"/>
      <c r="H258" s="8" t="str">
        <f aca="false">IF(A258="","",IF(COUNTIF(A1_Etudiants!$B$3:$B$50000,A258)=0,"NOUVEAU","EXISTANT"))</f>
        <v/>
      </c>
    </row>
    <row r="259" customFormat="false" ht="15" hidden="false" customHeight="true" outlineLevel="0" collapsed="false">
      <c r="A259" s="8"/>
      <c r="B259" s="8"/>
      <c r="C259" s="8"/>
      <c r="D259" s="8"/>
      <c r="E259" s="8"/>
      <c r="F259" s="8"/>
      <c r="G259" s="8"/>
      <c r="H259" s="8" t="str">
        <f aca="false">IF(A259="","",IF(COUNTIF(A1_Etudiants!$B$3:$B$50000,A259)=0,"NOUVEAU","EXISTANT"))</f>
        <v/>
      </c>
    </row>
    <row r="260" customFormat="false" ht="15" hidden="false" customHeight="true" outlineLevel="0" collapsed="false">
      <c r="A260" s="8"/>
      <c r="B260" s="8"/>
      <c r="C260" s="8"/>
      <c r="D260" s="8"/>
      <c r="E260" s="8"/>
      <c r="F260" s="8"/>
      <c r="G260" s="8"/>
      <c r="H260" s="8" t="str">
        <f aca="false">IF(A260="","",IF(COUNTIF(A1_Etudiants!$B$3:$B$50000,A260)=0,"NOUVEAU","EXISTANT"))</f>
        <v/>
      </c>
    </row>
    <row r="261" customFormat="false" ht="15" hidden="false" customHeight="true" outlineLevel="0" collapsed="false">
      <c r="A261" s="8"/>
      <c r="B261" s="8"/>
      <c r="C261" s="8"/>
      <c r="D261" s="8"/>
      <c r="E261" s="8"/>
      <c r="F261" s="8"/>
      <c r="G261" s="8"/>
      <c r="H261" s="8" t="str">
        <f aca="false">IF(A261="","",IF(COUNTIF(A1_Etudiants!$B$3:$B$50000,A261)=0,"NOUVEAU","EXISTANT"))</f>
        <v/>
      </c>
    </row>
    <row r="262" customFormat="false" ht="15" hidden="false" customHeight="true" outlineLevel="0" collapsed="false">
      <c r="A262" s="8"/>
      <c r="B262" s="8"/>
      <c r="C262" s="8"/>
      <c r="D262" s="8"/>
      <c r="E262" s="8"/>
      <c r="F262" s="8"/>
      <c r="G262" s="8"/>
      <c r="H262" s="8" t="str">
        <f aca="false">IF(A262="","",IF(COUNTIF(A1_Etudiants!$B$3:$B$50000,A262)=0,"NOUVEAU","EXISTANT"))</f>
        <v/>
      </c>
    </row>
    <row r="263" customFormat="false" ht="15" hidden="false" customHeight="true" outlineLevel="0" collapsed="false">
      <c r="A263" s="8"/>
      <c r="B263" s="8"/>
      <c r="C263" s="8"/>
      <c r="D263" s="8"/>
      <c r="E263" s="8"/>
      <c r="F263" s="8"/>
      <c r="G263" s="8"/>
      <c r="H263" s="8" t="str">
        <f aca="false">IF(A263="","",IF(COUNTIF(A1_Etudiants!$B$3:$B$50000,A263)=0,"NOUVEAU","EXISTANT"))</f>
        <v/>
      </c>
    </row>
    <row r="264" customFormat="false" ht="15" hidden="false" customHeight="true" outlineLevel="0" collapsed="false">
      <c r="A264" s="8"/>
      <c r="B264" s="8"/>
      <c r="C264" s="8"/>
      <c r="D264" s="8"/>
      <c r="E264" s="8"/>
      <c r="F264" s="8"/>
      <c r="G264" s="8"/>
      <c r="H264" s="8" t="str">
        <f aca="false">IF(A264="","",IF(COUNTIF(A1_Etudiants!$B$3:$B$50000,A264)=0,"NOUVEAU","EXISTANT"))</f>
        <v/>
      </c>
    </row>
    <row r="265" customFormat="false" ht="15" hidden="false" customHeight="true" outlineLevel="0" collapsed="false">
      <c r="A265" s="8"/>
      <c r="B265" s="8"/>
      <c r="C265" s="8"/>
      <c r="D265" s="8"/>
      <c r="E265" s="8"/>
      <c r="F265" s="8"/>
      <c r="G265" s="8"/>
      <c r="H265" s="8" t="str">
        <f aca="false">IF(A265="","",IF(COUNTIF(A1_Etudiants!$B$3:$B$50000,A265)=0,"NOUVEAU","EXISTANT"))</f>
        <v/>
      </c>
    </row>
    <row r="266" customFormat="false" ht="15" hidden="false" customHeight="true" outlineLevel="0" collapsed="false">
      <c r="A266" s="8"/>
      <c r="B266" s="8"/>
      <c r="C266" s="8"/>
      <c r="D266" s="8"/>
      <c r="E266" s="8"/>
      <c r="F266" s="8"/>
      <c r="G266" s="8"/>
      <c r="H266" s="8" t="str">
        <f aca="false">IF(A266="","",IF(COUNTIF(A1_Etudiants!$B$3:$B$50000,A266)=0,"NOUVEAU","EXISTANT"))</f>
        <v/>
      </c>
    </row>
    <row r="267" customFormat="false" ht="15" hidden="false" customHeight="true" outlineLevel="0" collapsed="false">
      <c r="A267" s="8"/>
      <c r="B267" s="8"/>
      <c r="C267" s="8"/>
      <c r="D267" s="8"/>
      <c r="E267" s="8"/>
      <c r="F267" s="8"/>
      <c r="G267" s="8"/>
      <c r="H267" s="8" t="str">
        <f aca="false">IF(A267="","",IF(COUNTIF(A1_Etudiants!$B$3:$B$50000,A267)=0,"NOUVEAU","EXISTANT"))</f>
        <v/>
      </c>
    </row>
    <row r="268" customFormat="false" ht="15" hidden="false" customHeight="true" outlineLevel="0" collapsed="false">
      <c r="A268" s="8"/>
      <c r="B268" s="8"/>
      <c r="C268" s="8"/>
      <c r="D268" s="8"/>
      <c r="E268" s="8"/>
      <c r="F268" s="8"/>
      <c r="G268" s="8"/>
      <c r="H268" s="8" t="str">
        <f aca="false">IF(A268="","",IF(COUNTIF(A1_Etudiants!$B$3:$B$50000,A268)=0,"NOUVEAU","EXISTANT"))</f>
        <v/>
      </c>
    </row>
    <row r="269" customFormat="false" ht="15" hidden="false" customHeight="true" outlineLevel="0" collapsed="false">
      <c r="A269" s="8"/>
      <c r="B269" s="8"/>
      <c r="C269" s="8"/>
      <c r="D269" s="8"/>
      <c r="E269" s="8"/>
      <c r="F269" s="8"/>
      <c r="G269" s="8"/>
      <c r="H269" s="8" t="str">
        <f aca="false">IF(A269="","",IF(COUNTIF(A1_Etudiants!$B$3:$B$50000,A269)=0,"NOUVEAU","EXISTANT"))</f>
        <v/>
      </c>
    </row>
    <row r="270" customFormat="false" ht="15" hidden="false" customHeight="true" outlineLevel="0" collapsed="false">
      <c r="A270" s="8"/>
      <c r="B270" s="8"/>
      <c r="C270" s="8"/>
      <c r="D270" s="8"/>
      <c r="E270" s="8"/>
      <c r="F270" s="8"/>
      <c r="G270" s="8"/>
      <c r="H270" s="8" t="str">
        <f aca="false">IF(A270="","",IF(COUNTIF(A1_Etudiants!$B$3:$B$50000,A270)=0,"NOUVEAU","EXISTANT"))</f>
        <v/>
      </c>
    </row>
    <row r="271" customFormat="false" ht="15" hidden="false" customHeight="true" outlineLevel="0" collapsed="false">
      <c r="A271" s="8"/>
      <c r="B271" s="8"/>
      <c r="C271" s="8"/>
      <c r="D271" s="8"/>
      <c r="E271" s="8"/>
      <c r="F271" s="8"/>
      <c r="G271" s="8"/>
      <c r="H271" s="8" t="str">
        <f aca="false">IF(A271="","",IF(COUNTIF(A1_Etudiants!$B$3:$B$50000,A271)=0,"NOUVEAU","EXISTANT"))</f>
        <v/>
      </c>
    </row>
    <row r="272" customFormat="false" ht="15" hidden="false" customHeight="true" outlineLevel="0" collapsed="false">
      <c r="A272" s="8"/>
      <c r="B272" s="8"/>
      <c r="C272" s="8"/>
      <c r="D272" s="8"/>
      <c r="E272" s="8"/>
      <c r="F272" s="8"/>
      <c r="G272" s="8"/>
      <c r="H272" s="8" t="str">
        <f aca="false">IF(A272="","",IF(COUNTIF(A1_Etudiants!$B$3:$B$50000,A272)=0,"NOUVEAU","EXISTANT"))</f>
        <v/>
      </c>
    </row>
    <row r="273" customFormat="false" ht="15" hidden="false" customHeight="true" outlineLevel="0" collapsed="false">
      <c r="A273" s="8"/>
      <c r="B273" s="8"/>
      <c r="C273" s="8"/>
      <c r="D273" s="8"/>
      <c r="E273" s="8"/>
      <c r="F273" s="8"/>
      <c r="G273" s="8"/>
      <c r="H273" s="8" t="str">
        <f aca="false">IF(A273="","",IF(COUNTIF(A1_Etudiants!$B$3:$B$50000,A273)=0,"NOUVEAU","EXISTANT"))</f>
        <v/>
      </c>
    </row>
    <row r="274" customFormat="false" ht="15" hidden="false" customHeight="true" outlineLevel="0" collapsed="false">
      <c r="A274" s="8"/>
      <c r="B274" s="8"/>
      <c r="C274" s="8"/>
      <c r="D274" s="8"/>
      <c r="E274" s="8"/>
      <c r="F274" s="8"/>
      <c r="G274" s="8"/>
      <c r="H274" s="8" t="str">
        <f aca="false">IF(A274="","",IF(COUNTIF(A1_Etudiants!$B$3:$B$50000,A274)=0,"NOUVEAU","EXISTANT"))</f>
        <v/>
      </c>
    </row>
    <row r="275" customFormat="false" ht="15" hidden="false" customHeight="true" outlineLevel="0" collapsed="false">
      <c r="A275" s="8"/>
      <c r="B275" s="8"/>
      <c r="C275" s="8"/>
      <c r="D275" s="8"/>
      <c r="E275" s="8"/>
      <c r="F275" s="8"/>
      <c r="G275" s="8"/>
      <c r="H275" s="8" t="str">
        <f aca="false">IF(A275="","",IF(COUNTIF(A1_Etudiants!$B$3:$B$50000,A275)=0,"NOUVEAU","EXISTANT"))</f>
        <v/>
      </c>
    </row>
    <row r="276" customFormat="false" ht="15" hidden="false" customHeight="true" outlineLevel="0" collapsed="false">
      <c r="A276" s="8"/>
      <c r="B276" s="8"/>
      <c r="C276" s="8"/>
      <c r="D276" s="8"/>
      <c r="E276" s="8"/>
      <c r="F276" s="8"/>
      <c r="G276" s="8"/>
      <c r="H276" s="8" t="str">
        <f aca="false">IF(A276="","",IF(COUNTIF(A1_Etudiants!$B$3:$B$50000,A276)=0,"NOUVEAU","EXISTANT"))</f>
        <v/>
      </c>
    </row>
    <row r="277" customFormat="false" ht="15" hidden="false" customHeight="true" outlineLevel="0" collapsed="false">
      <c r="A277" s="8"/>
      <c r="B277" s="8"/>
      <c r="C277" s="8"/>
      <c r="D277" s="8"/>
      <c r="E277" s="8"/>
      <c r="F277" s="8"/>
      <c r="G277" s="8"/>
      <c r="H277" s="8" t="str">
        <f aca="false">IF(A277="","",IF(COUNTIF(A1_Etudiants!$B$3:$B$50000,A277)=0,"NOUVEAU","EXISTANT"))</f>
        <v/>
      </c>
    </row>
    <row r="278" customFormat="false" ht="15" hidden="false" customHeight="true" outlineLevel="0" collapsed="false">
      <c r="A278" s="8"/>
      <c r="B278" s="8"/>
      <c r="C278" s="8"/>
      <c r="D278" s="8"/>
      <c r="E278" s="8"/>
      <c r="F278" s="8"/>
      <c r="G278" s="8"/>
      <c r="H278" s="8" t="str">
        <f aca="false">IF(A278="","",IF(COUNTIF(A1_Etudiants!$B$3:$B$50000,A278)=0,"NOUVEAU","EXISTANT"))</f>
        <v/>
      </c>
    </row>
    <row r="279" customFormat="false" ht="15" hidden="false" customHeight="true" outlineLevel="0" collapsed="false">
      <c r="A279" s="8"/>
      <c r="B279" s="8"/>
      <c r="C279" s="8"/>
      <c r="D279" s="8"/>
      <c r="E279" s="8"/>
      <c r="F279" s="8"/>
      <c r="G279" s="8"/>
      <c r="H279" s="8" t="str">
        <f aca="false">IF(A279="","",IF(COUNTIF(A1_Etudiants!$B$3:$B$50000,A279)=0,"NOUVEAU","EXISTANT"))</f>
        <v/>
      </c>
    </row>
    <row r="280" customFormat="false" ht="15" hidden="false" customHeight="true" outlineLevel="0" collapsed="false">
      <c r="A280" s="8"/>
      <c r="B280" s="8"/>
      <c r="C280" s="8"/>
      <c r="D280" s="8"/>
      <c r="E280" s="8"/>
      <c r="F280" s="8"/>
      <c r="G280" s="8"/>
      <c r="H280" s="8" t="str">
        <f aca="false">IF(A280="","",IF(COUNTIF(A1_Etudiants!$B$3:$B$50000,A280)=0,"NOUVEAU","EXISTANT"))</f>
        <v/>
      </c>
    </row>
    <row r="281" customFormat="false" ht="15" hidden="false" customHeight="true" outlineLevel="0" collapsed="false">
      <c r="A281" s="8"/>
      <c r="B281" s="8"/>
      <c r="C281" s="8"/>
      <c r="D281" s="8"/>
      <c r="E281" s="8"/>
      <c r="F281" s="8"/>
      <c r="G281" s="8"/>
      <c r="H281" s="8" t="str">
        <f aca="false">IF(A281="","",IF(COUNTIF(A1_Etudiants!$B$3:$B$50000,A281)=0,"NOUVEAU","EXISTANT"))</f>
        <v/>
      </c>
    </row>
    <row r="282" customFormat="false" ht="15" hidden="false" customHeight="true" outlineLevel="0" collapsed="false">
      <c r="A282" s="8"/>
      <c r="B282" s="8"/>
      <c r="C282" s="8"/>
      <c r="D282" s="8"/>
      <c r="E282" s="8"/>
      <c r="F282" s="8"/>
      <c r="G282" s="8"/>
      <c r="H282" s="8" t="str">
        <f aca="false">IF(A282="","",IF(COUNTIF(A1_Etudiants!$B$3:$B$50000,A282)=0,"NOUVEAU","EXISTANT"))</f>
        <v/>
      </c>
    </row>
    <row r="283" customFormat="false" ht="15" hidden="false" customHeight="true" outlineLevel="0" collapsed="false">
      <c r="A283" s="8"/>
      <c r="B283" s="8"/>
      <c r="C283" s="8"/>
      <c r="D283" s="8"/>
      <c r="E283" s="8"/>
      <c r="F283" s="8"/>
      <c r="G283" s="8"/>
      <c r="H283" s="8" t="str">
        <f aca="false">IF(A283="","",IF(COUNTIF(A1_Etudiants!$B$3:$B$50000,A283)=0,"NOUVEAU","EXISTANT"))</f>
        <v/>
      </c>
    </row>
    <row r="284" customFormat="false" ht="15" hidden="false" customHeight="true" outlineLevel="0" collapsed="false">
      <c r="A284" s="8"/>
      <c r="B284" s="8"/>
      <c r="C284" s="8"/>
      <c r="D284" s="8"/>
      <c r="E284" s="8"/>
      <c r="F284" s="8"/>
      <c r="G284" s="8"/>
      <c r="H284" s="8" t="str">
        <f aca="false">IF(A284="","",IF(COUNTIF(A1_Etudiants!$B$3:$B$50000,A284)=0,"NOUVEAU","EXISTANT"))</f>
        <v/>
      </c>
    </row>
    <row r="285" customFormat="false" ht="15" hidden="false" customHeight="true" outlineLevel="0" collapsed="false">
      <c r="A285" s="8"/>
      <c r="B285" s="8"/>
      <c r="C285" s="8"/>
      <c r="D285" s="8"/>
      <c r="E285" s="8"/>
      <c r="F285" s="8"/>
      <c r="G285" s="8"/>
      <c r="H285" s="8" t="str">
        <f aca="false">IF(A285="","",IF(COUNTIF(A1_Etudiants!$B$3:$B$50000,A285)=0,"NOUVEAU","EXISTANT"))</f>
        <v/>
      </c>
    </row>
    <row r="286" customFormat="false" ht="15" hidden="false" customHeight="true" outlineLevel="0" collapsed="false">
      <c r="A286" s="8"/>
      <c r="B286" s="8"/>
      <c r="C286" s="8"/>
      <c r="D286" s="8"/>
      <c r="E286" s="8"/>
      <c r="F286" s="8"/>
      <c r="G286" s="8"/>
      <c r="H286" s="8" t="str">
        <f aca="false">IF(A286="","",IF(COUNTIF(A1_Etudiants!$B$3:$B$50000,A286)=0,"NOUVEAU","EXISTANT"))</f>
        <v/>
      </c>
    </row>
    <row r="287" customFormat="false" ht="15" hidden="false" customHeight="true" outlineLevel="0" collapsed="false">
      <c r="A287" s="8"/>
      <c r="B287" s="8"/>
      <c r="C287" s="8"/>
      <c r="D287" s="8"/>
      <c r="E287" s="8"/>
      <c r="F287" s="8"/>
      <c r="G287" s="8"/>
      <c r="H287" s="8" t="str">
        <f aca="false">IF(A287="","",IF(COUNTIF(A1_Etudiants!$B$3:$B$50000,A287)=0,"NOUVEAU","EXISTANT"))</f>
        <v/>
      </c>
    </row>
    <row r="288" customFormat="false" ht="15" hidden="false" customHeight="true" outlineLevel="0" collapsed="false">
      <c r="A288" s="8"/>
      <c r="B288" s="8"/>
      <c r="C288" s="8"/>
      <c r="D288" s="8"/>
      <c r="E288" s="8"/>
      <c r="F288" s="8"/>
      <c r="G288" s="8"/>
      <c r="H288" s="8" t="str">
        <f aca="false">IF(A288="","",IF(COUNTIF(A1_Etudiants!$B$3:$B$50000,A288)=0,"NOUVEAU","EXISTANT"))</f>
        <v/>
      </c>
    </row>
    <row r="289" customFormat="false" ht="15" hidden="false" customHeight="true" outlineLevel="0" collapsed="false">
      <c r="A289" s="8"/>
      <c r="B289" s="8"/>
      <c r="C289" s="8"/>
      <c r="D289" s="8"/>
      <c r="E289" s="8"/>
      <c r="F289" s="8"/>
      <c r="G289" s="8"/>
      <c r="H289" s="8" t="str">
        <f aca="false">IF(A289="","",IF(COUNTIF(A1_Etudiants!$B$3:$B$50000,A289)=0,"NOUVEAU","EXISTANT"))</f>
        <v/>
      </c>
    </row>
    <row r="290" customFormat="false" ht="15" hidden="false" customHeight="true" outlineLevel="0" collapsed="false">
      <c r="A290" s="8"/>
      <c r="B290" s="8"/>
      <c r="C290" s="8"/>
      <c r="D290" s="8"/>
      <c r="E290" s="8"/>
      <c r="F290" s="8"/>
      <c r="G290" s="8"/>
      <c r="H290" s="8" t="str">
        <f aca="false">IF(A290="","",IF(COUNTIF(A1_Etudiants!$B$3:$B$50000,A290)=0,"NOUVEAU","EXISTANT"))</f>
        <v/>
      </c>
    </row>
    <row r="291" customFormat="false" ht="15" hidden="false" customHeight="true" outlineLevel="0" collapsed="false">
      <c r="A291" s="8"/>
      <c r="B291" s="8"/>
      <c r="C291" s="8"/>
      <c r="D291" s="8"/>
      <c r="E291" s="8"/>
      <c r="F291" s="8"/>
      <c r="G291" s="8"/>
      <c r="H291" s="8" t="str">
        <f aca="false">IF(A291="","",IF(COUNTIF(A1_Etudiants!$B$3:$B$50000,A291)=0,"NOUVEAU","EXISTANT"))</f>
        <v/>
      </c>
    </row>
    <row r="292" customFormat="false" ht="15" hidden="false" customHeight="true" outlineLevel="0" collapsed="false">
      <c r="A292" s="8"/>
      <c r="B292" s="8"/>
      <c r="C292" s="8"/>
      <c r="D292" s="8"/>
      <c r="E292" s="8"/>
      <c r="F292" s="8"/>
      <c r="G292" s="8"/>
      <c r="H292" s="8" t="str">
        <f aca="false">IF(A292="","",IF(COUNTIF(A1_Etudiants!$B$3:$B$50000,A292)=0,"NOUVEAU","EXISTANT"))</f>
        <v/>
      </c>
    </row>
    <row r="293" customFormat="false" ht="15" hidden="false" customHeight="true" outlineLevel="0" collapsed="false">
      <c r="A293" s="8"/>
      <c r="B293" s="8"/>
      <c r="C293" s="8"/>
      <c r="D293" s="8"/>
      <c r="E293" s="8"/>
      <c r="F293" s="8"/>
      <c r="G293" s="8"/>
      <c r="H293" s="8" t="str">
        <f aca="false">IF(A293="","",IF(COUNTIF(A1_Etudiants!$B$3:$B$50000,A293)=0,"NOUVEAU","EXISTANT"))</f>
        <v/>
      </c>
    </row>
    <row r="294" customFormat="false" ht="15" hidden="false" customHeight="true" outlineLevel="0" collapsed="false">
      <c r="A294" s="8"/>
      <c r="B294" s="8"/>
      <c r="C294" s="8"/>
      <c r="D294" s="8"/>
      <c r="E294" s="8"/>
      <c r="F294" s="8"/>
      <c r="G294" s="8"/>
      <c r="H294" s="8" t="str">
        <f aca="false">IF(A294="","",IF(COUNTIF(A1_Etudiants!$B$3:$B$50000,A294)=0,"NOUVEAU","EXISTANT"))</f>
        <v/>
      </c>
    </row>
    <row r="295" customFormat="false" ht="15" hidden="false" customHeight="true" outlineLevel="0" collapsed="false">
      <c r="A295" s="8"/>
      <c r="B295" s="8"/>
      <c r="C295" s="8"/>
      <c r="D295" s="8"/>
      <c r="E295" s="8"/>
      <c r="F295" s="8"/>
      <c r="G295" s="8"/>
      <c r="H295" s="8" t="str">
        <f aca="false">IF(A295="","",IF(COUNTIF(A1_Etudiants!$B$3:$B$50000,A295)=0,"NOUVEAU","EXISTANT"))</f>
        <v/>
      </c>
    </row>
    <row r="296" customFormat="false" ht="15" hidden="false" customHeight="true" outlineLevel="0" collapsed="false">
      <c r="A296" s="8"/>
      <c r="B296" s="8"/>
      <c r="C296" s="8"/>
      <c r="D296" s="8"/>
      <c r="E296" s="8"/>
      <c r="F296" s="8"/>
      <c r="G296" s="8"/>
      <c r="H296" s="8" t="str">
        <f aca="false">IF(A296="","",IF(COUNTIF(A1_Etudiants!$B$3:$B$50000,A296)=0,"NOUVEAU","EXISTANT"))</f>
        <v/>
      </c>
    </row>
    <row r="297" customFormat="false" ht="15" hidden="false" customHeight="true" outlineLevel="0" collapsed="false">
      <c r="A297" s="8"/>
      <c r="B297" s="8"/>
      <c r="C297" s="8"/>
      <c r="D297" s="8"/>
      <c r="E297" s="8"/>
      <c r="F297" s="8"/>
      <c r="G297" s="8"/>
      <c r="H297" s="8" t="str">
        <f aca="false">IF(A297="","",IF(COUNTIF(A1_Etudiants!$B$3:$B$50000,A297)=0,"NOUVEAU","EXISTANT"))</f>
        <v/>
      </c>
    </row>
    <row r="298" customFormat="false" ht="15" hidden="false" customHeight="true" outlineLevel="0" collapsed="false">
      <c r="A298" s="8"/>
      <c r="B298" s="8"/>
      <c r="C298" s="8"/>
      <c r="D298" s="8"/>
      <c r="E298" s="8"/>
      <c r="F298" s="8"/>
      <c r="G298" s="8"/>
      <c r="H298" s="8" t="str">
        <f aca="false">IF(A298="","",IF(COUNTIF(A1_Etudiants!$B$3:$B$50000,A298)=0,"NOUVEAU","EXISTANT"))</f>
        <v/>
      </c>
    </row>
    <row r="299" customFormat="false" ht="15" hidden="false" customHeight="true" outlineLevel="0" collapsed="false">
      <c r="A299" s="8"/>
      <c r="B299" s="8"/>
      <c r="C299" s="8"/>
      <c r="D299" s="8"/>
      <c r="E299" s="8"/>
      <c r="F299" s="8"/>
      <c r="G299" s="8"/>
      <c r="H299" s="8" t="str">
        <f aca="false">IF(A299="","",IF(COUNTIF(A1_Etudiants!$B$3:$B$50000,A299)=0,"NOUVEAU","EXISTANT"))</f>
        <v/>
      </c>
    </row>
    <row r="300" customFormat="false" ht="15" hidden="false" customHeight="true" outlineLevel="0" collapsed="false">
      <c r="A300" s="8"/>
      <c r="B300" s="8"/>
      <c r="C300" s="8"/>
      <c r="D300" s="8"/>
      <c r="E300" s="8"/>
      <c r="F300" s="8"/>
      <c r="G300" s="8"/>
      <c r="H300" s="8" t="str">
        <f aca="false">IF(A300="","",IF(COUNTIF(A1_Etudiants!$B$3:$B$50000,A300)=0,"NOUVEAU","EXISTANT"))</f>
        <v/>
      </c>
    </row>
  </sheetData>
  <autoFilter ref="A2:H300"/>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42"/>
    <col collapsed="false" customWidth="true" hidden="false" outlineLevel="0" max="4" min="4" style="1" width="30"/>
    <col collapsed="false" customWidth="true" hidden="false" outlineLevel="0" max="5" min="5" style="1" width="64"/>
    <col collapsed="false" customWidth="true" hidden="false" outlineLevel="0" max="6" min="6" style="1" width="30"/>
    <col collapsed="false" customWidth="true" hidden="false" outlineLevel="0" max="7" min="7" style="1" width="28"/>
    <col collapsed="false" customWidth="true" hidden="false" outlineLevel="0" max="8" min="8" style="1" width="9"/>
  </cols>
  <sheetData>
    <row r="1" customFormat="false" ht="30" hidden="false" customHeight="true" outlineLevel="0" collapsed="false">
      <c r="A1" s="2" t="s">
        <v>563</v>
      </c>
      <c r="B1" s="2"/>
      <c r="C1" s="2"/>
      <c r="D1" s="2"/>
      <c r="E1" s="2"/>
      <c r="F1" s="2"/>
      <c r="G1" s="2"/>
      <c r="H1" s="2"/>
    </row>
    <row r="2" customFormat="false" ht="31.5" hidden="false" customHeight="true" outlineLevel="0" collapsed="false">
      <c r="A2" s="7" t="s">
        <v>564</v>
      </c>
      <c r="B2" s="7" t="s">
        <v>565</v>
      </c>
      <c r="C2" s="7" t="s">
        <v>566</v>
      </c>
      <c r="D2" s="7" t="s">
        <v>567</v>
      </c>
      <c r="E2" s="7" t="s">
        <v>568</v>
      </c>
      <c r="F2" s="7" t="s">
        <v>569</v>
      </c>
      <c r="G2" s="7" t="s">
        <v>570</v>
      </c>
      <c r="H2" s="7" t="s">
        <v>571</v>
      </c>
    </row>
    <row r="3" customFormat="false" ht="81.75" hidden="false" customHeight="true" outlineLevel="0" collapsed="false">
      <c r="A3" s="18" t="s">
        <v>572</v>
      </c>
      <c r="B3" s="18" t="s">
        <v>573</v>
      </c>
      <c r="C3" s="18" t="s">
        <v>574</v>
      </c>
      <c r="D3" s="18" t="s">
        <v>575</v>
      </c>
      <c r="E3" s="18"/>
      <c r="F3" s="18"/>
      <c r="G3" s="18" t="s">
        <v>576</v>
      </c>
      <c r="H3" s="18" t="s">
        <v>577</v>
      </c>
    </row>
    <row r="4" customFormat="false" ht="81.75" hidden="false" customHeight="true" outlineLevel="0" collapsed="false">
      <c r="A4" s="18" t="s">
        <v>578</v>
      </c>
      <c r="B4" s="18" t="s">
        <v>579</v>
      </c>
      <c r="C4" s="18" t="s">
        <v>574</v>
      </c>
      <c r="D4" s="18" t="s">
        <v>580</v>
      </c>
      <c r="E4" s="18" t="s">
        <v>581</v>
      </c>
      <c r="F4" s="18" t="s">
        <v>582</v>
      </c>
      <c r="G4" s="18" t="s">
        <v>583</v>
      </c>
      <c r="H4" s="18" t="s">
        <v>577</v>
      </c>
    </row>
    <row r="5" customFormat="false" ht="122.25" hidden="false" customHeight="true" outlineLevel="0" collapsed="false">
      <c r="A5" s="18" t="s">
        <v>584</v>
      </c>
      <c r="B5" s="18" t="s">
        <v>585</v>
      </c>
      <c r="C5" s="18" t="s">
        <v>574</v>
      </c>
      <c r="D5" s="18" t="s">
        <v>586</v>
      </c>
      <c r="E5" s="18" t="s">
        <v>587</v>
      </c>
      <c r="F5" s="18" t="s">
        <v>588</v>
      </c>
      <c r="G5" s="18" t="s">
        <v>589</v>
      </c>
      <c r="H5" s="18" t="s">
        <v>577</v>
      </c>
    </row>
    <row r="6" customFormat="false" ht="81.75" hidden="false" customHeight="true" outlineLevel="0" collapsed="false">
      <c r="A6" s="18" t="s">
        <v>590</v>
      </c>
      <c r="B6" s="18" t="s">
        <v>591</v>
      </c>
      <c r="C6" s="18" t="s">
        <v>574</v>
      </c>
      <c r="D6" s="18" t="s">
        <v>592</v>
      </c>
      <c r="E6" s="18"/>
      <c r="F6" s="18" t="s">
        <v>588</v>
      </c>
      <c r="G6" s="18" t="s">
        <v>593</v>
      </c>
      <c r="H6" s="18" t="s">
        <v>577</v>
      </c>
    </row>
    <row r="7" customFormat="false" ht="135.75" hidden="false" customHeight="true" outlineLevel="0" collapsed="false">
      <c r="A7" s="18" t="s">
        <v>594</v>
      </c>
      <c r="B7" s="18" t="s">
        <v>595</v>
      </c>
      <c r="C7" s="18" t="s">
        <v>574</v>
      </c>
      <c r="D7" s="18" t="s">
        <v>596</v>
      </c>
      <c r="E7" s="18" t="s">
        <v>597</v>
      </c>
      <c r="F7" s="18" t="s">
        <v>598</v>
      </c>
      <c r="G7" s="18" t="s">
        <v>599</v>
      </c>
      <c r="H7" s="18" t="s">
        <v>600</v>
      </c>
    </row>
    <row r="8" customFormat="false" ht="135.75" hidden="false" customHeight="true" outlineLevel="0" collapsed="false">
      <c r="A8" s="18" t="s">
        <v>601</v>
      </c>
      <c r="B8" s="18" t="s">
        <v>56</v>
      </c>
      <c r="C8" s="18" t="s">
        <v>574</v>
      </c>
      <c r="D8" s="18" t="s">
        <v>602</v>
      </c>
      <c r="E8" s="18" t="s">
        <v>603</v>
      </c>
      <c r="F8" s="18"/>
      <c r="G8" s="18" t="s">
        <v>576</v>
      </c>
      <c r="H8" s="18" t="s">
        <v>577</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13"/>
    <col collapsed="false" customWidth="true" hidden="false" outlineLevel="0" max="5" min="4" style="0" width="12"/>
    <col collapsed="false" customWidth="true" hidden="false" outlineLevel="0" max="6" min="6" style="0" width="16"/>
    <col collapsed="false" customWidth="true" hidden="false" outlineLevel="0" max="7" min="7" style="0" width="22"/>
    <col collapsed="false" customWidth="true" hidden="false" outlineLevel="0" max="8" min="8" style="0" width="30"/>
    <col collapsed="false" customWidth="true" hidden="false" outlineLevel="0" max="10" min="9" style="0" width="14"/>
  </cols>
  <sheetData>
    <row r="1" customFormat="false" ht="30" hidden="false" customHeight="true" outlineLevel="0" collapsed="false">
      <c r="A1" s="2" t="s">
        <v>604</v>
      </c>
      <c r="B1" s="2"/>
      <c r="C1" s="2"/>
      <c r="D1" s="2"/>
      <c r="E1" s="2"/>
      <c r="F1" s="2"/>
      <c r="G1" s="2"/>
      <c r="H1" s="2"/>
      <c r="I1" s="2"/>
      <c r="J1" s="2"/>
    </row>
    <row r="2" customFormat="false" ht="31.5" hidden="false" customHeight="true" outlineLevel="0" collapsed="false">
      <c r="A2" s="7" t="s">
        <v>605</v>
      </c>
      <c r="B2" s="7" t="s">
        <v>606</v>
      </c>
      <c r="C2" s="7" t="s">
        <v>132</v>
      </c>
      <c r="D2" s="7" t="s">
        <v>607</v>
      </c>
      <c r="E2" s="7" t="s">
        <v>608</v>
      </c>
      <c r="F2" s="7" t="s">
        <v>210</v>
      </c>
      <c r="G2" s="7" t="s">
        <v>609</v>
      </c>
      <c r="H2" s="7" t="s">
        <v>610</v>
      </c>
      <c r="I2" s="7" t="s">
        <v>128</v>
      </c>
      <c r="J2" s="7" t="s">
        <v>130</v>
      </c>
      <c r="K2" s="7" t="inlineStr">
        <is>
          <t xml:space="preserve">Seance liee (ID session A3)</t>
        </is>
      </c>
      <c r="L2" s="7" t="inlineStr">
        <is>
          <t xml:space="preserve">Filiere</t>
        </is>
      </c>
      <c r="M2" s="7" t="inlineStr">
        <is>
          <t xml:space="preserve">Niveau</t>
        </is>
      </c>
      <c r="N2" s="7" t="inlineStr">
        <is>
          <t xml:space="preserve">Matiere</t>
        </is>
      </c>
      <c r="O2" s="7" t="inlineStr">
        <is>
          <t xml:space="preserve">Matricule ens.</t>
        </is>
      </c>
      <c r="P2" s="7" t="inlineStr">
        <is>
          <t xml:space="preserve">Enseignant</t>
        </is>
      </c>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8"/>
    <col collapsed="false" customWidth="true" hidden="false" outlineLevel="0" max="3" min="3" style="0" width="20"/>
    <col collapsed="false" customWidth="true" hidden="false" outlineLevel="0" max="4" min="4" style="0" width="24"/>
    <col collapsed="false" customWidth="true" hidden="false" outlineLevel="0" max="5" min="5" style="0" width="16"/>
    <col collapsed="false" customWidth="true" hidden="false" outlineLevel="0" max="6" min="6" style="0" width="30"/>
    <col collapsed="false" customWidth="true" hidden="false" outlineLevel="0" max="7" min="7" style="0" width="14"/>
    <col collapsed="false" customWidth="true" hidden="false" outlineLevel="0" max="8" min="8" style="0" width="18"/>
    <col collapsed="false" customWidth="true" hidden="false" outlineLevel="0" max="9" min="9" style="0" width="14"/>
    <col collapsed="false" customWidth="true" hidden="false" outlineLevel="0" max="10" min="10" style="0" width="18"/>
    <col collapsed="false" customWidth="true" hidden="false" outlineLevel="0" max="11" min="11" style="0" width="14"/>
    <col min="13" max="13" width="12" customWidth="1"/>
  </cols>
  <sheetData>
    <row r="1" customFormat="false" ht="30" hidden="false" customHeight="true" outlineLevel="0" collapsed="false">
      <c r="A1" s="2" t="s">
        <v>611</v>
      </c>
      <c r="B1" s="2"/>
      <c r="C1" s="2"/>
      <c r="D1" s="2"/>
      <c r="E1" s="2"/>
      <c r="F1" s="2"/>
      <c r="G1" s="2"/>
      <c r="H1" s="2"/>
      <c r="I1" s="2"/>
      <c r="J1" s="2"/>
      <c r="K1" s="2"/>
    </row>
    <row r="2" customFormat="false" ht="31.5" hidden="false" customHeight="true" outlineLevel="0" collapsed="false">
      <c r="A2" s="7" t="s">
        <v>612</v>
      </c>
      <c r="B2" s="7" t="s">
        <v>613</v>
      </c>
      <c r="C2" s="7" t="s">
        <v>185</v>
      </c>
      <c r="D2" s="7" t="s">
        <v>614</v>
      </c>
      <c r="E2" s="7" t="s">
        <v>615</v>
      </c>
      <c r="F2" s="7" t="s">
        <v>616</v>
      </c>
      <c r="G2" s="7" t="s">
        <v>617</v>
      </c>
      <c r="H2" s="7" t="s">
        <v>618</v>
      </c>
      <c r="I2" s="7" t="s">
        <v>619</v>
      </c>
      <c r="J2" s="7" t="s">
        <v>620</v>
      </c>
      <c r="K2" s="7" t="s">
        <v>130</v>
      </c>
      <c r="L2" s="7" t="inlineStr">
        <is>
          <t xml:space="preserve">Localisation provisoire (**)</t>
        </is>
      </c>
      <c r="M2" s="7" t="inlineStr">
        <is>
          <t xml:space="preserve">Quantite (**)</t>
        </is>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dimension ref="A1:N663"/>
  <sheetViews>
    <sheetView workbookViewId="0">
      <pane ySplit="2" topLeftCell="A3" activePane="bottomLeft" state="frozen"/>
    </sheetView>
  </sheetViews>
  <sheetFormatPr defaultRowHeight="15"/>
  <cols>
    <col min="5" max="6" width="42"/>
    <col min="7" max="7" width="22"/>
    <col min="1" max="2" width="20"/>
  </cols>
  <sheetData>
    <row r="1">
      <c r="A1" t="inlineStr">
        <is>
          <t>Référentiel des formations — Maquettes (UE / matières)</t>
        </is>
      </c>
    </row>
    <row r="2">
      <c r="A2" t="inlineStr">
        <is>
          <t>Filière</t>
        </is>
      </c>
      <c r="B2" t="inlineStr">
        <is>
          <t>Niveau</t>
        </is>
      </c>
      <c r="C2" t="inlineStr">
        <is>
          <t>Semestre</t>
        </is>
      </c>
      <c r="D2" t="inlineStr">
        <is>
          <t>N° UE</t>
        </is>
      </c>
      <c r="E2" t="inlineStr">
        <is>
          <t>Intitulé UE / Module</t>
        </is>
      </c>
      <c r="F2" t="inlineStr">
        <is>
          <t>Matière / Contenu</t>
        </is>
      </c>
      <c r="G2" t="inlineStr">
        <is>
          <t>Enseignant</t>
        </is>
      </c>
      <c r="H2" t="inlineStr">
        <is>
          <t>CM</t>
        </is>
      </c>
      <c r="I2" t="inlineStr">
        <is>
          <t>TD</t>
        </is>
      </c>
      <c r="J2" t="inlineStr">
        <is>
          <t>TP</t>
        </is>
      </c>
      <c r="K2" t="inlineStr">
        <is>
          <t>Total heures</t>
        </is>
      </c>
      <c r="L2" t="inlineStr">
        <is>
          <t>Vol. horaire UE</t>
        </is>
      </c>
      <c r="M2" t="inlineStr">
        <is>
          <t>Crédit (ECTS)</t>
        </is>
      </c>
      <c r="N2" t="inlineStr">
        <is>
          <t>Coef</t>
        </is>
      </c>
    </row>
    <row r="3">
      <c r="A3" t="inlineStr">
        <is>
          <t>Soins infirmiers</t>
        </is>
      </c>
      <c r="B3" t="inlineStr">
        <is>
          <t>L1</t>
        </is>
      </c>
      <c r="C3" t="inlineStr">
        <is>
          <t>1</t>
        </is>
      </c>
      <c r="D3" t="inlineStr">
        <is>
          <t>1</t>
        </is>
      </c>
      <c r="E3" t="inlineStr">
        <is>
          <t>TIC (Technologie de l’information et de la communication)</t>
        </is>
      </c>
      <c r="F3" t="inlineStr">
        <is>
          <t>Communication</t>
        </is>
      </c>
      <c r="H3">
        <v>6</v>
      </c>
      <c r="I3">
        <v>4</v>
      </c>
      <c r="J3">
        <v>0</v>
      </c>
      <c r="K3">
        <v>10</v>
      </c>
      <c r="L3">
        <v>50</v>
      </c>
      <c r="M3">
        <v>3</v>
      </c>
    </row>
    <row r="4">
      <c r="A4" t="inlineStr">
        <is>
          <t>Soins infirmiers</t>
        </is>
      </c>
      <c r="B4" t="inlineStr">
        <is>
          <t>L1</t>
        </is>
      </c>
      <c r="C4" t="inlineStr">
        <is>
          <t>1</t>
        </is>
      </c>
      <c r="D4" t="inlineStr">
        <is>
          <t>1</t>
        </is>
      </c>
      <c r="E4" t="inlineStr">
        <is>
          <t>TIC (Technologie de l’information et de la communication)</t>
        </is>
      </c>
      <c r="F4" t="inlineStr">
        <is>
          <t>Communication virtuelle</t>
        </is>
      </c>
      <c r="H4">
        <v>10</v>
      </c>
      <c r="I4">
        <v>0</v>
      </c>
      <c r="J4">
        <v>10</v>
      </c>
      <c r="K4">
        <v>20</v>
      </c>
      <c r="L4">
        <v>50</v>
      </c>
      <c r="M4">
        <v>3</v>
      </c>
    </row>
    <row r="5">
      <c r="A5" t="inlineStr">
        <is>
          <t>Soins infirmiers</t>
        </is>
      </c>
      <c r="B5" t="inlineStr">
        <is>
          <t>L1</t>
        </is>
      </c>
      <c r="C5" t="inlineStr">
        <is>
          <t>1</t>
        </is>
      </c>
      <c r="D5" t="inlineStr">
        <is>
          <t>1</t>
        </is>
      </c>
      <c r="E5" t="inlineStr">
        <is>
          <t>TIC (Technologie de l’information et de la communication)</t>
        </is>
      </c>
      <c r="F5" t="inlineStr">
        <is>
          <t>Communication universitaire</t>
        </is>
      </c>
      <c r="H5">
        <v>15</v>
      </c>
      <c r="I5">
        <v>5</v>
      </c>
      <c r="J5">
        <v>0</v>
      </c>
      <c r="K5">
        <v>20</v>
      </c>
      <c r="L5">
        <v>50</v>
      </c>
      <c r="M5">
        <v>3</v>
      </c>
    </row>
    <row r="6">
      <c r="A6" t="inlineStr">
        <is>
          <t>Soins infirmiers</t>
        </is>
      </c>
      <c r="B6" t="inlineStr">
        <is>
          <t>L1</t>
        </is>
      </c>
      <c r="C6" t="inlineStr">
        <is>
          <t>1</t>
        </is>
      </c>
      <c r="D6" t="inlineStr">
        <is>
          <t>2</t>
        </is>
      </c>
      <c r="E6" t="inlineStr">
        <is>
          <t>Anatomie et physiologie générale</t>
        </is>
      </c>
      <c r="F6" t="inlineStr">
        <is>
          <t>Introduction au corps humain</t>
        </is>
      </c>
      <c r="H6">
        <v>4</v>
      </c>
      <c r="I6">
        <v>2</v>
      </c>
      <c r="J6">
        <v>0</v>
      </c>
      <c r="K6">
        <v>6</v>
      </c>
      <c r="L6">
        <v>112</v>
      </c>
      <c r="M6">
        <v>7</v>
      </c>
    </row>
    <row r="7">
      <c r="A7" t="inlineStr">
        <is>
          <t>Soins infirmiers</t>
        </is>
      </c>
      <c r="B7" t="inlineStr">
        <is>
          <t>L1</t>
        </is>
      </c>
      <c r="C7" t="inlineStr">
        <is>
          <t>1</t>
        </is>
      </c>
      <c r="D7" t="inlineStr">
        <is>
          <t>2</t>
        </is>
      </c>
      <c r="E7" t="inlineStr">
        <is>
          <t>Anatomie et physiologie générale</t>
        </is>
      </c>
      <c r="F7" t="inlineStr">
        <is>
          <t>Appareil respiratoire</t>
        </is>
      </c>
      <c r="H7">
        <v>6</v>
      </c>
      <c r="I7">
        <v>2</v>
      </c>
      <c r="J7">
        <v>0</v>
      </c>
      <c r="K7">
        <v>8</v>
      </c>
      <c r="L7">
        <v>112</v>
      </c>
      <c r="M7">
        <v>7</v>
      </c>
    </row>
    <row r="8">
      <c r="A8" t="inlineStr">
        <is>
          <t>Soins infirmiers</t>
        </is>
      </c>
      <c r="B8" t="inlineStr">
        <is>
          <t>L1</t>
        </is>
      </c>
      <c r="C8" t="inlineStr">
        <is>
          <t>1</t>
        </is>
      </c>
      <c r="D8" t="inlineStr">
        <is>
          <t>2</t>
        </is>
      </c>
      <c r="E8" t="inlineStr">
        <is>
          <t>Anatomie et physiologie générale</t>
        </is>
      </c>
      <c r="F8" t="inlineStr">
        <is>
          <t>Le sang</t>
        </is>
      </c>
      <c r="H8">
        <v>6</v>
      </c>
      <c r="I8">
        <v>2</v>
      </c>
      <c r="J8">
        <v>0</v>
      </c>
      <c r="K8">
        <v>8</v>
      </c>
      <c r="L8">
        <v>112</v>
      </c>
      <c r="M8">
        <v>7</v>
      </c>
    </row>
    <row r="9">
      <c r="A9" t="inlineStr">
        <is>
          <t>Soins infirmiers</t>
        </is>
      </c>
      <c r="B9" t="inlineStr">
        <is>
          <t>L1</t>
        </is>
      </c>
      <c r="C9" t="inlineStr">
        <is>
          <t>1</t>
        </is>
      </c>
      <c r="D9" t="inlineStr">
        <is>
          <t>2</t>
        </is>
      </c>
      <c r="E9" t="inlineStr">
        <is>
          <t>Anatomie et physiologie générale</t>
        </is>
      </c>
      <c r="F9" t="inlineStr">
        <is>
          <t>Système cardiovasculaire</t>
        </is>
      </c>
      <c r="H9">
        <v>6</v>
      </c>
      <c r="I9">
        <v>2</v>
      </c>
      <c r="J9">
        <v>0</v>
      </c>
      <c r="K9">
        <v>8</v>
      </c>
      <c r="L9">
        <v>112</v>
      </c>
      <c r="M9">
        <v>7</v>
      </c>
    </row>
    <row r="10">
      <c r="A10" t="inlineStr">
        <is>
          <t>Soins infirmiers</t>
        </is>
      </c>
      <c r="B10" t="inlineStr">
        <is>
          <t>L1</t>
        </is>
      </c>
      <c r="C10" t="inlineStr">
        <is>
          <t>1</t>
        </is>
      </c>
      <c r="D10" t="inlineStr">
        <is>
          <t>2</t>
        </is>
      </c>
      <c r="E10" t="inlineStr">
        <is>
          <t>Anatomie et physiologie générale</t>
        </is>
      </c>
      <c r="F10" t="inlineStr">
        <is>
          <t>Liquides et électrolytes</t>
        </is>
      </c>
      <c r="H10">
        <v>8</v>
      </c>
      <c r="I10">
        <v>2</v>
      </c>
      <c r="J10">
        <v>0</v>
      </c>
      <c r="K10">
        <v>10</v>
      </c>
      <c r="L10">
        <v>112</v>
      </c>
      <c r="M10">
        <v>7</v>
      </c>
    </row>
    <row r="11">
      <c r="A11" t="inlineStr">
        <is>
          <t>Soins infirmiers</t>
        </is>
      </c>
      <c r="B11" t="inlineStr">
        <is>
          <t>L1</t>
        </is>
      </c>
      <c r="C11" t="inlineStr">
        <is>
          <t>1</t>
        </is>
      </c>
      <c r="D11" t="inlineStr">
        <is>
          <t>2</t>
        </is>
      </c>
      <c r="E11" t="inlineStr">
        <is>
          <t>Anatomie et physiologie générale</t>
        </is>
      </c>
      <c r="F11" t="inlineStr">
        <is>
          <t>Système tégumentaire</t>
        </is>
      </c>
      <c r="H11">
        <v>6</v>
      </c>
      <c r="I11">
        <v>2</v>
      </c>
      <c r="J11">
        <v>0</v>
      </c>
      <c r="K11">
        <v>8</v>
      </c>
      <c r="L11">
        <v>112</v>
      </c>
      <c r="M11">
        <v>7</v>
      </c>
    </row>
    <row r="12">
      <c r="A12" t="inlineStr">
        <is>
          <t>Soins infirmiers</t>
        </is>
      </c>
      <c r="B12" t="inlineStr">
        <is>
          <t>L1</t>
        </is>
      </c>
      <c r="C12" t="inlineStr">
        <is>
          <t>1</t>
        </is>
      </c>
      <c r="D12" t="inlineStr">
        <is>
          <t>2</t>
        </is>
      </c>
      <c r="E12" t="inlineStr">
        <is>
          <t>Anatomie et physiologie générale</t>
        </is>
      </c>
      <c r="F12" t="inlineStr">
        <is>
          <t>Appareil digestif</t>
        </is>
      </c>
      <c r="H12">
        <v>6</v>
      </c>
      <c r="I12">
        <v>2</v>
      </c>
      <c r="J12">
        <v>0</v>
      </c>
      <c r="K12">
        <v>8</v>
      </c>
      <c r="L12">
        <v>112</v>
      </c>
      <c r="M12">
        <v>7</v>
      </c>
    </row>
    <row r="13">
      <c r="A13" t="inlineStr">
        <is>
          <t>Soins infirmiers</t>
        </is>
      </c>
      <c r="B13" t="inlineStr">
        <is>
          <t>L1</t>
        </is>
      </c>
      <c r="C13" t="inlineStr">
        <is>
          <t>1</t>
        </is>
      </c>
      <c r="D13" t="inlineStr">
        <is>
          <t>2</t>
        </is>
      </c>
      <c r="E13" t="inlineStr">
        <is>
          <t>Anatomie et physiologie générale</t>
        </is>
      </c>
      <c r="F13" t="inlineStr">
        <is>
          <t>Appareil urinaire</t>
        </is>
      </c>
      <c r="H13">
        <v>6</v>
      </c>
      <c r="I13">
        <v>2</v>
      </c>
      <c r="J13">
        <v>0</v>
      </c>
      <c r="K13">
        <v>8</v>
      </c>
      <c r="L13">
        <v>112</v>
      </c>
      <c r="M13">
        <v>7</v>
      </c>
    </row>
    <row r="14">
      <c r="A14" t="inlineStr">
        <is>
          <t>Soins infirmiers</t>
        </is>
      </c>
      <c r="B14" t="inlineStr">
        <is>
          <t>L1</t>
        </is>
      </c>
      <c r="C14" t="inlineStr">
        <is>
          <t>1</t>
        </is>
      </c>
      <c r="D14" t="inlineStr">
        <is>
          <t>2</t>
        </is>
      </c>
      <c r="E14" t="inlineStr">
        <is>
          <t>Anatomie et physiologie générale</t>
        </is>
      </c>
      <c r="F14" t="inlineStr">
        <is>
          <t>Appareil genital masculin et feminin</t>
        </is>
      </c>
      <c r="H14">
        <v>6</v>
      </c>
      <c r="I14">
        <v>2</v>
      </c>
      <c r="J14">
        <v>0</v>
      </c>
      <c r="K14">
        <v>8</v>
      </c>
      <c r="L14">
        <v>112</v>
      </c>
      <c r="M14">
        <v>7</v>
      </c>
    </row>
    <row r="15">
      <c r="A15" t="inlineStr">
        <is>
          <t>Soins infirmiers</t>
        </is>
      </c>
      <c r="B15" t="inlineStr">
        <is>
          <t>L1</t>
        </is>
      </c>
      <c r="C15" t="inlineStr">
        <is>
          <t>1</t>
        </is>
      </c>
      <c r="D15" t="inlineStr">
        <is>
          <t>2</t>
        </is>
      </c>
      <c r="E15" t="inlineStr">
        <is>
          <t>Anatomie et physiologie générale</t>
        </is>
      </c>
      <c r="F15" t="inlineStr">
        <is>
          <t>Anatomie des organes de sens</t>
        </is>
      </c>
      <c r="H15">
        <v>8</v>
      </c>
      <c r="I15">
        <v>2</v>
      </c>
      <c r="J15">
        <v>0</v>
      </c>
      <c r="K15">
        <v>10</v>
      </c>
      <c r="L15">
        <v>112</v>
      </c>
      <c r="M15">
        <v>7</v>
      </c>
    </row>
    <row r="16">
      <c r="A16" t="inlineStr">
        <is>
          <t>Soins infirmiers</t>
        </is>
      </c>
      <c r="B16" t="inlineStr">
        <is>
          <t>L1</t>
        </is>
      </c>
      <c r="C16" t="inlineStr">
        <is>
          <t>1</t>
        </is>
      </c>
      <c r="D16" t="inlineStr">
        <is>
          <t>2</t>
        </is>
      </c>
      <c r="E16" t="inlineStr">
        <is>
          <t>Anatomie et physiologie générale</t>
        </is>
      </c>
      <c r="F16" t="inlineStr">
        <is>
          <t>Système endocrinien</t>
        </is>
      </c>
      <c r="H16">
        <v>8</v>
      </c>
      <c r="I16">
        <v>2</v>
      </c>
      <c r="J16">
        <v>0</v>
      </c>
      <c r="K16">
        <v>10</v>
      </c>
      <c r="L16">
        <v>112</v>
      </c>
      <c r="M16">
        <v>7</v>
      </c>
    </row>
    <row r="17">
      <c r="A17" t="inlineStr">
        <is>
          <t>Soins infirmiers</t>
        </is>
      </c>
      <c r="B17" t="inlineStr">
        <is>
          <t>L1</t>
        </is>
      </c>
      <c r="C17" t="inlineStr">
        <is>
          <t>1</t>
        </is>
      </c>
      <c r="D17" t="inlineStr">
        <is>
          <t>2</t>
        </is>
      </c>
      <c r="E17" t="inlineStr">
        <is>
          <t>Anatomie et physiologie générale</t>
        </is>
      </c>
      <c r="F17" t="inlineStr">
        <is>
          <t>Appareil locomoteur</t>
        </is>
      </c>
      <c r="H17">
        <v>10</v>
      </c>
      <c r="I17">
        <v>2</v>
      </c>
      <c r="J17">
        <v>0</v>
      </c>
      <c r="K17">
        <v>12</v>
      </c>
      <c r="L17">
        <v>112</v>
      </c>
      <c r="M17">
        <v>7</v>
      </c>
    </row>
    <row r="18">
      <c r="A18" t="inlineStr">
        <is>
          <t>Soins infirmiers</t>
        </is>
      </c>
      <c r="B18" t="inlineStr">
        <is>
          <t>L1</t>
        </is>
      </c>
      <c r="C18" t="inlineStr">
        <is>
          <t>1</t>
        </is>
      </c>
      <c r="D18" t="inlineStr">
        <is>
          <t>2</t>
        </is>
      </c>
      <c r="E18" t="inlineStr">
        <is>
          <t>Anatomie et physiologie générale</t>
        </is>
      </c>
      <c r="F18" t="inlineStr">
        <is>
          <t>Système nerveux</t>
        </is>
      </c>
      <c r="H18">
        <v>6</v>
      </c>
      <c r="I18">
        <v>2</v>
      </c>
      <c r="J18">
        <v>0</v>
      </c>
      <c r="K18">
        <v>8</v>
      </c>
      <c r="L18">
        <v>112</v>
      </c>
      <c r="M18">
        <v>7</v>
      </c>
    </row>
    <row r="19">
      <c r="A19" t="inlineStr">
        <is>
          <t>Soins infirmiers</t>
        </is>
      </c>
      <c r="B19" t="inlineStr">
        <is>
          <t>L1</t>
        </is>
      </c>
      <c r="C19" t="inlineStr">
        <is>
          <t>1</t>
        </is>
      </c>
      <c r="D19" t="inlineStr">
        <is>
          <t>3</t>
        </is>
      </c>
      <c r="E19" t="inlineStr">
        <is>
          <t>Principes fondamentaux des soins obstétricaux</t>
        </is>
      </c>
      <c r="F19" t="inlineStr">
        <is>
          <t>Système de dispense de soins aux Comores</t>
        </is>
      </c>
      <c r="H19">
        <v>4</v>
      </c>
      <c r="I19">
        <v>2</v>
      </c>
      <c r="J19">
        <v>0</v>
      </c>
      <c r="K19">
        <v>6</v>
      </c>
      <c r="L19">
        <v>92</v>
      </c>
      <c r="M19">
        <v>6</v>
      </c>
    </row>
    <row r="20">
      <c r="A20" t="inlineStr">
        <is>
          <t>Soins infirmiers</t>
        </is>
      </c>
      <c r="B20" t="inlineStr">
        <is>
          <t>L1</t>
        </is>
      </c>
      <c r="C20" t="inlineStr">
        <is>
          <t>1</t>
        </is>
      </c>
      <c r="D20" t="inlineStr">
        <is>
          <t>3</t>
        </is>
      </c>
      <c r="E20" t="inlineStr">
        <is>
          <t>Principes fondamentaux des soins obstétricaux</t>
        </is>
      </c>
      <c r="F20" t="inlineStr">
        <is>
          <t>L’infirmier dans l’environnement sanitaire</t>
        </is>
      </c>
      <c r="H20">
        <v>6</v>
      </c>
      <c r="I20">
        <v>2</v>
      </c>
      <c r="J20">
        <v>0</v>
      </c>
      <c r="K20">
        <v>8</v>
      </c>
      <c r="L20">
        <v>92</v>
      </c>
      <c r="M20">
        <v>6</v>
      </c>
    </row>
    <row r="21">
      <c r="A21" t="inlineStr">
        <is>
          <t>Soins infirmiers</t>
        </is>
      </c>
      <c r="B21" t="inlineStr">
        <is>
          <t>L1</t>
        </is>
      </c>
      <c r="C21" t="inlineStr">
        <is>
          <t>1</t>
        </is>
      </c>
      <c r="D21" t="inlineStr">
        <is>
          <t>3</t>
        </is>
      </c>
      <c r="E21" t="inlineStr">
        <is>
          <t>Principes fondamentaux des soins obstétricaux</t>
        </is>
      </c>
      <c r="F21" t="inlineStr">
        <is>
          <t>Perceptions en matière de santé</t>
        </is>
      </c>
      <c r="H21">
        <v>4</v>
      </c>
      <c r="I21">
        <v>2</v>
      </c>
      <c r="J21">
        <v>0</v>
      </c>
      <c r="K21">
        <v>6</v>
      </c>
      <c r="L21">
        <v>92</v>
      </c>
      <c r="M21">
        <v>6</v>
      </c>
    </row>
    <row r="22">
      <c r="A22" t="inlineStr">
        <is>
          <t>Soins infirmiers</t>
        </is>
      </c>
      <c r="B22" t="inlineStr">
        <is>
          <t>L1</t>
        </is>
      </c>
      <c r="C22" t="inlineStr">
        <is>
          <t>1</t>
        </is>
      </c>
      <c r="D22" t="inlineStr">
        <is>
          <t>3</t>
        </is>
      </c>
      <c r="E22" t="inlineStr">
        <is>
          <t>Principes fondamentaux des soins obstétricaux</t>
        </is>
      </c>
      <c r="F22" t="inlineStr">
        <is>
          <t>Théories, modèles de soins</t>
        </is>
      </c>
      <c r="H22">
        <v>4</v>
      </c>
      <c r="I22">
        <v>2</v>
      </c>
      <c r="J22">
        <v>0</v>
      </c>
      <c r="K22">
        <v>6</v>
      </c>
      <c r="L22">
        <v>92</v>
      </c>
      <c r="M22">
        <v>6</v>
      </c>
    </row>
    <row r="23">
      <c r="A23" t="inlineStr">
        <is>
          <t>Soins infirmiers</t>
        </is>
      </c>
      <c r="B23" t="inlineStr">
        <is>
          <t>L1</t>
        </is>
      </c>
      <c r="C23" t="inlineStr">
        <is>
          <t>1</t>
        </is>
      </c>
      <c r="D23" t="inlineStr">
        <is>
          <t>3</t>
        </is>
      </c>
      <c r="E23" t="inlineStr">
        <is>
          <t>Principes fondamentaux des soins obstétricaux</t>
        </is>
      </c>
      <c r="F23" t="inlineStr">
        <is>
          <t>Disposition d’un environnement sûr</t>
        </is>
      </c>
      <c r="H23">
        <v>8</v>
      </c>
      <c r="I23">
        <v>4</v>
      </c>
      <c r="J23">
        <v>0</v>
      </c>
      <c r="K23">
        <v>12</v>
      </c>
      <c r="L23">
        <v>92</v>
      </c>
      <c r="M23">
        <v>6</v>
      </c>
    </row>
    <row r="24">
      <c r="A24" t="inlineStr">
        <is>
          <t>Soins infirmiers</t>
        </is>
      </c>
      <c r="B24" t="inlineStr">
        <is>
          <t>L1</t>
        </is>
      </c>
      <c r="C24" t="inlineStr">
        <is>
          <t>1</t>
        </is>
      </c>
      <c r="D24" t="inlineStr">
        <is>
          <t>3</t>
        </is>
      </c>
      <c r="E24" t="inlineStr">
        <is>
          <t>Principes fondamentaux des soins obstétricaux</t>
        </is>
      </c>
      <c r="F24" t="inlineStr">
        <is>
          <t>Besoins fondamentaux du patient</t>
        </is>
      </c>
      <c r="H24">
        <v>4</v>
      </c>
      <c r="I24">
        <v>6</v>
      </c>
      <c r="J24">
        <v>0</v>
      </c>
      <c r="K24">
        <v>10</v>
      </c>
      <c r="L24">
        <v>92</v>
      </c>
      <c r="M24">
        <v>6</v>
      </c>
    </row>
    <row r="25">
      <c r="A25" t="inlineStr">
        <is>
          <t>Soins infirmiers</t>
        </is>
      </c>
      <c r="B25" t="inlineStr">
        <is>
          <t>L1</t>
        </is>
      </c>
      <c r="C25" t="inlineStr">
        <is>
          <t>1</t>
        </is>
      </c>
      <c r="D25" t="inlineStr">
        <is>
          <t>3</t>
        </is>
      </c>
      <c r="E25" t="inlineStr">
        <is>
          <t>Principes fondamentaux des soins obstétricaux</t>
        </is>
      </c>
      <c r="F25" t="inlineStr">
        <is>
          <t>Démarche de soins et Projet de soins</t>
        </is>
      </c>
      <c r="H25">
        <v>6</v>
      </c>
      <c r="I25">
        <v>6</v>
      </c>
      <c r="J25">
        <v>0</v>
      </c>
      <c r="K25">
        <v>12</v>
      </c>
      <c r="L25">
        <v>92</v>
      </c>
      <c r="M25">
        <v>6</v>
      </c>
    </row>
    <row r="26">
      <c r="A26" t="inlineStr">
        <is>
          <t>Soins infirmiers</t>
        </is>
      </c>
      <c r="B26" t="inlineStr">
        <is>
          <t>L1</t>
        </is>
      </c>
      <c r="C26" t="inlineStr">
        <is>
          <t>1</t>
        </is>
      </c>
      <c r="D26" t="inlineStr">
        <is>
          <t>3</t>
        </is>
      </c>
      <c r="E26" t="inlineStr">
        <is>
          <t>Principes fondamentaux des soins obstétricaux</t>
        </is>
      </c>
      <c r="F26" t="inlineStr">
        <is>
          <t>Procédure d’admission</t>
        </is>
      </c>
      <c r="H26">
        <v>4</v>
      </c>
      <c r="I26">
        <v>2</v>
      </c>
      <c r="J26">
        <v>0</v>
      </c>
      <c r="K26">
        <v>6</v>
      </c>
      <c r="L26">
        <v>92</v>
      </c>
      <c r="M26">
        <v>6</v>
      </c>
    </row>
    <row r="27">
      <c r="A27" t="inlineStr">
        <is>
          <t>Soins infirmiers</t>
        </is>
      </c>
      <c r="B27" t="inlineStr">
        <is>
          <t>L1</t>
        </is>
      </c>
      <c r="C27" t="inlineStr">
        <is>
          <t>1</t>
        </is>
      </c>
      <c r="D27" t="inlineStr">
        <is>
          <t>3</t>
        </is>
      </c>
      <c r="E27" t="inlineStr">
        <is>
          <t>Principes fondamentaux des soins obstétricaux</t>
        </is>
      </c>
      <c r="F27" t="inlineStr">
        <is>
          <t>Soins de base prodigués au patient</t>
        </is>
      </c>
      <c r="H27">
        <v>14</v>
      </c>
      <c r="I27">
        <v>4</v>
      </c>
      <c r="J27">
        <v>8</v>
      </c>
      <c r="K27">
        <v>26</v>
      </c>
      <c r="L27">
        <v>92</v>
      </c>
      <c r="M27">
        <v>6</v>
      </c>
    </row>
    <row r="28">
      <c r="A28" t="inlineStr">
        <is>
          <t>Soins infirmiers</t>
        </is>
      </c>
      <c r="B28" t="inlineStr">
        <is>
          <t>L1</t>
        </is>
      </c>
      <c r="C28" t="inlineStr">
        <is>
          <t>1</t>
        </is>
      </c>
      <c r="D28" t="inlineStr">
        <is>
          <t>4</t>
        </is>
      </c>
      <c r="E28" t="inlineStr">
        <is>
          <t>Microbiologie et parasitologie</t>
        </is>
      </c>
      <c r="F28" t="inlineStr">
        <is>
          <t>Microbiologie</t>
        </is>
      </c>
      <c r="H28">
        <v>8</v>
      </c>
      <c r="I28">
        <v>2</v>
      </c>
      <c r="J28">
        <v>0</v>
      </c>
      <c r="K28">
        <v>10</v>
      </c>
      <c r="L28">
        <v>48</v>
      </c>
      <c r="M28">
        <v>3</v>
      </c>
    </row>
    <row r="29">
      <c r="A29" t="inlineStr">
        <is>
          <t>Soins infirmiers</t>
        </is>
      </c>
      <c r="B29" t="inlineStr">
        <is>
          <t>L1</t>
        </is>
      </c>
      <c r="C29" t="inlineStr">
        <is>
          <t>1</t>
        </is>
      </c>
      <c r="D29" t="inlineStr">
        <is>
          <t>4</t>
        </is>
      </c>
      <c r="E29" t="inlineStr">
        <is>
          <t>Microbiologie et parasitologie</t>
        </is>
      </c>
      <c r="F29" t="inlineStr">
        <is>
          <t>Parasitologie</t>
        </is>
      </c>
      <c r="H29">
        <v>8</v>
      </c>
      <c r="I29">
        <v>2</v>
      </c>
      <c r="J29">
        <v>0</v>
      </c>
      <c r="K29">
        <v>10</v>
      </c>
      <c r="L29">
        <v>48</v>
      </c>
      <c r="M29">
        <v>3</v>
      </c>
    </row>
    <row r="30">
      <c r="A30" t="inlineStr">
        <is>
          <t>Soins infirmiers</t>
        </is>
      </c>
      <c r="B30" t="inlineStr">
        <is>
          <t>L1</t>
        </is>
      </c>
      <c r="C30" t="inlineStr">
        <is>
          <t>1</t>
        </is>
      </c>
      <c r="D30" t="inlineStr">
        <is>
          <t>4</t>
        </is>
      </c>
      <c r="E30" t="inlineStr">
        <is>
          <t>Microbiologie et parasitologie</t>
        </is>
      </c>
      <c r="F30" t="inlineStr">
        <is>
          <t>Examens de laboratoire</t>
        </is>
      </c>
      <c r="H30">
        <v>10</v>
      </c>
      <c r="I30">
        <v>4</v>
      </c>
      <c r="J30">
        <v>6</v>
      </c>
      <c r="K30">
        <v>20</v>
      </c>
      <c r="L30">
        <v>48</v>
      </c>
      <c r="M30">
        <v>3</v>
      </c>
    </row>
    <row r="31">
      <c r="A31" t="inlineStr">
        <is>
          <t>Soins infirmiers</t>
        </is>
      </c>
      <c r="B31" t="inlineStr">
        <is>
          <t>L1</t>
        </is>
      </c>
      <c r="C31" t="inlineStr">
        <is>
          <t>1</t>
        </is>
      </c>
      <c r="D31" t="inlineStr">
        <is>
          <t>6</t>
        </is>
      </c>
      <c r="E31" t="inlineStr">
        <is>
          <t>Pharmacologie Générale et Biochimie</t>
        </is>
      </c>
      <c r="F31" t="inlineStr">
        <is>
          <t>Introduction à la pharmacologie</t>
        </is>
      </c>
      <c r="H31">
        <v>4</v>
      </c>
      <c r="I31">
        <v>0</v>
      </c>
      <c r="J31">
        <v>0</v>
      </c>
      <c r="K31">
        <v>4</v>
      </c>
      <c r="L31">
        <v>40</v>
      </c>
      <c r="M31">
        <v>3</v>
      </c>
    </row>
    <row r="32">
      <c r="A32" t="inlineStr">
        <is>
          <t>Soins infirmiers</t>
        </is>
      </c>
      <c r="B32" t="inlineStr">
        <is>
          <t>L1</t>
        </is>
      </c>
      <c r="C32" t="inlineStr">
        <is>
          <t>1</t>
        </is>
      </c>
      <c r="D32" t="inlineStr">
        <is>
          <t>6</t>
        </is>
      </c>
      <c r="E32" t="inlineStr">
        <is>
          <t>Pharmacologie Générale et Biochimie</t>
        </is>
      </c>
      <c r="F32" t="inlineStr">
        <is>
          <t>Actions pharmacologiques des médicaments</t>
        </is>
      </c>
      <c r="H32">
        <v>4</v>
      </c>
      <c r="I32">
        <v>0</v>
      </c>
      <c r="J32">
        <v>0</v>
      </c>
      <c r="K32">
        <v>4</v>
      </c>
      <c r="L32">
        <v>40</v>
      </c>
      <c r="M32">
        <v>3</v>
      </c>
    </row>
    <row r="33">
      <c r="A33" t="inlineStr">
        <is>
          <t>Soins infirmiers</t>
        </is>
      </c>
      <c r="B33" t="inlineStr">
        <is>
          <t>L1</t>
        </is>
      </c>
      <c r="C33" t="inlineStr">
        <is>
          <t>1</t>
        </is>
      </c>
      <c r="D33" t="inlineStr">
        <is>
          <t>6</t>
        </is>
      </c>
      <c r="E33" t="inlineStr">
        <is>
          <t>Pharmacologie Générale et Biochimie</t>
        </is>
      </c>
      <c r="F33" t="inlineStr">
        <is>
          <t>Les grandes classes thérapeutiques</t>
        </is>
      </c>
      <c r="H33">
        <v>4</v>
      </c>
      <c r="I33">
        <v>2</v>
      </c>
      <c r="J33">
        <v>0</v>
      </c>
      <c r="K33">
        <v>6</v>
      </c>
      <c r="L33">
        <v>40</v>
      </c>
      <c r="M33">
        <v>3</v>
      </c>
    </row>
    <row r="34">
      <c r="A34" t="inlineStr">
        <is>
          <t>Soins infirmiers</t>
        </is>
      </c>
      <c r="B34" t="inlineStr">
        <is>
          <t>L1</t>
        </is>
      </c>
      <c r="C34" t="inlineStr">
        <is>
          <t>1</t>
        </is>
      </c>
      <c r="D34" t="inlineStr">
        <is>
          <t>6</t>
        </is>
      </c>
      <c r="E34" t="inlineStr">
        <is>
          <t>Pharmacologie Générale et Biochimie</t>
        </is>
      </c>
      <c r="F34" t="inlineStr">
        <is>
          <t>Logistique et gestion des médicaments</t>
        </is>
      </c>
      <c r="H34">
        <v>4</v>
      </c>
      <c r="I34">
        <v>2</v>
      </c>
      <c r="J34">
        <v>0</v>
      </c>
      <c r="K34">
        <v>6</v>
      </c>
      <c r="L34">
        <v>40</v>
      </c>
      <c r="M34">
        <v>3</v>
      </c>
    </row>
    <row r="35">
      <c r="A35" t="inlineStr">
        <is>
          <t>Soins infirmiers</t>
        </is>
      </c>
      <c r="B35" t="inlineStr">
        <is>
          <t>L1</t>
        </is>
      </c>
      <c r="C35" t="inlineStr">
        <is>
          <t>1</t>
        </is>
      </c>
      <c r="D35" t="inlineStr">
        <is>
          <t>6</t>
        </is>
      </c>
      <c r="E35" t="inlineStr">
        <is>
          <t>Pharmacologie Générale et Biochimie</t>
        </is>
      </c>
      <c r="F35" t="inlineStr">
        <is>
          <t>Biochimie</t>
        </is>
      </c>
      <c r="H35">
        <v>16</v>
      </c>
      <c r="I35">
        <v>4</v>
      </c>
      <c r="J35">
        <v>0</v>
      </c>
      <c r="K35">
        <v>20</v>
      </c>
      <c r="L35">
        <v>40</v>
      </c>
      <c r="M35">
        <v>3</v>
      </c>
    </row>
    <row r="36">
      <c r="A36" t="inlineStr">
        <is>
          <t>Soins infirmiers</t>
        </is>
      </c>
      <c r="B36" t="inlineStr">
        <is>
          <t>L1</t>
        </is>
      </c>
      <c r="C36" t="inlineStr">
        <is>
          <t>1</t>
        </is>
      </c>
      <c r="D36" t="inlineStr">
        <is>
          <t>7</t>
        </is>
      </c>
      <c r="E36" t="inlineStr">
        <is>
          <t>Sémiologie médico-chirurgicale</t>
        </is>
      </c>
      <c r="F36" t="inlineStr">
        <is>
          <t>Observation du malade</t>
        </is>
      </c>
      <c r="H36">
        <v>6</v>
      </c>
      <c r="I36">
        <v>2</v>
      </c>
      <c r="J36">
        <v>0</v>
      </c>
      <c r="K36">
        <v>8</v>
      </c>
      <c r="L36">
        <v>40</v>
      </c>
      <c r="M36">
        <v>3</v>
      </c>
    </row>
    <row r="37">
      <c r="A37" t="inlineStr">
        <is>
          <t>Soins infirmiers</t>
        </is>
      </c>
      <c r="B37" t="inlineStr">
        <is>
          <t>L1</t>
        </is>
      </c>
      <c r="C37" t="inlineStr">
        <is>
          <t>1</t>
        </is>
      </c>
      <c r="D37" t="inlineStr">
        <is>
          <t>7</t>
        </is>
      </c>
      <c r="E37" t="inlineStr">
        <is>
          <t>Sémiologie médico-chirurgicale</t>
        </is>
      </c>
      <c r="F37" t="inlineStr">
        <is>
          <t>Sémiologi chirurgicale</t>
        </is>
      </c>
      <c r="H37">
        <v>10</v>
      </c>
      <c r="I37">
        <v>4</v>
      </c>
      <c r="J37">
        <v>0</v>
      </c>
      <c r="K37">
        <v>14</v>
      </c>
      <c r="L37">
        <v>40</v>
      </c>
      <c r="M37">
        <v>3</v>
      </c>
    </row>
    <row r="38">
      <c r="A38" t="inlineStr">
        <is>
          <t>Soins infirmiers</t>
        </is>
      </c>
      <c r="B38" t="inlineStr">
        <is>
          <t>L1</t>
        </is>
      </c>
      <c r="C38" t="inlineStr">
        <is>
          <t>1</t>
        </is>
      </c>
      <c r="D38" t="inlineStr">
        <is>
          <t>7</t>
        </is>
      </c>
      <c r="E38" t="inlineStr">
        <is>
          <t>Sémiologie médico-chirurgicale</t>
        </is>
      </c>
      <c r="F38" t="inlineStr">
        <is>
          <t>Sémiologie médicale</t>
        </is>
      </c>
      <c r="H38">
        <v>14</v>
      </c>
      <c r="I38">
        <v>4</v>
      </c>
      <c r="J38">
        <v>0</v>
      </c>
      <c r="K38">
        <v>18</v>
      </c>
      <c r="L38">
        <v>40</v>
      </c>
      <c r="M38">
        <v>3</v>
      </c>
    </row>
    <row r="39">
      <c r="A39" t="inlineStr">
        <is>
          <t>Soins infirmiers</t>
        </is>
      </c>
      <c r="B39" t="inlineStr">
        <is>
          <t>L1</t>
        </is>
      </c>
      <c r="C39" t="inlineStr">
        <is>
          <t>1</t>
        </is>
      </c>
      <c r="D39" t="inlineStr">
        <is>
          <t>8</t>
        </is>
      </c>
      <c r="E39" t="inlineStr">
        <is>
          <t>Santé publique-Santé Communautaire/1</t>
        </is>
      </c>
      <c r="F39" t="inlineStr">
        <is>
          <t>Généralités sur la SP/SC</t>
        </is>
      </c>
      <c r="H39">
        <v>4</v>
      </c>
      <c r="I39">
        <v>1</v>
      </c>
      <c r="J39">
        <v>0</v>
      </c>
      <c r="K39">
        <v>5</v>
      </c>
      <c r="L39">
        <v>45</v>
      </c>
      <c r="M39">
        <v>3</v>
      </c>
    </row>
    <row r="40">
      <c r="A40" t="inlineStr">
        <is>
          <t>Soins infirmiers</t>
        </is>
      </c>
      <c r="B40" t="inlineStr">
        <is>
          <t>L1</t>
        </is>
      </c>
      <c r="C40" t="inlineStr">
        <is>
          <t>1</t>
        </is>
      </c>
      <c r="D40" t="inlineStr">
        <is>
          <t>8</t>
        </is>
      </c>
      <c r="E40" t="inlineStr">
        <is>
          <t>Santé publique-Santé Communautaire/1</t>
        </is>
      </c>
      <c r="F40" t="inlineStr">
        <is>
          <t>Approche SP/SC</t>
        </is>
      </c>
      <c r="H40">
        <v>8</v>
      </c>
      <c r="I40">
        <v>2</v>
      </c>
      <c r="J40">
        <v>0</v>
      </c>
      <c r="K40">
        <v>10</v>
      </c>
      <c r="L40">
        <v>45</v>
      </c>
      <c r="M40">
        <v>3</v>
      </c>
    </row>
    <row r="41">
      <c r="A41" t="inlineStr">
        <is>
          <t>Soins infirmiers</t>
        </is>
      </c>
      <c r="B41" t="inlineStr">
        <is>
          <t>L1</t>
        </is>
      </c>
      <c r="C41" t="inlineStr">
        <is>
          <t>1</t>
        </is>
      </c>
      <c r="D41" t="inlineStr">
        <is>
          <t>8</t>
        </is>
      </c>
      <c r="E41" t="inlineStr">
        <is>
          <t>Santé publique-Santé Communautaire/1</t>
        </is>
      </c>
      <c r="F41" t="inlineStr">
        <is>
          <t>Santé et environnement</t>
        </is>
      </c>
      <c r="H41">
        <v>8</v>
      </c>
      <c r="I41">
        <v>2</v>
      </c>
      <c r="J41">
        <v>0</v>
      </c>
      <c r="K41">
        <v>10</v>
      </c>
      <c r="L41">
        <v>45</v>
      </c>
      <c r="M41">
        <v>3</v>
      </c>
    </row>
    <row r="42">
      <c r="A42" t="inlineStr">
        <is>
          <t>Soins infirmiers</t>
        </is>
      </c>
      <c r="B42" t="inlineStr">
        <is>
          <t>L1</t>
        </is>
      </c>
      <c r="C42" t="inlineStr">
        <is>
          <t>1</t>
        </is>
      </c>
      <c r="D42" t="inlineStr">
        <is>
          <t>8</t>
        </is>
      </c>
      <c r="E42" t="inlineStr">
        <is>
          <t>Santé publique-Santé Communautaire/1</t>
        </is>
      </c>
      <c r="F42" t="inlineStr">
        <is>
          <t>Démographie</t>
        </is>
      </c>
      <c r="H42">
        <v>8</v>
      </c>
      <c r="I42">
        <v>2</v>
      </c>
      <c r="J42">
        <v>0</v>
      </c>
      <c r="K42">
        <v>10</v>
      </c>
      <c r="L42">
        <v>45</v>
      </c>
      <c r="M42">
        <v>3</v>
      </c>
    </row>
    <row r="43">
      <c r="A43" t="inlineStr">
        <is>
          <t>Soins infirmiers</t>
        </is>
      </c>
      <c r="B43" t="inlineStr">
        <is>
          <t>L1</t>
        </is>
      </c>
      <c r="C43" t="inlineStr">
        <is>
          <t>1</t>
        </is>
      </c>
      <c r="D43" t="inlineStr">
        <is>
          <t>8</t>
        </is>
      </c>
      <c r="E43" t="inlineStr">
        <is>
          <t>Santé publique-Santé Communautaire/1</t>
        </is>
      </c>
      <c r="F43" t="inlineStr">
        <is>
          <t>Epidémiologie</t>
        </is>
      </c>
      <c r="H43">
        <v>8</v>
      </c>
      <c r="I43">
        <v>2</v>
      </c>
      <c r="J43">
        <v>0</v>
      </c>
      <c r="K43">
        <v>10</v>
      </c>
      <c r="L43">
        <v>45</v>
      </c>
      <c r="M43">
        <v>3</v>
      </c>
    </row>
    <row r="44">
      <c r="A44" t="inlineStr">
        <is>
          <t>Soins infirmiers</t>
        </is>
      </c>
      <c r="B44" t="inlineStr">
        <is>
          <t>L1</t>
        </is>
      </c>
      <c r="C44" t="inlineStr">
        <is>
          <t>1</t>
        </is>
      </c>
      <c r="D44" t="inlineStr">
        <is>
          <t>9</t>
        </is>
      </c>
      <c r="E44" t="inlineStr">
        <is>
          <t>Outils de recherche</t>
        </is>
      </c>
      <c r="F44" t="inlineStr">
        <is>
          <t>Anglais médical</t>
        </is>
      </c>
      <c r="H44">
        <v>8</v>
      </c>
      <c r="I44">
        <v>2</v>
      </c>
      <c r="J44">
        <v>0</v>
      </c>
      <c r="K44">
        <v>10</v>
      </c>
      <c r="L44">
        <v>38</v>
      </c>
      <c r="M44">
        <v>2</v>
      </c>
    </row>
    <row r="45">
      <c r="A45" t="inlineStr">
        <is>
          <t>Soins infirmiers</t>
        </is>
      </c>
      <c r="B45" t="inlineStr">
        <is>
          <t>L1</t>
        </is>
      </c>
      <c r="C45" t="inlineStr">
        <is>
          <t>1</t>
        </is>
      </c>
      <c r="D45" t="inlineStr">
        <is>
          <t>9</t>
        </is>
      </c>
      <c r="E45" t="inlineStr">
        <is>
          <t>Outils de recherche</t>
        </is>
      </c>
      <c r="F45" t="inlineStr">
        <is>
          <t>Expression française</t>
        </is>
      </c>
      <c r="H45">
        <v>8</v>
      </c>
      <c r="I45">
        <v>2</v>
      </c>
      <c r="J45">
        <v>0</v>
      </c>
      <c r="K45">
        <v>10</v>
      </c>
      <c r="L45">
        <v>38</v>
      </c>
      <c r="M45">
        <v>2</v>
      </c>
    </row>
    <row r="46">
      <c r="A46" t="inlineStr">
        <is>
          <t>Soins infirmiers</t>
        </is>
      </c>
      <c r="B46" t="inlineStr">
        <is>
          <t>L1</t>
        </is>
      </c>
      <c r="C46" t="inlineStr">
        <is>
          <t>1</t>
        </is>
      </c>
      <c r="D46" t="inlineStr">
        <is>
          <t>9</t>
        </is>
      </c>
      <c r="E46" t="inlineStr">
        <is>
          <t>Outils de recherche</t>
        </is>
      </c>
      <c r="F46" t="inlineStr">
        <is>
          <t>Méthodes statistiques</t>
        </is>
      </c>
      <c r="H46">
        <v>10</v>
      </c>
      <c r="I46">
        <v>8</v>
      </c>
      <c r="J46">
        <v>0</v>
      </c>
      <c r="K46">
        <v>18</v>
      </c>
      <c r="L46">
        <v>38</v>
      </c>
      <c r="M46">
        <v>2</v>
      </c>
    </row>
    <row r="47">
      <c r="A47" t="inlineStr">
        <is>
          <t>Soins infirmiers</t>
        </is>
      </c>
      <c r="B47" t="inlineStr">
        <is>
          <t>L1</t>
        </is>
      </c>
      <c r="C47" t="inlineStr">
        <is>
          <t>2</t>
        </is>
      </c>
      <c r="D47" t="inlineStr">
        <is>
          <t>10</t>
        </is>
      </c>
      <c r="E47" t="inlineStr">
        <is>
          <t>Sciences humaines et sociales</t>
        </is>
      </c>
      <c r="F47" t="inlineStr">
        <is>
          <t>Sociologie</t>
        </is>
      </c>
      <c r="H47">
        <v>30</v>
      </c>
      <c r="I47">
        <v>4</v>
      </c>
      <c r="J47">
        <v>0</v>
      </c>
      <c r="K47">
        <v>34</v>
      </c>
      <c r="L47">
        <v>80</v>
      </c>
      <c r="M47">
        <v>5</v>
      </c>
      <c r="N47" t="inlineStr">
        <is>
          <t>Coef</t>
        </is>
      </c>
    </row>
    <row r="48">
      <c r="A48" t="inlineStr">
        <is>
          <t>Soins infirmiers</t>
        </is>
      </c>
      <c r="B48" t="inlineStr">
        <is>
          <t>L1</t>
        </is>
      </c>
      <c r="C48" t="inlineStr">
        <is>
          <t>2</t>
        </is>
      </c>
      <c r="D48" t="inlineStr">
        <is>
          <t>10</t>
        </is>
      </c>
      <c r="E48" t="inlineStr">
        <is>
          <t>Sciences humaines et sociales</t>
        </is>
      </c>
      <c r="F48" t="inlineStr">
        <is>
          <t>Psychologie</t>
        </is>
      </c>
      <c r="H48">
        <v>30</v>
      </c>
      <c r="I48">
        <v>4</v>
      </c>
      <c r="J48">
        <v>0</v>
      </c>
      <c r="K48">
        <v>34</v>
      </c>
      <c r="L48">
        <v>80</v>
      </c>
      <c r="M48">
        <v>5</v>
      </c>
      <c r="N48" t="inlineStr">
        <is>
          <t>Coef</t>
        </is>
      </c>
    </row>
    <row r="49">
      <c r="A49" t="inlineStr">
        <is>
          <t>Soins infirmiers</t>
        </is>
      </c>
      <c r="B49" t="inlineStr">
        <is>
          <t>L1</t>
        </is>
      </c>
      <c r="C49" t="inlineStr">
        <is>
          <t>2</t>
        </is>
      </c>
      <c r="D49" t="inlineStr">
        <is>
          <t>10</t>
        </is>
      </c>
      <c r="E49" t="inlineStr">
        <is>
          <t>Sciences humaines et sociales</t>
        </is>
      </c>
      <c r="F49" t="inlineStr">
        <is>
          <t>Anthropologie et ethnologie</t>
        </is>
      </c>
      <c r="H49">
        <v>10</v>
      </c>
      <c r="I49">
        <v>2</v>
      </c>
      <c r="J49">
        <v>0</v>
      </c>
      <c r="K49">
        <v>12</v>
      </c>
      <c r="L49">
        <v>80</v>
      </c>
      <c r="M49">
        <v>5</v>
      </c>
      <c r="N49" t="inlineStr">
        <is>
          <t>Coef</t>
        </is>
      </c>
    </row>
    <row r="50">
      <c r="A50" t="inlineStr">
        <is>
          <t>Soins infirmiers</t>
        </is>
      </c>
      <c r="B50" t="inlineStr">
        <is>
          <t>L1</t>
        </is>
      </c>
      <c r="C50" t="inlineStr">
        <is>
          <t>2</t>
        </is>
      </c>
      <c r="D50" t="inlineStr">
        <is>
          <t>12</t>
        </is>
      </c>
      <c r="E50" t="inlineStr">
        <is>
          <t>Aspects professionnels éthiques et juridiques de la profession d’infirmière /1</t>
        </is>
      </c>
      <c r="F50" t="inlineStr">
        <is>
          <t>Les métiers d’infirmier et de sage-femme</t>
        </is>
      </c>
      <c r="H50">
        <v>6</v>
      </c>
      <c r="I50">
        <v>2</v>
      </c>
      <c r="J50">
        <v>0</v>
      </c>
      <c r="K50">
        <v>8</v>
      </c>
      <c r="L50">
        <v>46</v>
      </c>
      <c r="M50">
        <v>3</v>
      </c>
      <c r="N50" t="inlineStr">
        <is>
          <t>Coef</t>
        </is>
      </c>
    </row>
    <row r="51">
      <c r="A51" t="inlineStr">
        <is>
          <t>Soins infirmiers</t>
        </is>
      </c>
      <c r="B51" t="inlineStr">
        <is>
          <t>L1</t>
        </is>
      </c>
      <c r="C51" t="inlineStr">
        <is>
          <t>2</t>
        </is>
      </c>
      <c r="D51" t="inlineStr">
        <is>
          <t>12</t>
        </is>
      </c>
      <c r="E51" t="inlineStr">
        <is>
          <t>Aspects professionnels éthiques et juridiques de la profession d’infirmière /1</t>
        </is>
      </c>
      <c r="F51" t="inlineStr">
        <is>
          <t>Législation et réglementation de la profession et protection du public</t>
        </is>
      </c>
      <c r="H51">
        <v>8</v>
      </c>
      <c r="I51">
        <v>2</v>
      </c>
      <c r="J51">
        <v>0</v>
      </c>
      <c r="K51">
        <v>10</v>
      </c>
      <c r="L51">
        <v>46</v>
      </c>
      <c r="M51">
        <v>3</v>
      </c>
      <c r="N51" t="inlineStr">
        <is>
          <t>Coef</t>
        </is>
      </c>
    </row>
    <row r="52">
      <c r="A52" t="inlineStr">
        <is>
          <t>Soins infirmiers</t>
        </is>
      </c>
      <c r="B52" t="inlineStr">
        <is>
          <t>L1</t>
        </is>
      </c>
      <c r="C52" t="inlineStr">
        <is>
          <t>2</t>
        </is>
      </c>
      <c r="D52" t="inlineStr">
        <is>
          <t>12</t>
        </is>
      </c>
      <c r="E52" t="inlineStr">
        <is>
          <t>Aspects professionnels éthiques et juridiques de la profession d’infirmière /1</t>
        </is>
      </c>
      <c r="F52" t="inlineStr">
        <is>
          <t>Déontologie, théories et principes éthiques</t>
        </is>
      </c>
      <c r="H52">
        <v>16</v>
      </c>
      <c r="I52">
        <v>4</v>
      </c>
      <c r="J52">
        <v>0</v>
      </c>
      <c r="K52">
        <v>20</v>
      </c>
      <c r="L52">
        <v>46</v>
      </c>
      <c r="M52">
        <v>3</v>
      </c>
      <c r="N52" t="inlineStr">
        <is>
          <t>Coef</t>
        </is>
      </c>
    </row>
    <row r="53">
      <c r="A53" t="inlineStr">
        <is>
          <t>Soins infirmiers</t>
        </is>
      </c>
      <c r="B53" t="inlineStr">
        <is>
          <t>L1</t>
        </is>
      </c>
      <c r="C53" t="inlineStr">
        <is>
          <t>2</t>
        </is>
      </c>
      <c r="D53" t="inlineStr">
        <is>
          <t>12</t>
        </is>
      </c>
      <c r="E53" t="inlineStr">
        <is>
          <t>Aspects professionnels éthiques et juridiques de la profession d’infirmière /1</t>
        </is>
      </c>
      <c r="F53" t="inlineStr">
        <is>
          <t>Organisations et associations professionnelles</t>
        </is>
      </c>
      <c r="H53">
        <v>6</v>
      </c>
      <c r="I53">
        <v>2</v>
      </c>
      <c r="J53">
        <v>0</v>
      </c>
      <c r="K53">
        <v>8</v>
      </c>
      <c r="L53">
        <v>46</v>
      </c>
      <c r="M53">
        <v>3</v>
      </c>
      <c r="N53" t="inlineStr">
        <is>
          <t>Coef</t>
        </is>
      </c>
    </row>
    <row r="54">
      <c r="A54" t="inlineStr">
        <is>
          <t>Soins infirmiers</t>
        </is>
      </c>
      <c r="B54" t="inlineStr">
        <is>
          <t>L1</t>
        </is>
      </c>
      <c r="C54" t="inlineStr">
        <is>
          <t>2</t>
        </is>
      </c>
      <c r="D54" t="inlineStr">
        <is>
          <t>13</t>
        </is>
      </c>
      <c r="E54" t="inlineStr">
        <is>
          <t>Nutrition et diététique/1</t>
        </is>
      </c>
      <c r="F54" t="inlineStr">
        <is>
          <t>Alimentation et nutrition : les aliments organiques et leurs fonctions</t>
        </is>
      </c>
      <c r="H54">
        <v>24</v>
      </c>
      <c r="I54">
        <v>6</v>
      </c>
      <c r="J54">
        <v>0</v>
      </c>
      <c r="K54">
        <v>30</v>
      </c>
      <c r="L54">
        <v>30</v>
      </c>
      <c r="M54">
        <v>2</v>
      </c>
      <c r="N54" t="inlineStr">
        <is>
          <t>Coef</t>
        </is>
      </c>
    </row>
    <row r="55">
      <c r="A55" t="inlineStr">
        <is>
          <t>Soins infirmiers</t>
        </is>
      </c>
      <c r="B55" t="inlineStr">
        <is>
          <t>L1</t>
        </is>
      </c>
      <c r="C55" t="inlineStr">
        <is>
          <t>2</t>
        </is>
      </c>
      <c r="D55" t="inlineStr">
        <is>
          <t>13</t>
        </is>
      </c>
      <c r="E55" t="inlineStr">
        <is>
          <t>Nutrition et diététique/1</t>
        </is>
      </c>
      <c r="F55" t="inlineStr">
        <is>
          <t>Métabolisme</t>
        </is>
      </c>
      <c r="L55">
        <v>30</v>
      </c>
      <c r="M55">
        <v>2</v>
      </c>
      <c r="N55" t="inlineStr">
        <is>
          <t>Coef</t>
        </is>
      </c>
    </row>
    <row r="56">
      <c r="A56" t="inlineStr">
        <is>
          <t>Soins infirmiers</t>
        </is>
      </c>
      <c r="B56" t="inlineStr">
        <is>
          <t>L1</t>
        </is>
      </c>
      <c r="C56" t="inlineStr">
        <is>
          <t>2</t>
        </is>
      </c>
      <c r="D56" t="inlineStr">
        <is>
          <t>13</t>
        </is>
      </c>
      <c r="E56" t="inlineStr">
        <is>
          <t>Nutrition et diététique/1</t>
        </is>
      </c>
      <c r="F56" t="inlineStr">
        <is>
          <t>Besoins nutritionnels des différentes tranches d’âge</t>
        </is>
      </c>
      <c r="L56">
        <v>30</v>
      </c>
      <c r="M56">
        <v>2</v>
      </c>
      <c r="N56" t="inlineStr">
        <is>
          <t>Coef</t>
        </is>
      </c>
    </row>
    <row r="57">
      <c r="A57" t="inlineStr">
        <is>
          <t>Soins infirmiers</t>
        </is>
      </c>
      <c r="B57" t="inlineStr">
        <is>
          <t>L1</t>
        </is>
      </c>
      <c r="C57" t="inlineStr">
        <is>
          <t>2</t>
        </is>
      </c>
      <c r="D57" t="inlineStr">
        <is>
          <t>13</t>
        </is>
      </c>
      <c r="E57" t="inlineStr">
        <is>
          <t>Nutrition et diététique/1</t>
        </is>
      </c>
      <c r="F57" t="inlineStr">
        <is>
          <t>Sécurité et disponibilité alimentaire</t>
        </is>
      </c>
      <c r="L57">
        <v>30</v>
      </c>
      <c r="M57">
        <v>2</v>
      </c>
      <c r="N57" t="inlineStr">
        <is>
          <t>Coef</t>
        </is>
      </c>
    </row>
    <row r="58">
      <c r="A58" t="inlineStr">
        <is>
          <t>Soins infirmiers</t>
        </is>
      </c>
      <c r="B58" t="inlineStr">
        <is>
          <t>L1</t>
        </is>
      </c>
      <c r="C58" t="inlineStr">
        <is>
          <t>2</t>
        </is>
      </c>
      <c r="D58" t="inlineStr">
        <is>
          <t>13</t>
        </is>
      </c>
      <c r="E58" t="inlineStr">
        <is>
          <t>Nutrition et diététique/1</t>
        </is>
      </c>
      <c r="F58" t="inlineStr">
        <is>
          <t>Aspects comportementaux et culturels de la nutrition</t>
        </is>
      </c>
      <c r="L58">
        <v>30</v>
      </c>
      <c r="M58">
        <v>2</v>
      </c>
      <c r="N58" t="inlineStr">
        <is>
          <t>Coef</t>
        </is>
      </c>
    </row>
    <row r="59">
      <c r="A59" t="inlineStr">
        <is>
          <t>Soins infirmiers</t>
        </is>
      </c>
      <c r="B59" t="inlineStr">
        <is>
          <t>L1</t>
        </is>
      </c>
      <c r="C59" t="inlineStr">
        <is>
          <t>2</t>
        </is>
      </c>
      <c r="D59" t="inlineStr">
        <is>
          <t>14</t>
        </is>
      </c>
      <c r="E59" t="inlineStr">
        <is>
          <t>Prise en charge des affections primaires</t>
        </is>
      </c>
      <c r="F59" t="inlineStr">
        <is>
          <t>Maladies infectieuses</t>
        </is>
      </c>
      <c r="H59">
        <v>14</v>
      </c>
      <c r="I59">
        <v>6</v>
      </c>
      <c r="J59">
        <v>0</v>
      </c>
      <c r="K59">
        <v>20</v>
      </c>
      <c r="L59">
        <v>150</v>
      </c>
      <c r="M59">
        <v>10</v>
      </c>
      <c r="N59" t="inlineStr">
        <is>
          <t>Coef</t>
        </is>
      </c>
    </row>
    <row r="60">
      <c r="A60" t="inlineStr">
        <is>
          <t>Soins infirmiers</t>
        </is>
      </c>
      <c r="B60" t="inlineStr">
        <is>
          <t>L1</t>
        </is>
      </c>
      <c r="C60" t="inlineStr">
        <is>
          <t>2</t>
        </is>
      </c>
      <c r="D60" t="inlineStr">
        <is>
          <t>14</t>
        </is>
      </c>
      <c r="E60" t="inlineStr">
        <is>
          <t>Prise en charge des affections primaires</t>
        </is>
      </c>
      <c r="F60" t="inlineStr">
        <is>
          <t>Soins infirmiers en maladies infectieuses</t>
        </is>
      </c>
      <c r="H60">
        <v>10</v>
      </c>
      <c r="I60">
        <v>2</v>
      </c>
      <c r="J60">
        <v>6</v>
      </c>
      <c r="K60">
        <v>18</v>
      </c>
      <c r="L60">
        <v>150</v>
      </c>
      <c r="M60">
        <v>10</v>
      </c>
      <c r="N60" t="inlineStr">
        <is>
          <t>Coef</t>
        </is>
      </c>
    </row>
    <row r="61">
      <c r="A61" t="inlineStr">
        <is>
          <t>Soins infirmiers</t>
        </is>
      </c>
      <c r="B61" t="inlineStr">
        <is>
          <t>L1</t>
        </is>
      </c>
      <c r="C61" t="inlineStr">
        <is>
          <t>2</t>
        </is>
      </c>
      <c r="D61" t="inlineStr">
        <is>
          <t>14</t>
        </is>
      </c>
      <c r="E61" t="inlineStr">
        <is>
          <t>Prise en charge des affections primaires</t>
        </is>
      </c>
      <c r="F61" t="inlineStr">
        <is>
          <t>Affections respiratoires</t>
        </is>
      </c>
      <c r="H61">
        <v>10</v>
      </c>
      <c r="I61">
        <v>4</v>
      </c>
      <c r="J61">
        <v>8</v>
      </c>
      <c r="K61">
        <v>22</v>
      </c>
      <c r="L61">
        <v>150</v>
      </c>
      <c r="M61">
        <v>10</v>
      </c>
      <c r="N61" t="inlineStr">
        <is>
          <t>Coef</t>
        </is>
      </c>
    </row>
    <row r="62">
      <c r="A62" t="inlineStr">
        <is>
          <t>Soins infirmiers</t>
        </is>
      </c>
      <c r="B62" t="inlineStr">
        <is>
          <t>L1</t>
        </is>
      </c>
      <c r="C62" t="inlineStr">
        <is>
          <t>2</t>
        </is>
      </c>
      <c r="D62" t="inlineStr">
        <is>
          <t>14</t>
        </is>
      </c>
      <c r="E62" t="inlineStr">
        <is>
          <t>Prise en charge des affections primaires</t>
        </is>
      </c>
      <c r="F62" t="inlineStr">
        <is>
          <t>Soins infirmiers en affections respiratoires</t>
        </is>
      </c>
      <c r="H62">
        <v>10</v>
      </c>
      <c r="I62">
        <v>4</v>
      </c>
      <c r="J62">
        <v>6</v>
      </c>
      <c r="K62">
        <v>20</v>
      </c>
      <c r="L62">
        <v>150</v>
      </c>
      <c r="M62">
        <v>10</v>
      </c>
      <c r="N62" t="inlineStr">
        <is>
          <t>Coef</t>
        </is>
      </c>
    </row>
    <row r="63">
      <c r="A63" t="inlineStr">
        <is>
          <t>Soins infirmiers</t>
        </is>
      </c>
      <c r="B63" t="inlineStr">
        <is>
          <t>L1</t>
        </is>
      </c>
      <c r="C63" t="inlineStr">
        <is>
          <t>2</t>
        </is>
      </c>
      <c r="D63" t="inlineStr">
        <is>
          <t>14</t>
        </is>
      </c>
      <c r="E63" t="inlineStr">
        <is>
          <t>Prise en charge des affections primaires</t>
        </is>
      </c>
      <c r="F63" t="inlineStr">
        <is>
          <t>Pathologies digestives</t>
        </is>
      </c>
      <c r="H63">
        <v>22</v>
      </c>
      <c r="I63">
        <v>6</v>
      </c>
      <c r="J63">
        <v>0</v>
      </c>
      <c r="K63">
        <v>28</v>
      </c>
      <c r="L63">
        <v>150</v>
      </c>
      <c r="M63">
        <v>10</v>
      </c>
      <c r="N63" t="inlineStr">
        <is>
          <t>Coef</t>
        </is>
      </c>
    </row>
    <row r="64">
      <c r="A64" t="inlineStr">
        <is>
          <t>Soins infirmiers</t>
        </is>
      </c>
      <c r="B64" t="inlineStr">
        <is>
          <t>L1</t>
        </is>
      </c>
      <c r="C64" t="inlineStr">
        <is>
          <t>2</t>
        </is>
      </c>
      <c r="D64" t="inlineStr">
        <is>
          <t>14</t>
        </is>
      </c>
      <c r="E64" t="inlineStr">
        <is>
          <t>Prise en charge des affections primaires</t>
        </is>
      </c>
      <c r="F64" t="inlineStr">
        <is>
          <t>Soins infirmiers en affections digestives</t>
        </is>
      </c>
      <c r="H64">
        <v>10</v>
      </c>
      <c r="I64">
        <v>4</v>
      </c>
      <c r="J64">
        <v>6</v>
      </c>
      <c r="K64">
        <v>20</v>
      </c>
      <c r="L64">
        <v>150</v>
      </c>
      <c r="M64">
        <v>10</v>
      </c>
      <c r="N64" t="inlineStr">
        <is>
          <t>Coef</t>
        </is>
      </c>
    </row>
    <row r="65">
      <c r="A65" t="inlineStr">
        <is>
          <t>Soins infirmiers</t>
        </is>
      </c>
      <c r="B65" t="inlineStr">
        <is>
          <t>L1</t>
        </is>
      </c>
      <c r="C65" t="inlineStr">
        <is>
          <t>2</t>
        </is>
      </c>
      <c r="D65" t="inlineStr">
        <is>
          <t>14</t>
        </is>
      </c>
      <c r="E65" t="inlineStr">
        <is>
          <t>Prise en charge des affections primaires</t>
        </is>
      </c>
      <c r="F65" t="inlineStr">
        <is>
          <t>Pharmacologie et thérapeutique</t>
        </is>
      </c>
      <c r="H65">
        <v>16</v>
      </c>
      <c r="I65">
        <v>6</v>
      </c>
      <c r="J65">
        <v>0</v>
      </c>
      <c r="K65">
        <v>22</v>
      </c>
      <c r="L65">
        <v>150</v>
      </c>
      <c r="M65">
        <v>10</v>
      </c>
      <c r="N65" t="inlineStr">
        <is>
          <t>Coef</t>
        </is>
      </c>
    </row>
    <row r="66">
      <c r="A66" t="inlineStr">
        <is>
          <t>Soins infirmiers</t>
        </is>
      </c>
      <c r="B66" t="inlineStr">
        <is>
          <t>L2</t>
        </is>
      </c>
      <c r="C66" t="inlineStr">
        <is>
          <t>3</t>
        </is>
      </c>
      <c r="D66" t="inlineStr">
        <is>
          <t>16</t>
        </is>
      </c>
      <c r="E66" t="inlineStr">
        <is>
          <t>Obstétrique normale</t>
        </is>
      </c>
      <c r="F66" t="inlineStr">
        <is>
          <t>Physiologie de la grossesse</t>
        </is>
      </c>
      <c r="H66">
        <v>10</v>
      </c>
      <c r="I66">
        <v>2</v>
      </c>
      <c r="J66">
        <v>0</v>
      </c>
      <c r="K66">
        <v>12</v>
      </c>
      <c r="L66">
        <v>36</v>
      </c>
      <c r="M66">
        <v>2</v>
      </c>
      <c r="N66" t="inlineStr">
        <is>
          <t>Coef</t>
        </is>
      </c>
    </row>
    <row r="67">
      <c r="A67" t="inlineStr">
        <is>
          <t>Soins infirmiers</t>
        </is>
      </c>
      <c r="B67" t="inlineStr">
        <is>
          <t>L2</t>
        </is>
      </c>
      <c r="C67" t="inlineStr">
        <is>
          <t>3</t>
        </is>
      </c>
      <c r="D67" t="inlineStr">
        <is>
          <t>16</t>
        </is>
      </c>
      <c r="E67" t="inlineStr">
        <is>
          <t>Obstétrique normale</t>
        </is>
      </c>
      <c r="F67" t="inlineStr">
        <is>
          <t>Signe, diagnostique et surveillance de la grossesse</t>
        </is>
      </c>
      <c r="H67">
        <v>6</v>
      </c>
      <c r="I67">
        <v>2</v>
      </c>
      <c r="J67">
        <v>0</v>
      </c>
      <c r="K67">
        <v>8</v>
      </c>
      <c r="L67">
        <v>36</v>
      </c>
      <c r="M67">
        <v>2</v>
      </c>
      <c r="N67" t="inlineStr">
        <is>
          <t>Coef</t>
        </is>
      </c>
    </row>
    <row r="68">
      <c r="A68" t="inlineStr">
        <is>
          <t>Soins infirmiers</t>
        </is>
      </c>
      <c r="B68" t="inlineStr">
        <is>
          <t>L2</t>
        </is>
      </c>
      <c r="C68" t="inlineStr">
        <is>
          <t>3</t>
        </is>
      </c>
      <c r="D68" t="inlineStr">
        <is>
          <t>16</t>
        </is>
      </c>
      <c r="E68" t="inlineStr">
        <is>
          <t>Obstétrique normale</t>
        </is>
      </c>
      <c r="F68" t="inlineStr">
        <is>
          <t>Accouchement eutocique</t>
        </is>
      </c>
      <c r="H68">
        <v>8</v>
      </c>
      <c r="I68">
        <v>2</v>
      </c>
      <c r="J68">
        <v>6</v>
      </c>
      <c r="K68">
        <v>16</v>
      </c>
      <c r="L68">
        <v>36</v>
      </c>
      <c r="M68">
        <v>2</v>
      </c>
      <c r="N68" t="inlineStr">
        <is>
          <t>Coef</t>
        </is>
      </c>
    </row>
    <row r="69">
      <c r="A69" t="inlineStr">
        <is>
          <t>Soins infirmiers</t>
        </is>
      </c>
      <c r="B69" t="inlineStr">
        <is>
          <t>L2</t>
        </is>
      </c>
      <c r="C69" t="inlineStr">
        <is>
          <t>3</t>
        </is>
      </c>
      <c r="D69" t="inlineStr">
        <is>
          <t>18</t>
        </is>
      </c>
      <c r="E69" t="inlineStr">
        <is>
          <t>Education à la santé et communication</t>
        </is>
      </c>
      <c r="F69" t="inlineStr">
        <is>
          <t>Education à la santé</t>
        </is>
      </c>
      <c r="H69">
        <v>4</v>
      </c>
      <c r="I69">
        <v>2</v>
      </c>
      <c r="J69">
        <v>0</v>
      </c>
      <c r="K69">
        <v>6</v>
      </c>
      <c r="L69">
        <v>24</v>
      </c>
      <c r="M69">
        <v>1</v>
      </c>
      <c r="N69" t="inlineStr">
        <is>
          <t>Coef</t>
        </is>
      </c>
    </row>
    <row r="70">
      <c r="A70" t="inlineStr">
        <is>
          <t>Soins infirmiers</t>
        </is>
      </c>
      <c r="B70" t="inlineStr">
        <is>
          <t>L2</t>
        </is>
      </c>
      <c r="C70" t="inlineStr">
        <is>
          <t>3</t>
        </is>
      </c>
      <c r="D70" t="inlineStr">
        <is>
          <t>18</t>
        </is>
      </c>
      <c r="E70" t="inlineStr">
        <is>
          <t>Education à la santé et communication</t>
        </is>
      </c>
      <c r="F70" t="inlineStr">
        <is>
          <t>Education thérapeutique du patient</t>
        </is>
      </c>
      <c r="H70">
        <v>4</v>
      </c>
      <c r="I70">
        <v>4</v>
      </c>
      <c r="J70">
        <v>0</v>
      </c>
      <c r="K70">
        <v>8</v>
      </c>
      <c r="L70">
        <v>24</v>
      </c>
      <c r="M70">
        <v>1</v>
      </c>
      <c r="N70" t="inlineStr">
        <is>
          <t>Coef</t>
        </is>
      </c>
    </row>
    <row r="71">
      <c r="A71" t="inlineStr">
        <is>
          <t>Soins infirmiers</t>
        </is>
      </c>
      <c r="B71" t="inlineStr">
        <is>
          <t>L2</t>
        </is>
      </c>
      <c r="C71" t="inlineStr">
        <is>
          <t>3</t>
        </is>
      </c>
      <c r="D71" t="inlineStr">
        <is>
          <t>18</t>
        </is>
      </c>
      <c r="E71" t="inlineStr">
        <is>
          <t>Education à la santé et communication</t>
        </is>
      </c>
      <c r="F71" t="inlineStr">
        <is>
          <t>Communication</t>
        </is>
      </c>
      <c r="H71">
        <v>8</v>
      </c>
      <c r="I71">
        <v>2</v>
      </c>
      <c r="J71">
        <v>0</v>
      </c>
      <c r="K71">
        <v>10</v>
      </c>
      <c r="L71">
        <v>24</v>
      </c>
      <c r="M71">
        <v>1</v>
      </c>
      <c r="N71" t="inlineStr">
        <is>
          <t>Coef</t>
        </is>
      </c>
    </row>
    <row r="72">
      <c r="A72" t="inlineStr">
        <is>
          <t>Soins infirmiers</t>
        </is>
      </c>
      <c r="B72" t="inlineStr">
        <is>
          <t>L2</t>
        </is>
      </c>
      <c r="C72" t="inlineStr">
        <is>
          <t>3</t>
        </is>
      </c>
      <c r="D72" t="inlineStr">
        <is>
          <t>18</t>
        </is>
      </c>
      <c r="E72" t="inlineStr">
        <is>
          <t>Soins infirmiers en pédiatrie</t>
        </is>
      </c>
      <c r="F72" t="inlineStr">
        <is>
          <t>Psychologie de l’enfant</t>
        </is>
      </c>
      <c r="H72">
        <v>6</v>
      </c>
      <c r="I72">
        <v>2</v>
      </c>
      <c r="J72">
        <v>0</v>
      </c>
      <c r="K72">
        <v>8</v>
      </c>
      <c r="L72">
        <v>86</v>
      </c>
      <c r="M72">
        <v>5</v>
      </c>
      <c r="N72" t="inlineStr">
        <is>
          <t>Coef</t>
        </is>
      </c>
    </row>
    <row r="73">
      <c r="A73" t="inlineStr">
        <is>
          <t>Soins infirmiers</t>
        </is>
      </c>
      <c r="B73" t="inlineStr">
        <is>
          <t>L2</t>
        </is>
      </c>
      <c r="C73" t="inlineStr">
        <is>
          <t>3</t>
        </is>
      </c>
      <c r="D73" t="inlineStr">
        <is>
          <t>18</t>
        </is>
      </c>
      <c r="E73" t="inlineStr">
        <is>
          <t>Soins infirmiers en pédiatrie</t>
        </is>
      </c>
      <c r="F73" t="inlineStr">
        <is>
          <t>Pédiatrie et néonatologie</t>
        </is>
      </c>
      <c r="H73">
        <v>16</v>
      </c>
      <c r="I73">
        <v>4</v>
      </c>
      <c r="J73">
        <v>0</v>
      </c>
      <c r="K73">
        <v>20</v>
      </c>
      <c r="L73">
        <v>86</v>
      </c>
      <c r="M73">
        <v>5</v>
      </c>
      <c r="N73" t="inlineStr">
        <is>
          <t>Coef</t>
        </is>
      </c>
    </row>
    <row r="74">
      <c r="A74" t="inlineStr">
        <is>
          <t>Soins infirmiers</t>
        </is>
      </c>
      <c r="B74" t="inlineStr">
        <is>
          <t>L2</t>
        </is>
      </c>
      <c r="C74" t="inlineStr">
        <is>
          <t>3</t>
        </is>
      </c>
      <c r="D74" t="inlineStr">
        <is>
          <t>18</t>
        </is>
      </c>
      <c r="E74" t="inlineStr">
        <is>
          <t>Soins infirmiers en pédiatrie</t>
        </is>
      </c>
      <c r="F74" t="inlineStr">
        <is>
          <t>Pathologies spécifiques</t>
        </is>
      </c>
      <c r="H74">
        <v>16</v>
      </c>
      <c r="I74">
        <v>4</v>
      </c>
      <c r="J74">
        <v>0</v>
      </c>
      <c r="K74">
        <v>20</v>
      </c>
      <c r="L74">
        <v>86</v>
      </c>
      <c r="M74">
        <v>5</v>
      </c>
      <c r="N74" t="inlineStr">
        <is>
          <t>Coef</t>
        </is>
      </c>
    </row>
    <row r="75">
      <c r="A75" t="inlineStr">
        <is>
          <t>Soins infirmiers</t>
        </is>
      </c>
      <c r="B75" t="inlineStr">
        <is>
          <t>L2</t>
        </is>
      </c>
      <c r="C75" t="inlineStr">
        <is>
          <t>3</t>
        </is>
      </c>
      <c r="D75" t="inlineStr">
        <is>
          <t>18</t>
        </is>
      </c>
      <c r="E75" t="inlineStr">
        <is>
          <t>Soins infirmiers en pédiatrie</t>
        </is>
      </c>
      <c r="F75" t="inlineStr">
        <is>
          <t>Soins infirmiers en pédiatrie</t>
        </is>
      </c>
      <c r="H75">
        <v>10</v>
      </c>
      <c r="I75">
        <v>2</v>
      </c>
      <c r="J75">
        <v>6</v>
      </c>
      <c r="K75">
        <v>18</v>
      </c>
      <c r="L75">
        <v>86</v>
      </c>
      <c r="M75">
        <v>5</v>
      </c>
      <c r="N75" t="inlineStr">
        <is>
          <t>Coef</t>
        </is>
      </c>
    </row>
    <row r="76">
      <c r="A76" t="inlineStr">
        <is>
          <t>Soins infirmiers</t>
        </is>
      </c>
      <c r="B76" t="inlineStr">
        <is>
          <t>L2</t>
        </is>
      </c>
      <c r="C76" t="inlineStr">
        <is>
          <t>3</t>
        </is>
      </c>
      <c r="D76" t="inlineStr">
        <is>
          <t>18</t>
        </is>
      </c>
      <c r="E76" t="inlineStr">
        <is>
          <t>Soins infirmiers en pédiatrie</t>
        </is>
      </c>
      <c r="F76" t="inlineStr">
        <is>
          <t>Pathologie chirurgicale pédiatrique</t>
        </is>
      </c>
      <c r="H76">
        <v>18</v>
      </c>
      <c r="I76">
        <v>2</v>
      </c>
      <c r="J76">
        <v>0</v>
      </c>
      <c r="K76">
        <v>20</v>
      </c>
      <c r="L76">
        <v>86</v>
      </c>
      <c r="M76">
        <v>5</v>
      </c>
      <c r="N76" t="inlineStr">
        <is>
          <t>Coef</t>
        </is>
      </c>
    </row>
    <row r="77">
      <c r="A77" t="inlineStr">
        <is>
          <t>Soins infirmiers</t>
        </is>
      </c>
      <c r="B77" t="inlineStr">
        <is>
          <t>L2</t>
        </is>
      </c>
      <c r="C77" t="inlineStr">
        <is>
          <t>3</t>
        </is>
      </c>
      <c r="D77" t="inlineStr">
        <is>
          <t>20</t>
        </is>
      </c>
      <c r="E77" t="inlineStr">
        <is>
          <t>Nutrition et diététique/2</t>
        </is>
      </c>
      <c r="F77" t="inlineStr">
        <is>
          <t>Prise en charge diététique des carences et de la surnutrition</t>
        </is>
      </c>
      <c r="H77">
        <v>6</v>
      </c>
      <c r="I77">
        <v>4</v>
      </c>
      <c r="J77">
        <v>0</v>
      </c>
      <c r="K77">
        <v>10</v>
      </c>
      <c r="L77">
        <v>30</v>
      </c>
      <c r="M77">
        <v>2</v>
      </c>
      <c r="N77" t="inlineStr">
        <is>
          <t>Coef</t>
        </is>
      </c>
    </row>
    <row r="78">
      <c r="A78" t="inlineStr">
        <is>
          <t>Soins infirmiers</t>
        </is>
      </c>
      <c r="B78" t="inlineStr">
        <is>
          <t>L2</t>
        </is>
      </c>
      <c r="C78" t="inlineStr">
        <is>
          <t>3</t>
        </is>
      </c>
      <c r="D78" t="inlineStr">
        <is>
          <t>20</t>
        </is>
      </c>
      <c r="E78" t="inlineStr">
        <is>
          <t>Nutrition et diététique/2</t>
        </is>
      </c>
      <c r="F78" t="inlineStr">
        <is>
          <t>Aspects cliniques et pratiques de la nutrition et de la diététique</t>
        </is>
      </c>
      <c r="H78">
        <v>16</v>
      </c>
      <c r="I78">
        <v>4</v>
      </c>
      <c r="J78">
        <v>0</v>
      </c>
      <c r="K78">
        <v>20</v>
      </c>
      <c r="L78">
        <v>30</v>
      </c>
      <c r="M78">
        <v>2</v>
      </c>
      <c r="N78" t="inlineStr">
        <is>
          <t>Coef</t>
        </is>
      </c>
    </row>
    <row r="79">
      <c r="A79" t="inlineStr">
        <is>
          <t>Soins infirmiers</t>
        </is>
      </c>
      <c r="B79" t="inlineStr">
        <is>
          <t>L2</t>
        </is>
      </c>
      <c r="C79" t="inlineStr">
        <is>
          <t>3</t>
        </is>
      </c>
      <c r="D79" t="inlineStr">
        <is>
          <t>21</t>
        </is>
      </c>
      <c r="E79" t="inlineStr">
        <is>
          <t>Soins promotionnels, préventifs et adaptatifs/1</t>
        </is>
      </c>
      <c r="F79" t="inlineStr">
        <is>
          <t>Puériculture</t>
        </is>
      </c>
      <c r="H79">
        <v>8</v>
      </c>
      <c r="I79">
        <v>2</v>
      </c>
      <c r="J79">
        <v>4</v>
      </c>
      <c r="K79">
        <v>14</v>
      </c>
      <c r="L79">
        <v>64</v>
      </c>
      <c r="M79">
        <v>4</v>
      </c>
      <c r="N79" t="inlineStr">
        <is>
          <t>Coef</t>
        </is>
      </c>
    </row>
    <row r="80">
      <c r="A80" t="inlineStr">
        <is>
          <t>Soins infirmiers</t>
        </is>
      </c>
      <c r="B80" t="inlineStr">
        <is>
          <t>L2</t>
        </is>
      </c>
      <c r="C80" t="inlineStr">
        <is>
          <t>3</t>
        </is>
      </c>
      <c r="D80" t="inlineStr">
        <is>
          <t>21</t>
        </is>
      </c>
      <c r="E80" t="inlineStr">
        <is>
          <t>Soins promotionnels, préventifs et adaptatifs/1</t>
        </is>
      </c>
      <c r="F80" t="inlineStr">
        <is>
          <t>Santé de la reproduction</t>
        </is>
      </c>
      <c r="H80">
        <v>20</v>
      </c>
      <c r="I80">
        <v>2</v>
      </c>
      <c r="J80">
        <v>0</v>
      </c>
      <c r="K80">
        <v>22</v>
      </c>
      <c r="L80">
        <v>64</v>
      </c>
      <c r="M80">
        <v>4</v>
      </c>
      <c r="N80" t="inlineStr">
        <is>
          <t>Coef</t>
        </is>
      </c>
    </row>
    <row r="81">
      <c r="A81" t="inlineStr">
        <is>
          <t>Soins infirmiers</t>
        </is>
      </c>
      <c r="B81" t="inlineStr">
        <is>
          <t>L2</t>
        </is>
      </c>
      <c r="C81" t="inlineStr">
        <is>
          <t>3</t>
        </is>
      </c>
      <c r="D81" t="inlineStr">
        <is>
          <t>21</t>
        </is>
      </c>
      <c r="E81" t="inlineStr">
        <is>
          <t>Soins promotionnels, préventifs et adaptatifs/1</t>
        </is>
      </c>
      <c r="F81" t="inlineStr">
        <is>
          <t>Vaccination</t>
        </is>
      </c>
      <c r="H81">
        <v>6</v>
      </c>
      <c r="I81">
        <v>2</v>
      </c>
      <c r="K81">
        <v>8</v>
      </c>
      <c r="L81">
        <v>64</v>
      </c>
      <c r="M81">
        <v>4</v>
      </c>
      <c r="N81" t="inlineStr">
        <is>
          <t>Coef</t>
        </is>
      </c>
    </row>
    <row r="82">
      <c r="A82" t="inlineStr">
        <is>
          <t>Soins infirmiers</t>
        </is>
      </c>
      <c r="B82" t="inlineStr">
        <is>
          <t>L2</t>
        </is>
      </c>
      <c r="C82" t="inlineStr">
        <is>
          <t>3</t>
        </is>
      </c>
      <c r="D82" t="inlineStr">
        <is>
          <t>21</t>
        </is>
      </c>
      <c r="E82" t="inlineStr">
        <is>
          <t>Soins promotionnels, préventifs et adaptatifs/1</t>
        </is>
      </c>
      <c r="F82" t="inlineStr">
        <is>
          <t>PCIMA (Prise en charge intégrée de la malnutrition aigüe)</t>
        </is>
      </c>
      <c r="H82">
        <v>6</v>
      </c>
      <c r="I82">
        <v>4</v>
      </c>
      <c r="J82">
        <v>0</v>
      </c>
      <c r="K82">
        <v>10</v>
      </c>
      <c r="L82">
        <v>64</v>
      </c>
      <c r="M82">
        <v>4</v>
      </c>
      <c r="N82" t="inlineStr">
        <is>
          <t>Coef</t>
        </is>
      </c>
    </row>
    <row r="83">
      <c r="A83" t="inlineStr">
        <is>
          <t>Soins infirmiers</t>
        </is>
      </c>
      <c r="B83" t="inlineStr">
        <is>
          <t>L2</t>
        </is>
      </c>
      <c r="C83" t="inlineStr">
        <is>
          <t>3</t>
        </is>
      </c>
      <c r="D83" t="inlineStr">
        <is>
          <t>21</t>
        </is>
      </c>
      <c r="E83" t="inlineStr">
        <is>
          <t>Soins promotionnels, préventifs et adaptatifs/1</t>
        </is>
      </c>
      <c r="F83" t="inlineStr">
        <is>
          <t>PCIME (Prise en charge intégrée des maladies de l’enfant)</t>
        </is>
      </c>
      <c r="H83">
        <v>6</v>
      </c>
      <c r="I83">
        <v>4</v>
      </c>
      <c r="J83">
        <v>0</v>
      </c>
      <c r="K83">
        <v>10</v>
      </c>
      <c r="L83">
        <v>64</v>
      </c>
      <c r="M83">
        <v>4</v>
      </c>
      <c r="N83" t="inlineStr">
        <is>
          <t>Coef</t>
        </is>
      </c>
    </row>
    <row r="84">
      <c r="A84" t="inlineStr">
        <is>
          <t>Soins infirmiers</t>
        </is>
      </c>
      <c r="B84" t="inlineStr">
        <is>
          <t>L2</t>
        </is>
      </c>
      <c r="C84" t="inlineStr">
        <is>
          <t>3</t>
        </is>
      </c>
      <c r="D84" t="inlineStr">
        <is>
          <t>22</t>
        </is>
      </c>
      <c r="E84" t="inlineStr">
        <is>
          <t>Examen de santé</t>
        </is>
      </c>
      <c r="F84" t="inlineStr">
        <is>
          <t>Antécédents médicaux complets</t>
        </is>
      </c>
      <c r="H84">
        <v>4</v>
      </c>
      <c r="I84">
        <v>2</v>
      </c>
      <c r="J84">
        <v>0</v>
      </c>
      <c r="K84">
        <v>6</v>
      </c>
      <c r="L84">
        <v>38</v>
      </c>
      <c r="M84">
        <v>2</v>
      </c>
      <c r="N84" t="inlineStr">
        <is>
          <t>Coef</t>
        </is>
      </c>
    </row>
    <row r="85">
      <c r="A85" t="inlineStr">
        <is>
          <t>Soins infirmiers</t>
        </is>
      </c>
      <c r="B85" t="inlineStr">
        <is>
          <t>L2</t>
        </is>
      </c>
      <c r="C85" t="inlineStr">
        <is>
          <t>3</t>
        </is>
      </c>
      <c r="D85" t="inlineStr">
        <is>
          <t>22</t>
        </is>
      </c>
      <c r="E85" t="inlineStr">
        <is>
          <t>Examen de santé</t>
        </is>
      </c>
      <c r="F85" t="inlineStr">
        <is>
          <t>Examen physique</t>
        </is>
      </c>
      <c r="H85">
        <v>8</v>
      </c>
      <c r="I85">
        <v>2</v>
      </c>
      <c r="J85">
        <v>6</v>
      </c>
      <c r="K85">
        <v>16</v>
      </c>
      <c r="L85">
        <v>38</v>
      </c>
      <c r="M85">
        <v>2</v>
      </c>
      <c r="N85" t="inlineStr">
        <is>
          <t>Coef</t>
        </is>
      </c>
    </row>
    <row r="86">
      <c r="A86" t="inlineStr">
        <is>
          <t>Soins infirmiers</t>
        </is>
      </c>
      <c r="B86" t="inlineStr">
        <is>
          <t>L2</t>
        </is>
      </c>
      <c r="C86" t="inlineStr">
        <is>
          <t>3</t>
        </is>
      </c>
      <c r="D86" t="inlineStr">
        <is>
          <t>22</t>
        </is>
      </c>
      <c r="E86" t="inlineStr">
        <is>
          <t>Examen de santé</t>
        </is>
      </c>
      <c r="F86" t="inlineStr">
        <is>
          <t>Evaluation de groupes spéciaux</t>
        </is>
      </c>
      <c r="H86">
        <v>4</v>
      </c>
      <c r="I86">
        <v>2</v>
      </c>
      <c r="J86">
        <v>0</v>
      </c>
      <c r="K86">
        <v>6</v>
      </c>
      <c r="L86">
        <v>38</v>
      </c>
      <c r="M86">
        <v>2</v>
      </c>
      <c r="N86" t="inlineStr">
        <is>
          <t>Coef</t>
        </is>
      </c>
    </row>
    <row r="87">
      <c r="A87" t="inlineStr">
        <is>
          <t>Soins infirmiers</t>
        </is>
      </c>
      <c r="B87" t="inlineStr">
        <is>
          <t>L2</t>
        </is>
      </c>
      <c r="C87" t="inlineStr">
        <is>
          <t>3</t>
        </is>
      </c>
      <c r="D87" t="inlineStr">
        <is>
          <t>22</t>
        </is>
      </c>
      <c r="E87" t="inlineStr">
        <is>
          <t>Examen de santé</t>
        </is>
      </c>
      <c r="F87" t="inlineStr">
        <is>
          <t>Investigations cliniques</t>
        </is>
      </c>
      <c r="H87">
        <v>4</v>
      </c>
      <c r="I87">
        <v>2</v>
      </c>
      <c r="J87">
        <v>4</v>
      </c>
      <c r="K87">
        <v>10</v>
      </c>
      <c r="L87">
        <v>38</v>
      </c>
      <c r="M87">
        <v>2</v>
      </c>
      <c r="N87" t="inlineStr">
        <is>
          <t>Coef</t>
        </is>
      </c>
    </row>
    <row r="88">
      <c r="A88" t="inlineStr">
        <is>
          <t>Soins infirmiers</t>
        </is>
      </c>
      <c r="B88" t="inlineStr">
        <is>
          <t>L2</t>
        </is>
      </c>
      <c r="C88" t="inlineStr">
        <is>
          <t>3</t>
        </is>
      </c>
      <c r="D88" t="inlineStr">
        <is>
          <t>24</t>
        </is>
      </c>
      <c r="E88" t="inlineStr">
        <is>
          <t>Prises en charges des pathologies médico-chirurgicales 1:</t>
        </is>
      </c>
      <c r="F88" t="inlineStr">
        <is>
          <t>Pathologies orthopédiques et traumatologiques</t>
        </is>
      </c>
      <c r="H88">
        <v>18</v>
      </c>
      <c r="I88">
        <v>2</v>
      </c>
      <c r="J88">
        <v>0</v>
      </c>
      <c r="K88">
        <v>20</v>
      </c>
      <c r="L88">
        <v>96</v>
      </c>
      <c r="M88">
        <v>6</v>
      </c>
      <c r="N88" t="inlineStr">
        <is>
          <t>Coef</t>
        </is>
      </c>
    </row>
    <row r="89">
      <c r="A89" t="inlineStr">
        <is>
          <t>Soins infirmiers</t>
        </is>
      </c>
      <c r="B89" t="inlineStr">
        <is>
          <t>L2</t>
        </is>
      </c>
      <c r="C89" t="inlineStr">
        <is>
          <t>3</t>
        </is>
      </c>
      <c r="D89" t="inlineStr">
        <is>
          <t>24</t>
        </is>
      </c>
      <c r="E89" t="inlineStr">
        <is>
          <t>Prises en charges des pathologies médico-chirurgicales 1:</t>
        </is>
      </c>
      <c r="F89" t="inlineStr">
        <is>
          <t>Soins infirmiers en orthopédie et traumatologie</t>
        </is>
      </c>
      <c r="H89">
        <v>8</v>
      </c>
      <c r="I89">
        <v>2</v>
      </c>
      <c r="J89">
        <v>4</v>
      </c>
      <c r="K89">
        <v>14</v>
      </c>
      <c r="L89">
        <v>96</v>
      </c>
      <c r="M89">
        <v>6</v>
      </c>
      <c r="N89" t="inlineStr">
        <is>
          <t>Coef</t>
        </is>
      </c>
    </row>
    <row r="90">
      <c r="A90" t="inlineStr">
        <is>
          <t>Soins infirmiers</t>
        </is>
      </c>
      <c r="B90" t="inlineStr">
        <is>
          <t>L2</t>
        </is>
      </c>
      <c r="C90" t="inlineStr">
        <is>
          <t>3</t>
        </is>
      </c>
      <c r="D90" t="inlineStr">
        <is>
          <t>24</t>
        </is>
      </c>
      <c r="E90" t="inlineStr">
        <is>
          <t>Prises en charges des pathologies médico-chirurgicales 1:</t>
        </is>
      </c>
      <c r="F90" t="inlineStr">
        <is>
          <t>Affections urologiques</t>
        </is>
      </c>
      <c r="H90">
        <v>8</v>
      </c>
      <c r="I90">
        <v>2</v>
      </c>
      <c r="J90">
        <v>0</v>
      </c>
      <c r="K90">
        <v>10</v>
      </c>
      <c r="L90">
        <v>96</v>
      </c>
      <c r="M90">
        <v>6</v>
      </c>
      <c r="N90" t="inlineStr">
        <is>
          <t>Coef</t>
        </is>
      </c>
    </row>
    <row r="91">
      <c r="A91" t="inlineStr">
        <is>
          <t>Soins infirmiers</t>
        </is>
      </c>
      <c r="B91" t="inlineStr">
        <is>
          <t>L2</t>
        </is>
      </c>
      <c r="C91" t="inlineStr">
        <is>
          <t>3</t>
        </is>
      </c>
      <c r="D91" t="inlineStr">
        <is>
          <t>24</t>
        </is>
      </c>
      <c r="E91" t="inlineStr">
        <is>
          <t>Prises en charges des pathologies médico-chirurgicales 1:</t>
        </is>
      </c>
      <c r="F91" t="inlineStr">
        <is>
          <t>Affections néphrologiques et dialyse</t>
        </is>
      </c>
      <c r="H91">
        <v>20</v>
      </c>
      <c r="I91">
        <v>2</v>
      </c>
      <c r="J91">
        <v>0</v>
      </c>
      <c r="K91">
        <v>22</v>
      </c>
      <c r="L91">
        <v>96</v>
      </c>
      <c r="M91">
        <v>6</v>
      </c>
      <c r="N91" t="inlineStr">
        <is>
          <t>Coef</t>
        </is>
      </c>
    </row>
    <row r="92">
      <c r="A92" t="inlineStr">
        <is>
          <t>Soins infirmiers</t>
        </is>
      </c>
      <c r="B92" t="inlineStr">
        <is>
          <t>L2</t>
        </is>
      </c>
      <c r="C92" t="inlineStr">
        <is>
          <t>3</t>
        </is>
      </c>
      <c r="D92" t="inlineStr">
        <is>
          <t>24</t>
        </is>
      </c>
      <c r="E92" t="inlineStr">
        <is>
          <t>Prises en charges des pathologies médico-chirurgicales 1:</t>
        </is>
      </c>
      <c r="F92" t="inlineStr">
        <is>
          <t>Soins infirmiers en uronéphrologie</t>
        </is>
      </c>
      <c r="H92">
        <v>8</v>
      </c>
      <c r="I92">
        <v>2</v>
      </c>
      <c r="J92">
        <v>4</v>
      </c>
      <c r="K92">
        <v>14</v>
      </c>
      <c r="L92">
        <v>96</v>
      </c>
      <c r="M92">
        <v>6</v>
      </c>
      <c r="N92" t="inlineStr">
        <is>
          <t>Coef</t>
        </is>
      </c>
    </row>
    <row r="93">
      <c r="A93" t="inlineStr">
        <is>
          <t>Soins infirmiers</t>
        </is>
      </c>
      <c r="B93" t="inlineStr">
        <is>
          <t>L2</t>
        </is>
      </c>
      <c r="C93" t="inlineStr">
        <is>
          <t>3</t>
        </is>
      </c>
      <c r="D93" t="inlineStr">
        <is>
          <t>24</t>
        </is>
      </c>
      <c r="E93" t="inlineStr">
        <is>
          <t>Prises en charges des pathologies médico-chirurgicales 1:</t>
        </is>
      </c>
      <c r="F93" t="inlineStr">
        <is>
          <t>Pharmacologie et thérapeutiques</t>
        </is>
      </c>
      <c r="H93">
        <v>12</v>
      </c>
      <c r="I93">
        <v>4</v>
      </c>
      <c r="J93">
        <v>0</v>
      </c>
      <c r="K93">
        <v>16</v>
      </c>
      <c r="L93">
        <v>96</v>
      </c>
      <c r="M93">
        <v>6</v>
      </c>
      <c r="N93" t="inlineStr">
        <is>
          <t>Coef</t>
        </is>
      </c>
    </row>
    <row r="94">
      <c r="A94" t="inlineStr">
        <is>
          <t>Soins infirmiers</t>
        </is>
      </c>
      <c r="B94" t="inlineStr">
        <is>
          <t>L2</t>
        </is>
      </c>
      <c r="C94" t="inlineStr">
        <is>
          <t>4</t>
        </is>
      </c>
      <c r="D94" t="inlineStr">
        <is>
          <t>25</t>
        </is>
      </c>
      <c r="E94" t="inlineStr">
        <is>
          <t>Prise en charge des pathologies médico-chirurgicales/2</t>
        </is>
      </c>
      <c r="F94" t="inlineStr">
        <is>
          <t>Affections neurologiques</t>
        </is>
      </c>
      <c r="H94">
        <v>18</v>
      </c>
      <c r="I94">
        <v>2</v>
      </c>
      <c r="J94">
        <v>0</v>
      </c>
      <c r="K94">
        <v>20</v>
      </c>
      <c r="L94">
        <v>157</v>
      </c>
      <c r="M94">
        <v>10</v>
      </c>
      <c r="N94" t="inlineStr">
        <is>
          <t>Coef</t>
        </is>
      </c>
    </row>
    <row r="95">
      <c r="A95" t="inlineStr">
        <is>
          <t>Soins infirmiers</t>
        </is>
      </c>
      <c r="B95" t="inlineStr">
        <is>
          <t>L2</t>
        </is>
      </c>
      <c r="C95" t="inlineStr">
        <is>
          <t>4</t>
        </is>
      </c>
      <c r="D95" t="inlineStr">
        <is>
          <t>25</t>
        </is>
      </c>
      <c r="E95" t="inlineStr">
        <is>
          <t>Prise en charge des pathologies médico-chirurgicales/2</t>
        </is>
      </c>
      <c r="F95" t="inlineStr">
        <is>
          <t>Soins infirmiers en neurologie</t>
        </is>
      </c>
      <c r="H95">
        <v>14</v>
      </c>
      <c r="I95">
        <v>2</v>
      </c>
      <c r="J95">
        <v>0</v>
      </c>
      <c r="K95">
        <v>16</v>
      </c>
      <c r="L95">
        <v>157</v>
      </c>
      <c r="M95">
        <v>10</v>
      </c>
      <c r="N95" t="inlineStr">
        <is>
          <t>Coef</t>
        </is>
      </c>
    </row>
    <row r="96">
      <c r="A96" t="inlineStr">
        <is>
          <t>Soins infirmiers</t>
        </is>
      </c>
      <c r="B96" t="inlineStr">
        <is>
          <t>L2</t>
        </is>
      </c>
      <c r="C96" t="inlineStr">
        <is>
          <t>4</t>
        </is>
      </c>
      <c r="D96" t="inlineStr">
        <is>
          <t>25</t>
        </is>
      </c>
      <c r="E96" t="inlineStr">
        <is>
          <t>Prise en charge des pathologies médico-chirurgicales/2</t>
        </is>
      </c>
      <c r="F96" t="inlineStr">
        <is>
          <t>Affections cardiologiques</t>
        </is>
      </c>
      <c r="H96">
        <v>26</v>
      </c>
      <c r="I96">
        <v>4</v>
      </c>
      <c r="J96">
        <v>0</v>
      </c>
      <c r="K96">
        <v>30</v>
      </c>
      <c r="L96">
        <v>157</v>
      </c>
      <c r="M96">
        <v>10</v>
      </c>
      <c r="N96" t="inlineStr">
        <is>
          <t>Coef</t>
        </is>
      </c>
    </row>
    <row r="97">
      <c r="A97" t="inlineStr">
        <is>
          <t>Soins infirmiers</t>
        </is>
      </c>
      <c r="B97" t="inlineStr">
        <is>
          <t>L2</t>
        </is>
      </c>
      <c r="C97" t="inlineStr">
        <is>
          <t>4</t>
        </is>
      </c>
      <c r="D97" t="inlineStr">
        <is>
          <t>25</t>
        </is>
      </c>
      <c r="E97" t="inlineStr">
        <is>
          <t>Prise en charge des pathologies médico-chirurgicales/2</t>
        </is>
      </c>
      <c r="F97" t="inlineStr">
        <is>
          <t>Soins infirmiers en cardiologie</t>
        </is>
      </c>
      <c r="H97">
        <v>15</v>
      </c>
      <c r="I97">
        <v>4</v>
      </c>
      <c r="J97">
        <v>6</v>
      </c>
      <c r="K97">
        <v>25</v>
      </c>
      <c r="L97">
        <v>157</v>
      </c>
      <c r="M97">
        <v>10</v>
      </c>
      <c r="N97" t="inlineStr">
        <is>
          <t>Coef</t>
        </is>
      </c>
    </row>
    <row r="98">
      <c r="A98" t="inlineStr">
        <is>
          <t>Soins infirmiers</t>
        </is>
      </c>
      <c r="B98" t="inlineStr">
        <is>
          <t>L2</t>
        </is>
      </c>
      <c r="C98" t="inlineStr">
        <is>
          <t>4</t>
        </is>
      </c>
      <c r="D98" t="inlineStr">
        <is>
          <t>25</t>
        </is>
      </c>
      <c r="E98" t="inlineStr">
        <is>
          <t>Prise en charge des pathologies médico-chirurgicales/2</t>
        </is>
      </c>
      <c r="F98" t="inlineStr">
        <is>
          <t>Personnes âgées (gériatrie)</t>
        </is>
      </c>
      <c r="H98">
        <v>18</v>
      </c>
      <c r="I98">
        <v>2</v>
      </c>
      <c r="J98">
        <v>0</v>
      </c>
      <c r="K98">
        <v>20</v>
      </c>
      <c r="L98">
        <v>157</v>
      </c>
      <c r="M98">
        <v>10</v>
      </c>
      <c r="N98" t="inlineStr">
        <is>
          <t>Coef</t>
        </is>
      </c>
    </row>
    <row r="99">
      <c r="A99" t="inlineStr">
        <is>
          <t>Soins infirmiers</t>
        </is>
      </c>
      <c r="B99" t="inlineStr">
        <is>
          <t>L2</t>
        </is>
      </c>
      <c r="C99" t="inlineStr">
        <is>
          <t>4</t>
        </is>
      </c>
      <c r="D99" t="inlineStr">
        <is>
          <t>25</t>
        </is>
      </c>
      <c r="E99" t="inlineStr">
        <is>
          <t>Prise en charge des pathologies médico-chirurgicales/2</t>
        </is>
      </c>
      <c r="F99" t="inlineStr">
        <is>
          <t>Soins infirmiers aux personnes âgées</t>
        </is>
      </c>
      <c r="H99">
        <v>10</v>
      </c>
      <c r="I99">
        <v>4</v>
      </c>
      <c r="J99">
        <v>0</v>
      </c>
      <c r="K99">
        <v>14</v>
      </c>
      <c r="L99">
        <v>157</v>
      </c>
      <c r="M99">
        <v>10</v>
      </c>
      <c r="N99" t="inlineStr">
        <is>
          <t>Coef</t>
        </is>
      </c>
    </row>
    <row r="100">
      <c r="A100" t="inlineStr">
        <is>
          <t>Soins infirmiers</t>
        </is>
      </c>
      <c r="B100" t="inlineStr">
        <is>
          <t>L2</t>
        </is>
      </c>
      <c r="C100" t="inlineStr">
        <is>
          <t>4</t>
        </is>
      </c>
      <c r="D100" t="inlineStr">
        <is>
          <t>25</t>
        </is>
      </c>
      <c r="E100" t="inlineStr">
        <is>
          <t>Prise en charge des pathologies médico-chirurgicales/2</t>
        </is>
      </c>
      <c r="F100" t="inlineStr">
        <is>
          <t>Personnes agonisantes et décédées</t>
        </is>
      </c>
      <c r="H100">
        <v>6</v>
      </c>
      <c r="I100">
        <v>2</v>
      </c>
      <c r="J100">
        <v>0</v>
      </c>
      <c r="K100">
        <v>8</v>
      </c>
      <c r="L100">
        <v>157</v>
      </c>
      <c r="M100">
        <v>10</v>
      </c>
      <c r="N100" t="inlineStr">
        <is>
          <t>Coef</t>
        </is>
      </c>
    </row>
    <row r="101">
      <c r="A101" t="inlineStr">
        <is>
          <t>Soins infirmiers</t>
        </is>
      </c>
      <c r="B101" t="inlineStr">
        <is>
          <t>L2</t>
        </is>
      </c>
      <c r="C101" t="inlineStr">
        <is>
          <t>4</t>
        </is>
      </c>
      <c r="D101" t="inlineStr">
        <is>
          <t>25</t>
        </is>
      </c>
      <c r="E101" t="inlineStr">
        <is>
          <t>Prise en charge des pathologies médico-chirurgicales/2</t>
        </is>
      </c>
      <c r="F101" t="inlineStr">
        <is>
          <t>Pharmacologie et thérapeutiques</t>
        </is>
      </c>
      <c r="H101">
        <v>20</v>
      </c>
      <c r="I101">
        <v>4</v>
      </c>
      <c r="J101">
        <v>0</v>
      </c>
      <c r="K101">
        <v>24</v>
      </c>
      <c r="L101">
        <v>157</v>
      </c>
      <c r="M101">
        <v>10</v>
      </c>
      <c r="N101" t="inlineStr">
        <is>
          <t>Coef</t>
        </is>
      </c>
    </row>
    <row r="102">
      <c r="A102" t="inlineStr">
        <is>
          <t>Soins infirmiers</t>
        </is>
      </c>
      <c r="B102" t="inlineStr">
        <is>
          <t>L2</t>
        </is>
      </c>
      <c r="C102" t="inlineStr">
        <is>
          <t>4</t>
        </is>
      </c>
      <c r="D102" t="inlineStr">
        <is>
          <t>27</t>
        </is>
      </c>
      <c r="E102" t="inlineStr">
        <is>
          <t>Soins infirmiers en milieu communautaire</t>
        </is>
      </c>
      <c r="F102" t="inlineStr">
        <is>
          <t>Base théorique des soins infirmiers en milieu communautaire</t>
        </is>
      </c>
      <c r="H102">
        <v>6</v>
      </c>
      <c r="I102">
        <v>2</v>
      </c>
      <c r="J102">
        <v>0</v>
      </c>
      <c r="K102">
        <v>8</v>
      </c>
      <c r="L102">
        <v>60</v>
      </c>
      <c r="M102">
        <v>4</v>
      </c>
      <c r="N102" t="inlineStr">
        <is>
          <t>Coef</t>
        </is>
      </c>
    </row>
    <row r="103">
      <c r="A103" t="inlineStr">
        <is>
          <t>Soins infirmiers</t>
        </is>
      </c>
      <c r="B103" t="inlineStr">
        <is>
          <t>L2</t>
        </is>
      </c>
      <c r="C103" t="inlineStr">
        <is>
          <t>4</t>
        </is>
      </c>
      <c r="D103" t="inlineStr">
        <is>
          <t>27</t>
        </is>
      </c>
      <c r="E103" t="inlineStr">
        <is>
          <t>Soins infirmiers en milieu communautaire</t>
        </is>
      </c>
      <c r="F103" t="inlineStr">
        <is>
          <t>Art et science des soins infirmiers en milieu communautaire</t>
        </is>
      </c>
      <c r="H103">
        <v>6</v>
      </c>
      <c r="I103">
        <v>2</v>
      </c>
      <c r="J103">
        <v>0</v>
      </c>
      <c r="K103">
        <v>8</v>
      </c>
      <c r="L103">
        <v>60</v>
      </c>
      <c r="M103">
        <v>4</v>
      </c>
      <c r="N103" t="inlineStr">
        <is>
          <t>Coef</t>
        </is>
      </c>
    </row>
    <row r="104">
      <c r="A104" t="inlineStr">
        <is>
          <t>Soins infirmiers</t>
        </is>
      </c>
      <c r="B104" t="inlineStr">
        <is>
          <t>L2</t>
        </is>
      </c>
      <c r="C104" t="inlineStr">
        <is>
          <t>4</t>
        </is>
      </c>
      <c r="D104" t="inlineStr">
        <is>
          <t>27</t>
        </is>
      </c>
      <c r="E104" t="inlineStr">
        <is>
          <t>Soins infirmiers en milieu communautaire</t>
        </is>
      </c>
      <c r="F104" t="inlineStr">
        <is>
          <t>Maladies transmissibles : prévention et intervention</t>
        </is>
      </c>
      <c r="H104">
        <v>6</v>
      </c>
      <c r="I104">
        <v>2</v>
      </c>
      <c r="J104">
        <v>0</v>
      </c>
      <c r="K104">
        <v>8</v>
      </c>
      <c r="L104">
        <v>60</v>
      </c>
      <c r="M104">
        <v>4</v>
      </c>
      <c r="N104" t="inlineStr">
        <is>
          <t>Coef</t>
        </is>
      </c>
    </row>
    <row r="105">
      <c r="A105" t="inlineStr">
        <is>
          <t>Soins infirmiers</t>
        </is>
      </c>
      <c r="B105" t="inlineStr">
        <is>
          <t>L2</t>
        </is>
      </c>
      <c r="C105" t="inlineStr">
        <is>
          <t>4</t>
        </is>
      </c>
      <c r="D105" t="inlineStr">
        <is>
          <t>27</t>
        </is>
      </c>
      <c r="E105" t="inlineStr">
        <is>
          <t>Soins infirmiers en milieu communautaire</t>
        </is>
      </c>
      <c r="F105" t="inlineStr">
        <is>
          <t>Santé familiale</t>
        </is>
      </c>
      <c r="H105">
        <v>6</v>
      </c>
      <c r="I105">
        <v>2</v>
      </c>
      <c r="J105">
        <v>0</v>
      </c>
      <c r="K105">
        <v>8</v>
      </c>
      <c r="L105">
        <v>60</v>
      </c>
      <c r="M105">
        <v>4</v>
      </c>
      <c r="N105" t="inlineStr">
        <is>
          <t>Coef</t>
        </is>
      </c>
    </row>
    <row r="106">
      <c r="A106" t="inlineStr">
        <is>
          <t>Soins infirmiers</t>
        </is>
      </c>
      <c r="B106" t="inlineStr">
        <is>
          <t>L2</t>
        </is>
      </c>
      <c r="C106" t="inlineStr">
        <is>
          <t>4</t>
        </is>
      </c>
      <c r="D106" t="inlineStr">
        <is>
          <t>27</t>
        </is>
      </c>
      <c r="E106" t="inlineStr">
        <is>
          <t>Soins infirmiers en milieu communautaire</t>
        </is>
      </c>
      <c r="F106" t="inlineStr">
        <is>
          <t>Santé scolaire</t>
        </is>
      </c>
      <c r="H106">
        <v>6</v>
      </c>
      <c r="I106">
        <v>2</v>
      </c>
      <c r="J106">
        <v>0</v>
      </c>
      <c r="K106">
        <v>8</v>
      </c>
      <c r="L106">
        <v>60</v>
      </c>
      <c r="M106">
        <v>4</v>
      </c>
      <c r="N106" t="inlineStr">
        <is>
          <t>Coef</t>
        </is>
      </c>
    </row>
    <row r="107">
      <c r="A107" t="inlineStr">
        <is>
          <t>Soins infirmiers</t>
        </is>
      </c>
      <c r="B107" t="inlineStr">
        <is>
          <t>L2</t>
        </is>
      </c>
      <c r="C107" t="inlineStr">
        <is>
          <t>4</t>
        </is>
      </c>
      <c r="D107" t="inlineStr">
        <is>
          <t>27</t>
        </is>
      </c>
      <c r="E107" t="inlineStr">
        <is>
          <t>Soins infirmiers en milieu communautaire</t>
        </is>
      </c>
      <c r="F107" t="inlineStr">
        <is>
          <t>Soins à domicile, en milieu communautaire et soins palliatifs</t>
        </is>
      </c>
      <c r="H107">
        <v>4</v>
      </c>
      <c r="I107">
        <v>2</v>
      </c>
      <c r="J107">
        <v>0</v>
      </c>
      <c r="K107">
        <v>6</v>
      </c>
      <c r="L107">
        <v>60</v>
      </c>
      <c r="M107">
        <v>4</v>
      </c>
      <c r="N107" t="inlineStr">
        <is>
          <t>Coef</t>
        </is>
      </c>
    </row>
    <row r="108">
      <c r="A108" t="inlineStr">
        <is>
          <t>Soins infirmiers</t>
        </is>
      </c>
      <c r="B108" t="inlineStr">
        <is>
          <t>L2</t>
        </is>
      </c>
      <c r="C108" t="inlineStr">
        <is>
          <t>4</t>
        </is>
      </c>
      <c r="D108" t="inlineStr">
        <is>
          <t>27</t>
        </is>
      </c>
      <c r="E108" t="inlineStr">
        <is>
          <t>Soins infirmiers en milieu communautaire</t>
        </is>
      </c>
      <c r="F108" t="inlineStr">
        <is>
          <t>Soins infirmiers en médecine de travail</t>
        </is>
      </c>
      <c r="H108">
        <v>4</v>
      </c>
      <c r="I108">
        <v>2</v>
      </c>
      <c r="J108">
        <v>0</v>
      </c>
      <c r="K108">
        <v>6</v>
      </c>
      <c r="L108">
        <v>60</v>
      </c>
      <c r="M108">
        <v>4</v>
      </c>
      <c r="N108" t="inlineStr">
        <is>
          <t>Coef</t>
        </is>
      </c>
    </row>
    <row r="109">
      <c r="A109" t="inlineStr">
        <is>
          <t>Soins infirmiers</t>
        </is>
      </c>
      <c r="B109" t="inlineStr">
        <is>
          <t>L2</t>
        </is>
      </c>
      <c r="C109" t="inlineStr">
        <is>
          <t>4</t>
        </is>
      </c>
      <c r="D109" t="inlineStr">
        <is>
          <t>27</t>
        </is>
      </c>
      <c r="E109" t="inlineStr">
        <is>
          <t>Soins infirmiers en milieu communautaire</t>
        </is>
      </c>
      <c r="F109" t="inlineStr">
        <is>
          <t>Soins infirmiers en médecine de catastrophe</t>
        </is>
      </c>
      <c r="H109">
        <v>6</v>
      </c>
      <c r="I109">
        <v>2</v>
      </c>
      <c r="J109">
        <v>0</v>
      </c>
      <c r="K109">
        <v>8</v>
      </c>
      <c r="L109">
        <v>60</v>
      </c>
      <c r="M109">
        <v>4</v>
      </c>
      <c r="N109" t="inlineStr">
        <is>
          <t>Coef</t>
        </is>
      </c>
    </row>
    <row r="110">
      <c r="A110" t="inlineStr">
        <is>
          <t>Soins infirmiers</t>
        </is>
      </c>
      <c r="B110" t="inlineStr">
        <is>
          <t>L2</t>
        </is>
      </c>
      <c r="C110" t="inlineStr">
        <is>
          <t>4</t>
        </is>
      </c>
      <c r="D110" t="inlineStr">
        <is>
          <t>29</t>
        </is>
      </c>
      <c r="E110" t="inlineStr">
        <is>
          <t>Introduction à la recherche</t>
        </is>
      </c>
      <c r="F110" t="inlineStr">
        <is>
          <t>Fondements de la recherche en soins infirmiers et pratique basée sur des données factuelles</t>
        </is>
      </c>
      <c r="H110">
        <v>8</v>
      </c>
      <c r="I110">
        <v>2</v>
      </c>
      <c r="J110">
        <v>0</v>
      </c>
      <c r="K110">
        <v>10</v>
      </c>
      <c r="L110">
        <v>30</v>
      </c>
      <c r="M110">
        <v>2</v>
      </c>
      <c r="N110" t="inlineStr">
        <is>
          <t>Coef</t>
        </is>
      </c>
    </row>
    <row r="111">
      <c r="A111" t="inlineStr">
        <is>
          <t>Soins infirmiers</t>
        </is>
      </c>
      <c r="B111" t="inlineStr">
        <is>
          <t>L2</t>
        </is>
      </c>
      <c r="C111" t="inlineStr">
        <is>
          <t>4</t>
        </is>
      </c>
      <c r="D111" t="inlineStr">
        <is>
          <t>29</t>
        </is>
      </c>
      <c r="E111" t="inlineStr">
        <is>
          <t>Introduction à la recherche</t>
        </is>
      </c>
      <c r="F111" t="inlineStr">
        <is>
          <t>Conceptualisation des problèmes, questions et hypothèses de recherche</t>
        </is>
      </c>
      <c r="H111">
        <v>10</v>
      </c>
      <c r="I111">
        <v>2</v>
      </c>
      <c r="J111">
        <v>4</v>
      </c>
      <c r="K111">
        <v>16</v>
      </c>
      <c r="L111">
        <v>30</v>
      </c>
      <c r="M111">
        <v>2</v>
      </c>
      <c r="N111" t="inlineStr">
        <is>
          <t>Coef</t>
        </is>
      </c>
    </row>
    <row r="112">
      <c r="A112" t="inlineStr">
        <is>
          <t>Soins infirmiers</t>
        </is>
      </c>
      <c r="B112" t="inlineStr">
        <is>
          <t>L2</t>
        </is>
      </c>
      <c r="C112" t="inlineStr">
        <is>
          <t>4</t>
        </is>
      </c>
      <c r="D112" t="inlineStr">
        <is>
          <t>29</t>
        </is>
      </c>
      <c r="E112" t="inlineStr">
        <is>
          <t>Introduction à la recherche</t>
        </is>
      </c>
      <c r="F112" t="inlineStr">
        <is>
          <t>Ethique de la recherche</t>
        </is>
      </c>
      <c r="H112">
        <v>4</v>
      </c>
      <c r="I112">
        <v>0</v>
      </c>
      <c r="J112">
        <v>0</v>
      </c>
      <c r="K112">
        <v>4</v>
      </c>
      <c r="L112">
        <v>30</v>
      </c>
      <c r="M112">
        <v>2</v>
      </c>
      <c r="N112" t="inlineStr">
        <is>
          <t>Coef</t>
        </is>
      </c>
    </row>
    <row r="113">
      <c r="A113" t="inlineStr">
        <is>
          <t>Soins infirmiers</t>
        </is>
      </c>
      <c r="B113" t="inlineStr">
        <is>
          <t>L2</t>
        </is>
      </c>
      <c r="C113" t="inlineStr">
        <is>
          <t>4</t>
        </is>
      </c>
      <c r="D113" t="inlineStr">
        <is>
          <t>31</t>
        </is>
      </c>
      <c r="E113" t="inlineStr">
        <is>
          <t>Soins promotionnels préventifs et adaptatifs/2</t>
        </is>
      </c>
      <c r="F113" t="inlineStr">
        <is>
          <t>Troisième âge, andropause, ménopause</t>
        </is>
      </c>
      <c r="H113">
        <v>8</v>
      </c>
      <c r="I113">
        <v>2</v>
      </c>
      <c r="J113">
        <v>0</v>
      </c>
      <c r="K113">
        <v>10</v>
      </c>
      <c r="L113">
        <v>56</v>
      </c>
      <c r="M113">
        <v>4</v>
      </c>
      <c r="N113" t="inlineStr">
        <is>
          <t>Coef</t>
        </is>
      </c>
    </row>
    <row r="114">
      <c r="A114" t="inlineStr">
        <is>
          <t>Soins infirmiers</t>
        </is>
      </c>
      <c r="B114" t="inlineStr">
        <is>
          <t>L2</t>
        </is>
      </c>
      <c r="C114" t="inlineStr">
        <is>
          <t>4</t>
        </is>
      </c>
      <c r="D114" t="inlineStr">
        <is>
          <t>31</t>
        </is>
      </c>
      <c r="E114" t="inlineStr">
        <is>
          <t>Soins promotionnels préventifs et adaptatifs/2</t>
        </is>
      </c>
      <c r="F114" t="inlineStr">
        <is>
          <t>Addictologie (drogue, alcoolisme, tabagisme)</t>
        </is>
      </c>
      <c r="H114">
        <v>18</v>
      </c>
      <c r="I114">
        <v>4</v>
      </c>
      <c r="J114">
        <v>0</v>
      </c>
      <c r="K114">
        <v>22</v>
      </c>
      <c r="L114">
        <v>56</v>
      </c>
      <c r="M114">
        <v>4</v>
      </c>
      <c r="N114" t="inlineStr">
        <is>
          <t>Coef</t>
        </is>
      </c>
    </row>
    <row r="115">
      <c r="A115" t="inlineStr">
        <is>
          <t>Soins infirmiers</t>
        </is>
      </c>
      <c r="B115" t="inlineStr">
        <is>
          <t>L2</t>
        </is>
      </c>
      <c r="C115" t="inlineStr">
        <is>
          <t>4</t>
        </is>
      </c>
      <c r="D115" t="inlineStr">
        <is>
          <t>31</t>
        </is>
      </c>
      <c r="E115" t="inlineStr">
        <is>
          <t>Soins promotionnels préventifs et adaptatifs/2</t>
        </is>
      </c>
      <c r="F115" t="inlineStr">
        <is>
          <t>Allaitement maternel</t>
        </is>
      </c>
      <c r="H115">
        <v>8</v>
      </c>
      <c r="I115">
        <v>2</v>
      </c>
      <c r="J115">
        <v>0</v>
      </c>
      <c r="K115">
        <v>10</v>
      </c>
      <c r="L115">
        <v>56</v>
      </c>
      <c r="M115">
        <v>4</v>
      </c>
      <c r="N115" t="inlineStr">
        <is>
          <t>Coef</t>
        </is>
      </c>
    </row>
    <row r="116">
      <c r="A116" t="inlineStr">
        <is>
          <t>Soins infirmiers</t>
        </is>
      </c>
      <c r="B116" t="inlineStr">
        <is>
          <t>L2</t>
        </is>
      </c>
      <c r="C116" t="inlineStr">
        <is>
          <t>4</t>
        </is>
      </c>
      <c r="D116" t="inlineStr">
        <is>
          <t>31</t>
        </is>
      </c>
      <c r="E116" t="inlineStr">
        <is>
          <t>Soins promotionnels préventifs et adaptatifs/2</t>
        </is>
      </c>
      <c r="F116" t="inlineStr">
        <is>
          <t>Rééducation périnéale post natale</t>
        </is>
      </c>
      <c r="H116">
        <v>6</v>
      </c>
      <c r="I116">
        <v>2</v>
      </c>
      <c r="J116">
        <v>6</v>
      </c>
      <c r="K116">
        <v>14</v>
      </c>
      <c r="L116">
        <v>56</v>
      </c>
      <c r="M116">
        <v>4</v>
      </c>
      <c r="N116" t="inlineStr">
        <is>
          <t>Coef</t>
        </is>
      </c>
    </row>
    <row r="117">
      <c r="A117" t="inlineStr">
        <is>
          <t>Soins infirmiers</t>
        </is>
      </c>
      <c r="B117" t="inlineStr">
        <is>
          <t>L3</t>
        </is>
      </c>
      <c r="C117" t="inlineStr">
        <is>
          <t>5</t>
        </is>
      </c>
      <c r="D117" t="inlineStr">
        <is>
          <t>32</t>
        </is>
      </c>
      <c r="E117" t="inlineStr">
        <is>
          <t>Gestion des services de santé</t>
        </is>
      </c>
      <c r="F117" t="inlineStr">
        <is>
          <t>Etablissements de soins de santé</t>
        </is>
      </c>
      <c r="H117">
        <v>2</v>
      </c>
      <c r="I117">
        <v>1</v>
      </c>
      <c r="J117">
        <v>0</v>
      </c>
      <c r="K117">
        <v>3</v>
      </c>
      <c r="L117">
        <v>30</v>
      </c>
      <c r="M117">
        <v>2</v>
      </c>
      <c r="N117" t="inlineStr">
        <is>
          <t>Coef</t>
        </is>
      </c>
    </row>
    <row r="118">
      <c r="A118" t="inlineStr">
        <is>
          <t>Soins infirmiers</t>
        </is>
      </c>
      <c r="B118" t="inlineStr">
        <is>
          <t>L3</t>
        </is>
      </c>
      <c r="C118" t="inlineStr">
        <is>
          <t>5</t>
        </is>
      </c>
      <c r="D118" t="inlineStr">
        <is>
          <t>32</t>
        </is>
      </c>
      <c r="E118" t="inlineStr">
        <is>
          <t>Gestion des services de santé</t>
        </is>
      </c>
      <c r="F118" t="inlineStr">
        <is>
          <t>Planification stratégique</t>
        </is>
      </c>
      <c r="H118">
        <v>2</v>
      </c>
      <c r="I118">
        <v>2</v>
      </c>
      <c r="J118">
        <v>0</v>
      </c>
      <c r="K118">
        <v>4</v>
      </c>
      <c r="L118">
        <v>30</v>
      </c>
      <c r="M118">
        <v>2</v>
      </c>
      <c r="N118" t="inlineStr">
        <is>
          <t>Coef</t>
        </is>
      </c>
    </row>
    <row r="119">
      <c r="A119" t="inlineStr">
        <is>
          <t>Soins infirmiers</t>
        </is>
      </c>
      <c r="B119" t="inlineStr">
        <is>
          <t>L3</t>
        </is>
      </c>
      <c r="C119" t="inlineStr">
        <is>
          <t>5</t>
        </is>
      </c>
      <c r="D119" t="inlineStr">
        <is>
          <t>32</t>
        </is>
      </c>
      <c r="E119" t="inlineStr">
        <is>
          <t>Gestion des services de santé</t>
        </is>
      </c>
      <c r="F119" t="inlineStr">
        <is>
          <t>Gestion des ressources humaines</t>
        </is>
      </c>
      <c r="H119">
        <v>4</v>
      </c>
      <c r="I119">
        <v>2</v>
      </c>
      <c r="J119">
        <v>0</v>
      </c>
      <c r="K119">
        <v>6</v>
      </c>
      <c r="L119">
        <v>30</v>
      </c>
      <c r="M119">
        <v>2</v>
      </c>
      <c r="N119" t="inlineStr">
        <is>
          <t>Coef</t>
        </is>
      </c>
    </row>
    <row r="120">
      <c r="A120" t="inlineStr">
        <is>
          <t>Soins infirmiers</t>
        </is>
      </c>
      <c r="B120" t="inlineStr">
        <is>
          <t>L3</t>
        </is>
      </c>
      <c r="C120" t="inlineStr">
        <is>
          <t>5</t>
        </is>
      </c>
      <c r="D120" t="inlineStr">
        <is>
          <t>32</t>
        </is>
      </c>
      <c r="E120" t="inlineStr">
        <is>
          <t>Gestion des services de santé</t>
        </is>
      </c>
      <c r="F120" t="inlineStr">
        <is>
          <t>Gestion de la performance</t>
        </is>
      </c>
      <c r="H120">
        <v>4</v>
      </c>
      <c r="I120">
        <v>2</v>
      </c>
      <c r="J120">
        <v>0</v>
      </c>
      <c r="K120">
        <v>6</v>
      </c>
      <c r="L120">
        <v>30</v>
      </c>
      <c r="M120">
        <v>2</v>
      </c>
      <c r="N120" t="inlineStr">
        <is>
          <t>Coef</t>
        </is>
      </c>
    </row>
    <row r="121">
      <c r="A121" t="inlineStr">
        <is>
          <t>Soins infirmiers</t>
        </is>
      </c>
      <c r="B121" t="inlineStr">
        <is>
          <t>L3</t>
        </is>
      </c>
      <c r="C121" t="inlineStr">
        <is>
          <t>5</t>
        </is>
      </c>
      <c r="D121" t="inlineStr">
        <is>
          <t>32</t>
        </is>
      </c>
      <c r="E121" t="inlineStr">
        <is>
          <t>Gestion des services de santé</t>
        </is>
      </c>
      <c r="F121" t="inlineStr">
        <is>
          <t>Gestion des finances</t>
        </is>
      </c>
      <c r="H121">
        <v>4</v>
      </c>
      <c r="I121">
        <v>2</v>
      </c>
      <c r="J121">
        <v>0</v>
      </c>
      <c r="K121">
        <v>6</v>
      </c>
      <c r="L121">
        <v>30</v>
      </c>
      <c r="M121">
        <v>2</v>
      </c>
      <c r="N121" t="inlineStr">
        <is>
          <t>Coef</t>
        </is>
      </c>
    </row>
    <row r="122">
      <c r="A122" t="inlineStr">
        <is>
          <t>Soins infirmiers</t>
        </is>
      </c>
      <c r="B122" t="inlineStr">
        <is>
          <t>L3</t>
        </is>
      </c>
      <c r="C122" t="inlineStr">
        <is>
          <t>5</t>
        </is>
      </c>
      <c r="D122" t="inlineStr">
        <is>
          <t>32</t>
        </is>
      </c>
      <c r="E122" t="inlineStr">
        <is>
          <t>Gestion des services de santé</t>
        </is>
      </c>
      <c r="F122" t="inlineStr">
        <is>
          <t>Direction et gestion des soins infirmiers</t>
        </is>
      </c>
      <c r="H122">
        <v>4</v>
      </c>
      <c r="I122">
        <v>1</v>
      </c>
      <c r="J122">
        <v>0</v>
      </c>
      <c r="K122">
        <v>5</v>
      </c>
      <c r="L122">
        <v>30</v>
      </c>
      <c r="M122">
        <v>2</v>
      </c>
      <c r="N122" t="inlineStr">
        <is>
          <t>Coef</t>
        </is>
      </c>
    </row>
    <row r="123">
      <c r="A123" t="inlineStr">
        <is>
          <t>Soins infirmiers</t>
        </is>
      </c>
      <c r="B123" t="inlineStr">
        <is>
          <t>L3</t>
        </is>
      </c>
      <c r="C123" t="inlineStr">
        <is>
          <t>5</t>
        </is>
      </c>
      <c r="D123" t="inlineStr">
        <is>
          <t>34</t>
        </is>
      </c>
      <c r="E123" t="inlineStr">
        <is>
          <t>Prise en charge psychologique et sociale des victimes de violences et traumatismes</t>
        </is>
      </c>
      <c r="F123" t="inlineStr">
        <is>
          <t>Psychologie et psycho-traumatologie</t>
        </is>
      </c>
      <c r="H123">
        <v>6</v>
      </c>
      <c r="I123">
        <v>2</v>
      </c>
      <c r="J123">
        <v>0</v>
      </c>
      <c r="K123">
        <v>8</v>
      </c>
      <c r="L123">
        <v>22</v>
      </c>
      <c r="M123">
        <v>1</v>
      </c>
      <c r="N123" t="inlineStr">
        <is>
          <t>Coef</t>
        </is>
      </c>
    </row>
    <row r="124">
      <c r="A124" t="inlineStr">
        <is>
          <t>Soins infirmiers</t>
        </is>
      </c>
      <c r="B124" t="inlineStr">
        <is>
          <t>L3</t>
        </is>
      </c>
      <c r="C124" t="inlineStr">
        <is>
          <t>5</t>
        </is>
      </c>
      <c r="D124" t="inlineStr">
        <is>
          <t>34</t>
        </is>
      </c>
      <c r="E124" t="inlineStr">
        <is>
          <t>Prise en charge psychologique et sociale des victimes de violences et traumatismes</t>
        </is>
      </c>
      <c r="F124" t="inlineStr">
        <is>
          <t>Violences basées sur le genre</t>
        </is>
      </c>
      <c r="H124">
        <v>6</v>
      </c>
      <c r="I124">
        <v>2</v>
      </c>
      <c r="J124">
        <v>0</v>
      </c>
      <c r="K124">
        <v>8</v>
      </c>
      <c r="L124">
        <v>22</v>
      </c>
      <c r="M124">
        <v>1</v>
      </c>
      <c r="N124" t="inlineStr">
        <is>
          <t>Coef</t>
        </is>
      </c>
    </row>
    <row r="125">
      <c r="A125" t="inlineStr">
        <is>
          <t>Soins infirmiers</t>
        </is>
      </c>
      <c r="B125" t="inlineStr">
        <is>
          <t>L3</t>
        </is>
      </c>
      <c r="C125" t="inlineStr">
        <is>
          <t>5</t>
        </is>
      </c>
      <c r="D125" t="inlineStr">
        <is>
          <t>34</t>
        </is>
      </c>
      <c r="E125" t="inlineStr">
        <is>
          <t>Prise en charge psychologique et sociale des victimes de violences et traumatismes</t>
        </is>
      </c>
      <c r="F125" t="inlineStr">
        <is>
          <t>Participation communautaire</t>
        </is>
      </c>
      <c r="H125">
        <v>4</v>
      </c>
      <c r="I125">
        <v>2</v>
      </c>
      <c r="J125">
        <v>0</v>
      </c>
      <c r="K125">
        <v>6</v>
      </c>
      <c r="L125">
        <v>22</v>
      </c>
      <c r="M125">
        <v>1</v>
      </c>
      <c r="N125" t="inlineStr">
        <is>
          <t>Coef</t>
        </is>
      </c>
    </row>
    <row r="126">
      <c r="A126" t="inlineStr">
        <is>
          <t>Soins infirmiers</t>
        </is>
      </c>
      <c r="B126" t="inlineStr">
        <is>
          <t>L3</t>
        </is>
      </c>
      <c r="C126" t="inlineStr">
        <is>
          <t>5</t>
        </is>
      </c>
      <c r="D126" t="inlineStr">
        <is>
          <t>35</t>
        </is>
      </c>
      <c r="E126" t="inlineStr">
        <is>
          <t>Imagerie médicale</t>
        </is>
      </c>
      <c r="F126" t="inlineStr">
        <is>
          <t>Introduction à l'imagerie médicale</t>
        </is>
      </c>
      <c r="H126">
        <v>2</v>
      </c>
      <c r="I126">
        <v>0</v>
      </c>
      <c r="J126">
        <v>0</v>
      </c>
      <c r="K126">
        <v>2</v>
      </c>
      <c r="L126">
        <v>30</v>
      </c>
      <c r="M126">
        <v>2</v>
      </c>
      <c r="N126" t="inlineStr">
        <is>
          <t>Coef</t>
        </is>
      </c>
    </row>
    <row r="127">
      <c r="A127" t="inlineStr">
        <is>
          <t>Soins infirmiers</t>
        </is>
      </c>
      <c r="B127" t="inlineStr">
        <is>
          <t>L3</t>
        </is>
      </c>
      <c r="C127" t="inlineStr">
        <is>
          <t>5</t>
        </is>
      </c>
      <c r="D127" t="inlineStr">
        <is>
          <t>35</t>
        </is>
      </c>
      <c r="E127" t="inlineStr">
        <is>
          <t>Imagerie médicale</t>
        </is>
      </c>
      <c r="F127" t="inlineStr">
        <is>
          <t>Types d'imagerie</t>
        </is>
      </c>
      <c r="H127">
        <v>6</v>
      </c>
      <c r="I127">
        <v>2</v>
      </c>
      <c r="J127">
        <v>0</v>
      </c>
      <c r="K127">
        <v>8</v>
      </c>
      <c r="L127">
        <v>30</v>
      </c>
      <c r="M127">
        <v>2</v>
      </c>
      <c r="N127" t="inlineStr">
        <is>
          <t>Coef</t>
        </is>
      </c>
    </row>
    <row r="128">
      <c r="A128" t="inlineStr">
        <is>
          <t>Soins infirmiers</t>
        </is>
      </c>
      <c r="B128" t="inlineStr">
        <is>
          <t>L3</t>
        </is>
      </c>
      <c r="C128" t="inlineStr">
        <is>
          <t>5</t>
        </is>
      </c>
      <c r="D128" t="inlineStr">
        <is>
          <t>35</t>
        </is>
      </c>
      <c r="E128" t="inlineStr">
        <is>
          <t>Imagerie médicale</t>
        </is>
      </c>
      <c r="F128" t="inlineStr">
        <is>
          <t>Techniques d'imagerie</t>
        </is>
      </c>
      <c r="H128">
        <v>6</v>
      </c>
      <c r="I128">
        <v>2</v>
      </c>
      <c r="J128">
        <v>0</v>
      </c>
      <c r="K128">
        <v>8</v>
      </c>
      <c r="L128">
        <v>30</v>
      </c>
      <c r="M128">
        <v>2</v>
      </c>
      <c r="N128" t="inlineStr">
        <is>
          <t>Coef</t>
        </is>
      </c>
    </row>
    <row r="129">
      <c r="A129" t="inlineStr">
        <is>
          <t>Soins infirmiers</t>
        </is>
      </c>
      <c r="B129" t="inlineStr">
        <is>
          <t>L3</t>
        </is>
      </c>
      <c r="C129" t="inlineStr">
        <is>
          <t>5</t>
        </is>
      </c>
      <c r="D129" t="inlineStr">
        <is>
          <t>35</t>
        </is>
      </c>
      <c r="E129" t="inlineStr">
        <is>
          <t>Imagerie médicale</t>
        </is>
      </c>
      <c r="F129" t="inlineStr">
        <is>
          <t>Sécurité et radioprotection</t>
        </is>
      </c>
      <c r="H129">
        <v>2</v>
      </c>
      <c r="I129">
        <v>1</v>
      </c>
      <c r="J129">
        <v>0</v>
      </c>
      <c r="K129">
        <v>3</v>
      </c>
      <c r="L129">
        <v>30</v>
      </c>
      <c r="M129">
        <v>2</v>
      </c>
      <c r="N129" t="inlineStr">
        <is>
          <t>Coef</t>
        </is>
      </c>
    </row>
    <row r="130">
      <c r="A130" t="inlineStr">
        <is>
          <t>Soins infirmiers</t>
        </is>
      </c>
      <c r="B130" t="inlineStr">
        <is>
          <t>L3</t>
        </is>
      </c>
      <c r="C130" t="inlineStr">
        <is>
          <t>5</t>
        </is>
      </c>
      <c r="D130" t="inlineStr">
        <is>
          <t>35</t>
        </is>
      </c>
      <c r="E130" t="inlineStr">
        <is>
          <t>Imagerie médicale</t>
        </is>
      </c>
      <c r="F130" t="inlineStr">
        <is>
          <t>Interprétation des résultats</t>
        </is>
      </c>
      <c r="H130">
        <v>4</v>
      </c>
      <c r="I130">
        <v>2</v>
      </c>
      <c r="J130">
        <v>0</v>
      </c>
      <c r="K130">
        <v>6</v>
      </c>
      <c r="L130">
        <v>30</v>
      </c>
      <c r="M130">
        <v>2</v>
      </c>
      <c r="N130" t="inlineStr">
        <is>
          <t>Coef</t>
        </is>
      </c>
    </row>
    <row r="131">
      <c r="A131" t="inlineStr">
        <is>
          <t>Soins infirmiers</t>
        </is>
      </c>
      <c r="B131" t="inlineStr">
        <is>
          <t>L3</t>
        </is>
      </c>
      <c r="C131" t="inlineStr">
        <is>
          <t>5</t>
        </is>
      </c>
      <c r="D131" t="inlineStr">
        <is>
          <t>35</t>
        </is>
      </c>
      <c r="E131" t="inlineStr">
        <is>
          <t>Imagerie médicale</t>
        </is>
      </c>
      <c r="F131" t="inlineStr">
        <is>
          <t>Aspects éthiques et légaux</t>
        </is>
      </c>
      <c r="H131">
        <v>2</v>
      </c>
      <c r="I131">
        <v>1</v>
      </c>
      <c r="J131">
        <v>0</v>
      </c>
      <c r="K131">
        <v>3</v>
      </c>
      <c r="L131">
        <v>30</v>
      </c>
      <c r="M131">
        <v>2</v>
      </c>
      <c r="N131" t="inlineStr">
        <is>
          <t>Coef</t>
        </is>
      </c>
    </row>
    <row r="132">
      <c r="A132" t="inlineStr">
        <is>
          <t>Soins infirmiers</t>
        </is>
      </c>
      <c r="B132" t="inlineStr">
        <is>
          <t>L3</t>
        </is>
      </c>
      <c r="C132" t="inlineStr">
        <is>
          <t>5</t>
        </is>
      </c>
      <c r="D132" t="inlineStr">
        <is>
          <t>36</t>
        </is>
      </c>
      <c r="E132" t="inlineStr">
        <is>
          <t>Initiation à la recherche</t>
        </is>
      </c>
      <c r="F132" t="inlineStr">
        <is>
          <t>Processus de recherche</t>
        </is>
      </c>
      <c r="H132">
        <v>10</v>
      </c>
      <c r="I132">
        <v>2</v>
      </c>
      <c r="J132">
        <v>0</v>
      </c>
      <c r="K132">
        <v>12</v>
      </c>
      <c r="L132">
        <v>26</v>
      </c>
      <c r="M132">
        <v>1</v>
      </c>
      <c r="N132" t="inlineStr">
        <is>
          <t>Coef</t>
        </is>
      </c>
    </row>
    <row r="133">
      <c r="A133" t="inlineStr">
        <is>
          <t>Soins infirmiers</t>
        </is>
      </c>
      <c r="B133" t="inlineStr">
        <is>
          <t>L3</t>
        </is>
      </c>
      <c r="C133" t="inlineStr">
        <is>
          <t>5</t>
        </is>
      </c>
      <c r="D133" t="inlineStr">
        <is>
          <t>36</t>
        </is>
      </c>
      <c r="E133" t="inlineStr">
        <is>
          <t>Initiation à la recherche</t>
        </is>
      </c>
      <c r="F133" t="inlineStr">
        <is>
          <t>Méthodes statistiques</t>
        </is>
      </c>
      <c r="H133">
        <v>4</v>
      </c>
      <c r="I133">
        <v>4</v>
      </c>
      <c r="J133">
        <v>0</v>
      </c>
      <c r="K133">
        <v>8</v>
      </c>
      <c r="L133">
        <v>26</v>
      </c>
      <c r="M133">
        <v>1</v>
      </c>
      <c r="N133" t="inlineStr">
        <is>
          <t>Coef</t>
        </is>
      </c>
    </row>
    <row r="134">
      <c r="A134" t="inlineStr">
        <is>
          <t>Soins infirmiers</t>
        </is>
      </c>
      <c r="B134" t="inlineStr">
        <is>
          <t>L3</t>
        </is>
      </c>
      <c r="C134" t="inlineStr">
        <is>
          <t>5</t>
        </is>
      </c>
      <c r="D134" t="inlineStr">
        <is>
          <t>36</t>
        </is>
      </c>
      <c r="E134" t="inlineStr">
        <is>
          <t>Initiation à la recherche</t>
        </is>
      </c>
      <c r="F134" t="inlineStr">
        <is>
          <t>Rédaction du travail de fin d’étude</t>
        </is>
      </c>
      <c r="H134">
        <v>4</v>
      </c>
      <c r="I134">
        <v>2</v>
      </c>
      <c r="J134">
        <v>0</v>
      </c>
      <c r="K134">
        <v>6</v>
      </c>
      <c r="L134">
        <v>26</v>
      </c>
      <c r="M134">
        <v>1</v>
      </c>
      <c r="N134" t="inlineStr">
        <is>
          <t>Coef</t>
        </is>
      </c>
    </row>
    <row r="135">
      <c r="A135" t="inlineStr">
        <is>
          <t>Soins infirmiers</t>
        </is>
      </c>
      <c r="B135" t="inlineStr">
        <is>
          <t>L3</t>
        </is>
      </c>
      <c r="C135" t="inlineStr">
        <is>
          <t>5</t>
        </is>
      </c>
      <c r="D135" t="inlineStr">
        <is>
          <t>37</t>
        </is>
      </c>
      <c r="E135" t="inlineStr">
        <is>
          <t>Prise en charge des pathologies spécialisées/1</t>
        </is>
      </c>
      <c r="F135" t="inlineStr">
        <is>
          <t>Approche syndromique : maladie sexuellement transmissible</t>
        </is>
      </c>
      <c r="H135">
        <v>4</v>
      </c>
      <c r="I135">
        <v>2</v>
      </c>
      <c r="J135">
        <v>0</v>
      </c>
      <c r="K135">
        <v>6</v>
      </c>
      <c r="L135">
        <v>204</v>
      </c>
      <c r="M135">
        <v>12</v>
      </c>
      <c r="N135" t="inlineStr">
        <is>
          <t>Coef</t>
        </is>
      </c>
    </row>
    <row r="136">
      <c r="A136" t="inlineStr">
        <is>
          <t>Soins infirmiers</t>
        </is>
      </c>
      <c r="B136" t="inlineStr">
        <is>
          <t>L3</t>
        </is>
      </c>
      <c r="C136" t="inlineStr">
        <is>
          <t>5</t>
        </is>
      </c>
      <c r="D136" t="inlineStr">
        <is>
          <t>37</t>
        </is>
      </c>
      <c r="E136" t="inlineStr">
        <is>
          <t>Prise en charge des pathologies spécialisées/1</t>
        </is>
      </c>
      <c r="F136" t="inlineStr">
        <is>
          <t>Pathologies ophtalmologiques</t>
        </is>
      </c>
      <c r="H136">
        <v>18</v>
      </c>
      <c r="I136">
        <v>2</v>
      </c>
      <c r="J136">
        <v>0</v>
      </c>
      <c r="K136">
        <v>20</v>
      </c>
      <c r="L136">
        <v>204</v>
      </c>
      <c r="M136">
        <v>12</v>
      </c>
      <c r="N136" t="inlineStr">
        <is>
          <t>Coef</t>
        </is>
      </c>
    </row>
    <row r="137">
      <c r="A137" t="inlineStr">
        <is>
          <t>Soins infirmiers</t>
        </is>
      </c>
      <c r="B137" t="inlineStr">
        <is>
          <t>L3</t>
        </is>
      </c>
      <c r="C137" t="inlineStr">
        <is>
          <t>5</t>
        </is>
      </c>
      <c r="D137" t="inlineStr">
        <is>
          <t>37</t>
        </is>
      </c>
      <c r="E137" t="inlineStr">
        <is>
          <t>Prise en charge des pathologies spécialisées/1</t>
        </is>
      </c>
      <c r="F137" t="inlineStr">
        <is>
          <t>Soins infirmiers en ophtalmologie</t>
        </is>
      </c>
      <c r="H137">
        <v>8</v>
      </c>
      <c r="I137">
        <v>2</v>
      </c>
      <c r="J137">
        <v>2</v>
      </c>
      <c r="K137">
        <v>12</v>
      </c>
      <c r="L137">
        <v>204</v>
      </c>
      <c r="M137">
        <v>12</v>
      </c>
      <c r="N137" t="inlineStr">
        <is>
          <t>Coef</t>
        </is>
      </c>
    </row>
    <row r="138">
      <c r="A138" t="inlineStr">
        <is>
          <t>Soins infirmiers</t>
        </is>
      </c>
      <c r="B138" t="inlineStr">
        <is>
          <t>L3</t>
        </is>
      </c>
      <c r="C138" t="inlineStr">
        <is>
          <t>5</t>
        </is>
      </c>
      <c r="D138" t="inlineStr">
        <is>
          <t>37</t>
        </is>
      </c>
      <c r="E138" t="inlineStr">
        <is>
          <t>Prise en charge des pathologies spécialisées/1</t>
        </is>
      </c>
      <c r="F138" t="inlineStr">
        <is>
          <t>Pathologies ORL</t>
        </is>
      </c>
      <c r="H138">
        <v>18</v>
      </c>
      <c r="I138">
        <v>2</v>
      </c>
      <c r="J138">
        <v>0</v>
      </c>
      <c r="K138">
        <v>20</v>
      </c>
      <c r="L138">
        <v>204</v>
      </c>
      <c r="M138">
        <v>12</v>
      </c>
      <c r="N138" t="inlineStr">
        <is>
          <t>Coef</t>
        </is>
      </c>
    </row>
    <row r="139">
      <c r="A139" t="inlineStr">
        <is>
          <t>Soins infirmiers</t>
        </is>
      </c>
      <c r="B139" t="inlineStr">
        <is>
          <t>L3</t>
        </is>
      </c>
      <c r="C139" t="inlineStr">
        <is>
          <t>5</t>
        </is>
      </c>
      <c r="D139" t="inlineStr">
        <is>
          <t>37</t>
        </is>
      </c>
      <c r="E139" t="inlineStr">
        <is>
          <t>Prise en charge des pathologies spécialisées/1</t>
        </is>
      </c>
      <c r="F139" t="inlineStr">
        <is>
          <t>Soins infirmiers en ORL</t>
        </is>
      </c>
      <c r="H139">
        <v>8</v>
      </c>
      <c r="I139">
        <v>2</v>
      </c>
      <c r="J139">
        <v>2</v>
      </c>
      <c r="K139">
        <v>12</v>
      </c>
      <c r="L139">
        <v>204</v>
      </c>
      <c r="M139">
        <v>12</v>
      </c>
      <c r="N139" t="inlineStr">
        <is>
          <t>Coef</t>
        </is>
      </c>
    </row>
    <row r="140">
      <c r="A140" t="inlineStr">
        <is>
          <t>Soins infirmiers</t>
        </is>
      </c>
      <c r="B140" t="inlineStr">
        <is>
          <t>L3</t>
        </is>
      </c>
      <c r="C140" t="inlineStr">
        <is>
          <t>5</t>
        </is>
      </c>
      <c r="D140" t="inlineStr">
        <is>
          <t>37</t>
        </is>
      </c>
      <c r="E140" t="inlineStr">
        <is>
          <t>Prise en charge des pathologies spécialisées/1</t>
        </is>
      </c>
      <c r="F140" t="inlineStr">
        <is>
          <t>Pathologies stomatologiques</t>
        </is>
      </c>
      <c r="H140">
        <v>18</v>
      </c>
      <c r="I140">
        <v>2</v>
      </c>
      <c r="J140">
        <v>0</v>
      </c>
      <c r="K140">
        <v>20</v>
      </c>
      <c r="L140">
        <v>204</v>
      </c>
      <c r="M140">
        <v>12</v>
      </c>
      <c r="N140" t="inlineStr">
        <is>
          <t>Coef</t>
        </is>
      </c>
    </row>
    <row r="141">
      <c r="A141" t="inlineStr">
        <is>
          <t>Soins infirmiers</t>
        </is>
      </c>
      <c r="B141" t="inlineStr">
        <is>
          <t>L3</t>
        </is>
      </c>
      <c r="C141" t="inlineStr">
        <is>
          <t>5</t>
        </is>
      </c>
      <c r="D141" t="inlineStr">
        <is>
          <t>37</t>
        </is>
      </c>
      <c r="E141" t="inlineStr">
        <is>
          <t>Prise en charge des pathologies spécialisées/1</t>
        </is>
      </c>
      <c r="F141" t="inlineStr">
        <is>
          <t>Soins infirmiers den stomatologie</t>
        </is>
      </c>
      <c r="H141">
        <v>4</v>
      </c>
      <c r="I141">
        <v>2</v>
      </c>
      <c r="J141">
        <v>2</v>
      </c>
      <c r="K141">
        <v>8</v>
      </c>
      <c r="L141">
        <v>204</v>
      </c>
      <c r="M141">
        <v>12</v>
      </c>
      <c r="N141" t="inlineStr">
        <is>
          <t>Coef</t>
        </is>
      </c>
    </row>
    <row r="142">
      <c r="A142" t="inlineStr">
        <is>
          <t>Soins infirmiers</t>
        </is>
      </c>
      <c r="B142" t="inlineStr">
        <is>
          <t>L3</t>
        </is>
      </c>
      <c r="C142" t="inlineStr">
        <is>
          <t>5</t>
        </is>
      </c>
      <c r="D142" t="inlineStr">
        <is>
          <t>37</t>
        </is>
      </c>
      <c r="E142" t="inlineStr">
        <is>
          <t>Prise en charge des pathologies spécialisées/1</t>
        </is>
      </c>
      <c r="F142" t="inlineStr">
        <is>
          <t>Pathologies dermatologiques</t>
        </is>
      </c>
      <c r="H142">
        <v>18</v>
      </c>
      <c r="I142">
        <v>2</v>
      </c>
      <c r="J142">
        <v>0</v>
      </c>
      <c r="K142">
        <v>20</v>
      </c>
      <c r="L142">
        <v>204</v>
      </c>
      <c r="M142">
        <v>12</v>
      </c>
      <c r="N142" t="inlineStr">
        <is>
          <t>Coef</t>
        </is>
      </c>
    </row>
    <row r="143">
      <c r="A143" t="inlineStr">
        <is>
          <t>Soins infirmiers</t>
        </is>
      </c>
      <c r="B143" t="inlineStr">
        <is>
          <t>L3</t>
        </is>
      </c>
      <c r="C143" t="inlineStr">
        <is>
          <t>5</t>
        </is>
      </c>
      <c r="D143" t="inlineStr">
        <is>
          <t>37</t>
        </is>
      </c>
      <c r="E143" t="inlineStr">
        <is>
          <t>Prise en charge des pathologies spécialisées/1</t>
        </is>
      </c>
      <c r="F143" t="inlineStr">
        <is>
          <t>Pathologies en oncologie</t>
        </is>
      </c>
      <c r="H143">
        <v>18</v>
      </c>
      <c r="I143">
        <v>2</v>
      </c>
      <c r="J143">
        <v>0</v>
      </c>
      <c r="K143">
        <v>20</v>
      </c>
      <c r="L143">
        <v>204</v>
      </c>
      <c r="M143">
        <v>12</v>
      </c>
      <c r="N143" t="inlineStr">
        <is>
          <t>Coef</t>
        </is>
      </c>
    </row>
    <row r="144">
      <c r="A144" t="inlineStr">
        <is>
          <t>Soins infirmiers</t>
        </is>
      </c>
      <c r="B144" t="inlineStr">
        <is>
          <t>L3</t>
        </is>
      </c>
      <c r="C144" t="inlineStr">
        <is>
          <t>5</t>
        </is>
      </c>
      <c r="D144" t="inlineStr">
        <is>
          <t>37</t>
        </is>
      </c>
      <c r="E144" t="inlineStr">
        <is>
          <t>Prise en charge des pathologies spécialisées/1</t>
        </is>
      </c>
      <c r="F144" t="inlineStr">
        <is>
          <t>Soins infirmiers en oncologie</t>
        </is>
      </c>
      <c r="H144">
        <v>10</v>
      </c>
      <c r="I144">
        <v>2</v>
      </c>
      <c r="J144">
        <v>2</v>
      </c>
      <c r="K144">
        <v>14</v>
      </c>
      <c r="L144">
        <v>204</v>
      </c>
      <c r="M144">
        <v>12</v>
      </c>
      <c r="N144" t="inlineStr">
        <is>
          <t>Coef</t>
        </is>
      </c>
    </row>
    <row r="145">
      <c r="A145" t="inlineStr">
        <is>
          <t>Soins infirmiers</t>
        </is>
      </c>
      <c r="B145" t="inlineStr">
        <is>
          <t>L3</t>
        </is>
      </c>
      <c r="C145" t="inlineStr">
        <is>
          <t>5</t>
        </is>
      </c>
      <c r="D145" t="inlineStr">
        <is>
          <t>37</t>
        </is>
      </c>
      <c r="E145" t="inlineStr">
        <is>
          <t>Prise en charge des pathologies spécialisées/1</t>
        </is>
      </c>
      <c r="F145" t="inlineStr">
        <is>
          <t>Pathologies endocriniennes</t>
        </is>
      </c>
      <c r="H145">
        <v>18</v>
      </c>
      <c r="I145">
        <v>2</v>
      </c>
      <c r="J145">
        <v>0</v>
      </c>
      <c r="K145">
        <v>20</v>
      </c>
      <c r="L145">
        <v>204</v>
      </c>
      <c r="M145">
        <v>12</v>
      </c>
      <c r="N145" t="inlineStr">
        <is>
          <t>Coef</t>
        </is>
      </c>
    </row>
    <row r="146">
      <c r="A146" t="inlineStr">
        <is>
          <t>Soins infirmiers</t>
        </is>
      </c>
      <c r="B146" t="inlineStr">
        <is>
          <t>L3</t>
        </is>
      </c>
      <c r="C146" t="inlineStr">
        <is>
          <t>5</t>
        </is>
      </c>
      <c r="D146" t="inlineStr">
        <is>
          <t>37</t>
        </is>
      </c>
      <c r="E146" t="inlineStr">
        <is>
          <t>Prise en charge des pathologies spécialisées/1</t>
        </is>
      </c>
      <c r="F146" t="inlineStr">
        <is>
          <t>Soins infirmiers en endocrinologie</t>
        </is>
      </c>
      <c r="H146">
        <v>8</v>
      </c>
      <c r="I146">
        <v>2</v>
      </c>
      <c r="J146">
        <v>2</v>
      </c>
      <c r="K146">
        <v>12</v>
      </c>
      <c r="L146">
        <v>204</v>
      </c>
      <c r="M146">
        <v>12</v>
      </c>
      <c r="N146" t="inlineStr">
        <is>
          <t>Coef</t>
        </is>
      </c>
    </row>
    <row r="147">
      <c r="A147" t="inlineStr">
        <is>
          <t>Soins infirmiers</t>
        </is>
      </c>
      <c r="B147" t="inlineStr">
        <is>
          <t>L3</t>
        </is>
      </c>
      <c r="C147" t="inlineStr">
        <is>
          <t>5</t>
        </is>
      </c>
      <c r="D147" t="inlineStr">
        <is>
          <t>37</t>
        </is>
      </c>
      <c r="E147" t="inlineStr">
        <is>
          <t>Prise en charge des pathologies spécialisées/1</t>
        </is>
      </c>
      <c r="F147" t="inlineStr">
        <is>
          <t>Pharmacologie et thérapeutiques des pathologies spécialisées</t>
        </is>
      </c>
      <c r="H147">
        <v>16</v>
      </c>
      <c r="I147">
        <v>4</v>
      </c>
      <c r="J147">
        <v>0</v>
      </c>
      <c r="K147">
        <v>20</v>
      </c>
      <c r="L147">
        <v>204</v>
      </c>
      <c r="M147">
        <v>12</v>
      </c>
      <c r="N147" t="inlineStr">
        <is>
          <t>Coef</t>
        </is>
      </c>
    </row>
    <row r="148">
      <c r="A148" t="inlineStr">
        <is>
          <t>Soins infirmiers</t>
        </is>
      </c>
      <c r="B148" t="inlineStr">
        <is>
          <t>L3</t>
        </is>
      </c>
      <c r="C148" t="inlineStr">
        <is>
          <t>5</t>
        </is>
      </c>
      <c r="D148" t="inlineStr">
        <is>
          <t>38</t>
        </is>
      </c>
      <c r="E148" t="inlineStr">
        <is>
          <t>Santé sexuelle et reproductive et droits connexes</t>
        </is>
      </c>
      <c r="F148" t="inlineStr">
        <is>
          <t>Concepts de base des droits sexuels et reproductifs</t>
        </is>
      </c>
      <c r="H148">
        <v>4</v>
      </c>
      <c r="I148">
        <v>2</v>
      </c>
      <c r="J148">
        <v>0</v>
      </c>
      <c r="K148">
        <v>6</v>
      </c>
      <c r="L148">
        <v>56</v>
      </c>
      <c r="M148">
        <v>3</v>
      </c>
      <c r="N148" t="inlineStr">
        <is>
          <t>Coef</t>
        </is>
      </c>
    </row>
    <row r="149">
      <c r="A149" t="inlineStr">
        <is>
          <t>Soins infirmiers</t>
        </is>
      </c>
      <c r="B149" t="inlineStr">
        <is>
          <t>L3</t>
        </is>
      </c>
      <c r="C149" t="inlineStr">
        <is>
          <t>5</t>
        </is>
      </c>
      <c r="D149" t="inlineStr">
        <is>
          <t>38</t>
        </is>
      </c>
      <c r="E149" t="inlineStr">
        <is>
          <t>Santé sexuelle et reproductive et droits connexes</t>
        </is>
      </c>
      <c r="F149" t="inlineStr">
        <is>
          <t>Cadre légal et politique</t>
        </is>
      </c>
      <c r="H149">
        <v>4</v>
      </c>
      <c r="I149">
        <v>0</v>
      </c>
      <c r="J149">
        <v>0</v>
      </c>
      <c r="K149">
        <v>4</v>
      </c>
      <c r="L149">
        <v>56</v>
      </c>
      <c r="M149">
        <v>3</v>
      </c>
      <c r="N149" t="inlineStr">
        <is>
          <t>Coef</t>
        </is>
      </c>
    </row>
    <row r="150">
      <c r="A150" t="inlineStr">
        <is>
          <t>Soins infirmiers</t>
        </is>
      </c>
      <c r="B150" t="inlineStr">
        <is>
          <t>L3</t>
        </is>
      </c>
      <c r="C150" t="inlineStr">
        <is>
          <t>5</t>
        </is>
      </c>
      <c r="D150" t="inlineStr">
        <is>
          <t>38</t>
        </is>
      </c>
      <c r="E150" t="inlineStr">
        <is>
          <t>Santé sexuelle et reproductive et droits connexes</t>
        </is>
      </c>
      <c r="F150" t="inlineStr">
        <is>
          <t>Accès aux soins de santé sexuelle et reproductive</t>
        </is>
      </c>
      <c r="H150">
        <v>4</v>
      </c>
      <c r="I150">
        <v>2</v>
      </c>
      <c r="J150">
        <v>0</v>
      </c>
      <c r="K150">
        <v>6</v>
      </c>
      <c r="L150">
        <v>56</v>
      </c>
      <c r="M150">
        <v>3</v>
      </c>
      <c r="N150" t="inlineStr">
        <is>
          <t>Coef</t>
        </is>
      </c>
    </row>
    <row r="151">
      <c r="A151" t="inlineStr">
        <is>
          <t>Soins infirmiers</t>
        </is>
      </c>
      <c r="B151" t="inlineStr">
        <is>
          <t>L3</t>
        </is>
      </c>
      <c r="C151" t="inlineStr">
        <is>
          <t>5</t>
        </is>
      </c>
      <c r="D151" t="inlineStr">
        <is>
          <t>38</t>
        </is>
      </c>
      <c r="E151" t="inlineStr">
        <is>
          <t>Santé sexuelle et reproductive et droits connexes</t>
        </is>
      </c>
      <c r="F151" t="inlineStr">
        <is>
          <t>Pratiques infirmières et droits sexuels et reproductifs</t>
        </is>
      </c>
      <c r="H151">
        <v>4</v>
      </c>
      <c r="I151">
        <v>1</v>
      </c>
      <c r="J151">
        <v>0</v>
      </c>
      <c r="K151">
        <v>5</v>
      </c>
      <c r="L151">
        <v>56</v>
      </c>
      <c r="M151">
        <v>3</v>
      </c>
      <c r="N151" t="inlineStr">
        <is>
          <t>Coef</t>
        </is>
      </c>
    </row>
    <row r="152">
      <c r="A152" t="inlineStr">
        <is>
          <t>Soins infirmiers</t>
        </is>
      </c>
      <c r="B152" t="inlineStr">
        <is>
          <t>L3</t>
        </is>
      </c>
      <c r="C152" t="inlineStr">
        <is>
          <t>5</t>
        </is>
      </c>
      <c r="D152" t="inlineStr">
        <is>
          <t>38</t>
        </is>
      </c>
      <c r="E152" t="inlineStr">
        <is>
          <t>Santé sexuelle et reproductive et droits connexes</t>
        </is>
      </c>
      <c r="F152" t="inlineStr">
        <is>
          <t>Sensibilisation et plaidoyer</t>
        </is>
      </c>
      <c r="H152">
        <v>4</v>
      </c>
      <c r="I152">
        <v>1</v>
      </c>
      <c r="J152">
        <v>0</v>
      </c>
      <c r="K152">
        <v>5</v>
      </c>
      <c r="L152">
        <v>56</v>
      </c>
      <c r="M152">
        <v>3</v>
      </c>
      <c r="N152" t="inlineStr">
        <is>
          <t>Coef</t>
        </is>
      </c>
    </row>
    <row r="153">
      <c r="A153" t="inlineStr">
        <is>
          <t>Soins infirmiers</t>
        </is>
      </c>
      <c r="B153" t="inlineStr">
        <is>
          <t>L3</t>
        </is>
      </c>
      <c r="C153" t="inlineStr">
        <is>
          <t>5</t>
        </is>
      </c>
      <c r="D153" t="inlineStr">
        <is>
          <t>38</t>
        </is>
      </c>
      <c r="E153" t="inlineStr">
        <is>
          <t>Santé sexuelle et reproductive et droits connexes</t>
        </is>
      </c>
      <c r="F153" t="inlineStr">
        <is>
          <t>Santé sexuelle et reproductive des adolescents</t>
        </is>
      </c>
      <c r="H153">
        <v>8</v>
      </c>
      <c r="I153">
        <v>2</v>
      </c>
      <c r="J153">
        <v>0</v>
      </c>
      <c r="K153">
        <v>10</v>
      </c>
      <c r="L153">
        <v>56</v>
      </c>
      <c r="M153">
        <v>3</v>
      </c>
      <c r="N153" t="inlineStr">
        <is>
          <t>Coef</t>
        </is>
      </c>
    </row>
    <row r="154">
      <c r="A154" t="inlineStr">
        <is>
          <t>Soins infirmiers</t>
        </is>
      </c>
      <c r="B154" t="inlineStr">
        <is>
          <t>L3</t>
        </is>
      </c>
      <c r="C154" t="inlineStr">
        <is>
          <t>5</t>
        </is>
      </c>
      <c r="D154" t="inlineStr">
        <is>
          <t>38</t>
        </is>
      </c>
      <c r="E154" t="inlineStr">
        <is>
          <t>Santé sexuelle et reproductive et droits connexes</t>
        </is>
      </c>
      <c r="F154" t="inlineStr">
        <is>
          <t>Planification familiale et moyens contraceptifs</t>
        </is>
      </c>
      <c r="H154">
        <v>10</v>
      </c>
      <c r="I154">
        <v>4</v>
      </c>
      <c r="J154">
        <v>6</v>
      </c>
      <c r="K154">
        <v>20</v>
      </c>
      <c r="L154">
        <v>56</v>
      </c>
      <c r="M154">
        <v>3</v>
      </c>
      <c r="N154" t="inlineStr">
        <is>
          <t>Coef</t>
        </is>
      </c>
    </row>
    <row r="155">
      <c r="A155" t="inlineStr">
        <is>
          <t>Soins infirmiers</t>
        </is>
      </c>
      <c r="B155" t="inlineStr">
        <is>
          <t>L3</t>
        </is>
      </c>
      <c r="C155" t="inlineStr">
        <is>
          <t>6</t>
        </is>
      </c>
      <c r="D155" t="inlineStr">
        <is>
          <t>41</t>
        </is>
      </c>
      <c r="E155" t="inlineStr">
        <is>
          <t>Prise en charge des pathologies spécialisées/1</t>
        </is>
      </c>
      <c r="F155" t="inlineStr">
        <is>
          <t>Troubless psychiatriques</t>
        </is>
      </c>
      <c r="H155">
        <v>26</v>
      </c>
      <c r="I155">
        <v>4</v>
      </c>
      <c r="J155">
        <v>0</v>
      </c>
      <c r="K155">
        <v>30</v>
      </c>
      <c r="L155">
        <v>62</v>
      </c>
      <c r="M155">
        <v>4</v>
      </c>
      <c r="N155" t="inlineStr">
        <is>
          <t>Coef</t>
        </is>
      </c>
    </row>
    <row r="156">
      <c r="A156" t="inlineStr">
        <is>
          <t>Soins infirmiers</t>
        </is>
      </c>
      <c r="B156" t="inlineStr">
        <is>
          <t>L3</t>
        </is>
      </c>
      <c r="C156" t="inlineStr">
        <is>
          <t>6</t>
        </is>
      </c>
      <c r="D156" t="inlineStr">
        <is>
          <t>41</t>
        </is>
      </c>
      <c r="E156" t="inlineStr">
        <is>
          <t>Prise en charge des pathologies spécialisées/1</t>
        </is>
      </c>
      <c r="F156" t="inlineStr">
        <is>
          <t>S.I en psychiatrie</t>
        </is>
      </c>
      <c r="H156">
        <v>14</v>
      </c>
      <c r="I156">
        <v>6</v>
      </c>
      <c r="J156">
        <v>0</v>
      </c>
      <c r="K156">
        <v>20</v>
      </c>
      <c r="L156">
        <v>62</v>
      </c>
      <c r="M156">
        <v>4</v>
      </c>
      <c r="N156" t="inlineStr">
        <is>
          <t>Coef</t>
        </is>
      </c>
    </row>
    <row r="157">
      <c r="A157" t="inlineStr">
        <is>
          <t>Soins infirmiers</t>
        </is>
      </c>
      <c r="B157" t="inlineStr">
        <is>
          <t>L3</t>
        </is>
      </c>
      <c r="C157" t="inlineStr">
        <is>
          <t>6</t>
        </is>
      </c>
      <c r="D157" t="inlineStr">
        <is>
          <t>41</t>
        </is>
      </c>
      <c r="E157" t="inlineStr">
        <is>
          <t>Prise en charge des pathologies spécialisées/1</t>
        </is>
      </c>
      <c r="F157" t="inlineStr">
        <is>
          <t>Pharmacologie et thérapeutiques</t>
        </is>
      </c>
      <c r="H157">
        <v>10</v>
      </c>
      <c r="I157">
        <v>2</v>
      </c>
      <c r="J157">
        <v>0</v>
      </c>
      <c r="K157">
        <v>12</v>
      </c>
      <c r="L157">
        <v>62</v>
      </c>
      <c r="M157">
        <v>4</v>
      </c>
      <c r="N157" t="inlineStr">
        <is>
          <t>Coef</t>
        </is>
      </c>
    </row>
    <row r="158">
      <c r="A158" t="inlineStr">
        <is>
          <t>Soins infirmiers</t>
        </is>
      </c>
      <c r="B158" t="inlineStr">
        <is>
          <t>L3</t>
        </is>
      </c>
      <c r="C158" t="inlineStr">
        <is>
          <t>6</t>
        </is>
      </c>
      <c r="D158" t="inlineStr">
        <is>
          <t>43</t>
        </is>
      </c>
      <c r="E158" t="inlineStr">
        <is>
          <t>Soins infirmiers en urgences et réanimation</t>
        </is>
      </c>
      <c r="F158" t="inlineStr">
        <is>
          <t>Urgences médicales et Réanimation</t>
        </is>
      </c>
      <c r="H158">
        <v>36</v>
      </c>
      <c r="I158">
        <v>4</v>
      </c>
      <c r="J158">
        <v>0</v>
      </c>
      <c r="K158">
        <v>40</v>
      </c>
      <c r="L158">
        <v>112</v>
      </c>
      <c r="M158">
        <v>7</v>
      </c>
      <c r="N158" t="inlineStr">
        <is>
          <t>Coef</t>
        </is>
      </c>
    </row>
    <row r="159">
      <c r="A159" t="inlineStr">
        <is>
          <t>Soins infirmiers</t>
        </is>
      </c>
      <c r="B159" t="inlineStr">
        <is>
          <t>L3</t>
        </is>
      </c>
      <c r="C159" t="inlineStr">
        <is>
          <t>6</t>
        </is>
      </c>
      <c r="D159" t="inlineStr">
        <is>
          <t>43</t>
        </is>
      </c>
      <c r="E159" t="inlineStr">
        <is>
          <t>Soins infirmiers en urgences et réanimation</t>
        </is>
      </c>
      <c r="F159" t="inlineStr">
        <is>
          <t>Urgences traumatologiques</t>
        </is>
      </c>
      <c r="H159">
        <v>24</v>
      </c>
      <c r="I159">
        <v>6</v>
      </c>
      <c r="J159">
        <v>0</v>
      </c>
      <c r="K159">
        <v>30</v>
      </c>
      <c r="L159">
        <v>112</v>
      </c>
      <c r="M159">
        <v>7</v>
      </c>
      <c r="N159" t="inlineStr">
        <is>
          <t>Coef</t>
        </is>
      </c>
    </row>
    <row r="160">
      <c r="A160" t="inlineStr">
        <is>
          <t>Soins infirmiers</t>
        </is>
      </c>
      <c r="B160" t="inlineStr">
        <is>
          <t>L3</t>
        </is>
      </c>
      <c r="C160" t="inlineStr">
        <is>
          <t>6</t>
        </is>
      </c>
      <c r="D160" t="inlineStr">
        <is>
          <t>43</t>
        </is>
      </c>
      <c r="E160" t="inlineStr">
        <is>
          <t>Soins infirmiers en urgences et réanimation</t>
        </is>
      </c>
      <c r="F160" t="inlineStr">
        <is>
          <t>S.I en urgences et réanimation</t>
        </is>
      </c>
      <c r="H160">
        <v>16</v>
      </c>
      <c r="I160">
        <v>2</v>
      </c>
      <c r="J160">
        <v>4</v>
      </c>
      <c r="K160">
        <v>22</v>
      </c>
      <c r="L160">
        <v>112</v>
      </c>
      <c r="M160">
        <v>7</v>
      </c>
      <c r="N160" t="inlineStr">
        <is>
          <t>Coef</t>
        </is>
      </c>
    </row>
    <row r="161">
      <c r="A161" t="inlineStr">
        <is>
          <t>Soins infirmiers</t>
        </is>
      </c>
      <c r="B161" t="inlineStr">
        <is>
          <t>L3</t>
        </is>
      </c>
      <c r="C161" t="inlineStr">
        <is>
          <t>6</t>
        </is>
      </c>
      <c r="D161" t="inlineStr">
        <is>
          <t>43</t>
        </is>
      </c>
      <c r="E161" t="inlineStr">
        <is>
          <t>Soins infirmiers en urgences et réanimation</t>
        </is>
      </c>
      <c r="F161" t="inlineStr">
        <is>
          <t>Pharmacologie et thérapeutiques</t>
        </is>
      </c>
      <c r="H161">
        <v>16</v>
      </c>
      <c r="I161">
        <v>4</v>
      </c>
      <c r="J161">
        <v>0</v>
      </c>
      <c r="K161">
        <v>20</v>
      </c>
      <c r="L161">
        <v>112</v>
      </c>
      <c r="M161">
        <v>7</v>
      </c>
      <c r="N161" t="inlineStr">
        <is>
          <t>Coef</t>
        </is>
      </c>
    </row>
    <row r="162">
      <c r="A162" t="inlineStr">
        <is>
          <t>Soins infirmiers</t>
        </is>
      </c>
      <c r="B162" t="inlineStr">
        <is>
          <t>L3</t>
        </is>
      </c>
      <c r="C162" t="inlineStr">
        <is>
          <t>6</t>
        </is>
      </c>
      <c r="D162" t="inlineStr">
        <is>
          <t>45</t>
        </is>
      </c>
      <c r="E162" t="inlineStr">
        <is>
          <t>Soins infirmiers du nouveau-né</t>
        </is>
      </c>
      <c r="F162" t="inlineStr">
        <is>
          <t>Néonatologie et soins infirmier néonatale</t>
        </is>
      </c>
      <c r="H162">
        <v>26</v>
      </c>
      <c r="I162">
        <v>4</v>
      </c>
      <c r="J162">
        <v>0</v>
      </c>
      <c r="K162">
        <v>30</v>
      </c>
      <c r="L162">
        <v>50</v>
      </c>
      <c r="M162">
        <v>3</v>
      </c>
      <c r="N162" t="inlineStr">
        <is>
          <t>Coef</t>
        </is>
      </c>
    </row>
    <row r="163">
      <c r="A163" t="inlineStr">
        <is>
          <t>Soins infirmiers</t>
        </is>
      </c>
      <c r="B163" t="inlineStr">
        <is>
          <t>L3</t>
        </is>
      </c>
      <c r="C163" t="inlineStr">
        <is>
          <t>6</t>
        </is>
      </c>
      <c r="D163" t="inlineStr">
        <is>
          <t>45</t>
        </is>
      </c>
      <c r="E163" t="inlineStr">
        <is>
          <t>Soins infirmiers du nouveau-né</t>
        </is>
      </c>
      <c r="F163" t="inlineStr">
        <is>
          <t>Pathologies chirurgicales néonatales et soins infirmiers opératoire</t>
        </is>
      </c>
      <c r="H163">
        <v>16</v>
      </c>
      <c r="I163">
        <v>4</v>
      </c>
      <c r="J163">
        <v>0</v>
      </c>
      <c r="K163">
        <v>20</v>
      </c>
      <c r="L163">
        <v>50</v>
      </c>
      <c r="M163">
        <v>3</v>
      </c>
      <c r="N163" t="inlineStr">
        <is>
          <t>Coef</t>
        </is>
      </c>
    </row>
    <row r="164">
      <c r="A164" t="inlineStr">
        <is>
          <t>Soins obstétricaux</t>
        </is>
      </c>
      <c r="B164" t="inlineStr">
        <is>
          <t>L1</t>
        </is>
      </c>
      <c r="C164" t="inlineStr">
        <is>
          <t>1</t>
        </is>
      </c>
      <c r="D164" t="inlineStr">
        <is>
          <t>1</t>
        </is>
      </c>
      <c r="E164" t="inlineStr">
        <is>
          <t>TIC (Technologie de l’information et de la communication)</t>
        </is>
      </c>
      <c r="F164" t="inlineStr">
        <is>
          <t>Communication</t>
        </is>
      </c>
      <c r="H164">
        <v>6</v>
      </c>
      <c r="I164">
        <v>4</v>
      </c>
      <c r="J164">
        <v>0</v>
      </c>
      <c r="K164">
        <v>10</v>
      </c>
      <c r="L164">
        <v>50</v>
      </c>
      <c r="M164">
        <v>3</v>
      </c>
    </row>
    <row r="165">
      <c r="A165" t="inlineStr">
        <is>
          <t>Soins obstétricaux</t>
        </is>
      </c>
      <c r="B165" t="inlineStr">
        <is>
          <t>L1</t>
        </is>
      </c>
      <c r="C165" t="inlineStr">
        <is>
          <t>1</t>
        </is>
      </c>
      <c r="D165" t="inlineStr">
        <is>
          <t>1</t>
        </is>
      </c>
      <c r="E165" t="inlineStr">
        <is>
          <t>TIC (Technologie de l’information et de la communication)</t>
        </is>
      </c>
      <c r="F165" t="inlineStr">
        <is>
          <t>Communication virtuelle</t>
        </is>
      </c>
      <c r="H165">
        <v>10</v>
      </c>
      <c r="I165">
        <v>0</v>
      </c>
      <c r="J165">
        <v>10</v>
      </c>
      <c r="K165">
        <v>20</v>
      </c>
      <c r="L165">
        <v>50</v>
      </c>
      <c r="M165">
        <v>3</v>
      </c>
    </row>
    <row r="166">
      <c r="A166" t="inlineStr">
        <is>
          <t>Soins obstétricaux</t>
        </is>
      </c>
      <c r="B166" t="inlineStr">
        <is>
          <t>L1</t>
        </is>
      </c>
      <c r="C166" t="inlineStr">
        <is>
          <t>1</t>
        </is>
      </c>
      <c r="D166" t="inlineStr">
        <is>
          <t>1</t>
        </is>
      </c>
      <c r="E166" t="inlineStr">
        <is>
          <t>TIC (Technologie de l’information et de la communication)</t>
        </is>
      </c>
      <c r="F166" t="inlineStr">
        <is>
          <t>Communication universitaire</t>
        </is>
      </c>
      <c r="H166">
        <v>15</v>
      </c>
      <c r="I166">
        <v>5</v>
      </c>
      <c r="J166">
        <v>0</v>
      </c>
      <c r="K166">
        <v>20</v>
      </c>
      <c r="L166">
        <v>50</v>
      </c>
      <c r="M166">
        <v>3</v>
      </c>
    </row>
    <row r="167">
      <c r="A167" t="inlineStr">
        <is>
          <t>Soins obstétricaux</t>
        </is>
      </c>
      <c r="B167" t="inlineStr">
        <is>
          <t>L1</t>
        </is>
      </c>
      <c r="C167" t="inlineStr">
        <is>
          <t>1</t>
        </is>
      </c>
      <c r="D167" t="inlineStr">
        <is>
          <t>2</t>
        </is>
      </c>
      <c r="E167" t="inlineStr">
        <is>
          <t>Anatomie et physiologie générale</t>
        </is>
      </c>
      <c r="F167" t="inlineStr">
        <is>
          <t>Introduction au corps humain</t>
        </is>
      </c>
      <c r="H167">
        <v>4</v>
      </c>
      <c r="I167">
        <v>2</v>
      </c>
      <c r="J167">
        <v>0</v>
      </c>
      <c r="K167">
        <v>6</v>
      </c>
      <c r="L167">
        <v>112</v>
      </c>
      <c r="M167">
        <v>7</v>
      </c>
    </row>
    <row r="168">
      <c r="A168" t="inlineStr">
        <is>
          <t>Soins obstétricaux</t>
        </is>
      </c>
      <c r="B168" t="inlineStr">
        <is>
          <t>L1</t>
        </is>
      </c>
      <c r="C168" t="inlineStr">
        <is>
          <t>1</t>
        </is>
      </c>
      <c r="D168" t="inlineStr">
        <is>
          <t>2</t>
        </is>
      </c>
      <c r="E168" t="inlineStr">
        <is>
          <t>Anatomie et physiologie générale</t>
        </is>
      </c>
      <c r="F168" t="inlineStr">
        <is>
          <t>Appareil respiratoire</t>
        </is>
      </c>
      <c r="H168">
        <v>6</v>
      </c>
      <c r="I168">
        <v>2</v>
      </c>
      <c r="J168">
        <v>0</v>
      </c>
      <c r="K168">
        <v>8</v>
      </c>
      <c r="L168">
        <v>112</v>
      </c>
      <c r="M168">
        <v>7</v>
      </c>
    </row>
    <row r="169">
      <c r="A169" t="inlineStr">
        <is>
          <t>Soins obstétricaux</t>
        </is>
      </c>
      <c r="B169" t="inlineStr">
        <is>
          <t>L1</t>
        </is>
      </c>
      <c r="C169" t="inlineStr">
        <is>
          <t>1</t>
        </is>
      </c>
      <c r="D169" t="inlineStr">
        <is>
          <t>2</t>
        </is>
      </c>
      <c r="E169" t="inlineStr">
        <is>
          <t>Anatomie et physiologie générale</t>
        </is>
      </c>
      <c r="F169" t="inlineStr">
        <is>
          <t>Le sang</t>
        </is>
      </c>
      <c r="H169">
        <v>6</v>
      </c>
      <c r="I169">
        <v>2</v>
      </c>
      <c r="J169">
        <v>0</v>
      </c>
      <c r="K169">
        <v>8</v>
      </c>
      <c r="L169">
        <v>112</v>
      </c>
      <c r="M169">
        <v>7</v>
      </c>
    </row>
    <row r="170">
      <c r="A170" t="inlineStr">
        <is>
          <t>Soins obstétricaux</t>
        </is>
      </c>
      <c r="B170" t="inlineStr">
        <is>
          <t>L1</t>
        </is>
      </c>
      <c r="C170" t="inlineStr">
        <is>
          <t>1</t>
        </is>
      </c>
      <c r="D170" t="inlineStr">
        <is>
          <t>2</t>
        </is>
      </c>
      <c r="E170" t="inlineStr">
        <is>
          <t>Anatomie et physiologie générale</t>
        </is>
      </c>
      <c r="F170" t="inlineStr">
        <is>
          <t>Système cardiovasculaire</t>
        </is>
      </c>
      <c r="H170">
        <v>6</v>
      </c>
      <c r="I170">
        <v>2</v>
      </c>
      <c r="J170">
        <v>0</v>
      </c>
      <c r="K170">
        <v>8</v>
      </c>
      <c r="L170">
        <v>112</v>
      </c>
      <c r="M170">
        <v>7</v>
      </c>
    </row>
    <row r="171">
      <c r="A171" t="inlineStr">
        <is>
          <t>Soins obstétricaux</t>
        </is>
      </c>
      <c r="B171" t="inlineStr">
        <is>
          <t>L1</t>
        </is>
      </c>
      <c r="C171" t="inlineStr">
        <is>
          <t>1</t>
        </is>
      </c>
      <c r="D171" t="inlineStr">
        <is>
          <t>2</t>
        </is>
      </c>
      <c r="E171" t="inlineStr">
        <is>
          <t>Anatomie et physiologie générale</t>
        </is>
      </c>
      <c r="F171" t="inlineStr">
        <is>
          <t>Liquides et électrolytes</t>
        </is>
      </c>
      <c r="H171">
        <v>8</v>
      </c>
      <c r="I171">
        <v>2</v>
      </c>
      <c r="J171">
        <v>0</v>
      </c>
      <c r="K171">
        <v>10</v>
      </c>
      <c r="L171">
        <v>112</v>
      </c>
      <c r="M171">
        <v>7</v>
      </c>
    </row>
    <row r="172">
      <c r="A172" t="inlineStr">
        <is>
          <t>Soins obstétricaux</t>
        </is>
      </c>
      <c r="B172" t="inlineStr">
        <is>
          <t>L1</t>
        </is>
      </c>
      <c r="C172" t="inlineStr">
        <is>
          <t>1</t>
        </is>
      </c>
      <c r="D172" t="inlineStr">
        <is>
          <t>2</t>
        </is>
      </c>
      <c r="E172" t="inlineStr">
        <is>
          <t>Anatomie et physiologie générale</t>
        </is>
      </c>
      <c r="F172" t="inlineStr">
        <is>
          <t>Système tégumentaire</t>
        </is>
      </c>
      <c r="H172">
        <v>6</v>
      </c>
      <c r="I172">
        <v>2</v>
      </c>
      <c r="J172">
        <v>0</v>
      </c>
      <c r="K172">
        <v>8</v>
      </c>
      <c r="L172">
        <v>112</v>
      </c>
      <c r="M172">
        <v>7</v>
      </c>
    </row>
    <row r="173">
      <c r="A173" t="inlineStr">
        <is>
          <t>Soins obstétricaux</t>
        </is>
      </c>
      <c r="B173" t="inlineStr">
        <is>
          <t>L1</t>
        </is>
      </c>
      <c r="C173" t="inlineStr">
        <is>
          <t>1</t>
        </is>
      </c>
      <c r="D173" t="inlineStr">
        <is>
          <t>2</t>
        </is>
      </c>
      <c r="E173" t="inlineStr">
        <is>
          <t>Anatomie et physiologie générale</t>
        </is>
      </c>
      <c r="F173" t="inlineStr">
        <is>
          <t>Appareil digestif</t>
        </is>
      </c>
      <c r="H173">
        <v>6</v>
      </c>
      <c r="I173">
        <v>2</v>
      </c>
      <c r="J173">
        <v>0</v>
      </c>
      <c r="K173">
        <v>8</v>
      </c>
      <c r="L173">
        <v>112</v>
      </c>
      <c r="M173">
        <v>7</v>
      </c>
    </row>
    <row r="174">
      <c r="A174" t="inlineStr">
        <is>
          <t>Soins obstétricaux</t>
        </is>
      </c>
      <c r="B174" t="inlineStr">
        <is>
          <t>L1</t>
        </is>
      </c>
      <c r="C174" t="inlineStr">
        <is>
          <t>1</t>
        </is>
      </c>
      <c r="D174" t="inlineStr">
        <is>
          <t>2</t>
        </is>
      </c>
      <c r="E174" t="inlineStr">
        <is>
          <t>Anatomie et physiologie générale</t>
        </is>
      </c>
      <c r="F174" t="inlineStr">
        <is>
          <t>Appareil urinaire</t>
        </is>
      </c>
      <c r="H174">
        <v>6</v>
      </c>
      <c r="I174">
        <v>2</v>
      </c>
      <c r="J174">
        <v>0</v>
      </c>
      <c r="K174">
        <v>8</v>
      </c>
      <c r="L174">
        <v>112</v>
      </c>
      <c r="M174">
        <v>7</v>
      </c>
    </row>
    <row r="175">
      <c r="A175" t="inlineStr">
        <is>
          <t>Soins obstétricaux</t>
        </is>
      </c>
      <c r="B175" t="inlineStr">
        <is>
          <t>L1</t>
        </is>
      </c>
      <c r="C175" t="inlineStr">
        <is>
          <t>1</t>
        </is>
      </c>
      <c r="D175" t="inlineStr">
        <is>
          <t>2</t>
        </is>
      </c>
      <c r="E175" t="inlineStr">
        <is>
          <t>Anatomie et physiologie générale</t>
        </is>
      </c>
      <c r="F175" t="inlineStr">
        <is>
          <t>Appareil genital masculin et feminin</t>
        </is>
      </c>
      <c r="H175">
        <v>6</v>
      </c>
      <c r="I175">
        <v>2</v>
      </c>
      <c r="J175">
        <v>0</v>
      </c>
      <c r="K175">
        <v>8</v>
      </c>
      <c r="L175">
        <v>112</v>
      </c>
      <c r="M175">
        <v>7</v>
      </c>
    </row>
    <row r="176">
      <c r="A176" t="inlineStr">
        <is>
          <t>Soins obstétricaux</t>
        </is>
      </c>
      <c r="B176" t="inlineStr">
        <is>
          <t>L1</t>
        </is>
      </c>
      <c r="C176" t="inlineStr">
        <is>
          <t>1</t>
        </is>
      </c>
      <c r="D176" t="inlineStr">
        <is>
          <t>2</t>
        </is>
      </c>
      <c r="E176" t="inlineStr">
        <is>
          <t>Anatomie et physiologie générale</t>
        </is>
      </c>
      <c r="F176" t="inlineStr">
        <is>
          <t>Anatomie des organes de sens</t>
        </is>
      </c>
      <c r="H176">
        <v>8</v>
      </c>
      <c r="I176">
        <v>2</v>
      </c>
      <c r="J176">
        <v>0</v>
      </c>
      <c r="K176">
        <v>10</v>
      </c>
      <c r="L176">
        <v>112</v>
      </c>
      <c r="M176">
        <v>7</v>
      </c>
    </row>
    <row r="177">
      <c r="A177" t="inlineStr">
        <is>
          <t>Soins obstétricaux</t>
        </is>
      </c>
      <c r="B177" t="inlineStr">
        <is>
          <t>L1</t>
        </is>
      </c>
      <c r="C177" t="inlineStr">
        <is>
          <t>1</t>
        </is>
      </c>
      <c r="D177" t="inlineStr">
        <is>
          <t>2</t>
        </is>
      </c>
      <c r="E177" t="inlineStr">
        <is>
          <t>Anatomie et physiologie générale</t>
        </is>
      </c>
      <c r="F177" t="inlineStr">
        <is>
          <t>Système endocrinien</t>
        </is>
      </c>
      <c r="H177">
        <v>8</v>
      </c>
      <c r="I177">
        <v>2</v>
      </c>
      <c r="J177">
        <v>0</v>
      </c>
      <c r="K177">
        <v>10</v>
      </c>
      <c r="L177">
        <v>112</v>
      </c>
      <c r="M177">
        <v>7</v>
      </c>
    </row>
    <row r="178">
      <c r="A178" t="inlineStr">
        <is>
          <t>Soins obstétricaux</t>
        </is>
      </c>
      <c r="B178" t="inlineStr">
        <is>
          <t>L1</t>
        </is>
      </c>
      <c r="C178" t="inlineStr">
        <is>
          <t>1</t>
        </is>
      </c>
      <c r="D178" t="inlineStr">
        <is>
          <t>2</t>
        </is>
      </c>
      <c r="E178" t="inlineStr">
        <is>
          <t>Anatomie et physiologie générale</t>
        </is>
      </c>
      <c r="F178" t="inlineStr">
        <is>
          <t>Appareil locomoteur</t>
        </is>
      </c>
      <c r="H178">
        <v>10</v>
      </c>
      <c r="I178">
        <v>2</v>
      </c>
      <c r="J178">
        <v>0</v>
      </c>
      <c r="K178">
        <v>12</v>
      </c>
      <c r="L178">
        <v>112</v>
      </c>
      <c r="M178">
        <v>7</v>
      </c>
    </row>
    <row r="179">
      <c r="A179" t="inlineStr">
        <is>
          <t>Soins obstétricaux</t>
        </is>
      </c>
      <c r="B179" t="inlineStr">
        <is>
          <t>L1</t>
        </is>
      </c>
      <c r="C179" t="inlineStr">
        <is>
          <t>1</t>
        </is>
      </c>
      <c r="D179" t="inlineStr">
        <is>
          <t>2</t>
        </is>
      </c>
      <c r="E179" t="inlineStr">
        <is>
          <t>Anatomie et physiologie générale</t>
        </is>
      </c>
      <c r="F179" t="inlineStr">
        <is>
          <t>Système nerveux</t>
        </is>
      </c>
      <c r="H179">
        <v>6</v>
      </c>
      <c r="I179">
        <v>2</v>
      </c>
      <c r="J179">
        <v>0</v>
      </c>
      <c r="K179">
        <v>8</v>
      </c>
      <c r="L179">
        <v>112</v>
      </c>
      <c r="M179">
        <v>7</v>
      </c>
    </row>
    <row r="180">
      <c r="A180" t="inlineStr">
        <is>
          <t>Soins obstétricaux</t>
        </is>
      </c>
      <c r="B180" t="inlineStr">
        <is>
          <t>L1</t>
        </is>
      </c>
      <c r="C180" t="inlineStr">
        <is>
          <t>1</t>
        </is>
      </c>
      <c r="D180" t="inlineStr">
        <is>
          <t>3</t>
        </is>
      </c>
      <c r="E180" t="inlineStr">
        <is>
          <t>Principes fondamentaux des soins obstétricaux</t>
        </is>
      </c>
      <c r="F180" t="inlineStr">
        <is>
          <t>Système de dispense de soins aux Comores</t>
        </is>
      </c>
      <c r="H180">
        <v>4</v>
      </c>
      <c r="I180">
        <v>2</v>
      </c>
      <c r="J180">
        <v>0</v>
      </c>
      <c r="K180">
        <v>6</v>
      </c>
      <c r="L180">
        <v>92</v>
      </c>
      <c r="M180">
        <v>6</v>
      </c>
    </row>
    <row r="181">
      <c r="A181" t="inlineStr">
        <is>
          <t>Soins obstétricaux</t>
        </is>
      </c>
      <c r="B181" t="inlineStr">
        <is>
          <t>L1</t>
        </is>
      </c>
      <c r="C181" t="inlineStr">
        <is>
          <t>1</t>
        </is>
      </c>
      <c r="D181" t="inlineStr">
        <is>
          <t>3</t>
        </is>
      </c>
      <c r="E181" t="inlineStr">
        <is>
          <t>Principes fondamentaux des soins obstétricaux</t>
        </is>
      </c>
      <c r="F181" t="inlineStr">
        <is>
          <t>L’infirmier dans l’environnement sanitaire</t>
        </is>
      </c>
      <c r="H181">
        <v>6</v>
      </c>
      <c r="I181">
        <v>2</v>
      </c>
      <c r="J181">
        <v>0</v>
      </c>
      <c r="K181">
        <v>8</v>
      </c>
      <c r="L181">
        <v>92</v>
      </c>
      <c r="M181">
        <v>6</v>
      </c>
    </row>
    <row r="182">
      <c r="A182" t="inlineStr">
        <is>
          <t>Soins obstétricaux</t>
        </is>
      </c>
      <c r="B182" t="inlineStr">
        <is>
          <t>L1</t>
        </is>
      </c>
      <c r="C182" t="inlineStr">
        <is>
          <t>1</t>
        </is>
      </c>
      <c r="D182" t="inlineStr">
        <is>
          <t>3</t>
        </is>
      </c>
      <c r="E182" t="inlineStr">
        <is>
          <t>Principes fondamentaux des soins obstétricaux</t>
        </is>
      </c>
      <c r="F182" t="inlineStr">
        <is>
          <t>Perceptions en matière de santé</t>
        </is>
      </c>
      <c r="H182">
        <v>4</v>
      </c>
      <c r="I182">
        <v>2</v>
      </c>
      <c r="J182">
        <v>0</v>
      </c>
      <c r="K182">
        <v>6</v>
      </c>
      <c r="L182">
        <v>92</v>
      </c>
      <c r="M182">
        <v>6</v>
      </c>
    </row>
    <row r="183">
      <c r="A183" t="inlineStr">
        <is>
          <t>Soins obstétricaux</t>
        </is>
      </c>
      <c r="B183" t="inlineStr">
        <is>
          <t>L1</t>
        </is>
      </c>
      <c r="C183" t="inlineStr">
        <is>
          <t>1</t>
        </is>
      </c>
      <c r="D183" t="inlineStr">
        <is>
          <t>3</t>
        </is>
      </c>
      <c r="E183" t="inlineStr">
        <is>
          <t>Principes fondamentaux des soins obstétricaux</t>
        </is>
      </c>
      <c r="F183" t="inlineStr">
        <is>
          <t>Théories, modèles de soins</t>
        </is>
      </c>
      <c r="H183">
        <v>4</v>
      </c>
      <c r="I183">
        <v>2</v>
      </c>
      <c r="J183">
        <v>0</v>
      </c>
      <c r="K183">
        <v>6</v>
      </c>
      <c r="L183">
        <v>92</v>
      </c>
      <c r="M183">
        <v>6</v>
      </c>
    </row>
    <row r="184">
      <c r="A184" t="inlineStr">
        <is>
          <t>Soins obstétricaux</t>
        </is>
      </c>
      <c r="B184" t="inlineStr">
        <is>
          <t>L1</t>
        </is>
      </c>
      <c r="C184" t="inlineStr">
        <is>
          <t>1</t>
        </is>
      </c>
      <c r="D184" t="inlineStr">
        <is>
          <t>3</t>
        </is>
      </c>
      <c r="E184" t="inlineStr">
        <is>
          <t>Principes fondamentaux des soins obstétricaux</t>
        </is>
      </c>
      <c r="F184" t="inlineStr">
        <is>
          <t>Disposition d’un environnement sûr</t>
        </is>
      </c>
      <c r="H184">
        <v>8</v>
      </c>
      <c r="I184">
        <v>4</v>
      </c>
      <c r="J184">
        <v>0</v>
      </c>
      <c r="K184">
        <v>12</v>
      </c>
      <c r="L184">
        <v>92</v>
      </c>
      <c r="M184">
        <v>6</v>
      </c>
    </row>
    <row r="185">
      <c r="A185" t="inlineStr">
        <is>
          <t>Soins obstétricaux</t>
        </is>
      </c>
      <c r="B185" t="inlineStr">
        <is>
          <t>L1</t>
        </is>
      </c>
      <c r="C185" t="inlineStr">
        <is>
          <t>1</t>
        </is>
      </c>
      <c r="D185" t="inlineStr">
        <is>
          <t>3</t>
        </is>
      </c>
      <c r="E185" t="inlineStr">
        <is>
          <t>Principes fondamentaux des soins obstétricaux</t>
        </is>
      </c>
      <c r="F185" t="inlineStr">
        <is>
          <t>Besoins fondamentaux du patient</t>
        </is>
      </c>
      <c r="H185">
        <v>4</v>
      </c>
      <c r="I185">
        <v>6</v>
      </c>
      <c r="J185">
        <v>0</v>
      </c>
      <c r="K185">
        <v>10</v>
      </c>
      <c r="L185">
        <v>92</v>
      </c>
      <c r="M185">
        <v>6</v>
      </c>
    </row>
    <row r="186">
      <c r="A186" t="inlineStr">
        <is>
          <t>Soins obstétricaux</t>
        </is>
      </c>
      <c r="B186" t="inlineStr">
        <is>
          <t>L1</t>
        </is>
      </c>
      <c r="C186" t="inlineStr">
        <is>
          <t>1</t>
        </is>
      </c>
      <c r="D186" t="inlineStr">
        <is>
          <t>3</t>
        </is>
      </c>
      <c r="E186" t="inlineStr">
        <is>
          <t>Principes fondamentaux des soins obstétricaux</t>
        </is>
      </c>
      <c r="F186" t="inlineStr">
        <is>
          <t>Démarche de soins et Projet de soins</t>
        </is>
      </c>
      <c r="H186">
        <v>6</v>
      </c>
      <c r="I186">
        <v>6</v>
      </c>
      <c r="J186">
        <v>0</v>
      </c>
      <c r="K186">
        <v>12</v>
      </c>
      <c r="L186">
        <v>92</v>
      </c>
      <c r="M186">
        <v>6</v>
      </c>
    </row>
    <row r="187">
      <c r="A187" t="inlineStr">
        <is>
          <t>Soins obstétricaux</t>
        </is>
      </c>
      <c r="B187" t="inlineStr">
        <is>
          <t>L1</t>
        </is>
      </c>
      <c r="C187" t="inlineStr">
        <is>
          <t>1</t>
        </is>
      </c>
      <c r="D187" t="inlineStr">
        <is>
          <t>3</t>
        </is>
      </c>
      <c r="E187" t="inlineStr">
        <is>
          <t>Principes fondamentaux des soins obstétricaux</t>
        </is>
      </c>
      <c r="F187" t="inlineStr">
        <is>
          <t>Procédure d’admission</t>
        </is>
      </c>
      <c r="H187">
        <v>4</v>
      </c>
      <c r="I187">
        <v>2</v>
      </c>
      <c r="J187">
        <v>0</v>
      </c>
      <c r="K187">
        <v>6</v>
      </c>
      <c r="L187">
        <v>92</v>
      </c>
      <c r="M187">
        <v>6</v>
      </c>
    </row>
    <row r="188">
      <c r="A188" t="inlineStr">
        <is>
          <t>Soins obstétricaux</t>
        </is>
      </c>
      <c r="B188" t="inlineStr">
        <is>
          <t>L1</t>
        </is>
      </c>
      <c r="C188" t="inlineStr">
        <is>
          <t>1</t>
        </is>
      </c>
      <c r="D188" t="inlineStr">
        <is>
          <t>3</t>
        </is>
      </c>
      <c r="E188" t="inlineStr">
        <is>
          <t>Principes fondamentaux des soins obstétricaux</t>
        </is>
      </c>
      <c r="F188" t="inlineStr">
        <is>
          <t>Soins de base prodigués au patient</t>
        </is>
      </c>
      <c r="H188">
        <v>14</v>
      </c>
      <c r="I188">
        <v>4</v>
      </c>
      <c r="J188">
        <v>8</v>
      </c>
      <c r="K188">
        <v>26</v>
      </c>
      <c r="L188">
        <v>92</v>
      </c>
      <c r="M188">
        <v>6</v>
      </c>
    </row>
    <row r="189">
      <c r="A189" t="inlineStr">
        <is>
          <t>Soins obstétricaux</t>
        </is>
      </c>
      <c r="B189" t="inlineStr">
        <is>
          <t>L1</t>
        </is>
      </c>
      <c r="C189" t="inlineStr">
        <is>
          <t>1</t>
        </is>
      </c>
      <c r="D189" t="inlineStr">
        <is>
          <t>4</t>
        </is>
      </c>
      <c r="E189" t="inlineStr">
        <is>
          <t>Microbiologie et parasitologie</t>
        </is>
      </c>
      <c r="F189" t="inlineStr">
        <is>
          <t>Microbiologie</t>
        </is>
      </c>
      <c r="H189">
        <v>8</v>
      </c>
      <c r="I189">
        <v>2</v>
      </c>
      <c r="J189">
        <v>0</v>
      </c>
      <c r="K189">
        <v>10</v>
      </c>
      <c r="L189">
        <v>48</v>
      </c>
      <c r="M189">
        <v>3</v>
      </c>
    </row>
    <row r="190">
      <c r="A190" t="inlineStr">
        <is>
          <t>Soins obstétricaux</t>
        </is>
      </c>
      <c r="B190" t="inlineStr">
        <is>
          <t>L1</t>
        </is>
      </c>
      <c r="C190" t="inlineStr">
        <is>
          <t>1</t>
        </is>
      </c>
      <c r="D190" t="inlineStr">
        <is>
          <t>4</t>
        </is>
      </c>
      <c r="E190" t="inlineStr">
        <is>
          <t>Microbiologie et parasitologie</t>
        </is>
      </c>
      <c r="F190" t="inlineStr">
        <is>
          <t>Parasitologie</t>
        </is>
      </c>
      <c r="H190">
        <v>8</v>
      </c>
      <c r="I190">
        <v>2</v>
      </c>
      <c r="J190">
        <v>0</v>
      </c>
      <c r="K190">
        <v>10</v>
      </c>
      <c r="L190">
        <v>48</v>
      </c>
      <c r="M190">
        <v>3</v>
      </c>
    </row>
    <row r="191">
      <c r="A191" t="inlineStr">
        <is>
          <t>Soins obstétricaux</t>
        </is>
      </c>
      <c r="B191" t="inlineStr">
        <is>
          <t>L1</t>
        </is>
      </c>
      <c r="C191" t="inlineStr">
        <is>
          <t>1</t>
        </is>
      </c>
      <c r="D191" t="inlineStr">
        <is>
          <t>4</t>
        </is>
      </c>
      <c r="E191" t="inlineStr">
        <is>
          <t>Microbiologie et parasitologie</t>
        </is>
      </c>
      <c r="F191" t="inlineStr">
        <is>
          <t>Examens de laboratoire</t>
        </is>
      </c>
      <c r="H191">
        <v>10</v>
      </c>
      <c r="I191">
        <v>4</v>
      </c>
      <c r="J191">
        <v>6</v>
      </c>
      <c r="K191">
        <v>20</v>
      </c>
      <c r="L191">
        <v>48</v>
      </c>
      <c r="M191">
        <v>3</v>
      </c>
    </row>
    <row r="192">
      <c r="A192" t="inlineStr">
        <is>
          <t>Soins obstétricaux</t>
        </is>
      </c>
      <c r="B192" t="inlineStr">
        <is>
          <t>L1</t>
        </is>
      </c>
      <c r="C192" t="inlineStr">
        <is>
          <t>1</t>
        </is>
      </c>
      <c r="D192" t="inlineStr">
        <is>
          <t>6</t>
        </is>
      </c>
      <c r="E192" t="inlineStr">
        <is>
          <t>Pharmacologie Générale et Biochimie</t>
        </is>
      </c>
      <c r="F192" t="inlineStr">
        <is>
          <t>Introduction à la pharmacologie</t>
        </is>
      </c>
      <c r="H192">
        <v>4</v>
      </c>
      <c r="I192">
        <v>0</v>
      </c>
      <c r="J192">
        <v>0</v>
      </c>
      <c r="K192">
        <v>4</v>
      </c>
      <c r="L192">
        <v>40</v>
      </c>
      <c r="M192">
        <v>3</v>
      </c>
    </row>
    <row r="193">
      <c r="A193" t="inlineStr">
        <is>
          <t>Soins obstétricaux</t>
        </is>
      </c>
      <c r="B193" t="inlineStr">
        <is>
          <t>L1</t>
        </is>
      </c>
      <c r="C193" t="inlineStr">
        <is>
          <t>1</t>
        </is>
      </c>
      <c r="D193" t="inlineStr">
        <is>
          <t>6</t>
        </is>
      </c>
      <c r="E193" t="inlineStr">
        <is>
          <t>Pharmacologie Générale et Biochimie</t>
        </is>
      </c>
      <c r="F193" t="inlineStr">
        <is>
          <t>Actions pharmacologiques des médicaments</t>
        </is>
      </c>
      <c r="H193">
        <v>4</v>
      </c>
      <c r="I193">
        <v>0</v>
      </c>
      <c r="J193">
        <v>0</v>
      </c>
      <c r="K193">
        <v>4</v>
      </c>
      <c r="L193">
        <v>40</v>
      </c>
      <c r="M193">
        <v>3</v>
      </c>
    </row>
    <row r="194">
      <c r="A194" t="inlineStr">
        <is>
          <t>Soins obstétricaux</t>
        </is>
      </c>
      <c r="B194" t="inlineStr">
        <is>
          <t>L1</t>
        </is>
      </c>
      <c r="C194" t="inlineStr">
        <is>
          <t>1</t>
        </is>
      </c>
      <c r="D194" t="inlineStr">
        <is>
          <t>6</t>
        </is>
      </c>
      <c r="E194" t="inlineStr">
        <is>
          <t>Pharmacologie Générale et Biochimie</t>
        </is>
      </c>
      <c r="F194" t="inlineStr">
        <is>
          <t>Les grandes classes thérapeutiques</t>
        </is>
      </c>
      <c r="H194">
        <v>4</v>
      </c>
      <c r="I194">
        <v>2</v>
      </c>
      <c r="J194">
        <v>0</v>
      </c>
      <c r="K194">
        <v>6</v>
      </c>
      <c r="L194">
        <v>40</v>
      </c>
      <c r="M194">
        <v>3</v>
      </c>
    </row>
    <row r="195">
      <c r="A195" t="inlineStr">
        <is>
          <t>Soins obstétricaux</t>
        </is>
      </c>
      <c r="B195" t="inlineStr">
        <is>
          <t>L1</t>
        </is>
      </c>
      <c r="C195" t="inlineStr">
        <is>
          <t>1</t>
        </is>
      </c>
      <c r="D195" t="inlineStr">
        <is>
          <t>6</t>
        </is>
      </c>
      <c r="E195" t="inlineStr">
        <is>
          <t>Pharmacologie Générale et Biochimie</t>
        </is>
      </c>
      <c r="F195" t="inlineStr">
        <is>
          <t>Logistique et gestion des médicaments</t>
        </is>
      </c>
      <c r="H195">
        <v>4</v>
      </c>
      <c r="I195">
        <v>2</v>
      </c>
      <c r="J195">
        <v>0</v>
      </c>
      <c r="K195">
        <v>6</v>
      </c>
      <c r="L195">
        <v>40</v>
      </c>
      <c r="M195">
        <v>3</v>
      </c>
    </row>
    <row r="196">
      <c r="A196" t="inlineStr">
        <is>
          <t>Soins obstétricaux</t>
        </is>
      </c>
      <c r="B196" t="inlineStr">
        <is>
          <t>L1</t>
        </is>
      </c>
      <c r="C196" t="inlineStr">
        <is>
          <t>1</t>
        </is>
      </c>
      <c r="D196" t="inlineStr">
        <is>
          <t>6</t>
        </is>
      </c>
      <c r="E196" t="inlineStr">
        <is>
          <t>Pharmacologie Générale et Biochimie</t>
        </is>
      </c>
      <c r="F196" t="inlineStr">
        <is>
          <t>Biochimie</t>
        </is>
      </c>
      <c r="H196">
        <v>16</v>
      </c>
      <c r="I196">
        <v>4</v>
      </c>
      <c r="J196">
        <v>0</v>
      </c>
      <c r="K196">
        <v>20</v>
      </c>
      <c r="L196">
        <v>40</v>
      </c>
      <c r="M196">
        <v>3</v>
      </c>
    </row>
    <row r="197">
      <c r="A197" t="inlineStr">
        <is>
          <t>Soins obstétricaux</t>
        </is>
      </c>
      <c r="B197" t="inlineStr">
        <is>
          <t>L1</t>
        </is>
      </c>
      <c r="C197" t="inlineStr">
        <is>
          <t>1</t>
        </is>
      </c>
      <c r="D197" t="inlineStr">
        <is>
          <t>7</t>
        </is>
      </c>
      <c r="E197" t="inlineStr">
        <is>
          <t>Sémiologie médico-chirurgicale</t>
        </is>
      </c>
      <c r="F197" t="inlineStr">
        <is>
          <t>Observation du malade</t>
        </is>
      </c>
      <c r="H197">
        <v>6</v>
      </c>
      <c r="I197">
        <v>2</v>
      </c>
      <c r="J197">
        <v>0</v>
      </c>
      <c r="K197">
        <v>8</v>
      </c>
      <c r="L197">
        <v>40</v>
      </c>
      <c r="M197">
        <v>3</v>
      </c>
    </row>
    <row r="198">
      <c r="A198" t="inlineStr">
        <is>
          <t>Soins obstétricaux</t>
        </is>
      </c>
      <c r="B198" t="inlineStr">
        <is>
          <t>L1</t>
        </is>
      </c>
      <c r="C198" t="inlineStr">
        <is>
          <t>1</t>
        </is>
      </c>
      <c r="D198" t="inlineStr">
        <is>
          <t>7</t>
        </is>
      </c>
      <c r="E198" t="inlineStr">
        <is>
          <t>Sémiologie médico-chirurgicale</t>
        </is>
      </c>
      <c r="F198" t="inlineStr">
        <is>
          <t>Sémiologi chirurgicale</t>
        </is>
      </c>
      <c r="H198">
        <v>10</v>
      </c>
      <c r="I198">
        <v>4</v>
      </c>
      <c r="J198">
        <v>0</v>
      </c>
      <c r="K198">
        <v>14</v>
      </c>
      <c r="L198">
        <v>40</v>
      </c>
      <c r="M198">
        <v>3</v>
      </c>
    </row>
    <row r="199">
      <c r="A199" t="inlineStr">
        <is>
          <t>Soins obstétricaux</t>
        </is>
      </c>
      <c r="B199" t="inlineStr">
        <is>
          <t>L1</t>
        </is>
      </c>
      <c r="C199" t="inlineStr">
        <is>
          <t>1</t>
        </is>
      </c>
      <c r="D199" t="inlineStr">
        <is>
          <t>7</t>
        </is>
      </c>
      <c r="E199" t="inlineStr">
        <is>
          <t>Sémiologie médico-chirurgicale</t>
        </is>
      </c>
      <c r="F199" t="inlineStr">
        <is>
          <t>Sémiologie médicale</t>
        </is>
      </c>
      <c r="H199">
        <v>14</v>
      </c>
      <c r="I199">
        <v>4</v>
      </c>
      <c r="J199">
        <v>0</v>
      </c>
      <c r="K199">
        <v>18</v>
      </c>
      <c r="L199">
        <v>40</v>
      </c>
      <c r="M199">
        <v>3</v>
      </c>
    </row>
    <row r="200">
      <c r="A200" t="inlineStr">
        <is>
          <t>Soins obstétricaux</t>
        </is>
      </c>
      <c r="B200" t="inlineStr">
        <is>
          <t>L1</t>
        </is>
      </c>
      <c r="C200" t="inlineStr">
        <is>
          <t>1</t>
        </is>
      </c>
      <c r="D200" t="inlineStr">
        <is>
          <t>8</t>
        </is>
      </c>
      <c r="E200" t="inlineStr">
        <is>
          <t>Santé publique-Santé Communautaire/1</t>
        </is>
      </c>
      <c r="F200" t="inlineStr">
        <is>
          <t>Généralités sur la SP/SC</t>
        </is>
      </c>
      <c r="H200">
        <v>4</v>
      </c>
      <c r="I200">
        <v>1</v>
      </c>
      <c r="J200">
        <v>0</v>
      </c>
      <c r="K200">
        <v>5</v>
      </c>
      <c r="L200">
        <v>45</v>
      </c>
      <c r="M200">
        <v>3</v>
      </c>
    </row>
    <row r="201">
      <c r="A201" t="inlineStr">
        <is>
          <t>Soins obstétricaux</t>
        </is>
      </c>
      <c r="B201" t="inlineStr">
        <is>
          <t>L1</t>
        </is>
      </c>
      <c r="C201" t="inlineStr">
        <is>
          <t>1</t>
        </is>
      </c>
      <c r="D201" t="inlineStr">
        <is>
          <t>8</t>
        </is>
      </c>
      <c r="E201" t="inlineStr">
        <is>
          <t>Santé publique-Santé Communautaire/1</t>
        </is>
      </c>
      <c r="F201" t="inlineStr">
        <is>
          <t>Approche SP/SC</t>
        </is>
      </c>
      <c r="H201">
        <v>8</v>
      </c>
      <c r="I201">
        <v>2</v>
      </c>
      <c r="J201">
        <v>0</v>
      </c>
      <c r="K201">
        <v>10</v>
      </c>
      <c r="L201">
        <v>45</v>
      </c>
      <c r="M201">
        <v>3</v>
      </c>
    </row>
    <row r="202">
      <c r="A202" t="inlineStr">
        <is>
          <t>Soins obstétricaux</t>
        </is>
      </c>
      <c r="B202" t="inlineStr">
        <is>
          <t>L1</t>
        </is>
      </c>
      <c r="C202" t="inlineStr">
        <is>
          <t>1</t>
        </is>
      </c>
      <c r="D202" t="inlineStr">
        <is>
          <t>8</t>
        </is>
      </c>
      <c r="E202" t="inlineStr">
        <is>
          <t>Santé publique-Santé Communautaire/1</t>
        </is>
      </c>
      <c r="F202" t="inlineStr">
        <is>
          <t>Santé et environnement</t>
        </is>
      </c>
      <c r="H202">
        <v>8</v>
      </c>
      <c r="I202">
        <v>2</v>
      </c>
      <c r="J202">
        <v>0</v>
      </c>
      <c r="K202">
        <v>10</v>
      </c>
      <c r="L202">
        <v>45</v>
      </c>
      <c r="M202">
        <v>3</v>
      </c>
    </row>
    <row r="203">
      <c r="A203" t="inlineStr">
        <is>
          <t>Soins obstétricaux</t>
        </is>
      </c>
      <c r="B203" t="inlineStr">
        <is>
          <t>L1</t>
        </is>
      </c>
      <c r="C203" t="inlineStr">
        <is>
          <t>1</t>
        </is>
      </c>
      <c r="D203" t="inlineStr">
        <is>
          <t>8</t>
        </is>
      </c>
      <c r="E203" t="inlineStr">
        <is>
          <t>Santé publique-Santé Communautaire/1</t>
        </is>
      </c>
      <c r="F203" t="inlineStr">
        <is>
          <t>Démographie</t>
        </is>
      </c>
      <c r="H203">
        <v>8</v>
      </c>
      <c r="I203">
        <v>2</v>
      </c>
      <c r="J203">
        <v>0</v>
      </c>
      <c r="K203">
        <v>10</v>
      </c>
      <c r="L203">
        <v>45</v>
      </c>
      <c r="M203">
        <v>3</v>
      </c>
    </row>
    <row r="204">
      <c r="A204" t="inlineStr">
        <is>
          <t>Soins obstétricaux</t>
        </is>
      </c>
      <c r="B204" t="inlineStr">
        <is>
          <t>L1</t>
        </is>
      </c>
      <c r="C204" t="inlineStr">
        <is>
          <t>1</t>
        </is>
      </c>
      <c r="D204" t="inlineStr">
        <is>
          <t>8</t>
        </is>
      </c>
      <c r="E204" t="inlineStr">
        <is>
          <t>Santé publique-Santé Communautaire/1</t>
        </is>
      </c>
      <c r="F204" t="inlineStr">
        <is>
          <t>Epidémiologie</t>
        </is>
      </c>
      <c r="H204">
        <v>8</v>
      </c>
      <c r="I204">
        <v>2</v>
      </c>
      <c r="J204">
        <v>0</v>
      </c>
      <c r="K204">
        <v>10</v>
      </c>
      <c r="L204">
        <v>45</v>
      </c>
      <c r="M204">
        <v>3</v>
      </c>
    </row>
    <row r="205">
      <c r="A205" t="inlineStr">
        <is>
          <t>Soins obstétricaux</t>
        </is>
      </c>
      <c r="B205" t="inlineStr">
        <is>
          <t>L1</t>
        </is>
      </c>
      <c r="C205" t="inlineStr">
        <is>
          <t>1</t>
        </is>
      </c>
      <c r="D205" t="inlineStr">
        <is>
          <t>9</t>
        </is>
      </c>
      <c r="E205" t="inlineStr">
        <is>
          <t>Outils de recherche</t>
        </is>
      </c>
      <c r="F205" t="inlineStr">
        <is>
          <t>Anglais médical</t>
        </is>
      </c>
      <c r="H205">
        <v>8</v>
      </c>
      <c r="I205">
        <v>2</v>
      </c>
      <c r="J205">
        <v>0</v>
      </c>
      <c r="K205">
        <v>10</v>
      </c>
      <c r="L205">
        <v>38</v>
      </c>
      <c r="M205">
        <v>2</v>
      </c>
    </row>
    <row r="206">
      <c r="A206" t="inlineStr">
        <is>
          <t>Soins obstétricaux</t>
        </is>
      </c>
      <c r="B206" t="inlineStr">
        <is>
          <t>L1</t>
        </is>
      </c>
      <c r="C206" t="inlineStr">
        <is>
          <t>1</t>
        </is>
      </c>
      <c r="D206" t="inlineStr">
        <is>
          <t>9</t>
        </is>
      </c>
      <c r="E206" t="inlineStr">
        <is>
          <t>Outils de recherche</t>
        </is>
      </c>
      <c r="F206" t="inlineStr">
        <is>
          <t>Expression française</t>
        </is>
      </c>
      <c r="H206">
        <v>8</v>
      </c>
      <c r="I206">
        <v>2</v>
      </c>
      <c r="J206">
        <v>0</v>
      </c>
      <c r="K206">
        <v>10</v>
      </c>
      <c r="L206">
        <v>38</v>
      </c>
      <c r="M206">
        <v>2</v>
      </c>
    </row>
    <row r="207">
      <c r="A207" t="inlineStr">
        <is>
          <t>Soins obstétricaux</t>
        </is>
      </c>
      <c r="B207" t="inlineStr">
        <is>
          <t>L1</t>
        </is>
      </c>
      <c r="C207" t="inlineStr">
        <is>
          <t>1</t>
        </is>
      </c>
      <c r="D207" t="inlineStr">
        <is>
          <t>9</t>
        </is>
      </c>
      <c r="E207" t="inlineStr">
        <is>
          <t>Outils de recherche</t>
        </is>
      </c>
      <c r="F207" t="inlineStr">
        <is>
          <t>Méthodes statistiques</t>
        </is>
      </c>
      <c r="H207">
        <v>10</v>
      </c>
      <c r="I207">
        <v>8</v>
      </c>
      <c r="J207">
        <v>0</v>
      </c>
      <c r="K207">
        <v>18</v>
      </c>
      <c r="L207">
        <v>38</v>
      </c>
      <c r="M207">
        <v>2</v>
      </c>
    </row>
    <row r="208">
      <c r="A208" t="inlineStr">
        <is>
          <t>Soins obstétricaux</t>
        </is>
      </c>
      <c r="B208" t="inlineStr">
        <is>
          <t>L1</t>
        </is>
      </c>
      <c r="C208" t="inlineStr">
        <is>
          <t>2</t>
        </is>
      </c>
      <c r="D208" t="inlineStr">
        <is>
          <t>10</t>
        </is>
      </c>
      <c r="E208" t="inlineStr">
        <is>
          <t>Sciences humaines et sociales</t>
        </is>
      </c>
      <c r="F208" t="inlineStr">
        <is>
          <t>Sociologie</t>
        </is>
      </c>
      <c r="H208">
        <v>30</v>
      </c>
      <c r="I208">
        <v>4</v>
      </c>
      <c r="J208">
        <v>0</v>
      </c>
      <c r="K208">
        <v>34</v>
      </c>
      <c r="L208">
        <v>80</v>
      </c>
      <c r="M208">
        <v>5</v>
      </c>
      <c r="N208" t="inlineStr">
        <is>
          <t>Coef</t>
        </is>
      </c>
    </row>
    <row r="209">
      <c r="A209" t="inlineStr">
        <is>
          <t>Soins obstétricaux</t>
        </is>
      </c>
      <c r="B209" t="inlineStr">
        <is>
          <t>L1</t>
        </is>
      </c>
      <c r="C209" t="inlineStr">
        <is>
          <t>2</t>
        </is>
      </c>
      <c r="D209" t="inlineStr">
        <is>
          <t>10</t>
        </is>
      </c>
      <c r="E209" t="inlineStr">
        <is>
          <t>Sciences humaines et sociales</t>
        </is>
      </c>
      <c r="F209" t="inlineStr">
        <is>
          <t>Psychologie</t>
        </is>
      </c>
      <c r="H209">
        <v>30</v>
      </c>
      <c r="I209">
        <v>4</v>
      </c>
      <c r="J209">
        <v>0</v>
      </c>
      <c r="K209">
        <v>34</v>
      </c>
      <c r="L209">
        <v>80</v>
      </c>
      <c r="M209">
        <v>5</v>
      </c>
      <c r="N209" t="inlineStr">
        <is>
          <t>Coef</t>
        </is>
      </c>
    </row>
    <row r="210">
      <c r="A210" t="inlineStr">
        <is>
          <t>Soins obstétricaux</t>
        </is>
      </c>
      <c r="B210" t="inlineStr">
        <is>
          <t>L1</t>
        </is>
      </c>
      <c r="C210" t="inlineStr">
        <is>
          <t>2</t>
        </is>
      </c>
      <c r="D210" t="inlineStr">
        <is>
          <t>10</t>
        </is>
      </c>
      <c r="E210" t="inlineStr">
        <is>
          <t>Sciences humaines et sociales</t>
        </is>
      </c>
      <c r="F210" t="inlineStr">
        <is>
          <t>Anthropologie et ethnologie</t>
        </is>
      </c>
      <c r="H210">
        <v>10</v>
      </c>
      <c r="I210">
        <v>2</v>
      </c>
      <c r="J210">
        <v>0</v>
      </c>
      <c r="K210">
        <v>12</v>
      </c>
      <c r="L210">
        <v>80</v>
      </c>
      <c r="M210">
        <v>5</v>
      </c>
      <c r="N210" t="inlineStr">
        <is>
          <t>Coef</t>
        </is>
      </c>
    </row>
    <row r="211">
      <c r="A211" t="inlineStr">
        <is>
          <t>Soins obstétricaux</t>
        </is>
      </c>
      <c r="B211" t="inlineStr">
        <is>
          <t>L1</t>
        </is>
      </c>
      <c r="C211" t="inlineStr">
        <is>
          <t>2</t>
        </is>
      </c>
      <c r="D211" t="inlineStr">
        <is>
          <t>12</t>
        </is>
      </c>
      <c r="E211" t="inlineStr">
        <is>
          <t>Aspects professionnels éthiques et juridiques de la profession d’infirmière /1</t>
        </is>
      </c>
      <c r="F211" t="inlineStr">
        <is>
          <t>Les métiers d’infirmier et de sage-femme</t>
        </is>
      </c>
      <c r="H211">
        <v>6</v>
      </c>
      <c r="I211">
        <v>2</v>
      </c>
      <c r="J211">
        <v>0</v>
      </c>
      <c r="K211">
        <v>8</v>
      </c>
      <c r="L211">
        <v>46</v>
      </c>
      <c r="M211">
        <v>3</v>
      </c>
      <c r="N211" t="inlineStr">
        <is>
          <t>Coef</t>
        </is>
      </c>
    </row>
    <row r="212">
      <c r="A212" t="inlineStr">
        <is>
          <t>Soins obstétricaux</t>
        </is>
      </c>
      <c r="B212" t="inlineStr">
        <is>
          <t>L1</t>
        </is>
      </c>
      <c r="C212" t="inlineStr">
        <is>
          <t>2</t>
        </is>
      </c>
      <c r="D212" t="inlineStr">
        <is>
          <t>12</t>
        </is>
      </c>
      <c r="E212" t="inlineStr">
        <is>
          <t>Aspects professionnels éthiques et juridiques de la profession d’infirmière /1</t>
        </is>
      </c>
      <c r="F212" t="inlineStr">
        <is>
          <t>Législation et réglementation de la profession et protection du public</t>
        </is>
      </c>
      <c r="H212">
        <v>8</v>
      </c>
      <c r="I212">
        <v>2</v>
      </c>
      <c r="J212">
        <v>0</v>
      </c>
      <c r="K212">
        <v>10</v>
      </c>
      <c r="L212">
        <v>46</v>
      </c>
      <c r="M212">
        <v>3</v>
      </c>
      <c r="N212" t="inlineStr">
        <is>
          <t>Coef</t>
        </is>
      </c>
    </row>
    <row r="213">
      <c r="A213" t="inlineStr">
        <is>
          <t>Soins obstétricaux</t>
        </is>
      </c>
      <c r="B213" t="inlineStr">
        <is>
          <t>L1</t>
        </is>
      </c>
      <c r="C213" t="inlineStr">
        <is>
          <t>2</t>
        </is>
      </c>
      <c r="D213" t="inlineStr">
        <is>
          <t>12</t>
        </is>
      </c>
      <c r="E213" t="inlineStr">
        <is>
          <t>Aspects professionnels éthiques et juridiques de la profession d’infirmière /1</t>
        </is>
      </c>
      <c r="F213" t="inlineStr">
        <is>
          <t>Déontologie, théories et principes éthiques</t>
        </is>
      </c>
      <c r="H213">
        <v>16</v>
      </c>
      <c r="I213">
        <v>4</v>
      </c>
      <c r="J213">
        <v>0</v>
      </c>
      <c r="K213">
        <v>20</v>
      </c>
      <c r="L213">
        <v>46</v>
      </c>
      <c r="M213">
        <v>3</v>
      </c>
      <c r="N213" t="inlineStr">
        <is>
          <t>Coef</t>
        </is>
      </c>
    </row>
    <row r="214">
      <c r="A214" t="inlineStr">
        <is>
          <t>Soins obstétricaux</t>
        </is>
      </c>
      <c r="B214" t="inlineStr">
        <is>
          <t>L1</t>
        </is>
      </c>
      <c r="C214" t="inlineStr">
        <is>
          <t>2</t>
        </is>
      </c>
      <c r="D214" t="inlineStr">
        <is>
          <t>12</t>
        </is>
      </c>
      <c r="E214" t="inlineStr">
        <is>
          <t>Aspects professionnels éthiques et juridiques de la profession d’infirmière /1</t>
        </is>
      </c>
      <c r="F214" t="inlineStr">
        <is>
          <t>Organisations et associations professionnelles</t>
        </is>
      </c>
      <c r="H214">
        <v>6</v>
      </c>
      <c r="I214">
        <v>2</v>
      </c>
      <c r="J214">
        <v>0</v>
      </c>
      <c r="K214">
        <v>8</v>
      </c>
      <c r="L214">
        <v>46</v>
      </c>
      <c r="M214">
        <v>3</v>
      </c>
      <c r="N214" t="inlineStr">
        <is>
          <t>Coef</t>
        </is>
      </c>
    </row>
    <row r="215">
      <c r="A215" t="inlineStr">
        <is>
          <t>Soins obstétricaux</t>
        </is>
      </c>
      <c r="B215" t="inlineStr">
        <is>
          <t>L1</t>
        </is>
      </c>
      <c r="C215" t="inlineStr">
        <is>
          <t>2</t>
        </is>
      </c>
      <c r="D215" t="inlineStr">
        <is>
          <t>13</t>
        </is>
      </c>
      <c r="E215" t="inlineStr">
        <is>
          <t>Nutrition et diététique/1</t>
        </is>
      </c>
      <c r="F215" t="inlineStr">
        <is>
          <t>Alimentation et nutrition : les aliments organiques et leurs fonctions</t>
        </is>
      </c>
      <c r="H215">
        <v>24</v>
      </c>
      <c r="I215">
        <v>6</v>
      </c>
      <c r="J215">
        <v>0</v>
      </c>
      <c r="K215">
        <v>30</v>
      </c>
      <c r="L215">
        <v>30</v>
      </c>
      <c r="M215">
        <v>2</v>
      </c>
      <c r="N215" t="inlineStr">
        <is>
          <t>Coef</t>
        </is>
      </c>
    </row>
    <row r="216">
      <c r="A216" t="inlineStr">
        <is>
          <t>Soins obstétricaux</t>
        </is>
      </c>
      <c r="B216" t="inlineStr">
        <is>
          <t>L1</t>
        </is>
      </c>
      <c r="C216" t="inlineStr">
        <is>
          <t>2</t>
        </is>
      </c>
      <c r="D216" t="inlineStr">
        <is>
          <t>13</t>
        </is>
      </c>
      <c r="E216" t="inlineStr">
        <is>
          <t>Nutrition et diététique/1</t>
        </is>
      </c>
      <c r="F216" t="inlineStr">
        <is>
          <t>Métabolisme</t>
        </is>
      </c>
      <c r="L216">
        <v>30</v>
      </c>
      <c r="M216">
        <v>2</v>
      </c>
      <c r="N216" t="inlineStr">
        <is>
          <t>Coef</t>
        </is>
      </c>
    </row>
    <row r="217">
      <c r="A217" t="inlineStr">
        <is>
          <t>Soins obstétricaux</t>
        </is>
      </c>
      <c r="B217" t="inlineStr">
        <is>
          <t>L1</t>
        </is>
      </c>
      <c r="C217" t="inlineStr">
        <is>
          <t>2</t>
        </is>
      </c>
      <c r="D217" t="inlineStr">
        <is>
          <t>13</t>
        </is>
      </c>
      <c r="E217" t="inlineStr">
        <is>
          <t>Nutrition et diététique/1</t>
        </is>
      </c>
      <c r="F217" t="inlineStr">
        <is>
          <t>Besoins nutritionnels des différentes tranches d’âge</t>
        </is>
      </c>
      <c r="L217">
        <v>30</v>
      </c>
      <c r="M217">
        <v>2</v>
      </c>
      <c r="N217" t="inlineStr">
        <is>
          <t>Coef</t>
        </is>
      </c>
    </row>
    <row r="218">
      <c r="A218" t="inlineStr">
        <is>
          <t>Soins obstétricaux</t>
        </is>
      </c>
      <c r="B218" t="inlineStr">
        <is>
          <t>L1</t>
        </is>
      </c>
      <c r="C218" t="inlineStr">
        <is>
          <t>2</t>
        </is>
      </c>
      <c r="D218" t="inlineStr">
        <is>
          <t>13</t>
        </is>
      </c>
      <c r="E218" t="inlineStr">
        <is>
          <t>Nutrition et diététique/1</t>
        </is>
      </c>
      <c r="F218" t="inlineStr">
        <is>
          <t>Sécurité et disponibilité alimentaire</t>
        </is>
      </c>
      <c r="L218">
        <v>30</v>
      </c>
      <c r="M218">
        <v>2</v>
      </c>
      <c r="N218" t="inlineStr">
        <is>
          <t>Coef</t>
        </is>
      </c>
    </row>
    <row r="219">
      <c r="A219" t="inlineStr">
        <is>
          <t>Soins obstétricaux</t>
        </is>
      </c>
      <c r="B219" t="inlineStr">
        <is>
          <t>L1</t>
        </is>
      </c>
      <c r="C219" t="inlineStr">
        <is>
          <t>2</t>
        </is>
      </c>
      <c r="D219" t="inlineStr">
        <is>
          <t>13</t>
        </is>
      </c>
      <c r="E219" t="inlineStr">
        <is>
          <t>Nutrition et diététique/1</t>
        </is>
      </c>
      <c r="F219" t="inlineStr">
        <is>
          <t>Aspects comportementaux et culturels de la nutrition</t>
        </is>
      </c>
      <c r="L219">
        <v>30</v>
      </c>
      <c r="M219">
        <v>2</v>
      </c>
      <c r="N219" t="inlineStr">
        <is>
          <t>Coef</t>
        </is>
      </c>
    </row>
    <row r="220">
      <c r="A220" t="inlineStr">
        <is>
          <t>Soins obstétricaux</t>
        </is>
      </c>
      <c r="B220" t="inlineStr">
        <is>
          <t>L1</t>
        </is>
      </c>
      <c r="C220" t="inlineStr">
        <is>
          <t>2</t>
        </is>
      </c>
      <c r="D220" t="inlineStr">
        <is>
          <t>14</t>
        </is>
      </c>
      <c r="E220" t="inlineStr">
        <is>
          <t>Prise en charge des affections primaires</t>
        </is>
      </c>
      <c r="F220" t="inlineStr">
        <is>
          <t>Maladies infectieuses</t>
        </is>
      </c>
      <c r="H220">
        <v>14</v>
      </c>
      <c r="I220">
        <v>6</v>
      </c>
      <c r="J220">
        <v>0</v>
      </c>
      <c r="K220">
        <v>20</v>
      </c>
      <c r="L220">
        <v>150</v>
      </c>
      <c r="M220">
        <v>10</v>
      </c>
      <c r="N220" t="inlineStr">
        <is>
          <t>Coef</t>
        </is>
      </c>
    </row>
    <row r="221">
      <c r="A221" t="inlineStr">
        <is>
          <t>Soins obstétricaux</t>
        </is>
      </c>
      <c r="B221" t="inlineStr">
        <is>
          <t>L1</t>
        </is>
      </c>
      <c r="C221" t="inlineStr">
        <is>
          <t>2</t>
        </is>
      </c>
      <c r="D221" t="inlineStr">
        <is>
          <t>14</t>
        </is>
      </c>
      <c r="E221" t="inlineStr">
        <is>
          <t>Prise en charge des affections primaires</t>
        </is>
      </c>
      <c r="F221" t="inlineStr">
        <is>
          <t>Soins infirmiers en maladies infectieuses</t>
        </is>
      </c>
      <c r="H221">
        <v>10</v>
      </c>
      <c r="I221">
        <v>2</v>
      </c>
      <c r="J221">
        <v>6</v>
      </c>
      <c r="K221">
        <v>18</v>
      </c>
      <c r="L221">
        <v>150</v>
      </c>
      <c r="M221">
        <v>10</v>
      </c>
      <c r="N221" t="inlineStr">
        <is>
          <t>Coef</t>
        </is>
      </c>
    </row>
    <row r="222">
      <c r="A222" t="inlineStr">
        <is>
          <t>Soins obstétricaux</t>
        </is>
      </c>
      <c r="B222" t="inlineStr">
        <is>
          <t>L1</t>
        </is>
      </c>
      <c r="C222" t="inlineStr">
        <is>
          <t>2</t>
        </is>
      </c>
      <c r="D222" t="inlineStr">
        <is>
          <t>14</t>
        </is>
      </c>
      <c r="E222" t="inlineStr">
        <is>
          <t>Prise en charge des affections primaires</t>
        </is>
      </c>
      <c r="F222" t="inlineStr">
        <is>
          <t>Affections respiratoires</t>
        </is>
      </c>
      <c r="H222">
        <v>10</v>
      </c>
      <c r="I222">
        <v>4</v>
      </c>
      <c r="J222">
        <v>8</v>
      </c>
      <c r="K222">
        <v>22</v>
      </c>
      <c r="L222">
        <v>150</v>
      </c>
      <c r="M222">
        <v>10</v>
      </c>
      <c r="N222" t="inlineStr">
        <is>
          <t>Coef</t>
        </is>
      </c>
    </row>
    <row r="223">
      <c r="A223" t="inlineStr">
        <is>
          <t>Soins obstétricaux</t>
        </is>
      </c>
      <c r="B223" t="inlineStr">
        <is>
          <t>L1</t>
        </is>
      </c>
      <c r="C223" t="inlineStr">
        <is>
          <t>2</t>
        </is>
      </c>
      <c r="D223" t="inlineStr">
        <is>
          <t>14</t>
        </is>
      </c>
      <c r="E223" t="inlineStr">
        <is>
          <t>Prise en charge des affections primaires</t>
        </is>
      </c>
      <c r="F223" t="inlineStr">
        <is>
          <t>Soins infirmiers en affections respiratoires</t>
        </is>
      </c>
      <c r="H223">
        <v>10</v>
      </c>
      <c r="I223">
        <v>4</v>
      </c>
      <c r="J223">
        <v>6</v>
      </c>
      <c r="K223">
        <v>20</v>
      </c>
      <c r="L223">
        <v>150</v>
      </c>
      <c r="M223">
        <v>10</v>
      </c>
      <c r="N223" t="inlineStr">
        <is>
          <t>Coef</t>
        </is>
      </c>
    </row>
    <row r="224">
      <c r="A224" t="inlineStr">
        <is>
          <t>Soins obstétricaux</t>
        </is>
      </c>
      <c r="B224" t="inlineStr">
        <is>
          <t>L1</t>
        </is>
      </c>
      <c r="C224" t="inlineStr">
        <is>
          <t>2</t>
        </is>
      </c>
      <c r="D224" t="inlineStr">
        <is>
          <t>14</t>
        </is>
      </c>
      <c r="E224" t="inlineStr">
        <is>
          <t>Prise en charge des affections primaires</t>
        </is>
      </c>
      <c r="F224" t="inlineStr">
        <is>
          <t>Pathologies digestives</t>
        </is>
      </c>
      <c r="H224">
        <v>22</v>
      </c>
      <c r="I224">
        <v>6</v>
      </c>
      <c r="J224">
        <v>0</v>
      </c>
      <c r="K224">
        <v>28</v>
      </c>
      <c r="L224">
        <v>150</v>
      </c>
      <c r="M224">
        <v>10</v>
      </c>
      <c r="N224" t="inlineStr">
        <is>
          <t>Coef</t>
        </is>
      </c>
    </row>
    <row r="225">
      <c r="A225" t="inlineStr">
        <is>
          <t>Soins obstétricaux</t>
        </is>
      </c>
      <c r="B225" t="inlineStr">
        <is>
          <t>L1</t>
        </is>
      </c>
      <c r="C225" t="inlineStr">
        <is>
          <t>2</t>
        </is>
      </c>
      <c r="D225" t="inlineStr">
        <is>
          <t>14</t>
        </is>
      </c>
      <c r="E225" t="inlineStr">
        <is>
          <t>Prise en charge des affections primaires</t>
        </is>
      </c>
      <c r="F225" t="inlineStr">
        <is>
          <t>Soins infirmiers en affections digestives</t>
        </is>
      </c>
      <c r="H225">
        <v>10</v>
      </c>
      <c r="I225">
        <v>4</v>
      </c>
      <c r="J225">
        <v>6</v>
      </c>
      <c r="K225">
        <v>20</v>
      </c>
      <c r="L225">
        <v>150</v>
      </c>
      <c r="M225">
        <v>10</v>
      </c>
      <c r="N225" t="inlineStr">
        <is>
          <t>Coef</t>
        </is>
      </c>
    </row>
    <row r="226">
      <c r="A226" t="inlineStr">
        <is>
          <t>Soins obstétricaux</t>
        </is>
      </c>
      <c r="B226" t="inlineStr">
        <is>
          <t>L1</t>
        </is>
      </c>
      <c r="C226" t="inlineStr">
        <is>
          <t>2</t>
        </is>
      </c>
      <c r="D226" t="inlineStr">
        <is>
          <t>14</t>
        </is>
      </c>
      <c r="E226" t="inlineStr">
        <is>
          <t>Prise en charge des affections primaires</t>
        </is>
      </c>
      <c r="F226" t="inlineStr">
        <is>
          <t>Pharmacologie et thérapeutique</t>
        </is>
      </c>
      <c r="H226">
        <v>16</v>
      </c>
      <c r="I226">
        <v>6</v>
      </c>
      <c r="J226">
        <v>0</v>
      </c>
      <c r="K226">
        <v>22</v>
      </c>
      <c r="L226">
        <v>150</v>
      </c>
      <c r="M226">
        <v>10</v>
      </c>
      <c r="N226" t="inlineStr">
        <is>
          <t>Coef</t>
        </is>
      </c>
    </row>
    <row r="227">
      <c r="A227" t="inlineStr">
        <is>
          <t>Soins obstétricaux</t>
        </is>
      </c>
      <c r="B227" t="inlineStr">
        <is>
          <t>L2</t>
        </is>
      </c>
      <c r="C227" t="inlineStr">
        <is>
          <t>3</t>
        </is>
      </c>
      <c r="D227" t="inlineStr">
        <is>
          <t>17</t>
        </is>
      </c>
      <c r="E227" t="inlineStr">
        <is>
          <t>Obstétrique normale</t>
        </is>
      </c>
      <c r="F227" t="inlineStr">
        <is>
          <t>Grossesse et soins prénatals</t>
        </is>
      </c>
      <c r="H227">
        <v>10</v>
      </c>
      <c r="I227">
        <v>4</v>
      </c>
      <c r="J227">
        <v>0</v>
      </c>
      <c r="K227">
        <v>14</v>
      </c>
      <c r="L227">
        <v>60</v>
      </c>
      <c r="M227">
        <v>4</v>
      </c>
      <c r="N227" t="inlineStr">
        <is>
          <t>Coef</t>
        </is>
      </c>
    </row>
    <row r="228">
      <c r="A228" t="inlineStr">
        <is>
          <t>Soins obstétricaux</t>
        </is>
      </c>
      <c r="B228" t="inlineStr">
        <is>
          <t>L2</t>
        </is>
      </c>
      <c r="C228" t="inlineStr">
        <is>
          <t>3</t>
        </is>
      </c>
      <c r="D228" t="inlineStr">
        <is>
          <t>17</t>
        </is>
      </c>
      <c r="E228" t="inlineStr">
        <is>
          <t>Obstétrique normale</t>
        </is>
      </c>
      <c r="F228" t="inlineStr">
        <is>
          <t>Travail et accouchement</t>
        </is>
      </c>
      <c r="H228">
        <v>14</v>
      </c>
      <c r="I228">
        <v>2</v>
      </c>
      <c r="J228">
        <v>4</v>
      </c>
      <c r="K228">
        <v>20</v>
      </c>
      <c r="L228">
        <v>60</v>
      </c>
      <c r="M228">
        <v>4</v>
      </c>
      <c r="N228" t="inlineStr">
        <is>
          <t>Coef</t>
        </is>
      </c>
    </row>
    <row r="229">
      <c r="A229" t="inlineStr">
        <is>
          <t>Soins obstétricaux</t>
        </is>
      </c>
      <c r="B229" t="inlineStr">
        <is>
          <t>L2</t>
        </is>
      </c>
      <c r="C229" t="inlineStr">
        <is>
          <t>3</t>
        </is>
      </c>
      <c r="D229" t="inlineStr">
        <is>
          <t>17</t>
        </is>
      </c>
      <c r="E229" t="inlineStr">
        <is>
          <t>Obstétrique normale</t>
        </is>
      </c>
      <c r="F229" t="inlineStr">
        <is>
          <t>Nouveau-né</t>
        </is>
      </c>
      <c r="H229">
        <v>8</v>
      </c>
      <c r="I229">
        <v>2</v>
      </c>
      <c r="J229">
        <v>4</v>
      </c>
      <c r="K229">
        <v>14</v>
      </c>
      <c r="L229">
        <v>60</v>
      </c>
      <c r="M229">
        <v>4</v>
      </c>
      <c r="N229" t="inlineStr">
        <is>
          <t>Coef</t>
        </is>
      </c>
    </row>
    <row r="230">
      <c r="A230" t="inlineStr">
        <is>
          <t>Soins obstétricaux</t>
        </is>
      </c>
      <c r="B230" t="inlineStr">
        <is>
          <t>L2</t>
        </is>
      </c>
      <c r="C230" t="inlineStr">
        <is>
          <t>3</t>
        </is>
      </c>
      <c r="D230" t="inlineStr">
        <is>
          <t>17</t>
        </is>
      </c>
      <c r="E230" t="inlineStr">
        <is>
          <t>Obstétrique normale</t>
        </is>
      </c>
      <c r="F230" t="inlineStr">
        <is>
          <t>Soins postnataux</t>
        </is>
      </c>
      <c r="H230">
        <v>8</v>
      </c>
      <c r="I230">
        <v>4</v>
      </c>
      <c r="J230">
        <v>0</v>
      </c>
      <c r="K230">
        <v>12</v>
      </c>
      <c r="L230">
        <v>60</v>
      </c>
      <c r="M230">
        <v>4</v>
      </c>
      <c r="N230" t="inlineStr">
        <is>
          <t>Coef</t>
        </is>
      </c>
    </row>
    <row r="231">
      <c r="A231" t="inlineStr">
        <is>
          <t>Soins obstétricaux</t>
        </is>
      </c>
      <c r="B231" t="inlineStr">
        <is>
          <t>L2</t>
        </is>
      </c>
      <c r="C231" t="inlineStr">
        <is>
          <t>3</t>
        </is>
      </c>
      <c r="D231" t="inlineStr">
        <is>
          <t>19</t>
        </is>
      </c>
      <c r="E231" t="inlineStr">
        <is>
          <t>Education à la santé et communication</t>
        </is>
      </c>
      <c r="F231" t="inlineStr">
        <is>
          <t>Education à la santé</t>
        </is>
      </c>
      <c r="H231">
        <v>4</v>
      </c>
      <c r="I231">
        <v>2</v>
      </c>
      <c r="J231">
        <v>0</v>
      </c>
      <c r="K231">
        <v>6</v>
      </c>
      <c r="L231">
        <v>24</v>
      </c>
      <c r="M231">
        <v>1</v>
      </c>
      <c r="N231" t="inlineStr">
        <is>
          <t>Coef</t>
        </is>
      </c>
    </row>
    <row r="232">
      <c r="A232" t="inlineStr">
        <is>
          <t>Soins obstétricaux</t>
        </is>
      </c>
      <c r="B232" t="inlineStr">
        <is>
          <t>L2</t>
        </is>
      </c>
      <c r="C232" t="inlineStr">
        <is>
          <t>3</t>
        </is>
      </c>
      <c r="D232" t="inlineStr">
        <is>
          <t>19</t>
        </is>
      </c>
      <c r="E232" t="inlineStr">
        <is>
          <t>Education à la santé et communication</t>
        </is>
      </c>
      <c r="F232" t="inlineStr">
        <is>
          <t>Education thérapeutique du patient</t>
        </is>
      </c>
      <c r="H232">
        <v>4</v>
      </c>
      <c r="I232">
        <v>4</v>
      </c>
      <c r="J232">
        <v>0</v>
      </c>
      <c r="K232">
        <v>8</v>
      </c>
      <c r="L232">
        <v>24</v>
      </c>
      <c r="M232">
        <v>1</v>
      </c>
      <c r="N232" t="inlineStr">
        <is>
          <t>Coef</t>
        </is>
      </c>
    </row>
    <row r="233">
      <c r="A233" t="inlineStr">
        <is>
          <t>Soins obstétricaux</t>
        </is>
      </c>
      <c r="B233" t="inlineStr">
        <is>
          <t>L2</t>
        </is>
      </c>
      <c r="C233" t="inlineStr">
        <is>
          <t>3</t>
        </is>
      </c>
      <c r="D233" t="inlineStr">
        <is>
          <t>19</t>
        </is>
      </c>
      <c r="E233" t="inlineStr">
        <is>
          <t>Education à la santé et communication</t>
        </is>
      </c>
      <c r="F233" t="inlineStr">
        <is>
          <t>Communication</t>
        </is>
      </c>
      <c r="H233">
        <v>8</v>
      </c>
      <c r="I233">
        <v>2</v>
      </c>
      <c r="J233">
        <v>0</v>
      </c>
      <c r="K233">
        <v>10</v>
      </c>
      <c r="L233">
        <v>24</v>
      </c>
      <c r="M233">
        <v>1</v>
      </c>
      <c r="N233" t="inlineStr">
        <is>
          <t>Coef</t>
        </is>
      </c>
    </row>
    <row r="234">
      <c r="A234" t="inlineStr">
        <is>
          <t>Soins obstétricaux</t>
        </is>
      </c>
      <c r="B234" t="inlineStr">
        <is>
          <t>L2</t>
        </is>
      </c>
      <c r="C234" t="inlineStr">
        <is>
          <t>3</t>
        </is>
      </c>
      <c r="D234" t="inlineStr">
        <is>
          <t>20</t>
        </is>
      </c>
      <c r="E234" t="inlineStr">
        <is>
          <t>Soins infirmiers en pédiatrie</t>
        </is>
      </c>
      <c r="F234" t="inlineStr">
        <is>
          <t>Psychologie de l’enfant</t>
        </is>
      </c>
      <c r="H234">
        <v>6</v>
      </c>
      <c r="I234">
        <v>2</v>
      </c>
      <c r="J234">
        <v>0</v>
      </c>
      <c r="K234">
        <v>8</v>
      </c>
      <c r="L234">
        <v>86</v>
      </c>
      <c r="M234">
        <v>5</v>
      </c>
      <c r="N234" t="inlineStr">
        <is>
          <t>Coef</t>
        </is>
      </c>
    </row>
    <row r="235">
      <c r="A235" t="inlineStr">
        <is>
          <t>Soins obstétricaux</t>
        </is>
      </c>
      <c r="B235" t="inlineStr">
        <is>
          <t>L2</t>
        </is>
      </c>
      <c r="C235" t="inlineStr">
        <is>
          <t>3</t>
        </is>
      </c>
      <c r="D235" t="inlineStr">
        <is>
          <t>20</t>
        </is>
      </c>
      <c r="E235" t="inlineStr">
        <is>
          <t>Soins infirmiers en pédiatrie</t>
        </is>
      </c>
      <c r="F235" t="inlineStr">
        <is>
          <t>Pédiatrie et néonatologie</t>
        </is>
      </c>
      <c r="H235">
        <v>16</v>
      </c>
      <c r="I235">
        <v>4</v>
      </c>
      <c r="J235">
        <v>0</v>
      </c>
      <c r="K235">
        <v>20</v>
      </c>
      <c r="L235">
        <v>86</v>
      </c>
      <c r="M235">
        <v>5</v>
      </c>
      <c r="N235" t="inlineStr">
        <is>
          <t>Coef</t>
        </is>
      </c>
    </row>
    <row r="236">
      <c r="A236" t="inlineStr">
        <is>
          <t>Soins obstétricaux</t>
        </is>
      </c>
      <c r="B236" t="inlineStr">
        <is>
          <t>L2</t>
        </is>
      </c>
      <c r="C236" t="inlineStr">
        <is>
          <t>3</t>
        </is>
      </c>
      <c r="D236" t="inlineStr">
        <is>
          <t>20</t>
        </is>
      </c>
      <c r="E236" t="inlineStr">
        <is>
          <t>Soins infirmiers en pédiatrie</t>
        </is>
      </c>
      <c r="F236" t="inlineStr">
        <is>
          <t>Pathologies spécifiques</t>
        </is>
      </c>
      <c r="H236">
        <v>16</v>
      </c>
      <c r="I236">
        <v>4</v>
      </c>
      <c r="J236">
        <v>0</v>
      </c>
      <c r="K236">
        <v>20</v>
      </c>
      <c r="L236">
        <v>86</v>
      </c>
      <c r="M236">
        <v>5</v>
      </c>
      <c r="N236" t="inlineStr">
        <is>
          <t>Coef</t>
        </is>
      </c>
    </row>
    <row r="237">
      <c r="A237" t="inlineStr">
        <is>
          <t>Soins obstétricaux</t>
        </is>
      </c>
      <c r="B237" t="inlineStr">
        <is>
          <t>L2</t>
        </is>
      </c>
      <c r="C237" t="inlineStr">
        <is>
          <t>3</t>
        </is>
      </c>
      <c r="D237" t="inlineStr">
        <is>
          <t>20</t>
        </is>
      </c>
      <c r="E237" t="inlineStr">
        <is>
          <t>Soins infirmiers en pédiatrie</t>
        </is>
      </c>
      <c r="F237" t="inlineStr">
        <is>
          <t>Soins infirmiers en pédiatrie</t>
        </is>
      </c>
      <c r="H237">
        <v>10</v>
      </c>
      <c r="I237">
        <v>2</v>
      </c>
      <c r="J237">
        <v>6</v>
      </c>
      <c r="K237">
        <v>18</v>
      </c>
      <c r="L237">
        <v>86</v>
      </c>
      <c r="M237">
        <v>5</v>
      </c>
      <c r="N237" t="inlineStr">
        <is>
          <t>Coef</t>
        </is>
      </c>
    </row>
    <row r="238">
      <c r="A238" t="inlineStr">
        <is>
          <t>Soins obstétricaux</t>
        </is>
      </c>
      <c r="B238" t="inlineStr">
        <is>
          <t>L2</t>
        </is>
      </c>
      <c r="C238" t="inlineStr">
        <is>
          <t>3</t>
        </is>
      </c>
      <c r="D238" t="inlineStr">
        <is>
          <t>20</t>
        </is>
      </c>
      <c r="E238" t="inlineStr">
        <is>
          <t>Soins infirmiers en pédiatrie</t>
        </is>
      </c>
      <c r="F238" t="inlineStr">
        <is>
          <t>Pathologie chirurgicale pédiatrique</t>
        </is>
      </c>
      <c r="H238">
        <v>18</v>
      </c>
      <c r="I238">
        <v>2</v>
      </c>
      <c r="J238">
        <v>0</v>
      </c>
      <c r="K238">
        <v>20</v>
      </c>
      <c r="L238">
        <v>86</v>
      </c>
      <c r="M238">
        <v>5</v>
      </c>
      <c r="N238" t="inlineStr">
        <is>
          <t>Coef</t>
        </is>
      </c>
    </row>
    <row r="239">
      <c r="A239" t="inlineStr">
        <is>
          <t>Soins obstétricaux</t>
        </is>
      </c>
      <c r="B239" t="inlineStr">
        <is>
          <t>L2</t>
        </is>
      </c>
      <c r="C239" t="inlineStr">
        <is>
          <t>3</t>
        </is>
      </c>
      <c r="D239" t="inlineStr">
        <is>
          <t>22</t>
        </is>
      </c>
      <c r="E239" t="inlineStr">
        <is>
          <t>Nutrition et diététique/2</t>
        </is>
      </c>
      <c r="F239" t="inlineStr">
        <is>
          <t>Prise en charge diététique des carences et de la surnutrition</t>
        </is>
      </c>
      <c r="H239">
        <v>6</v>
      </c>
      <c r="I239">
        <v>4</v>
      </c>
      <c r="J239">
        <v>0</v>
      </c>
      <c r="K239">
        <v>10</v>
      </c>
      <c r="L239">
        <v>30</v>
      </c>
      <c r="M239">
        <v>2</v>
      </c>
      <c r="N239" t="inlineStr">
        <is>
          <t>Coef</t>
        </is>
      </c>
    </row>
    <row r="240">
      <c r="A240" t="inlineStr">
        <is>
          <t>Soins obstétricaux</t>
        </is>
      </c>
      <c r="B240" t="inlineStr">
        <is>
          <t>L2</t>
        </is>
      </c>
      <c r="C240" t="inlineStr">
        <is>
          <t>3</t>
        </is>
      </c>
      <c r="D240" t="inlineStr">
        <is>
          <t>22</t>
        </is>
      </c>
      <c r="E240" t="inlineStr">
        <is>
          <t>Nutrition et diététique/2</t>
        </is>
      </c>
      <c r="F240" t="inlineStr">
        <is>
          <t>Aspects cliniques et pratiques de la nutrition et de la diététique</t>
        </is>
      </c>
      <c r="H240">
        <v>16</v>
      </c>
      <c r="I240">
        <v>4</v>
      </c>
      <c r="J240">
        <v>0</v>
      </c>
      <c r="K240">
        <v>20</v>
      </c>
      <c r="L240">
        <v>30</v>
      </c>
      <c r="M240">
        <v>2</v>
      </c>
      <c r="N240" t="inlineStr">
        <is>
          <t>Coef</t>
        </is>
      </c>
    </row>
    <row r="241">
      <c r="A241" t="inlineStr">
        <is>
          <t>Soins obstétricaux</t>
        </is>
      </c>
      <c r="B241" t="inlineStr">
        <is>
          <t>L2</t>
        </is>
      </c>
      <c r="C241" t="inlineStr">
        <is>
          <t>3</t>
        </is>
      </c>
      <c r="D241" t="inlineStr">
        <is>
          <t>23</t>
        </is>
      </c>
      <c r="E241" t="inlineStr">
        <is>
          <t>Soins promotionnels, préventifs et adaptatifs/1</t>
        </is>
      </c>
      <c r="F241" t="inlineStr">
        <is>
          <t>Puériculture</t>
        </is>
      </c>
      <c r="H241">
        <v>8</v>
      </c>
      <c r="I241">
        <v>2</v>
      </c>
      <c r="J241">
        <v>4</v>
      </c>
      <c r="K241">
        <v>14</v>
      </c>
      <c r="L241">
        <v>64</v>
      </c>
      <c r="M241">
        <v>4</v>
      </c>
      <c r="N241" t="inlineStr">
        <is>
          <t>Coef</t>
        </is>
      </c>
    </row>
    <row r="242">
      <c r="A242" t="inlineStr">
        <is>
          <t>Soins obstétricaux</t>
        </is>
      </c>
      <c r="B242" t="inlineStr">
        <is>
          <t>L2</t>
        </is>
      </c>
      <c r="C242" t="inlineStr">
        <is>
          <t>3</t>
        </is>
      </c>
      <c r="D242" t="inlineStr">
        <is>
          <t>23</t>
        </is>
      </c>
      <c r="E242" t="inlineStr">
        <is>
          <t>Soins promotionnels, préventifs et adaptatifs/1</t>
        </is>
      </c>
      <c r="F242" t="inlineStr">
        <is>
          <t>Santé de la reproduction</t>
        </is>
      </c>
      <c r="H242">
        <v>20</v>
      </c>
      <c r="I242">
        <v>2</v>
      </c>
      <c r="J242">
        <v>0</v>
      </c>
      <c r="K242">
        <v>22</v>
      </c>
      <c r="L242">
        <v>64</v>
      </c>
      <c r="M242">
        <v>4</v>
      </c>
      <c r="N242" t="inlineStr">
        <is>
          <t>Coef</t>
        </is>
      </c>
    </row>
    <row r="243">
      <c r="A243" t="inlineStr">
        <is>
          <t>Soins obstétricaux</t>
        </is>
      </c>
      <c r="B243" t="inlineStr">
        <is>
          <t>L2</t>
        </is>
      </c>
      <c r="C243" t="inlineStr">
        <is>
          <t>3</t>
        </is>
      </c>
      <c r="D243" t="inlineStr">
        <is>
          <t>23</t>
        </is>
      </c>
      <c r="E243" t="inlineStr">
        <is>
          <t>Soins promotionnels, préventifs et adaptatifs/1</t>
        </is>
      </c>
      <c r="F243" t="inlineStr">
        <is>
          <t>Vaccination</t>
        </is>
      </c>
      <c r="H243">
        <v>6</v>
      </c>
      <c r="I243">
        <v>2</v>
      </c>
      <c r="K243">
        <v>8</v>
      </c>
      <c r="L243">
        <v>64</v>
      </c>
      <c r="M243">
        <v>4</v>
      </c>
      <c r="N243" t="inlineStr">
        <is>
          <t>Coef</t>
        </is>
      </c>
    </row>
    <row r="244">
      <c r="A244" t="inlineStr">
        <is>
          <t>Soins obstétricaux</t>
        </is>
      </c>
      <c r="B244" t="inlineStr">
        <is>
          <t>L2</t>
        </is>
      </c>
      <c r="C244" t="inlineStr">
        <is>
          <t>3</t>
        </is>
      </c>
      <c r="D244" t="inlineStr">
        <is>
          <t>23</t>
        </is>
      </c>
      <c r="E244" t="inlineStr">
        <is>
          <t>Soins promotionnels, préventifs et adaptatifs/1</t>
        </is>
      </c>
      <c r="F244" t="inlineStr">
        <is>
          <t>PCIMA (Prise en charge intégrée de la malnutrition aigüe)</t>
        </is>
      </c>
      <c r="H244">
        <v>6</v>
      </c>
      <c r="I244">
        <v>4</v>
      </c>
      <c r="J244">
        <v>0</v>
      </c>
      <c r="K244">
        <v>10</v>
      </c>
      <c r="L244">
        <v>64</v>
      </c>
      <c r="M244">
        <v>4</v>
      </c>
      <c r="N244" t="inlineStr">
        <is>
          <t>Coef</t>
        </is>
      </c>
    </row>
    <row r="245">
      <c r="A245" t="inlineStr">
        <is>
          <t>Soins obstétricaux</t>
        </is>
      </c>
      <c r="B245" t="inlineStr">
        <is>
          <t>L2</t>
        </is>
      </c>
      <c r="C245" t="inlineStr">
        <is>
          <t>3</t>
        </is>
      </c>
      <c r="D245" t="inlineStr">
        <is>
          <t>23</t>
        </is>
      </c>
      <c r="E245" t="inlineStr">
        <is>
          <t>Soins promotionnels, préventifs et adaptatifs/1</t>
        </is>
      </c>
      <c r="F245" t="inlineStr">
        <is>
          <t>PCIME (Prise en charge intégrée des maladies de l’enfant)</t>
        </is>
      </c>
      <c r="H245">
        <v>6</v>
      </c>
      <c r="I245">
        <v>4</v>
      </c>
      <c r="J245">
        <v>0</v>
      </c>
      <c r="K245">
        <v>10</v>
      </c>
      <c r="L245">
        <v>64</v>
      </c>
      <c r="M245">
        <v>4</v>
      </c>
      <c r="N245" t="inlineStr">
        <is>
          <t>Coef</t>
        </is>
      </c>
    </row>
    <row r="246">
      <c r="A246" t="inlineStr">
        <is>
          <t>Soins obstétricaux</t>
        </is>
      </c>
      <c r="B246" t="inlineStr">
        <is>
          <t>L2</t>
        </is>
      </c>
      <c r="C246" t="inlineStr">
        <is>
          <t>3</t>
        </is>
      </c>
      <c r="D246" t="inlineStr">
        <is>
          <t>24</t>
        </is>
      </c>
      <c r="E246" t="inlineStr">
        <is>
          <t>Soins obstétricaux et néonataux</t>
        </is>
      </c>
      <c r="F246" t="inlineStr">
        <is>
          <t>Consultations Prénatales</t>
        </is>
      </c>
      <c r="H246">
        <v>14</v>
      </c>
      <c r="I246">
        <v>6</v>
      </c>
      <c r="J246">
        <v>0</v>
      </c>
      <c r="K246">
        <v>20</v>
      </c>
      <c r="L246">
        <v>68</v>
      </c>
      <c r="M246">
        <v>4</v>
      </c>
      <c r="N246" t="inlineStr">
        <is>
          <t>Coef</t>
        </is>
      </c>
    </row>
    <row r="247">
      <c r="A247" t="inlineStr">
        <is>
          <t>Soins obstétricaux</t>
        </is>
      </c>
      <c r="B247" t="inlineStr">
        <is>
          <t>L2</t>
        </is>
      </c>
      <c r="C247" t="inlineStr">
        <is>
          <t>3</t>
        </is>
      </c>
      <c r="D247" t="inlineStr">
        <is>
          <t>24</t>
        </is>
      </c>
      <c r="E247" t="inlineStr">
        <is>
          <t>Soins obstétricaux et néonataux</t>
        </is>
      </c>
      <c r="F247" t="inlineStr">
        <is>
          <t>Soins maternels et néonataux respectueux</t>
        </is>
      </c>
      <c r="H247">
        <v>14</v>
      </c>
      <c r="I247">
        <v>4</v>
      </c>
      <c r="J247">
        <v>0</v>
      </c>
      <c r="K247">
        <v>18</v>
      </c>
      <c r="L247">
        <v>68</v>
      </c>
      <c r="M247">
        <v>4</v>
      </c>
      <c r="N247" t="inlineStr">
        <is>
          <t>Coef</t>
        </is>
      </c>
    </row>
    <row r="248">
      <c r="A248" t="inlineStr">
        <is>
          <t>Soins obstétricaux</t>
        </is>
      </c>
      <c r="B248" t="inlineStr">
        <is>
          <t>L2</t>
        </is>
      </c>
      <c r="C248" t="inlineStr">
        <is>
          <t>3</t>
        </is>
      </c>
      <c r="D248" t="inlineStr">
        <is>
          <t>24</t>
        </is>
      </c>
      <c r="E248" t="inlineStr">
        <is>
          <t>Soins obstétricaux et néonataux</t>
        </is>
      </c>
      <c r="F248" t="inlineStr">
        <is>
          <t>Protocoles de prise en charge de la grossesse normale</t>
        </is>
      </c>
      <c r="H248">
        <v>8</v>
      </c>
      <c r="I248">
        <v>2</v>
      </c>
      <c r="J248">
        <v>0</v>
      </c>
      <c r="K248">
        <v>10</v>
      </c>
      <c r="L248">
        <v>68</v>
      </c>
      <c r="M248">
        <v>4</v>
      </c>
      <c r="N248" t="inlineStr">
        <is>
          <t>Coef</t>
        </is>
      </c>
    </row>
    <row r="249">
      <c r="A249" t="inlineStr">
        <is>
          <t>Soins obstétricaux</t>
        </is>
      </c>
      <c r="B249" t="inlineStr">
        <is>
          <t>L2</t>
        </is>
      </c>
      <c r="C249" t="inlineStr">
        <is>
          <t>3</t>
        </is>
      </c>
      <c r="D249" t="inlineStr">
        <is>
          <t>24</t>
        </is>
      </c>
      <c r="E249" t="inlineStr">
        <is>
          <t>Soins obstétricaux et néonataux</t>
        </is>
      </c>
      <c r="F249" t="inlineStr">
        <is>
          <t>Préparation à l’accouchement normal</t>
        </is>
      </c>
      <c r="H249">
        <v>8</v>
      </c>
      <c r="I249">
        <v>2</v>
      </c>
      <c r="J249">
        <v>0</v>
      </c>
      <c r="K249">
        <v>10</v>
      </c>
      <c r="L249">
        <v>68</v>
      </c>
      <c r="M249">
        <v>4</v>
      </c>
      <c r="N249" t="inlineStr">
        <is>
          <t>Coef</t>
        </is>
      </c>
    </row>
    <row r="250">
      <c r="A250" t="inlineStr">
        <is>
          <t>Soins obstétricaux</t>
        </is>
      </c>
      <c r="B250" t="inlineStr">
        <is>
          <t>L2</t>
        </is>
      </c>
      <c r="C250" t="inlineStr">
        <is>
          <t>3</t>
        </is>
      </c>
      <c r="D250" t="inlineStr">
        <is>
          <t>24</t>
        </is>
      </c>
      <c r="E250" t="inlineStr">
        <is>
          <t>Soins obstétricaux et néonataux</t>
        </is>
      </c>
      <c r="F250" t="inlineStr">
        <is>
          <t>Protocoles de prise en charge en postpartum immédiat et précoce</t>
        </is>
      </c>
      <c r="H250">
        <v>8</v>
      </c>
      <c r="I250">
        <v>2</v>
      </c>
      <c r="J250">
        <v>0</v>
      </c>
      <c r="K250">
        <v>10</v>
      </c>
      <c r="L250">
        <v>68</v>
      </c>
      <c r="M250">
        <v>4</v>
      </c>
      <c r="N250" t="inlineStr">
        <is>
          <t>Coef</t>
        </is>
      </c>
    </row>
    <row r="251">
      <c r="A251" t="inlineStr">
        <is>
          <t>Soins obstétricaux</t>
        </is>
      </c>
      <c r="B251" t="inlineStr">
        <is>
          <t>L2</t>
        </is>
      </c>
      <c r="C251" t="inlineStr">
        <is>
          <t>3</t>
        </is>
      </c>
      <c r="D251" t="inlineStr">
        <is>
          <t>26</t>
        </is>
      </c>
      <c r="E251" t="inlineStr">
        <is>
          <t>Examen de santé</t>
        </is>
      </c>
      <c r="F251" t="inlineStr">
        <is>
          <t>Antécédents médicaux complets</t>
        </is>
      </c>
      <c r="H251">
        <v>4</v>
      </c>
      <c r="I251">
        <v>2</v>
      </c>
      <c r="J251">
        <v>0</v>
      </c>
      <c r="K251">
        <v>6</v>
      </c>
      <c r="L251">
        <v>38</v>
      </c>
      <c r="M251">
        <v>2</v>
      </c>
      <c r="N251" t="inlineStr">
        <is>
          <t>Coef</t>
        </is>
      </c>
    </row>
    <row r="252">
      <c r="A252" t="inlineStr">
        <is>
          <t>Soins obstétricaux</t>
        </is>
      </c>
      <c r="B252" t="inlineStr">
        <is>
          <t>L2</t>
        </is>
      </c>
      <c r="C252" t="inlineStr">
        <is>
          <t>3</t>
        </is>
      </c>
      <c r="D252" t="inlineStr">
        <is>
          <t>26</t>
        </is>
      </c>
      <c r="E252" t="inlineStr">
        <is>
          <t>Examen de santé</t>
        </is>
      </c>
      <c r="F252" t="inlineStr">
        <is>
          <t>Examen physique</t>
        </is>
      </c>
      <c r="H252">
        <v>8</v>
      </c>
      <c r="I252">
        <v>2</v>
      </c>
      <c r="J252">
        <v>6</v>
      </c>
      <c r="K252">
        <v>16</v>
      </c>
      <c r="L252">
        <v>38</v>
      </c>
      <c r="M252">
        <v>2</v>
      </c>
      <c r="N252" t="inlineStr">
        <is>
          <t>Coef</t>
        </is>
      </c>
    </row>
    <row r="253">
      <c r="A253" t="inlineStr">
        <is>
          <t>Soins obstétricaux</t>
        </is>
      </c>
      <c r="B253" t="inlineStr">
        <is>
          <t>L2</t>
        </is>
      </c>
      <c r="C253" t="inlineStr">
        <is>
          <t>3</t>
        </is>
      </c>
      <c r="D253" t="inlineStr">
        <is>
          <t>26</t>
        </is>
      </c>
      <c r="E253" t="inlineStr">
        <is>
          <t>Examen de santé</t>
        </is>
      </c>
      <c r="F253" t="inlineStr">
        <is>
          <t>Evaluation de groupes spéciaux</t>
        </is>
      </c>
      <c r="H253">
        <v>4</v>
      </c>
      <c r="I253">
        <v>2</v>
      </c>
      <c r="J253">
        <v>0</v>
      </c>
      <c r="K253">
        <v>6</v>
      </c>
      <c r="L253">
        <v>38</v>
      </c>
      <c r="M253">
        <v>2</v>
      </c>
      <c r="N253" t="inlineStr">
        <is>
          <t>Coef</t>
        </is>
      </c>
    </row>
    <row r="254">
      <c r="A254" t="inlineStr">
        <is>
          <t>Soins obstétricaux</t>
        </is>
      </c>
      <c r="B254" t="inlineStr">
        <is>
          <t>L2</t>
        </is>
      </c>
      <c r="C254" t="inlineStr">
        <is>
          <t>3</t>
        </is>
      </c>
      <c r="D254" t="inlineStr">
        <is>
          <t>26</t>
        </is>
      </c>
      <c r="E254" t="inlineStr">
        <is>
          <t>Examen de santé</t>
        </is>
      </c>
      <c r="F254" t="inlineStr">
        <is>
          <t>Investigations cliniques</t>
        </is>
      </c>
      <c r="H254">
        <v>4</v>
      </c>
      <c r="I254">
        <v>2</v>
      </c>
      <c r="J254">
        <v>4</v>
      </c>
      <c r="K254">
        <v>10</v>
      </c>
      <c r="L254">
        <v>38</v>
      </c>
      <c r="M254">
        <v>2</v>
      </c>
      <c r="N254" t="inlineStr">
        <is>
          <t>Coef</t>
        </is>
      </c>
    </row>
    <row r="255">
      <c r="A255" t="inlineStr">
        <is>
          <t>Soins obstétricaux</t>
        </is>
      </c>
      <c r="B255" t="inlineStr">
        <is>
          <t>L2</t>
        </is>
      </c>
      <c r="C255" t="inlineStr">
        <is>
          <t>4</t>
        </is>
      </c>
      <c r="D255" t="inlineStr">
        <is>
          <t>27</t>
        </is>
      </c>
      <c r="E255" t="inlineStr">
        <is>
          <t>Situations cliniques se référant aux pathologies en gynécologie et pendant la grossesse</t>
        </is>
      </c>
      <c r="F255" t="inlineStr">
        <is>
          <t>Pathologies de la grossesse et du travail</t>
        </is>
      </c>
      <c r="H255">
        <v>26</v>
      </c>
      <c r="I255">
        <v>4</v>
      </c>
      <c r="J255">
        <v>0</v>
      </c>
      <c r="K255">
        <v>30</v>
      </c>
      <c r="L255">
        <v>120</v>
      </c>
      <c r="M255">
        <v>8</v>
      </c>
      <c r="N255" t="inlineStr">
        <is>
          <t>Coef</t>
        </is>
      </c>
    </row>
    <row r="256">
      <c r="A256" t="inlineStr">
        <is>
          <t>Soins obstétricaux</t>
        </is>
      </c>
      <c r="B256" t="inlineStr">
        <is>
          <t>L2</t>
        </is>
      </c>
      <c r="C256" t="inlineStr">
        <is>
          <t>4</t>
        </is>
      </c>
      <c r="D256" t="inlineStr">
        <is>
          <t>27</t>
        </is>
      </c>
      <c r="E256" t="inlineStr">
        <is>
          <t>Situations cliniques se référant aux pathologies en gynécologie et pendant la grossesse</t>
        </is>
      </c>
      <c r="F256" t="inlineStr">
        <is>
          <t>Complications obstétricales et médicales pendant le travail et l’accouchement</t>
        </is>
      </c>
      <c r="H256">
        <v>26</v>
      </c>
      <c r="I256">
        <v>4</v>
      </c>
      <c r="J256">
        <v>0</v>
      </c>
      <c r="K256">
        <v>30</v>
      </c>
      <c r="L256">
        <v>120</v>
      </c>
      <c r="M256">
        <v>8</v>
      </c>
      <c r="N256" t="inlineStr">
        <is>
          <t>Coef</t>
        </is>
      </c>
    </row>
    <row r="257">
      <c r="A257" t="inlineStr">
        <is>
          <t>Soins obstétricaux</t>
        </is>
      </c>
      <c r="B257" t="inlineStr">
        <is>
          <t>L2</t>
        </is>
      </c>
      <c r="C257" t="inlineStr">
        <is>
          <t>4</t>
        </is>
      </c>
      <c r="D257" t="inlineStr">
        <is>
          <t>27</t>
        </is>
      </c>
      <c r="E257" t="inlineStr">
        <is>
          <t>Situations cliniques se référant aux pathologies en gynécologie et pendant la grossesse</t>
        </is>
      </c>
      <c r="F257" t="inlineStr">
        <is>
          <t>Complications postnatales</t>
        </is>
      </c>
      <c r="H257">
        <v>26</v>
      </c>
      <c r="I257">
        <v>4</v>
      </c>
      <c r="J257">
        <v>0</v>
      </c>
      <c r="K257">
        <v>30</v>
      </c>
      <c r="L257">
        <v>120</v>
      </c>
      <c r="M257">
        <v>8</v>
      </c>
      <c r="N257" t="inlineStr">
        <is>
          <t>Coef</t>
        </is>
      </c>
    </row>
    <row r="258">
      <c r="A258" t="inlineStr">
        <is>
          <t>Soins obstétricaux</t>
        </is>
      </c>
      <c r="B258" t="inlineStr">
        <is>
          <t>L2</t>
        </is>
      </c>
      <c r="C258" t="inlineStr">
        <is>
          <t>4</t>
        </is>
      </c>
      <c r="D258" t="inlineStr">
        <is>
          <t>27</t>
        </is>
      </c>
      <c r="E258" t="inlineStr">
        <is>
          <t>Situations cliniques se référant aux pathologies en gynécologie et pendant la grossesse</t>
        </is>
      </c>
      <c r="F258" t="inlineStr">
        <is>
          <t>Pathologies gynécologiques</t>
        </is>
      </c>
      <c r="H258">
        <v>26</v>
      </c>
      <c r="I258">
        <v>4</v>
      </c>
      <c r="J258">
        <v>0</v>
      </c>
      <c r="K258">
        <v>30</v>
      </c>
      <c r="L258">
        <v>120</v>
      </c>
      <c r="M258">
        <v>8</v>
      </c>
      <c r="N258" t="inlineStr">
        <is>
          <t>Coef</t>
        </is>
      </c>
    </row>
    <row r="259">
      <c r="A259" t="inlineStr">
        <is>
          <t>Soins obstétricaux</t>
        </is>
      </c>
      <c r="B259" t="inlineStr">
        <is>
          <t>L2</t>
        </is>
      </c>
      <c r="C259" t="inlineStr">
        <is>
          <t>4</t>
        </is>
      </c>
      <c r="D259" t="inlineStr">
        <is>
          <t>28</t>
        </is>
      </c>
      <c r="E259" t="inlineStr">
        <is>
          <t>Soins de sage femme en milieu communautaire</t>
        </is>
      </c>
      <c r="F259" t="inlineStr">
        <is>
          <t>Base théorique des soins infirmiers en milieu communautaire</t>
        </is>
      </c>
      <c r="H259">
        <v>6</v>
      </c>
      <c r="I259">
        <v>2</v>
      </c>
      <c r="J259">
        <v>0</v>
      </c>
      <c r="K259">
        <v>8</v>
      </c>
      <c r="L259">
        <v>60</v>
      </c>
      <c r="M259">
        <v>4</v>
      </c>
      <c r="N259" t="inlineStr">
        <is>
          <t>Coef</t>
        </is>
      </c>
    </row>
    <row r="260">
      <c r="A260" t="inlineStr">
        <is>
          <t>Soins obstétricaux</t>
        </is>
      </c>
      <c r="B260" t="inlineStr">
        <is>
          <t>L2</t>
        </is>
      </c>
      <c r="C260" t="inlineStr">
        <is>
          <t>4</t>
        </is>
      </c>
      <c r="D260" t="inlineStr">
        <is>
          <t>28</t>
        </is>
      </c>
      <c r="E260" t="inlineStr">
        <is>
          <t>Soins de sage femme en milieu communautaire</t>
        </is>
      </c>
      <c r="F260" t="inlineStr">
        <is>
          <t>Art et science des soins infirmiers en milieu communautaire</t>
        </is>
      </c>
      <c r="H260">
        <v>6</v>
      </c>
      <c r="I260">
        <v>2</v>
      </c>
      <c r="J260">
        <v>0</v>
      </c>
      <c r="K260">
        <v>8</v>
      </c>
      <c r="L260">
        <v>60</v>
      </c>
      <c r="M260">
        <v>4</v>
      </c>
      <c r="N260" t="inlineStr">
        <is>
          <t>Coef</t>
        </is>
      </c>
    </row>
    <row r="261">
      <c r="A261" t="inlineStr">
        <is>
          <t>Soins obstétricaux</t>
        </is>
      </c>
      <c r="B261" t="inlineStr">
        <is>
          <t>L2</t>
        </is>
      </c>
      <c r="C261" t="inlineStr">
        <is>
          <t>4</t>
        </is>
      </c>
      <c r="D261" t="inlineStr">
        <is>
          <t>28</t>
        </is>
      </c>
      <c r="E261" t="inlineStr">
        <is>
          <t>Soins de sage femme en milieu communautaire</t>
        </is>
      </c>
      <c r="F261" t="inlineStr">
        <is>
          <t>Maladies transmissibles : prévention et intervention</t>
        </is>
      </c>
      <c r="H261">
        <v>6</v>
      </c>
      <c r="I261">
        <v>2</v>
      </c>
      <c r="J261">
        <v>0</v>
      </c>
      <c r="K261">
        <v>8</v>
      </c>
      <c r="L261">
        <v>60</v>
      </c>
      <c r="M261">
        <v>4</v>
      </c>
      <c r="N261" t="inlineStr">
        <is>
          <t>Coef</t>
        </is>
      </c>
    </row>
    <row r="262">
      <c r="A262" t="inlineStr">
        <is>
          <t>Soins obstétricaux</t>
        </is>
      </c>
      <c r="B262" t="inlineStr">
        <is>
          <t>L2</t>
        </is>
      </c>
      <c r="C262" t="inlineStr">
        <is>
          <t>4</t>
        </is>
      </c>
      <c r="D262" t="inlineStr">
        <is>
          <t>28</t>
        </is>
      </c>
      <c r="E262" t="inlineStr">
        <is>
          <t>Soins de sage femme en milieu communautaire</t>
        </is>
      </c>
      <c r="F262" t="inlineStr">
        <is>
          <t>Santé familiale</t>
        </is>
      </c>
      <c r="H262">
        <v>6</v>
      </c>
      <c r="I262">
        <v>2</v>
      </c>
      <c r="J262">
        <v>0</v>
      </c>
      <c r="K262">
        <v>8</v>
      </c>
      <c r="L262">
        <v>60</v>
      </c>
      <c r="M262">
        <v>4</v>
      </c>
      <c r="N262" t="inlineStr">
        <is>
          <t>Coef</t>
        </is>
      </c>
    </row>
    <row r="263">
      <c r="A263" t="inlineStr">
        <is>
          <t>Soins obstétricaux</t>
        </is>
      </c>
      <c r="B263" t="inlineStr">
        <is>
          <t>L2</t>
        </is>
      </c>
      <c r="C263" t="inlineStr">
        <is>
          <t>4</t>
        </is>
      </c>
      <c r="D263" t="inlineStr">
        <is>
          <t>28</t>
        </is>
      </c>
      <c r="E263" t="inlineStr">
        <is>
          <t>Soins de sage femme en milieu communautaire</t>
        </is>
      </c>
      <c r="F263" t="inlineStr">
        <is>
          <t>Santé scolaire</t>
        </is>
      </c>
      <c r="H263">
        <v>6</v>
      </c>
      <c r="I263">
        <v>2</v>
      </c>
      <c r="J263">
        <v>0</v>
      </c>
      <c r="K263">
        <v>8</v>
      </c>
      <c r="L263">
        <v>60</v>
      </c>
      <c r="M263">
        <v>4</v>
      </c>
      <c r="N263" t="inlineStr">
        <is>
          <t>Coef</t>
        </is>
      </c>
    </row>
    <row r="264">
      <c r="A264" t="inlineStr">
        <is>
          <t>Soins obstétricaux</t>
        </is>
      </c>
      <c r="B264" t="inlineStr">
        <is>
          <t>L2</t>
        </is>
      </c>
      <c r="C264" t="inlineStr">
        <is>
          <t>4</t>
        </is>
      </c>
      <c r="D264" t="inlineStr">
        <is>
          <t>28</t>
        </is>
      </c>
      <c r="E264" t="inlineStr">
        <is>
          <t>Soins de sage femme en milieu communautaire</t>
        </is>
      </c>
      <c r="F264" t="inlineStr">
        <is>
          <t>Soins à domicile, en milieu communautaire et soins palliatifs</t>
        </is>
      </c>
      <c r="H264">
        <v>4</v>
      </c>
      <c r="I264">
        <v>2</v>
      </c>
      <c r="J264">
        <v>0</v>
      </c>
      <c r="K264">
        <v>6</v>
      </c>
      <c r="L264">
        <v>60</v>
      </c>
      <c r="M264">
        <v>4</v>
      </c>
      <c r="N264" t="inlineStr">
        <is>
          <t>Coef</t>
        </is>
      </c>
    </row>
    <row r="265">
      <c r="A265" t="inlineStr">
        <is>
          <t>Soins obstétricaux</t>
        </is>
      </c>
      <c r="B265" t="inlineStr">
        <is>
          <t>L2</t>
        </is>
      </c>
      <c r="C265" t="inlineStr">
        <is>
          <t>4</t>
        </is>
      </c>
      <c r="D265" t="inlineStr">
        <is>
          <t>28</t>
        </is>
      </c>
      <c r="E265" t="inlineStr">
        <is>
          <t>Soins de sage femme en milieu communautaire</t>
        </is>
      </c>
      <c r="F265" t="inlineStr">
        <is>
          <t>Soins infirmiers et obstétricale en médecine de travail</t>
        </is>
      </c>
      <c r="H265">
        <v>4</v>
      </c>
      <c r="I265">
        <v>2</v>
      </c>
      <c r="J265">
        <v>0</v>
      </c>
      <c r="K265">
        <v>6</v>
      </c>
      <c r="L265">
        <v>60</v>
      </c>
      <c r="M265">
        <v>4</v>
      </c>
      <c r="N265" t="inlineStr">
        <is>
          <t>Coef</t>
        </is>
      </c>
    </row>
    <row r="266">
      <c r="A266" t="inlineStr">
        <is>
          <t>Soins obstétricaux</t>
        </is>
      </c>
      <c r="B266" t="inlineStr">
        <is>
          <t>L2</t>
        </is>
      </c>
      <c r="C266" t="inlineStr">
        <is>
          <t>4</t>
        </is>
      </c>
      <c r="D266" t="inlineStr">
        <is>
          <t>28</t>
        </is>
      </c>
      <c r="E266" t="inlineStr">
        <is>
          <t>Soins de sage femme en milieu communautaire</t>
        </is>
      </c>
      <c r="F266" t="inlineStr">
        <is>
          <t>Soins infirmiers et obstétricale en médecine de catastrophe</t>
        </is>
      </c>
      <c r="H266">
        <v>6</v>
      </c>
      <c r="I266">
        <v>2</v>
      </c>
      <c r="J266">
        <v>0</v>
      </c>
      <c r="K266">
        <v>8</v>
      </c>
      <c r="L266">
        <v>60</v>
      </c>
      <c r="M266">
        <v>4</v>
      </c>
      <c r="N266" t="inlineStr">
        <is>
          <t>Coef</t>
        </is>
      </c>
    </row>
    <row r="267">
      <c r="A267" t="inlineStr">
        <is>
          <t>Soins obstétricaux</t>
        </is>
      </c>
      <c r="B267" t="inlineStr">
        <is>
          <t>L2</t>
        </is>
      </c>
      <c r="C267" t="inlineStr">
        <is>
          <t>4</t>
        </is>
      </c>
      <c r="D267" t="inlineStr">
        <is>
          <t>30</t>
        </is>
      </c>
      <c r="E267" t="inlineStr">
        <is>
          <t>Soins obstétricaux et néonataux d’urgence/1</t>
        </is>
      </c>
      <c r="F267" t="inlineStr">
        <is>
          <t>Consultation prénatale recentrée</t>
        </is>
      </c>
      <c r="H267">
        <v>18</v>
      </c>
      <c r="I267">
        <v>2</v>
      </c>
      <c r="J267">
        <v>0</v>
      </c>
      <c r="K267">
        <v>20</v>
      </c>
      <c r="L267">
        <v>70</v>
      </c>
      <c r="M267">
        <v>5</v>
      </c>
      <c r="N267" t="inlineStr">
        <is>
          <t>Coef</t>
        </is>
      </c>
    </row>
    <row r="268">
      <c r="A268" t="inlineStr">
        <is>
          <t>Soins obstétricaux</t>
        </is>
      </c>
      <c r="B268" t="inlineStr">
        <is>
          <t>L2</t>
        </is>
      </c>
      <c r="C268" t="inlineStr">
        <is>
          <t>4</t>
        </is>
      </c>
      <c r="D268" t="inlineStr">
        <is>
          <t>30</t>
        </is>
      </c>
      <c r="E268" t="inlineStr">
        <is>
          <t>Soins obstétricaux et néonataux d’urgence/1</t>
        </is>
      </c>
      <c r="F268" t="inlineStr">
        <is>
          <t>Accouchement à risque</t>
        </is>
      </c>
      <c r="H268">
        <v>18</v>
      </c>
      <c r="I268">
        <v>2</v>
      </c>
      <c r="J268">
        <v>0</v>
      </c>
      <c r="K268">
        <v>20</v>
      </c>
      <c r="L268">
        <v>70</v>
      </c>
      <c r="M268">
        <v>5</v>
      </c>
      <c r="N268" t="inlineStr">
        <is>
          <t>Coef</t>
        </is>
      </c>
    </row>
    <row r="269">
      <c r="A269" t="inlineStr">
        <is>
          <t>Soins obstétricaux</t>
        </is>
      </c>
      <c r="B269" t="inlineStr">
        <is>
          <t>L2</t>
        </is>
      </c>
      <c r="C269" t="inlineStr">
        <is>
          <t>4</t>
        </is>
      </c>
      <c r="D269" t="inlineStr">
        <is>
          <t>30</t>
        </is>
      </c>
      <c r="E269" t="inlineStr">
        <is>
          <t>Soins obstétricaux et néonataux d’urgence/1</t>
        </is>
      </c>
      <c r="F269" t="inlineStr">
        <is>
          <t>Soins obstétricaux d’urgence de base (SONUB)</t>
        </is>
      </c>
      <c r="H269">
        <v>18</v>
      </c>
      <c r="I269">
        <v>2</v>
      </c>
      <c r="J269">
        <v>0</v>
      </c>
      <c r="K269">
        <v>20</v>
      </c>
      <c r="L269">
        <v>70</v>
      </c>
      <c r="M269">
        <v>5</v>
      </c>
      <c r="N269" t="inlineStr">
        <is>
          <t>Coef</t>
        </is>
      </c>
    </row>
    <row r="270">
      <c r="A270" t="inlineStr">
        <is>
          <t>Soins obstétricaux</t>
        </is>
      </c>
      <c r="B270" t="inlineStr">
        <is>
          <t>L2</t>
        </is>
      </c>
      <c r="C270" t="inlineStr">
        <is>
          <t>4</t>
        </is>
      </c>
      <c r="D270" t="inlineStr">
        <is>
          <t>30</t>
        </is>
      </c>
      <c r="E270" t="inlineStr">
        <is>
          <t>Soins obstétricaux et néonataux d’urgence/1</t>
        </is>
      </c>
      <c r="F270" t="inlineStr">
        <is>
          <t>Stratégie nationale de santé périnatale et néonatale et audits des décès maternels (SPNN)</t>
        </is>
      </c>
      <c r="H270">
        <v>8</v>
      </c>
      <c r="I270">
        <v>2</v>
      </c>
      <c r="J270">
        <v>0</v>
      </c>
      <c r="K270">
        <v>10</v>
      </c>
      <c r="L270">
        <v>70</v>
      </c>
      <c r="M270">
        <v>5</v>
      </c>
      <c r="N270" t="inlineStr">
        <is>
          <t>Coef</t>
        </is>
      </c>
    </row>
    <row r="271">
      <c r="A271" t="inlineStr">
        <is>
          <t>Soins obstétricaux</t>
        </is>
      </c>
      <c r="B271" t="inlineStr">
        <is>
          <t>L2</t>
        </is>
      </c>
      <c r="C271" t="inlineStr">
        <is>
          <t>4</t>
        </is>
      </c>
      <c r="D271" t="inlineStr">
        <is>
          <t>31</t>
        </is>
      </c>
      <c r="E271" t="inlineStr">
        <is>
          <t>Introduction à la recherche</t>
        </is>
      </c>
      <c r="F271" t="inlineStr">
        <is>
          <t>Fondements de la recherche en soins infirmiers et pratique basée sur des données factuelles</t>
        </is>
      </c>
      <c r="H271">
        <v>8</v>
      </c>
      <c r="I271">
        <v>2</v>
      </c>
      <c r="J271">
        <v>0</v>
      </c>
      <c r="K271">
        <v>10</v>
      </c>
      <c r="L271">
        <v>30</v>
      </c>
      <c r="M271">
        <v>2</v>
      </c>
      <c r="N271" t="inlineStr">
        <is>
          <t>Coef</t>
        </is>
      </c>
    </row>
    <row r="272">
      <c r="A272" t="inlineStr">
        <is>
          <t>Soins obstétricaux</t>
        </is>
      </c>
      <c r="B272" t="inlineStr">
        <is>
          <t>L2</t>
        </is>
      </c>
      <c r="C272" t="inlineStr">
        <is>
          <t>4</t>
        </is>
      </c>
      <c r="D272" t="inlineStr">
        <is>
          <t>31</t>
        </is>
      </c>
      <c r="E272" t="inlineStr">
        <is>
          <t>Introduction à la recherche</t>
        </is>
      </c>
      <c r="F272" t="inlineStr">
        <is>
          <t>Conceptualisation des problèmes, questions et hypothèses de recherche</t>
        </is>
      </c>
      <c r="H272">
        <v>10</v>
      </c>
      <c r="I272">
        <v>2</v>
      </c>
      <c r="J272">
        <v>4</v>
      </c>
      <c r="K272">
        <v>16</v>
      </c>
      <c r="L272">
        <v>30</v>
      </c>
      <c r="M272">
        <v>2</v>
      </c>
      <c r="N272" t="inlineStr">
        <is>
          <t>Coef</t>
        </is>
      </c>
    </row>
    <row r="273">
      <c r="A273" t="inlineStr">
        <is>
          <t>Soins obstétricaux</t>
        </is>
      </c>
      <c r="B273" t="inlineStr">
        <is>
          <t>L2</t>
        </is>
      </c>
      <c r="C273" t="inlineStr">
        <is>
          <t>4</t>
        </is>
      </c>
      <c r="D273" t="inlineStr">
        <is>
          <t>31</t>
        </is>
      </c>
      <c r="E273" t="inlineStr">
        <is>
          <t>Introduction à la recherche</t>
        </is>
      </c>
      <c r="F273" t="inlineStr">
        <is>
          <t>Ethique de la recherche</t>
        </is>
      </c>
      <c r="H273">
        <v>4</v>
      </c>
      <c r="I273">
        <v>0</v>
      </c>
      <c r="J273">
        <v>0</v>
      </c>
      <c r="K273">
        <v>4</v>
      </c>
      <c r="L273">
        <v>30</v>
      </c>
      <c r="M273">
        <v>2</v>
      </c>
      <c r="N273" t="inlineStr">
        <is>
          <t>Coef</t>
        </is>
      </c>
    </row>
    <row r="274">
      <c r="A274" t="inlineStr">
        <is>
          <t>Soins obstétricaux</t>
        </is>
      </c>
      <c r="B274" t="inlineStr">
        <is>
          <t>L2</t>
        </is>
      </c>
      <c r="C274" t="inlineStr">
        <is>
          <t>4</t>
        </is>
      </c>
      <c r="D274" t="inlineStr">
        <is>
          <t>33</t>
        </is>
      </c>
      <c r="E274" t="inlineStr">
        <is>
          <t>Soins promotionnels préventifs et adaptatifs/2</t>
        </is>
      </c>
      <c r="F274" t="inlineStr">
        <is>
          <t>Troisième âge, andropause, ménopause</t>
        </is>
      </c>
      <c r="H274">
        <v>8</v>
      </c>
      <c r="I274">
        <v>2</v>
      </c>
      <c r="J274">
        <v>0</v>
      </c>
      <c r="K274">
        <v>10</v>
      </c>
      <c r="L274">
        <v>56</v>
      </c>
      <c r="M274">
        <v>4</v>
      </c>
      <c r="N274" t="inlineStr">
        <is>
          <t>Coef</t>
        </is>
      </c>
    </row>
    <row r="275">
      <c r="A275" t="inlineStr">
        <is>
          <t>Soins obstétricaux</t>
        </is>
      </c>
      <c r="B275" t="inlineStr">
        <is>
          <t>L2</t>
        </is>
      </c>
      <c r="C275" t="inlineStr">
        <is>
          <t>4</t>
        </is>
      </c>
      <c r="D275" t="inlineStr">
        <is>
          <t>33</t>
        </is>
      </c>
      <c r="E275" t="inlineStr">
        <is>
          <t>Soins promotionnels préventifs et adaptatifs/2</t>
        </is>
      </c>
      <c r="F275" t="inlineStr">
        <is>
          <t>Addictologie (drogue, alcoolisme, tabagisme)</t>
        </is>
      </c>
      <c r="H275">
        <v>18</v>
      </c>
      <c r="I275">
        <v>4</v>
      </c>
      <c r="J275">
        <v>0</v>
      </c>
      <c r="K275">
        <v>22</v>
      </c>
      <c r="L275">
        <v>56</v>
      </c>
      <c r="M275">
        <v>4</v>
      </c>
      <c r="N275" t="inlineStr">
        <is>
          <t>Coef</t>
        </is>
      </c>
    </row>
    <row r="276">
      <c r="A276" t="inlineStr">
        <is>
          <t>Soins obstétricaux</t>
        </is>
      </c>
      <c r="B276" t="inlineStr">
        <is>
          <t>L2</t>
        </is>
      </c>
      <c r="C276" t="inlineStr">
        <is>
          <t>4</t>
        </is>
      </c>
      <c r="D276" t="inlineStr">
        <is>
          <t>33</t>
        </is>
      </c>
      <c r="E276" t="inlineStr">
        <is>
          <t>Soins promotionnels préventifs et adaptatifs/2</t>
        </is>
      </c>
      <c r="F276" t="inlineStr">
        <is>
          <t>Allaitement maternel</t>
        </is>
      </c>
      <c r="H276">
        <v>8</v>
      </c>
      <c r="I276">
        <v>2</v>
      </c>
      <c r="J276">
        <v>0</v>
      </c>
      <c r="K276">
        <v>10</v>
      </c>
      <c r="L276">
        <v>56</v>
      </c>
      <c r="M276">
        <v>4</v>
      </c>
      <c r="N276" t="inlineStr">
        <is>
          <t>Coef</t>
        </is>
      </c>
    </row>
    <row r="277">
      <c r="A277" t="inlineStr">
        <is>
          <t>Soins obstétricaux</t>
        </is>
      </c>
      <c r="B277" t="inlineStr">
        <is>
          <t>L2</t>
        </is>
      </c>
      <c r="C277" t="inlineStr">
        <is>
          <t>4</t>
        </is>
      </c>
      <c r="D277" t="inlineStr">
        <is>
          <t>33</t>
        </is>
      </c>
      <c r="E277" t="inlineStr">
        <is>
          <t>Soins promotionnels préventifs et adaptatifs/2</t>
        </is>
      </c>
      <c r="F277" t="inlineStr">
        <is>
          <t>Rééducation périnéale post natale</t>
        </is>
      </c>
      <c r="H277">
        <v>6</v>
      </c>
      <c r="I277">
        <v>2</v>
      </c>
      <c r="J277">
        <v>6</v>
      </c>
      <c r="K277">
        <v>14</v>
      </c>
      <c r="L277">
        <v>56</v>
      </c>
      <c r="M277">
        <v>4</v>
      </c>
      <c r="N277" t="inlineStr">
        <is>
          <t>Coef</t>
        </is>
      </c>
    </row>
    <row r="278">
      <c r="A278" t="inlineStr">
        <is>
          <t>Soins obstétricaux</t>
        </is>
      </c>
      <c r="B278" t="inlineStr">
        <is>
          <t>L3</t>
        </is>
      </c>
      <c r="C278" t="inlineStr">
        <is>
          <t>5</t>
        </is>
      </c>
      <c r="D278" t="inlineStr">
        <is>
          <t>34</t>
        </is>
      </c>
      <c r="E278" t="inlineStr">
        <is>
          <t>Leadership et Gestion des services de santé</t>
        </is>
      </c>
      <c r="F278" t="inlineStr">
        <is>
          <t>Etablissements de soins de santé</t>
        </is>
      </c>
      <c r="H278">
        <v>2</v>
      </c>
      <c r="I278">
        <v>1</v>
      </c>
      <c r="J278">
        <v>0</v>
      </c>
      <c r="K278">
        <v>3</v>
      </c>
      <c r="L278">
        <v>30</v>
      </c>
      <c r="M278">
        <v>2</v>
      </c>
      <c r="N278" t="inlineStr">
        <is>
          <t>Coef</t>
        </is>
      </c>
    </row>
    <row r="279">
      <c r="A279" t="inlineStr">
        <is>
          <t>Soins obstétricaux</t>
        </is>
      </c>
      <c r="B279" t="inlineStr">
        <is>
          <t>L3</t>
        </is>
      </c>
      <c r="C279" t="inlineStr">
        <is>
          <t>5</t>
        </is>
      </c>
      <c r="D279" t="inlineStr">
        <is>
          <t>34</t>
        </is>
      </c>
      <c r="E279" t="inlineStr">
        <is>
          <t>Leadership et Gestion des services de santé</t>
        </is>
      </c>
      <c r="F279" t="inlineStr">
        <is>
          <t>Planification stratégique</t>
        </is>
      </c>
      <c r="H279">
        <v>2</v>
      </c>
      <c r="I279">
        <v>2</v>
      </c>
      <c r="J279">
        <v>0</v>
      </c>
      <c r="K279">
        <v>4</v>
      </c>
      <c r="L279">
        <v>30</v>
      </c>
      <c r="M279">
        <v>2</v>
      </c>
      <c r="N279" t="inlineStr">
        <is>
          <t>Coef</t>
        </is>
      </c>
    </row>
    <row r="280">
      <c r="A280" t="inlineStr">
        <is>
          <t>Soins obstétricaux</t>
        </is>
      </c>
      <c r="B280" t="inlineStr">
        <is>
          <t>L3</t>
        </is>
      </c>
      <c r="C280" t="inlineStr">
        <is>
          <t>5</t>
        </is>
      </c>
      <c r="D280" t="inlineStr">
        <is>
          <t>34</t>
        </is>
      </c>
      <c r="E280" t="inlineStr">
        <is>
          <t>Leadership et Gestion des services de santé</t>
        </is>
      </c>
      <c r="F280" t="inlineStr">
        <is>
          <t>Gestion des ressources humaines</t>
        </is>
      </c>
      <c r="H280">
        <v>4</v>
      </c>
      <c r="I280">
        <v>2</v>
      </c>
      <c r="J280">
        <v>0</v>
      </c>
      <c r="K280">
        <v>6</v>
      </c>
      <c r="L280">
        <v>30</v>
      </c>
      <c r="M280">
        <v>2</v>
      </c>
      <c r="N280" t="inlineStr">
        <is>
          <t>Coef</t>
        </is>
      </c>
    </row>
    <row r="281">
      <c r="A281" t="inlineStr">
        <is>
          <t>Soins obstétricaux</t>
        </is>
      </c>
      <c r="B281" t="inlineStr">
        <is>
          <t>L3</t>
        </is>
      </c>
      <c r="C281" t="inlineStr">
        <is>
          <t>5</t>
        </is>
      </c>
      <c r="D281" t="inlineStr">
        <is>
          <t>34</t>
        </is>
      </c>
      <c r="E281" t="inlineStr">
        <is>
          <t>Leadership et Gestion des services de santé</t>
        </is>
      </c>
      <c r="F281" t="inlineStr">
        <is>
          <t>Gestion de la performance</t>
        </is>
      </c>
      <c r="H281">
        <v>4</v>
      </c>
      <c r="I281">
        <v>2</v>
      </c>
      <c r="J281">
        <v>0</v>
      </c>
      <c r="K281">
        <v>6</v>
      </c>
      <c r="L281">
        <v>30</v>
      </c>
      <c r="M281">
        <v>2</v>
      </c>
      <c r="N281" t="inlineStr">
        <is>
          <t>Coef</t>
        </is>
      </c>
    </row>
    <row r="282">
      <c r="A282" t="inlineStr">
        <is>
          <t>Soins obstétricaux</t>
        </is>
      </c>
      <c r="B282" t="inlineStr">
        <is>
          <t>L3</t>
        </is>
      </c>
      <c r="C282" t="inlineStr">
        <is>
          <t>5</t>
        </is>
      </c>
      <c r="D282" t="inlineStr">
        <is>
          <t>34</t>
        </is>
      </c>
      <c r="E282" t="inlineStr">
        <is>
          <t>Leadership et Gestion des services de santé</t>
        </is>
      </c>
      <c r="F282" t="inlineStr">
        <is>
          <t>Gestion des finances</t>
        </is>
      </c>
      <c r="H282">
        <v>4</v>
      </c>
      <c r="I282">
        <v>2</v>
      </c>
      <c r="J282">
        <v>0</v>
      </c>
      <c r="K282">
        <v>6</v>
      </c>
      <c r="L282">
        <v>30</v>
      </c>
      <c r="M282">
        <v>2</v>
      </c>
      <c r="N282" t="inlineStr">
        <is>
          <t>Coef</t>
        </is>
      </c>
    </row>
    <row r="283">
      <c r="A283" t="inlineStr">
        <is>
          <t>Soins obstétricaux</t>
        </is>
      </c>
      <c r="B283" t="inlineStr">
        <is>
          <t>L3</t>
        </is>
      </c>
      <c r="C283" t="inlineStr">
        <is>
          <t>5</t>
        </is>
      </c>
      <c r="D283" t="inlineStr">
        <is>
          <t>34</t>
        </is>
      </c>
      <c r="E283" t="inlineStr">
        <is>
          <t>Leadership et Gestion des services de santé</t>
        </is>
      </c>
      <c r="F283" t="inlineStr">
        <is>
          <t>Direction et gestion des soins infirmiers</t>
        </is>
      </c>
      <c r="H283">
        <v>4</v>
      </c>
      <c r="I283">
        <v>1</v>
      </c>
      <c r="J283">
        <v>0</v>
      </c>
      <c r="K283">
        <v>5</v>
      </c>
      <c r="L283">
        <v>30</v>
      </c>
      <c r="M283">
        <v>2</v>
      </c>
      <c r="N283" t="inlineStr">
        <is>
          <t>Coef</t>
        </is>
      </c>
    </row>
    <row r="284">
      <c r="A284" t="inlineStr">
        <is>
          <t>Soins obstétricaux</t>
        </is>
      </c>
      <c r="B284" t="inlineStr">
        <is>
          <t>L3</t>
        </is>
      </c>
      <c r="C284" t="inlineStr">
        <is>
          <t>5</t>
        </is>
      </c>
      <c r="D284" t="inlineStr">
        <is>
          <t>36</t>
        </is>
      </c>
      <c r="E284" t="inlineStr">
        <is>
          <t>Prise en charge psychologique et sociale des victimes de violences et traumatismes</t>
        </is>
      </c>
      <c r="F284" t="inlineStr">
        <is>
          <t>Psychologie et psycho-traumatologie</t>
        </is>
      </c>
      <c r="H284">
        <v>6</v>
      </c>
      <c r="I284">
        <v>2</v>
      </c>
      <c r="J284">
        <v>0</v>
      </c>
      <c r="K284">
        <v>8</v>
      </c>
      <c r="L284">
        <v>22</v>
      </c>
      <c r="M284">
        <v>1</v>
      </c>
      <c r="N284" t="inlineStr">
        <is>
          <t>Coef</t>
        </is>
      </c>
    </row>
    <row r="285">
      <c r="A285" t="inlineStr">
        <is>
          <t>Soins obstétricaux</t>
        </is>
      </c>
      <c r="B285" t="inlineStr">
        <is>
          <t>L3</t>
        </is>
      </c>
      <c r="C285" t="inlineStr">
        <is>
          <t>5</t>
        </is>
      </c>
      <c r="D285" t="inlineStr">
        <is>
          <t>36</t>
        </is>
      </c>
      <c r="E285" t="inlineStr">
        <is>
          <t>Prise en charge psychologique et sociale des victimes de violences et traumatismes</t>
        </is>
      </c>
      <c r="F285" t="inlineStr">
        <is>
          <t>Violences basées sur le genre</t>
        </is>
      </c>
      <c r="H285">
        <v>6</v>
      </c>
      <c r="I285">
        <v>2</v>
      </c>
      <c r="J285">
        <v>0</v>
      </c>
      <c r="K285">
        <v>8</v>
      </c>
      <c r="L285">
        <v>22</v>
      </c>
      <c r="M285">
        <v>1</v>
      </c>
      <c r="N285" t="inlineStr">
        <is>
          <t>Coef</t>
        </is>
      </c>
    </row>
    <row r="286">
      <c r="A286" t="inlineStr">
        <is>
          <t>Soins obstétricaux</t>
        </is>
      </c>
      <c r="B286" t="inlineStr">
        <is>
          <t>L3</t>
        </is>
      </c>
      <c r="C286" t="inlineStr">
        <is>
          <t>5</t>
        </is>
      </c>
      <c r="D286" t="inlineStr">
        <is>
          <t>36</t>
        </is>
      </c>
      <c r="E286" t="inlineStr">
        <is>
          <t>Prise en charge psychologique et sociale des victimes de violences et traumatismes</t>
        </is>
      </c>
      <c r="F286" t="inlineStr">
        <is>
          <t>Participation communautaire</t>
        </is>
      </c>
      <c r="H286">
        <v>4</v>
      </c>
      <c r="I286">
        <v>2</v>
      </c>
      <c r="J286">
        <v>0</v>
      </c>
      <c r="K286">
        <v>6</v>
      </c>
      <c r="L286">
        <v>22</v>
      </c>
      <c r="M286">
        <v>1</v>
      </c>
      <c r="N286" t="inlineStr">
        <is>
          <t>Coef</t>
        </is>
      </c>
    </row>
    <row r="287">
      <c r="A287" t="inlineStr">
        <is>
          <t>Soins obstétricaux</t>
        </is>
      </c>
      <c r="B287" t="inlineStr">
        <is>
          <t>L3</t>
        </is>
      </c>
      <c r="C287" t="inlineStr">
        <is>
          <t>5</t>
        </is>
      </c>
      <c r="D287" t="inlineStr">
        <is>
          <t>37</t>
        </is>
      </c>
      <c r="E287" t="inlineStr">
        <is>
          <t>Imagerie médicale</t>
        </is>
      </c>
      <c r="F287" t="inlineStr">
        <is>
          <t>Introduction à l'imagerie médicale</t>
        </is>
      </c>
      <c r="H287">
        <v>2</v>
      </c>
      <c r="I287">
        <v>0</v>
      </c>
      <c r="J287">
        <v>0</v>
      </c>
      <c r="K287">
        <v>2</v>
      </c>
      <c r="L287">
        <v>30</v>
      </c>
      <c r="M287">
        <v>2</v>
      </c>
      <c r="N287" t="inlineStr">
        <is>
          <t>Coef</t>
        </is>
      </c>
    </row>
    <row r="288">
      <c r="A288" t="inlineStr">
        <is>
          <t>Soins obstétricaux</t>
        </is>
      </c>
      <c r="B288" t="inlineStr">
        <is>
          <t>L3</t>
        </is>
      </c>
      <c r="C288" t="inlineStr">
        <is>
          <t>5</t>
        </is>
      </c>
      <c r="D288" t="inlineStr">
        <is>
          <t>37</t>
        </is>
      </c>
      <c r="E288" t="inlineStr">
        <is>
          <t>Imagerie médicale</t>
        </is>
      </c>
      <c r="F288" t="inlineStr">
        <is>
          <t>Types d'imagerie</t>
        </is>
      </c>
      <c r="H288">
        <v>6</v>
      </c>
      <c r="I288">
        <v>2</v>
      </c>
      <c r="J288">
        <v>0</v>
      </c>
      <c r="K288">
        <v>8</v>
      </c>
      <c r="L288">
        <v>30</v>
      </c>
      <c r="M288">
        <v>2</v>
      </c>
      <c r="N288" t="inlineStr">
        <is>
          <t>Coef</t>
        </is>
      </c>
    </row>
    <row r="289">
      <c r="A289" t="inlineStr">
        <is>
          <t>Soins obstétricaux</t>
        </is>
      </c>
      <c r="B289" t="inlineStr">
        <is>
          <t>L3</t>
        </is>
      </c>
      <c r="C289" t="inlineStr">
        <is>
          <t>5</t>
        </is>
      </c>
      <c r="D289" t="inlineStr">
        <is>
          <t>37</t>
        </is>
      </c>
      <c r="E289" t="inlineStr">
        <is>
          <t>Imagerie médicale</t>
        </is>
      </c>
      <c r="F289" t="inlineStr">
        <is>
          <t>Techniques d'imagerie</t>
        </is>
      </c>
      <c r="H289">
        <v>6</v>
      </c>
      <c r="I289">
        <v>2</v>
      </c>
      <c r="J289">
        <v>0</v>
      </c>
      <c r="K289">
        <v>8</v>
      </c>
      <c r="L289">
        <v>30</v>
      </c>
      <c r="M289">
        <v>2</v>
      </c>
      <c r="N289" t="inlineStr">
        <is>
          <t>Coef</t>
        </is>
      </c>
    </row>
    <row r="290">
      <c r="A290" t="inlineStr">
        <is>
          <t>Soins obstétricaux</t>
        </is>
      </c>
      <c r="B290" t="inlineStr">
        <is>
          <t>L3</t>
        </is>
      </c>
      <c r="C290" t="inlineStr">
        <is>
          <t>5</t>
        </is>
      </c>
      <c r="D290" t="inlineStr">
        <is>
          <t>37</t>
        </is>
      </c>
      <c r="E290" t="inlineStr">
        <is>
          <t>Imagerie médicale</t>
        </is>
      </c>
      <c r="F290" t="inlineStr">
        <is>
          <t>Sécurité et radioprotection</t>
        </is>
      </c>
      <c r="H290">
        <v>2</v>
      </c>
      <c r="I290">
        <v>1</v>
      </c>
      <c r="J290">
        <v>0</v>
      </c>
      <c r="K290">
        <v>3</v>
      </c>
      <c r="L290">
        <v>30</v>
      </c>
      <c r="M290">
        <v>2</v>
      </c>
      <c r="N290" t="inlineStr">
        <is>
          <t>Coef</t>
        </is>
      </c>
    </row>
    <row r="291">
      <c r="A291" t="inlineStr">
        <is>
          <t>Soins obstétricaux</t>
        </is>
      </c>
      <c r="B291" t="inlineStr">
        <is>
          <t>L3</t>
        </is>
      </c>
      <c r="C291" t="inlineStr">
        <is>
          <t>5</t>
        </is>
      </c>
      <c r="D291" t="inlineStr">
        <is>
          <t>37</t>
        </is>
      </c>
      <c r="E291" t="inlineStr">
        <is>
          <t>Imagerie médicale</t>
        </is>
      </c>
      <c r="F291" t="inlineStr">
        <is>
          <t>Interprétation des résultats</t>
        </is>
      </c>
      <c r="H291">
        <v>4</v>
      </c>
      <c r="I291">
        <v>2</v>
      </c>
      <c r="J291">
        <v>0</v>
      </c>
      <c r="K291">
        <v>6</v>
      </c>
      <c r="L291">
        <v>30</v>
      </c>
      <c r="M291">
        <v>2</v>
      </c>
      <c r="N291" t="inlineStr">
        <is>
          <t>Coef</t>
        </is>
      </c>
    </row>
    <row r="292">
      <c r="A292" t="inlineStr">
        <is>
          <t>Soins obstétricaux</t>
        </is>
      </c>
      <c r="B292" t="inlineStr">
        <is>
          <t>L3</t>
        </is>
      </c>
      <c r="C292" t="inlineStr">
        <is>
          <t>5</t>
        </is>
      </c>
      <c r="D292" t="inlineStr">
        <is>
          <t>37</t>
        </is>
      </c>
      <c r="E292" t="inlineStr">
        <is>
          <t>Imagerie médicale</t>
        </is>
      </c>
      <c r="F292" t="inlineStr">
        <is>
          <t>Aspects éthiques et légaux</t>
        </is>
      </c>
      <c r="H292">
        <v>2</v>
      </c>
      <c r="I292">
        <v>1</v>
      </c>
      <c r="J292">
        <v>0</v>
      </c>
      <c r="K292">
        <v>3</v>
      </c>
      <c r="L292">
        <v>30</v>
      </c>
      <c r="M292">
        <v>2</v>
      </c>
      <c r="N292" t="inlineStr">
        <is>
          <t>Coef</t>
        </is>
      </c>
    </row>
    <row r="293">
      <c r="A293" t="inlineStr">
        <is>
          <t>Soins obstétricaux</t>
        </is>
      </c>
      <c r="B293" t="inlineStr">
        <is>
          <t>L3</t>
        </is>
      </c>
      <c r="C293" t="inlineStr">
        <is>
          <t>5</t>
        </is>
      </c>
      <c r="D293" t="inlineStr">
        <is>
          <t>38</t>
        </is>
      </c>
      <c r="E293" t="inlineStr">
        <is>
          <t>Initiation à la recherche</t>
        </is>
      </c>
      <c r="F293" t="inlineStr">
        <is>
          <t>Processus de recherche</t>
        </is>
      </c>
      <c r="H293">
        <v>10</v>
      </c>
      <c r="I293">
        <v>2</v>
      </c>
      <c r="J293">
        <v>0</v>
      </c>
      <c r="K293">
        <v>12</v>
      </c>
      <c r="L293">
        <v>26</v>
      </c>
      <c r="M293">
        <v>1</v>
      </c>
      <c r="N293" t="inlineStr">
        <is>
          <t>Coef</t>
        </is>
      </c>
    </row>
    <row r="294">
      <c r="A294" t="inlineStr">
        <is>
          <t>Soins obstétricaux</t>
        </is>
      </c>
      <c r="B294" t="inlineStr">
        <is>
          <t>L3</t>
        </is>
      </c>
      <c r="C294" t="inlineStr">
        <is>
          <t>5</t>
        </is>
      </c>
      <c r="D294" t="inlineStr">
        <is>
          <t>38</t>
        </is>
      </c>
      <c r="E294" t="inlineStr">
        <is>
          <t>Initiation à la recherche</t>
        </is>
      </c>
      <c r="F294" t="inlineStr">
        <is>
          <t>Méthodes statistiques</t>
        </is>
      </c>
      <c r="H294">
        <v>4</v>
      </c>
      <c r="I294">
        <v>4</v>
      </c>
      <c r="J294">
        <v>0</v>
      </c>
      <c r="K294">
        <v>8</v>
      </c>
      <c r="L294">
        <v>26</v>
      </c>
      <c r="M294">
        <v>1</v>
      </c>
      <c r="N294" t="inlineStr">
        <is>
          <t>Coef</t>
        </is>
      </c>
    </row>
    <row r="295">
      <c r="A295" t="inlineStr">
        <is>
          <t>Soins obstétricaux</t>
        </is>
      </c>
      <c r="B295" t="inlineStr">
        <is>
          <t>L3</t>
        </is>
      </c>
      <c r="C295" t="inlineStr">
        <is>
          <t>5</t>
        </is>
      </c>
      <c r="D295" t="inlineStr">
        <is>
          <t>38</t>
        </is>
      </c>
      <c r="E295" t="inlineStr">
        <is>
          <t>Initiation à la recherche</t>
        </is>
      </c>
      <c r="F295" t="inlineStr">
        <is>
          <t>Rédaction du travail de fin d’étude</t>
        </is>
      </c>
      <c r="H295">
        <v>4</v>
      </c>
      <c r="I295">
        <v>2</v>
      </c>
      <c r="J295">
        <v>0</v>
      </c>
      <c r="K295">
        <v>6</v>
      </c>
      <c r="L295">
        <v>26</v>
      </c>
      <c r="M295">
        <v>1</v>
      </c>
      <c r="N295" t="inlineStr">
        <is>
          <t>Coef</t>
        </is>
      </c>
    </row>
    <row r="296">
      <c r="A296" t="inlineStr">
        <is>
          <t>Soins obstétricaux</t>
        </is>
      </c>
      <c r="B296" t="inlineStr">
        <is>
          <t>L3</t>
        </is>
      </c>
      <c r="C296" t="inlineStr">
        <is>
          <t>5</t>
        </is>
      </c>
      <c r="D296" t="inlineStr">
        <is>
          <t>39</t>
        </is>
      </c>
      <c r="E296" t="inlineStr">
        <is>
          <t>Soins obstétricaux et néonataux d’urgence/2</t>
        </is>
      </c>
      <c r="F296" t="inlineStr">
        <is>
          <t>Réanimation néonatale en salle de naissance</t>
        </is>
      </c>
      <c r="H296">
        <v>26</v>
      </c>
      <c r="I296">
        <v>4</v>
      </c>
      <c r="J296">
        <v>0</v>
      </c>
      <c r="K296">
        <v>30</v>
      </c>
      <c r="L296">
        <v>60</v>
      </c>
      <c r="M296">
        <v>4</v>
      </c>
      <c r="N296" t="inlineStr">
        <is>
          <t>Coef</t>
        </is>
      </c>
    </row>
    <row r="297">
      <c r="A297" t="inlineStr">
        <is>
          <t>Soins obstétricaux</t>
        </is>
      </c>
      <c r="B297" t="inlineStr">
        <is>
          <t>L3</t>
        </is>
      </c>
      <c r="C297" t="inlineStr">
        <is>
          <t>5</t>
        </is>
      </c>
      <c r="D297" t="inlineStr">
        <is>
          <t>39</t>
        </is>
      </c>
      <c r="E297" t="inlineStr">
        <is>
          <t>Soins obstétricaux et néonataux d’urgence/2</t>
        </is>
      </c>
      <c r="F297" t="inlineStr">
        <is>
          <t>SONUC : Soins obstétricaux et néonataux d’urgence complets</t>
        </is>
      </c>
      <c r="H297">
        <v>26</v>
      </c>
      <c r="I297">
        <v>4</v>
      </c>
      <c r="J297">
        <v>0</v>
      </c>
      <c r="K297">
        <v>30</v>
      </c>
      <c r="L297">
        <v>60</v>
      </c>
      <c r="M297">
        <v>4</v>
      </c>
      <c r="N297" t="inlineStr">
        <is>
          <t>Coef</t>
        </is>
      </c>
    </row>
    <row r="298">
      <c r="A298" t="inlineStr">
        <is>
          <t>Soins obstétricaux</t>
        </is>
      </c>
      <c r="B298" t="inlineStr">
        <is>
          <t>L3</t>
        </is>
      </c>
      <c r="C298" t="inlineStr">
        <is>
          <t>5</t>
        </is>
      </c>
      <c r="D298" t="inlineStr">
        <is>
          <t>40</t>
        </is>
      </c>
      <c r="E298" t="inlineStr">
        <is>
          <t>Pathologie spécifique et grossesse</t>
        </is>
      </c>
      <c r="F298" t="inlineStr">
        <is>
          <t>Approche syndromique</t>
        </is>
      </c>
      <c r="H298">
        <v>4</v>
      </c>
      <c r="I298">
        <v>2</v>
      </c>
      <c r="J298">
        <v>0</v>
      </c>
      <c r="K298">
        <v>6</v>
      </c>
      <c r="L298">
        <v>108</v>
      </c>
      <c r="M298">
        <v>8</v>
      </c>
      <c r="N298" t="inlineStr">
        <is>
          <t>Coef</t>
        </is>
      </c>
    </row>
    <row r="299">
      <c r="A299" t="inlineStr">
        <is>
          <t>Soins obstétricaux</t>
        </is>
      </c>
      <c r="B299" t="inlineStr">
        <is>
          <t>L3</t>
        </is>
      </c>
      <c r="C299" t="inlineStr">
        <is>
          <t>5</t>
        </is>
      </c>
      <c r="D299" t="inlineStr">
        <is>
          <t>40</t>
        </is>
      </c>
      <c r="E299" t="inlineStr">
        <is>
          <t>Pathologie spécifique et grossesse</t>
        </is>
      </c>
      <c r="F299" t="inlineStr">
        <is>
          <t>Pathologies spécifiques et grossesse</t>
        </is>
      </c>
      <c r="H299">
        <v>34</v>
      </c>
      <c r="I299">
        <v>8</v>
      </c>
      <c r="J299">
        <v>0</v>
      </c>
      <c r="K299">
        <v>42</v>
      </c>
      <c r="L299">
        <v>108</v>
      </c>
      <c r="M299">
        <v>8</v>
      </c>
      <c r="N299" t="inlineStr">
        <is>
          <t>Coef</t>
        </is>
      </c>
    </row>
    <row r="300">
      <c r="A300" t="inlineStr">
        <is>
          <t>Soins obstétricaux</t>
        </is>
      </c>
      <c r="B300" t="inlineStr">
        <is>
          <t>L3</t>
        </is>
      </c>
      <c r="C300" t="inlineStr">
        <is>
          <t>5</t>
        </is>
      </c>
      <c r="D300" t="inlineStr">
        <is>
          <t>40</t>
        </is>
      </c>
      <c r="E300" t="inlineStr">
        <is>
          <t>Pathologie spécifique et grossesse</t>
        </is>
      </c>
      <c r="F300" t="inlineStr">
        <is>
          <t>Pathologies gynécologiques</t>
        </is>
      </c>
      <c r="H300">
        <v>26</v>
      </c>
      <c r="I300">
        <v>4</v>
      </c>
      <c r="J300">
        <v>0</v>
      </c>
      <c r="K300">
        <v>30</v>
      </c>
      <c r="L300">
        <v>108</v>
      </c>
      <c r="M300">
        <v>8</v>
      </c>
      <c r="N300" t="inlineStr">
        <is>
          <t>Coef</t>
        </is>
      </c>
    </row>
    <row r="301">
      <c r="A301" t="inlineStr">
        <is>
          <t>Soins obstétricaux</t>
        </is>
      </c>
      <c r="B301" t="inlineStr">
        <is>
          <t>L3</t>
        </is>
      </c>
      <c r="C301" t="inlineStr">
        <is>
          <t>5</t>
        </is>
      </c>
      <c r="D301" t="inlineStr">
        <is>
          <t>40</t>
        </is>
      </c>
      <c r="E301" t="inlineStr">
        <is>
          <t>Pathologie spécifique et grossesse</t>
        </is>
      </c>
      <c r="F301" t="inlineStr">
        <is>
          <t>Pathologies obstétricales</t>
        </is>
      </c>
      <c r="H301">
        <v>26</v>
      </c>
      <c r="I301">
        <v>4</v>
      </c>
      <c r="J301">
        <v>0</v>
      </c>
      <c r="K301">
        <v>30</v>
      </c>
      <c r="L301">
        <v>108</v>
      </c>
      <c r="M301">
        <v>8</v>
      </c>
      <c r="N301" t="inlineStr">
        <is>
          <t>Coef</t>
        </is>
      </c>
    </row>
    <row r="302">
      <c r="A302" t="inlineStr">
        <is>
          <t>Soins obstétricaux</t>
        </is>
      </c>
      <c r="B302" t="inlineStr">
        <is>
          <t>L3</t>
        </is>
      </c>
      <c r="C302" t="inlineStr">
        <is>
          <t>5</t>
        </is>
      </c>
      <c r="D302" t="inlineStr">
        <is>
          <t>41</t>
        </is>
      </c>
      <c r="E302" t="inlineStr">
        <is>
          <t>Santé sexuelle et reproductive et droits connexes</t>
        </is>
      </c>
      <c r="F302" t="inlineStr">
        <is>
          <t>Concepts de base des droits sexuels et reproductifs</t>
        </is>
      </c>
      <c r="H302">
        <v>4</v>
      </c>
      <c r="I302">
        <v>2</v>
      </c>
      <c r="J302">
        <v>0</v>
      </c>
      <c r="K302">
        <v>6</v>
      </c>
      <c r="L302">
        <v>56</v>
      </c>
      <c r="M302">
        <v>3</v>
      </c>
      <c r="N302" t="inlineStr">
        <is>
          <t>Coef</t>
        </is>
      </c>
    </row>
    <row r="303">
      <c r="A303" t="inlineStr">
        <is>
          <t>Soins obstétricaux</t>
        </is>
      </c>
      <c r="B303" t="inlineStr">
        <is>
          <t>L3</t>
        </is>
      </c>
      <c r="C303" t="inlineStr">
        <is>
          <t>5</t>
        </is>
      </c>
      <c r="D303" t="inlineStr">
        <is>
          <t>41</t>
        </is>
      </c>
      <c r="E303" t="inlineStr">
        <is>
          <t>Santé sexuelle et reproductive et droits connexes</t>
        </is>
      </c>
      <c r="F303" t="inlineStr">
        <is>
          <t>Cadre légal et politique</t>
        </is>
      </c>
      <c r="H303">
        <v>4</v>
      </c>
      <c r="I303">
        <v>0</v>
      </c>
      <c r="J303">
        <v>0</v>
      </c>
      <c r="K303">
        <v>4</v>
      </c>
      <c r="L303">
        <v>56</v>
      </c>
      <c r="M303">
        <v>3</v>
      </c>
      <c r="N303" t="inlineStr">
        <is>
          <t>Coef</t>
        </is>
      </c>
    </row>
    <row r="304">
      <c r="A304" t="inlineStr">
        <is>
          <t>Soins obstétricaux</t>
        </is>
      </c>
      <c r="B304" t="inlineStr">
        <is>
          <t>L3</t>
        </is>
      </c>
      <c r="C304" t="inlineStr">
        <is>
          <t>5</t>
        </is>
      </c>
      <c r="D304" t="inlineStr">
        <is>
          <t>41</t>
        </is>
      </c>
      <c r="E304" t="inlineStr">
        <is>
          <t>Santé sexuelle et reproductive et droits connexes</t>
        </is>
      </c>
      <c r="F304" t="inlineStr">
        <is>
          <t>Accès aux soins de santé sexuelle et reproductive</t>
        </is>
      </c>
      <c r="H304">
        <v>4</v>
      </c>
      <c r="I304">
        <v>2</v>
      </c>
      <c r="J304">
        <v>0</v>
      </c>
      <c r="K304">
        <v>6</v>
      </c>
      <c r="L304">
        <v>56</v>
      </c>
      <c r="M304">
        <v>3</v>
      </c>
      <c r="N304" t="inlineStr">
        <is>
          <t>Coef</t>
        </is>
      </c>
    </row>
    <row r="305">
      <c r="A305" t="inlineStr">
        <is>
          <t>Soins obstétricaux</t>
        </is>
      </c>
      <c r="B305" t="inlineStr">
        <is>
          <t>L3</t>
        </is>
      </c>
      <c r="C305" t="inlineStr">
        <is>
          <t>5</t>
        </is>
      </c>
      <c r="D305" t="inlineStr">
        <is>
          <t>41</t>
        </is>
      </c>
      <c r="E305" t="inlineStr">
        <is>
          <t>Santé sexuelle et reproductive et droits connexes</t>
        </is>
      </c>
      <c r="F305" t="inlineStr">
        <is>
          <t>Pratiques infirmières et droits sexuels et reproductifs</t>
        </is>
      </c>
      <c r="H305">
        <v>4</v>
      </c>
      <c r="I305">
        <v>1</v>
      </c>
      <c r="J305">
        <v>0</v>
      </c>
      <c r="K305">
        <v>5</v>
      </c>
      <c r="L305">
        <v>56</v>
      </c>
      <c r="M305">
        <v>3</v>
      </c>
      <c r="N305" t="inlineStr">
        <is>
          <t>Coef</t>
        </is>
      </c>
    </row>
    <row r="306">
      <c r="A306" t="inlineStr">
        <is>
          <t>Soins obstétricaux</t>
        </is>
      </c>
      <c r="B306" t="inlineStr">
        <is>
          <t>L3</t>
        </is>
      </c>
      <c r="C306" t="inlineStr">
        <is>
          <t>5</t>
        </is>
      </c>
      <c r="D306" t="inlineStr">
        <is>
          <t>41</t>
        </is>
      </c>
      <c r="E306" t="inlineStr">
        <is>
          <t>Santé sexuelle et reproductive et droits connexes</t>
        </is>
      </c>
      <c r="F306" t="inlineStr">
        <is>
          <t>Sensibilisation et plaidoyer</t>
        </is>
      </c>
      <c r="H306">
        <v>4</v>
      </c>
      <c r="I306">
        <v>1</v>
      </c>
      <c r="J306">
        <v>0</v>
      </c>
      <c r="K306">
        <v>5</v>
      </c>
      <c r="L306">
        <v>56</v>
      </c>
      <c r="M306">
        <v>3</v>
      </c>
      <c r="N306" t="inlineStr">
        <is>
          <t>Coef</t>
        </is>
      </c>
    </row>
    <row r="307">
      <c r="A307" t="inlineStr">
        <is>
          <t>Soins obstétricaux</t>
        </is>
      </c>
      <c r="B307" t="inlineStr">
        <is>
          <t>L3</t>
        </is>
      </c>
      <c r="C307" t="inlineStr">
        <is>
          <t>5</t>
        </is>
      </c>
      <c r="D307" t="inlineStr">
        <is>
          <t>41</t>
        </is>
      </c>
      <c r="E307" t="inlineStr">
        <is>
          <t>Santé sexuelle et reproductive et droits connexes</t>
        </is>
      </c>
      <c r="F307" t="inlineStr">
        <is>
          <t>Santé sexuelle et reproductive des adolescents</t>
        </is>
      </c>
      <c r="H307">
        <v>8</v>
      </c>
      <c r="I307">
        <v>2</v>
      </c>
      <c r="J307">
        <v>0</v>
      </c>
      <c r="K307">
        <v>10</v>
      </c>
      <c r="L307">
        <v>56</v>
      </c>
      <c r="M307">
        <v>3</v>
      </c>
      <c r="N307" t="inlineStr">
        <is>
          <t>Coef</t>
        </is>
      </c>
    </row>
    <row r="308">
      <c r="A308" t="inlineStr">
        <is>
          <t>Soins obstétricaux</t>
        </is>
      </c>
      <c r="B308" t="inlineStr">
        <is>
          <t>L3</t>
        </is>
      </c>
      <c r="C308" t="inlineStr">
        <is>
          <t>5</t>
        </is>
      </c>
      <c r="D308" t="inlineStr">
        <is>
          <t>41</t>
        </is>
      </c>
      <c r="E308" t="inlineStr">
        <is>
          <t>Santé sexuelle et reproductive et droits connexes</t>
        </is>
      </c>
      <c r="F308" t="inlineStr">
        <is>
          <t>Planification familiale et moyens contraceptifs</t>
        </is>
      </c>
      <c r="H308">
        <v>10</v>
      </c>
      <c r="I308">
        <v>4</v>
      </c>
      <c r="J308">
        <v>6</v>
      </c>
      <c r="K308">
        <v>20</v>
      </c>
      <c r="L308">
        <v>56</v>
      </c>
      <c r="M308">
        <v>3</v>
      </c>
      <c r="N308" t="inlineStr">
        <is>
          <t>Coef</t>
        </is>
      </c>
    </row>
    <row r="309">
      <c r="A309" t="inlineStr">
        <is>
          <t>Soins obstétricaux</t>
        </is>
      </c>
      <c r="B309" t="inlineStr">
        <is>
          <t>L3</t>
        </is>
      </c>
      <c r="C309" t="inlineStr">
        <is>
          <t>6</t>
        </is>
      </c>
      <c r="D309" t="inlineStr">
        <is>
          <t>44</t>
        </is>
      </c>
      <c r="E309" t="inlineStr">
        <is>
          <t>Soins de sage-femme</t>
        </is>
      </c>
      <c r="F309" t="inlineStr">
        <is>
          <t>Complications obstétricales et médicales pendant le travail et l’accouchement</t>
        </is>
      </c>
      <c r="H309">
        <v>16</v>
      </c>
      <c r="I309">
        <v>4</v>
      </c>
      <c r="J309">
        <v>0</v>
      </c>
      <c r="K309">
        <v>20</v>
      </c>
      <c r="L309">
        <v>150</v>
      </c>
      <c r="M309">
        <v>10</v>
      </c>
      <c r="N309" t="inlineStr">
        <is>
          <t>Coef</t>
        </is>
      </c>
    </row>
    <row r="310">
      <c r="A310" t="inlineStr">
        <is>
          <t>Soins obstétricaux</t>
        </is>
      </c>
      <c r="B310" t="inlineStr">
        <is>
          <t>L3</t>
        </is>
      </c>
      <c r="C310" t="inlineStr">
        <is>
          <t>6</t>
        </is>
      </c>
      <c r="D310" t="inlineStr">
        <is>
          <t>44</t>
        </is>
      </c>
      <c r="E310" t="inlineStr">
        <is>
          <t>Soins de sage-femme</t>
        </is>
      </c>
      <c r="F310" t="inlineStr">
        <is>
          <t>Complications postnatales</t>
        </is>
      </c>
      <c r="H310">
        <v>16</v>
      </c>
      <c r="I310">
        <v>4</v>
      </c>
      <c r="J310">
        <v>0</v>
      </c>
      <c r="K310">
        <v>20</v>
      </c>
      <c r="L310">
        <v>150</v>
      </c>
      <c r="M310">
        <v>10</v>
      </c>
      <c r="N310" t="inlineStr">
        <is>
          <t>Coef</t>
        </is>
      </c>
    </row>
    <row r="311">
      <c r="A311" t="inlineStr">
        <is>
          <t>Soins obstétricaux</t>
        </is>
      </c>
      <c r="B311" t="inlineStr">
        <is>
          <t>L3</t>
        </is>
      </c>
      <c r="C311" t="inlineStr">
        <is>
          <t>6</t>
        </is>
      </c>
      <c r="D311" t="inlineStr">
        <is>
          <t>44</t>
        </is>
      </c>
      <c r="E311" t="inlineStr">
        <is>
          <t>Soins de sage-femme</t>
        </is>
      </c>
      <c r="F311" t="inlineStr">
        <is>
          <t>Soins en santé mentale et grossesse</t>
        </is>
      </c>
      <c r="H311">
        <v>10</v>
      </c>
      <c r="I311">
        <v>6</v>
      </c>
      <c r="J311">
        <v>0</v>
      </c>
      <c r="K311">
        <v>16</v>
      </c>
      <c r="L311">
        <v>150</v>
      </c>
      <c r="M311">
        <v>10</v>
      </c>
      <c r="N311" t="inlineStr">
        <is>
          <t>Coef</t>
        </is>
      </c>
    </row>
    <row r="312">
      <c r="A312" t="inlineStr">
        <is>
          <t>Soins obstétricaux</t>
        </is>
      </c>
      <c r="B312" t="inlineStr">
        <is>
          <t>L3</t>
        </is>
      </c>
      <c r="C312" t="inlineStr">
        <is>
          <t>6</t>
        </is>
      </c>
      <c r="D312" t="inlineStr">
        <is>
          <t>44</t>
        </is>
      </c>
      <c r="E312" t="inlineStr">
        <is>
          <t>Soins de sage-femme</t>
        </is>
      </c>
      <c r="F312" t="inlineStr">
        <is>
          <t>Urgences médicales</t>
        </is>
      </c>
      <c r="H312">
        <v>16</v>
      </c>
      <c r="I312">
        <v>4</v>
      </c>
      <c r="J312">
        <v>0</v>
      </c>
      <c r="K312">
        <v>20</v>
      </c>
      <c r="L312">
        <v>150</v>
      </c>
      <c r="M312">
        <v>10</v>
      </c>
      <c r="N312" t="inlineStr">
        <is>
          <t>Coef</t>
        </is>
      </c>
    </row>
    <row r="313">
      <c r="A313" t="inlineStr">
        <is>
          <t>Soins obstétricaux</t>
        </is>
      </c>
      <c r="B313" t="inlineStr">
        <is>
          <t>L3</t>
        </is>
      </c>
      <c r="C313" t="inlineStr">
        <is>
          <t>6</t>
        </is>
      </c>
      <c r="D313" t="inlineStr">
        <is>
          <t>44</t>
        </is>
      </c>
      <c r="E313" t="inlineStr">
        <is>
          <t>Soins de sage-femme</t>
        </is>
      </c>
      <c r="F313" t="inlineStr">
        <is>
          <t>Soins infirmiers en urgence et réanimation</t>
        </is>
      </c>
      <c r="H313">
        <v>16</v>
      </c>
      <c r="I313">
        <v>2</v>
      </c>
      <c r="J313">
        <v>4</v>
      </c>
      <c r="K313">
        <v>22</v>
      </c>
      <c r="L313">
        <v>150</v>
      </c>
      <c r="M313">
        <v>10</v>
      </c>
      <c r="N313" t="inlineStr">
        <is>
          <t>Coef</t>
        </is>
      </c>
    </row>
    <row r="314">
      <c r="A314" t="inlineStr">
        <is>
          <t>Soins obstétricaux</t>
        </is>
      </c>
      <c r="B314" t="inlineStr">
        <is>
          <t>L3</t>
        </is>
      </c>
      <c r="C314" t="inlineStr">
        <is>
          <t>6</t>
        </is>
      </c>
      <c r="D314" t="inlineStr">
        <is>
          <t>44</t>
        </is>
      </c>
      <c r="E314" t="inlineStr">
        <is>
          <t>Soins de sage-femme</t>
        </is>
      </c>
      <c r="F314" t="inlineStr">
        <is>
          <t>Soins de sage femme et Tâches déléguées</t>
        </is>
      </c>
      <c r="H314">
        <v>16</v>
      </c>
      <c r="I314">
        <v>4</v>
      </c>
      <c r="J314">
        <v>0</v>
      </c>
      <c r="K314">
        <v>20</v>
      </c>
      <c r="L314">
        <v>150</v>
      </c>
      <c r="M314">
        <v>10</v>
      </c>
      <c r="N314" t="inlineStr">
        <is>
          <t>Coef</t>
        </is>
      </c>
    </row>
    <row r="315">
      <c r="A315" t="inlineStr">
        <is>
          <t>Soins obstétricaux</t>
        </is>
      </c>
      <c r="B315" t="inlineStr">
        <is>
          <t>L3</t>
        </is>
      </c>
      <c r="C315" t="inlineStr">
        <is>
          <t>6</t>
        </is>
      </c>
      <c r="D315" t="inlineStr">
        <is>
          <t>44</t>
        </is>
      </c>
      <c r="E315" t="inlineStr">
        <is>
          <t>Soins de sage-femme</t>
        </is>
      </c>
      <c r="F315" t="inlineStr">
        <is>
          <t>Pharmacologie et thérapeutiques</t>
        </is>
      </c>
      <c r="H315">
        <v>28</v>
      </c>
      <c r="I315">
        <v>4</v>
      </c>
      <c r="J315">
        <v>0</v>
      </c>
      <c r="K315">
        <v>32</v>
      </c>
      <c r="L315">
        <v>150</v>
      </c>
      <c r="M315">
        <v>10</v>
      </c>
      <c r="N315" t="inlineStr">
        <is>
          <t>Coef</t>
        </is>
      </c>
    </row>
    <row r="316">
      <c r="A316" t="inlineStr">
        <is>
          <t>Soins obstétricaux</t>
        </is>
      </c>
      <c r="B316" t="inlineStr">
        <is>
          <t>L3</t>
        </is>
      </c>
      <c r="C316" t="inlineStr">
        <is>
          <t>6</t>
        </is>
      </c>
      <c r="D316" t="inlineStr">
        <is>
          <t>47</t>
        </is>
      </c>
      <c r="E316" t="inlineStr">
        <is>
          <t>Soins du nouveau-né</t>
        </is>
      </c>
      <c r="F316" t="inlineStr">
        <is>
          <t>Néonatologie et soins infirmier néonatale</t>
        </is>
      </c>
      <c r="H316">
        <v>26</v>
      </c>
      <c r="I316">
        <v>4</v>
      </c>
      <c r="J316">
        <v>0</v>
      </c>
      <c r="K316">
        <v>30</v>
      </c>
      <c r="L316">
        <v>60</v>
      </c>
      <c r="M316">
        <v>4</v>
      </c>
      <c r="N316" t="inlineStr">
        <is>
          <t>Coef</t>
        </is>
      </c>
    </row>
    <row r="317">
      <c r="A317" t="inlineStr">
        <is>
          <t>Soins obstétricaux</t>
        </is>
      </c>
      <c r="B317" t="inlineStr">
        <is>
          <t>L3</t>
        </is>
      </c>
      <c r="C317" t="inlineStr">
        <is>
          <t>6</t>
        </is>
      </c>
      <c r="D317" t="inlineStr">
        <is>
          <t>47</t>
        </is>
      </c>
      <c r="E317" t="inlineStr">
        <is>
          <t>Soins du nouveau-né</t>
        </is>
      </c>
      <c r="F317" t="inlineStr">
        <is>
          <t>Pathologies chirurgicales néonatales et soins infirmiers opératoire</t>
        </is>
      </c>
      <c r="H317">
        <v>26</v>
      </c>
      <c r="I317">
        <v>4</v>
      </c>
      <c r="J317">
        <v>0</v>
      </c>
      <c r="K317">
        <v>30</v>
      </c>
      <c r="L317">
        <v>60</v>
      </c>
      <c r="M317">
        <v>4</v>
      </c>
      <c r="N317" t="inlineStr">
        <is>
          <t>Coef</t>
        </is>
      </c>
    </row>
    <row r="318">
      <c r="A318" t="inlineStr">
        <is>
          <t>Aides-soignants</t>
        </is>
      </c>
      <c r="B318" t="inlineStr">
        <is>
          <t>AS</t>
        </is>
      </c>
      <c r="D318" t="inlineStr">
        <is>
          <t>1</t>
        </is>
      </c>
      <c r="E318" t="inlineStr">
        <is>
          <t>Accompagnement et soins de la personne dans les activités de sa vie quotidienne et de sa vie sociale</t>
        </is>
      </c>
      <c r="F318" t="inlineStr">
        <is>
          <t>Raisonnement et démarche clinique</t>
        </is>
      </c>
    </row>
    <row r="319">
      <c r="A319" t="inlineStr">
        <is>
          <t>Aides-soignants</t>
        </is>
      </c>
      <c r="B319" t="inlineStr">
        <is>
          <t>AS</t>
        </is>
      </c>
      <c r="D319" t="inlineStr">
        <is>
          <t>1</t>
        </is>
      </c>
      <c r="E319" t="inlineStr">
        <is>
          <t>Accompagnement et soins de la personne dans les activités de sa vie quotidienne et de sa vie sociale</t>
        </is>
      </c>
      <c r="F319" t="inlineStr">
        <is>
          <t>L'évaluation de la situation et des besoins d'une personne</t>
        </is>
      </c>
      <c r="H319">
        <v>20</v>
      </c>
      <c r="I319">
        <v>15</v>
      </c>
      <c r="J319">
        <v>12</v>
      </c>
      <c r="K319">
        <v>47</v>
      </c>
    </row>
    <row r="320">
      <c r="A320" t="inlineStr">
        <is>
          <t>Aides-soignants</t>
        </is>
      </c>
      <c r="B320" t="inlineStr">
        <is>
          <t>AS</t>
        </is>
      </c>
      <c r="D320" t="inlineStr">
        <is>
          <t>1</t>
        </is>
      </c>
      <c r="E320" t="inlineStr">
        <is>
          <t>Accompagnement et soins de la personne dans les activités de sa vie quotidienne et de sa vie sociale</t>
        </is>
      </c>
      <c r="F320" t="inlineStr">
        <is>
          <t>La santé</t>
        </is>
      </c>
    </row>
    <row r="321">
      <c r="A321" t="inlineStr">
        <is>
          <t>Aides-soignants</t>
        </is>
      </c>
      <c r="B321" t="inlineStr">
        <is>
          <t>AS</t>
        </is>
      </c>
      <c r="D321" t="inlineStr">
        <is>
          <t>1</t>
        </is>
      </c>
      <c r="E321" t="inlineStr">
        <is>
          <t>Accompagnement et soins de la personne dans les activités de sa vie quotidienne et de sa vie sociale</t>
        </is>
      </c>
      <c r="F321" t="inlineStr">
        <is>
          <t>Les principales situations de vie : Maternité, Handicap, Vieillissement,  Fin de vie</t>
        </is>
      </c>
      <c r="H321">
        <v>25</v>
      </c>
      <c r="I321">
        <v>20</v>
      </c>
      <c r="J321">
        <v>15</v>
      </c>
      <c r="K321">
        <v>60</v>
      </c>
    </row>
    <row r="322">
      <c r="A322" t="inlineStr">
        <is>
          <t>Aides-soignants</t>
        </is>
      </c>
      <c r="B322" t="inlineStr">
        <is>
          <t>AS</t>
        </is>
      </c>
      <c r="D322" t="inlineStr">
        <is>
          <t>1</t>
        </is>
      </c>
      <c r="E322" t="inlineStr">
        <is>
          <t>Accompagnement et soins de la personne dans les activités de sa vie quotidienne et de sa vie sociale</t>
        </is>
      </c>
      <c r="F322" t="inlineStr">
        <is>
          <t>Rôle de l'aide-soignant</t>
        </is>
      </c>
    </row>
    <row r="323">
      <c r="A323" t="inlineStr">
        <is>
          <t>Aides-soignants</t>
        </is>
      </c>
      <c r="B323" t="inlineStr">
        <is>
          <t>AS</t>
        </is>
      </c>
      <c r="D323" t="inlineStr">
        <is>
          <t>1</t>
        </is>
      </c>
      <c r="E323" t="inlineStr">
        <is>
          <t>Accompagnement et soins de la personne dans les activités de sa vie quotidienne et de sa vie sociale</t>
        </is>
      </c>
      <c r="F323" t="inlineStr">
        <is>
          <t>La réalisation des soins de la vie quotidienne</t>
        </is>
      </c>
    </row>
    <row r="324">
      <c r="A324" t="inlineStr">
        <is>
          <t>Aides-soignants</t>
        </is>
      </c>
      <c r="B324" t="inlineStr">
        <is>
          <t>AS</t>
        </is>
      </c>
      <c r="D324" t="inlineStr">
        <is>
          <t>1</t>
        </is>
      </c>
      <c r="E324" t="inlineStr">
        <is>
          <t>Accompagnement et soins de la personne dans les activités de sa vie quotidienne et de sa vie sociale</t>
        </is>
      </c>
      <c r="F324" t="inlineStr">
        <is>
          <t>Les activités d'accompagnement à la vie sociale</t>
        </is>
      </c>
      <c r="H324">
        <v>25</v>
      </c>
      <c r="I324">
        <v>20</v>
      </c>
      <c r="J324">
        <v>15</v>
      </c>
      <c r="K324">
        <v>60</v>
      </c>
    </row>
    <row r="325">
      <c r="A325" t="inlineStr">
        <is>
          <t>Aides-soignants</t>
        </is>
      </c>
      <c r="B325" t="inlineStr">
        <is>
          <t>AS</t>
        </is>
      </c>
      <c r="D325" t="inlineStr">
        <is>
          <t>1</t>
        </is>
      </c>
      <c r="E325" t="inlineStr">
        <is>
          <t>Accompagnement et soins de la personne dans les activités de sa vie quotidienne et de sa vie sociale</t>
        </is>
      </c>
      <c r="F325" t="inlineStr">
        <is>
          <t>L'accompagnementdes aidants</t>
        </is>
      </c>
    </row>
    <row r="326">
      <c r="A326" t="inlineStr">
        <is>
          <t>Aides-soignants</t>
        </is>
      </c>
      <c r="B326" t="inlineStr">
        <is>
          <t>AS</t>
        </is>
      </c>
      <c r="D326" t="inlineStr">
        <is>
          <t>2</t>
        </is>
      </c>
      <c r="E326" t="inlineStr">
        <is>
          <t>Repérage et prévention des situations à risque</t>
        </is>
      </c>
      <c r="F326" t="inlineStr">
        <is>
          <t>Les situations à risque et de maltraitance</t>
        </is>
      </c>
    </row>
    <row r="327">
      <c r="A327" t="inlineStr">
        <is>
          <t>Aides-soignants</t>
        </is>
      </c>
      <c r="B327" t="inlineStr">
        <is>
          <t>AS</t>
        </is>
      </c>
      <c r="D327" t="inlineStr">
        <is>
          <t>2</t>
        </is>
      </c>
      <c r="E327" t="inlineStr">
        <is>
          <t>Repérage et prévention des situations à risque</t>
        </is>
      </c>
      <c r="F327" t="inlineStr">
        <is>
          <t>les différents types de fragilités</t>
        </is>
      </c>
      <c r="H327">
        <v>5</v>
      </c>
      <c r="I327">
        <v>3</v>
      </c>
      <c r="J327">
        <v>2</v>
      </c>
      <c r="K327">
        <v>10</v>
      </c>
    </row>
    <row r="328">
      <c r="A328" t="inlineStr">
        <is>
          <t>Aides-soignants</t>
        </is>
      </c>
      <c r="B328" t="inlineStr">
        <is>
          <t>AS</t>
        </is>
      </c>
      <c r="D328" t="inlineStr">
        <is>
          <t>2</t>
        </is>
      </c>
      <c r="E328" t="inlineStr">
        <is>
          <t>Repérage et prévention des situations à risque</t>
        </is>
      </c>
      <c r="F328" t="inlineStr">
        <is>
          <t>l'analyse des signes de fragilités</t>
        </is>
      </c>
    </row>
    <row r="329">
      <c r="A329" t="inlineStr">
        <is>
          <t>Aides-soignants</t>
        </is>
      </c>
      <c r="B329" t="inlineStr">
        <is>
          <t>AS</t>
        </is>
      </c>
      <c r="D329" t="inlineStr">
        <is>
          <t>2</t>
        </is>
      </c>
      <c r="E329" t="inlineStr">
        <is>
          <t>Repérage et prévention des situations à risque</t>
        </is>
      </c>
      <c r="F329" t="inlineStr">
        <is>
          <t>Les mesures de prévention</t>
        </is>
      </c>
    </row>
    <row r="330">
      <c r="A330" t="inlineStr">
        <is>
          <t>Aides-soignants</t>
        </is>
      </c>
      <c r="B330" t="inlineStr">
        <is>
          <t>AS</t>
        </is>
      </c>
      <c r="D330" t="inlineStr">
        <is>
          <t>2</t>
        </is>
      </c>
      <c r="E330" t="inlineStr">
        <is>
          <t>Repérage et prévention des situations à risque</t>
        </is>
      </c>
      <c r="F330" t="inlineStr">
        <is>
          <t>La transmission des informations et l'alerte</t>
        </is>
      </c>
    </row>
    <row r="331">
      <c r="A331" t="inlineStr">
        <is>
          <t>Aides-soignants</t>
        </is>
      </c>
      <c r="B331" t="inlineStr">
        <is>
          <t>AS</t>
        </is>
      </c>
      <c r="D331" t="inlineStr">
        <is>
          <t>2</t>
        </is>
      </c>
      <c r="E331" t="inlineStr">
        <is>
          <t>Repérage et prévention des situations à risque</t>
        </is>
      </c>
      <c r="F331" t="inlineStr">
        <is>
          <t>Les situations à risque liées à l'environnement</t>
        </is>
      </c>
      <c r="H331">
        <v>5</v>
      </c>
      <c r="I331">
        <v>3</v>
      </c>
      <c r="J331">
        <v>3</v>
      </c>
      <c r="K331">
        <v>11</v>
      </c>
    </row>
    <row r="332">
      <c r="A332" t="inlineStr">
        <is>
          <t>Aides-soignants</t>
        </is>
      </c>
      <c r="B332" t="inlineStr">
        <is>
          <t>AS</t>
        </is>
      </c>
      <c r="D332" t="inlineStr">
        <is>
          <t>2</t>
        </is>
      </c>
      <c r="E332" t="inlineStr">
        <is>
          <t>Repérage et prévention des situations à risque</t>
        </is>
      </c>
      <c r="F332" t="inlineStr">
        <is>
          <t>Les actions de prévention</t>
        </is>
      </c>
    </row>
    <row r="333">
      <c r="A333" t="inlineStr">
        <is>
          <t>Aides-soignants</t>
        </is>
      </c>
      <c r="B333" t="inlineStr">
        <is>
          <t>AS</t>
        </is>
      </c>
      <c r="D333" t="inlineStr">
        <is>
          <t>3</t>
        </is>
      </c>
      <c r="E333" t="inlineStr">
        <is>
          <t>Evaluation de l’état clinique et mise en œuvre de soins adaptés en collaboration</t>
        </is>
      </c>
      <c r="F333" t="inlineStr">
        <is>
          <t>Notions sur les pathologies prévalentes :</t>
        </is>
      </c>
    </row>
    <row r="334">
      <c r="A334" t="inlineStr">
        <is>
          <t>Aides-soignants</t>
        </is>
      </c>
      <c r="B334" t="inlineStr">
        <is>
          <t>AS</t>
        </is>
      </c>
      <c r="D334" t="inlineStr">
        <is>
          <t>3</t>
        </is>
      </c>
      <c r="E334" t="inlineStr">
        <is>
          <t>Evaluation de l’état clinique et mise en œuvre de soins adaptés en collaboration</t>
        </is>
      </c>
      <c r="F334" t="inlineStr">
        <is>
          <t>Concept de maladie</t>
        </is>
      </c>
    </row>
    <row r="335">
      <c r="A335" t="inlineStr">
        <is>
          <t>Aides-soignants</t>
        </is>
      </c>
      <c r="B335" t="inlineStr">
        <is>
          <t>AS</t>
        </is>
      </c>
      <c r="D335" t="inlineStr">
        <is>
          <t>3</t>
        </is>
      </c>
      <c r="E335" t="inlineStr">
        <is>
          <t>Evaluation de l’état clinique et mise en œuvre de soins adaptés en collaboration</t>
        </is>
      </c>
      <c r="F335" t="inlineStr">
        <is>
          <t>Concept de soin</t>
        </is>
      </c>
    </row>
    <row r="336">
      <c r="A336" t="inlineStr">
        <is>
          <t>Aides-soignants</t>
        </is>
      </c>
      <c r="B336" t="inlineStr">
        <is>
          <t>AS</t>
        </is>
      </c>
      <c r="D336" t="inlineStr">
        <is>
          <t>3</t>
        </is>
      </c>
      <c r="E336" t="inlineStr">
        <is>
          <t>Evaluation de l’état clinique et mise en œuvre de soins adaptés en collaboration</t>
        </is>
      </c>
      <c r="F336" t="inlineStr">
        <is>
          <t>Vocabulaire professionnel</t>
        </is>
      </c>
      <c r="H336">
        <v>10</v>
      </c>
      <c r="I336">
        <v>5</v>
      </c>
      <c r="J336">
        <v>5</v>
      </c>
      <c r="K336">
        <v>20</v>
      </c>
    </row>
    <row r="337">
      <c r="A337" t="inlineStr">
        <is>
          <t>Aides-soignants</t>
        </is>
      </c>
      <c r="B337" t="inlineStr">
        <is>
          <t>AS</t>
        </is>
      </c>
      <c r="D337" t="inlineStr">
        <is>
          <t>3</t>
        </is>
      </c>
      <c r="E337" t="inlineStr">
        <is>
          <t>Evaluation de l’état clinique et mise en œuvre de soins adaptés en collaboration</t>
        </is>
      </c>
      <c r="F337" t="inlineStr">
        <is>
          <t>Anatomie, physiologie des appareils et systèmes</t>
        </is>
      </c>
    </row>
    <row r="338">
      <c r="A338" t="inlineStr">
        <is>
          <t>Aides-soignants</t>
        </is>
      </c>
      <c r="B338" t="inlineStr">
        <is>
          <t>AS</t>
        </is>
      </c>
      <c r="D338" t="inlineStr">
        <is>
          <t>3</t>
        </is>
      </c>
      <c r="E338" t="inlineStr">
        <is>
          <t>Evaluation de l’état clinique et mise en œuvre de soins adaptés en collaboration</t>
        </is>
      </c>
      <c r="F338" t="inlineStr">
        <is>
          <t>Physiopathologie et sémiologie des pathologies prévalentes</t>
        </is>
      </c>
    </row>
    <row r="339">
      <c r="A339" t="inlineStr">
        <is>
          <t>Aides-soignants</t>
        </is>
      </c>
      <c r="B339" t="inlineStr">
        <is>
          <t>AS</t>
        </is>
      </c>
      <c r="D339" t="inlineStr">
        <is>
          <t>3</t>
        </is>
      </c>
      <c r="E339" t="inlineStr">
        <is>
          <t>Evaluation de l’état clinique et mise en œuvre de soins adaptés en collaboration</t>
        </is>
      </c>
      <c r="F339" t="inlineStr">
        <is>
          <t>La douleur physique et psychique</t>
        </is>
      </c>
    </row>
    <row r="340">
      <c r="A340" t="inlineStr">
        <is>
          <t>Aides-soignants</t>
        </is>
      </c>
      <c r="B340" t="inlineStr">
        <is>
          <t>AS</t>
        </is>
      </c>
      <c r="D340" t="inlineStr">
        <is>
          <t>3</t>
        </is>
      </c>
      <c r="E340" t="inlineStr">
        <is>
          <t>Evaluation de l’état clinique et mise en œuvre de soins adaptés en collaboration</t>
        </is>
      </c>
      <c r="F340" t="inlineStr">
        <is>
          <t>Pathologies du vieillissement</t>
        </is>
      </c>
      <c r="H340">
        <v>15</v>
      </c>
      <c r="I340">
        <v>5</v>
      </c>
      <c r="J340">
        <v>5</v>
      </c>
      <c r="K340">
        <v>20</v>
      </c>
    </row>
    <row r="341">
      <c r="A341" t="inlineStr">
        <is>
          <t>Aides-soignants</t>
        </is>
      </c>
      <c r="B341" t="inlineStr">
        <is>
          <t>AS</t>
        </is>
      </c>
      <c r="D341" t="inlineStr">
        <is>
          <t>3</t>
        </is>
      </c>
      <c r="E341" t="inlineStr">
        <is>
          <t>Evaluation de l’état clinique et mise en œuvre de soins adaptés en collaboration</t>
        </is>
      </c>
      <c r="F341" t="inlineStr">
        <is>
          <t>Pathologies prévalentes en santé mentale et psychiatrie</t>
        </is>
      </c>
    </row>
    <row r="342">
      <c r="A342" t="inlineStr">
        <is>
          <t>Aides-soignants</t>
        </is>
      </c>
      <c r="B342" t="inlineStr">
        <is>
          <t>AS</t>
        </is>
      </c>
      <c r="D342" t="inlineStr">
        <is>
          <t>3</t>
        </is>
      </c>
      <c r="E342" t="inlineStr">
        <is>
          <t>Evaluation de l’état clinique et mise en œuvre de soins adaptés en collaboration</t>
        </is>
      </c>
      <c r="F342" t="inlineStr">
        <is>
          <t>Troubles du spectre autistique et troubles du neuro-développement</t>
        </is>
      </c>
    </row>
    <row r="343">
      <c r="A343" t="inlineStr">
        <is>
          <t>Aides-soignants</t>
        </is>
      </c>
      <c r="B343" t="inlineStr">
        <is>
          <t>AS</t>
        </is>
      </c>
      <c r="D343" t="inlineStr">
        <is>
          <t>3</t>
        </is>
      </c>
      <c r="E343" t="inlineStr">
        <is>
          <t>Evaluation de l’état clinique et mise en œuvre de soins adaptés en collaboration</t>
        </is>
      </c>
      <c r="F343" t="inlineStr">
        <is>
          <t>Evaluation de l'état clinique d'une personne, des changements de cet état clinique</t>
        </is>
      </c>
      <c r="H343">
        <v>20</v>
      </c>
      <c r="I343">
        <v>10</v>
      </c>
      <c r="J343">
        <v>7</v>
      </c>
      <c r="K343">
        <v>37</v>
      </c>
    </row>
    <row r="344">
      <c r="A344" t="inlineStr">
        <is>
          <t>Aides-soignants</t>
        </is>
      </c>
      <c r="B344" t="inlineStr">
        <is>
          <t>AS</t>
        </is>
      </c>
      <c r="D344" t="inlineStr">
        <is>
          <t>3</t>
        </is>
      </c>
      <c r="E344" t="inlineStr">
        <is>
          <t>Evaluation de l’état clinique et mise en œuvre de soins adaptés en collaboration</t>
        </is>
      </c>
      <c r="F344" t="inlineStr">
        <is>
          <t>Méthodologie du raisonnement clinique partagé</t>
        </is>
      </c>
    </row>
    <row r="345">
      <c r="A345" t="inlineStr">
        <is>
          <t>Aides-soignants</t>
        </is>
      </c>
      <c r="B345" t="inlineStr">
        <is>
          <t>AS</t>
        </is>
      </c>
      <c r="D345" t="inlineStr">
        <is>
          <t>3</t>
        </is>
      </c>
      <c r="E345" t="inlineStr">
        <is>
          <t>Evaluation de l’état clinique et mise en œuvre de soins adaptés en collaboration</t>
        </is>
      </c>
      <c r="F345" t="inlineStr">
        <is>
          <t>Identification d'une donnée anormale ou d'un risque, alerte et mise en œuvre d'actions de prévention</t>
        </is>
      </c>
    </row>
    <row r="346">
      <c r="A346" t="inlineStr">
        <is>
          <t>Aides-soignants</t>
        </is>
      </c>
      <c r="B346" t="inlineStr">
        <is>
          <t>AS</t>
        </is>
      </c>
      <c r="D346" t="inlineStr">
        <is>
          <t>3</t>
        </is>
      </c>
      <c r="E346" t="inlineStr">
        <is>
          <t>Evaluation de l’état clinique et mise en œuvre de soins adaptés en collaboration</t>
        </is>
      </c>
      <c r="F346" t="inlineStr">
        <is>
          <t>Mesure quantitative et qualitative des paramètres permettant d'apprécier l'état de santé de l'adulte et de l'enfant</t>
        </is>
      </c>
    </row>
    <row r="347">
      <c r="A347" t="inlineStr">
        <is>
          <t>Aides-soignants</t>
        </is>
      </c>
      <c r="B347" t="inlineStr">
        <is>
          <t>AS</t>
        </is>
      </c>
      <c r="D347" t="inlineStr">
        <is>
          <t>4</t>
        </is>
      </c>
      <c r="E347" t="inlineStr">
        <is>
          <t>Mise en œuvre des soins adaptés, évaluation et réajustement</t>
        </is>
      </c>
      <c r="F347" t="inlineStr">
        <is>
          <t>FGSU niveau 2</t>
        </is>
      </c>
      <c r="H347">
        <v>40</v>
      </c>
      <c r="I347">
        <v>30</v>
      </c>
      <c r="J347">
        <v>20</v>
      </c>
      <c r="K347">
        <v>90</v>
      </c>
    </row>
    <row r="348">
      <c r="A348" t="inlineStr">
        <is>
          <t>Aides-soignants</t>
        </is>
      </c>
      <c r="B348" t="inlineStr">
        <is>
          <t>AS</t>
        </is>
      </c>
      <c r="D348" t="inlineStr">
        <is>
          <t>4</t>
        </is>
      </c>
      <c r="E348" t="inlineStr">
        <is>
          <t>Mise en œuvre des soins adaptés, évaluation et réajustement</t>
        </is>
      </c>
      <c r="F348" t="inlineStr">
        <is>
          <t>Notions de pharmacologie</t>
        </is>
      </c>
    </row>
    <row r="349">
      <c r="A349" t="inlineStr">
        <is>
          <t>Aides-soignants</t>
        </is>
      </c>
      <c r="B349" t="inlineStr">
        <is>
          <t>AS</t>
        </is>
      </c>
      <c r="D349" t="inlineStr">
        <is>
          <t>4</t>
        </is>
      </c>
      <c r="E349" t="inlineStr">
        <is>
          <t>Mise en œuvre des soins adaptés, évaluation et réajustement</t>
        </is>
      </c>
      <c r="F349" t="inlineStr">
        <is>
          <t>Les soins en situation aigüe (approche théorique et pratique)</t>
        </is>
      </c>
    </row>
    <row r="350">
      <c r="A350" t="inlineStr">
        <is>
          <t>Aides-soignants</t>
        </is>
      </c>
      <c r="B350" t="inlineStr">
        <is>
          <t>AS</t>
        </is>
      </c>
      <c r="D350" t="inlineStr">
        <is>
          <t>4</t>
        </is>
      </c>
      <c r="E350" t="inlineStr">
        <is>
          <t>Mise en œuvre des soins adaptés, évaluation et réajustement</t>
        </is>
      </c>
      <c r="F350" t="inlineStr">
        <is>
          <t>Aide aux soins réalisés par l'infirmier</t>
        </is>
      </c>
    </row>
    <row r="351">
      <c r="A351" t="inlineStr">
        <is>
          <t>Aides-soignants</t>
        </is>
      </c>
      <c r="B351" t="inlineStr">
        <is>
          <t>AS</t>
        </is>
      </c>
      <c r="D351" t="inlineStr">
        <is>
          <t>4</t>
        </is>
      </c>
      <c r="E351" t="inlineStr">
        <is>
          <t>Mise en œuvre des soins adaptés, évaluation et réajustement</t>
        </is>
      </c>
      <c r="F351" t="inlineStr">
        <is>
          <t>Evaluation de la qualité des soins et réajustement des soins.</t>
        </is>
      </c>
      <c r="H351">
        <v>40</v>
      </c>
      <c r="I351">
        <v>30</v>
      </c>
      <c r="J351">
        <v>22</v>
      </c>
      <c r="K351">
        <v>92</v>
      </c>
    </row>
    <row r="352">
      <c r="A352" t="inlineStr">
        <is>
          <t>Aides-soignants</t>
        </is>
      </c>
      <c r="B352" t="inlineStr">
        <is>
          <t>AS</t>
        </is>
      </c>
      <c r="D352" t="inlineStr">
        <is>
          <t>5</t>
        </is>
      </c>
      <c r="E352" t="inlineStr">
        <is>
          <t>Accompagnement de la mobilité de la personne aidée</t>
        </is>
      </c>
      <c r="F352" t="inlineStr">
        <is>
          <t>L'installation et le déplacement des personnes</t>
        </is>
      </c>
      <c r="H352">
        <v>10</v>
      </c>
      <c r="I352">
        <v>5</v>
      </c>
      <c r="J352">
        <v>5</v>
      </c>
      <c r="K352">
        <v>20</v>
      </c>
    </row>
    <row r="353">
      <c r="A353" t="inlineStr">
        <is>
          <t>Aides-soignants</t>
        </is>
      </c>
      <c r="B353" t="inlineStr">
        <is>
          <t>AS</t>
        </is>
      </c>
      <c r="D353" t="inlineStr">
        <is>
          <t>5</t>
        </is>
      </c>
      <c r="E353" t="inlineStr">
        <is>
          <t>Accompagnement de la mobilité de la personne aidée</t>
        </is>
      </c>
      <c r="F353" t="inlineStr">
        <is>
          <t>Les techniques de mobilisation et la prévention des risques pour la personne et pour le professionnel</t>
        </is>
      </c>
      <c r="H353">
        <v>5</v>
      </c>
      <c r="I353">
        <v>5</v>
      </c>
      <c r="J353">
        <v>5</v>
      </c>
      <c r="K353">
        <v>15</v>
      </c>
    </row>
    <row r="354">
      <c r="A354" t="inlineStr">
        <is>
          <t>Aides-soignants</t>
        </is>
      </c>
      <c r="B354" t="inlineStr">
        <is>
          <t>AS</t>
        </is>
      </c>
      <c r="D354" t="inlineStr">
        <is>
          <t>6</t>
        </is>
      </c>
      <c r="E354" t="inlineStr">
        <is>
          <t>Relation et communication avec les personnes et leur entourage</t>
        </is>
      </c>
      <c r="F354" t="inlineStr">
        <is>
          <t>Information et droits des patients</t>
        </is>
      </c>
      <c r="H354">
        <v>15</v>
      </c>
      <c r="I354">
        <v>15</v>
      </c>
      <c r="J354">
        <v>10</v>
      </c>
      <c r="K354">
        <v>40</v>
      </c>
    </row>
    <row r="355">
      <c r="A355" t="inlineStr">
        <is>
          <t>Aides-soignants</t>
        </is>
      </c>
      <c r="B355" t="inlineStr">
        <is>
          <t>AS</t>
        </is>
      </c>
      <c r="D355" t="inlineStr">
        <is>
          <t>6</t>
        </is>
      </c>
      <c r="E355" t="inlineStr">
        <is>
          <t>Relation et communication avec les personnes et leur entourage</t>
        </is>
      </c>
      <c r="F355" t="inlineStr">
        <is>
          <t>Les techniques de communication</t>
        </is>
      </c>
    </row>
    <row r="356">
      <c r="A356" t="inlineStr">
        <is>
          <t>Aides-soignants</t>
        </is>
      </c>
      <c r="B356" t="inlineStr">
        <is>
          <t>AS</t>
        </is>
      </c>
      <c r="D356" t="inlineStr">
        <is>
          <t>6</t>
        </is>
      </c>
      <c r="E356" t="inlineStr">
        <is>
          <t>Relation et communication avec les personnes et leur entourage</t>
        </is>
      </c>
      <c r="F356" t="inlineStr">
        <is>
          <t>Relation et communication à la personne soignée, à l'entourage et aux aidants</t>
        </is>
      </c>
    </row>
    <row r="357">
      <c r="A357" t="inlineStr">
        <is>
          <t>Aides-soignants</t>
        </is>
      </c>
      <c r="B357" t="inlineStr">
        <is>
          <t>AS</t>
        </is>
      </c>
      <c r="D357" t="inlineStr">
        <is>
          <t>6</t>
        </is>
      </c>
      <c r="E357" t="inlineStr">
        <is>
          <t>Relation et communication avec les personnes et leur entourage</t>
        </is>
      </c>
      <c r="F357" t="inlineStr">
        <is>
          <t>Démarche d'information, d'éducation et de prévention</t>
        </is>
      </c>
      <c r="H357">
        <v>15</v>
      </c>
      <c r="I357">
        <v>5</v>
      </c>
      <c r="J357">
        <v>10</v>
      </c>
      <c r="K357">
        <v>30</v>
      </c>
    </row>
    <row r="358">
      <c r="A358" t="inlineStr">
        <is>
          <t>Aides-soignants</t>
        </is>
      </c>
      <c r="B358" t="inlineStr">
        <is>
          <t>AS</t>
        </is>
      </c>
      <c r="D358" t="inlineStr">
        <is>
          <t>7</t>
        </is>
      </c>
      <c r="E358" t="inlineStr">
        <is>
          <t>Accompagnement des personnes en formation et communication avec les pairs</t>
        </is>
      </c>
      <c r="F358" t="inlineStr">
        <is>
          <t>Formation des pairs et accueil de nouveaux professionnels</t>
        </is>
      </c>
      <c r="H358">
        <v>10</v>
      </c>
      <c r="I358">
        <v>5</v>
      </c>
      <c r="J358">
        <v>5</v>
      </c>
      <c r="K358">
        <v>20</v>
      </c>
    </row>
    <row r="359">
      <c r="A359" t="inlineStr">
        <is>
          <t>Aides-soignants</t>
        </is>
      </c>
      <c r="B359" t="inlineStr">
        <is>
          <t>AS</t>
        </is>
      </c>
      <c r="D359" t="inlineStr">
        <is>
          <t>7</t>
        </is>
      </c>
      <c r="E359" t="inlineStr">
        <is>
          <t>Accompagnement des personnes en formation et communication avec les pairs</t>
        </is>
      </c>
      <c r="F359" t="inlineStr">
        <is>
          <t>Transmission d'informations</t>
        </is>
      </c>
    </row>
    <row r="360">
      <c r="A360" t="inlineStr">
        <is>
          <t>Aides-soignants</t>
        </is>
      </c>
      <c r="B360" t="inlineStr">
        <is>
          <t>AS</t>
        </is>
      </c>
      <c r="D360" t="inlineStr">
        <is>
          <t>7</t>
        </is>
      </c>
      <c r="E360" t="inlineStr">
        <is>
          <t>Accompagnement des personnes en formation et communication avec les pairs</t>
        </is>
      </c>
      <c r="F360" t="inlineStr">
        <is>
          <t>Projet et objectifs de formation</t>
        </is>
      </c>
    </row>
    <row r="361">
      <c r="A361" t="inlineStr">
        <is>
          <t>Aides-soignants</t>
        </is>
      </c>
      <c r="B361" t="inlineStr">
        <is>
          <t>AS</t>
        </is>
      </c>
      <c r="D361" t="inlineStr">
        <is>
          <t>7</t>
        </is>
      </c>
      <c r="E361" t="inlineStr">
        <is>
          <t>Accompagnement des personnes en formation et communication avec les pairs</t>
        </is>
      </c>
      <c r="F361" t="inlineStr">
        <is>
          <t>Tutorat et accompagnement des personnes en formation</t>
        </is>
      </c>
    </row>
    <row r="362">
      <c r="A362" t="inlineStr">
        <is>
          <t>Aides-soignants</t>
        </is>
      </c>
      <c r="B362" t="inlineStr">
        <is>
          <t>AS</t>
        </is>
      </c>
      <c r="D362" t="inlineStr">
        <is>
          <t>7</t>
        </is>
      </c>
      <c r="E362" t="inlineStr">
        <is>
          <t>Accompagnement des personnes en formation et communication avec les pairs</t>
        </is>
      </c>
      <c r="F362" t="inlineStr">
        <is>
          <t>Transmission de savoir-faire et réajustement de la transmission</t>
        </is>
      </c>
    </row>
    <row r="363">
      <c r="A363" t="inlineStr">
        <is>
          <t>Aides-soignants</t>
        </is>
      </c>
      <c r="B363" t="inlineStr">
        <is>
          <t>AS</t>
        </is>
      </c>
      <c r="D363" t="inlineStr">
        <is>
          <t>7</t>
        </is>
      </c>
      <c r="E363" t="inlineStr">
        <is>
          <t>Accompagnement des personnes en formation et communication avec les pairs</t>
        </is>
      </c>
      <c r="F363" t="inlineStr">
        <is>
          <t>Evaluation des acquis</t>
        </is>
      </c>
      <c r="H363">
        <v>15</v>
      </c>
      <c r="I363">
        <v>5</v>
      </c>
      <c r="J363">
        <v>10</v>
      </c>
      <c r="K363">
        <v>30</v>
      </c>
    </row>
    <row r="364">
      <c r="A364" t="inlineStr">
        <is>
          <t>Aides-soignants</t>
        </is>
      </c>
      <c r="B364" t="inlineStr">
        <is>
          <t>AS</t>
        </is>
      </c>
      <c r="D364" t="inlineStr">
        <is>
          <t>8</t>
        </is>
      </c>
      <c r="E364" t="inlineStr">
        <is>
          <t>Entretien des locaux et des matériels et prévention des risques associés</t>
        </is>
      </c>
      <c r="F364" t="inlineStr">
        <is>
          <t>Infection, désinfection et prévention des risques</t>
        </is>
      </c>
      <c r="H364">
        <v>10</v>
      </c>
      <c r="I364">
        <v>5</v>
      </c>
      <c r="J364">
        <v>5</v>
      </c>
      <c r="K364">
        <v>20</v>
      </c>
    </row>
    <row r="365">
      <c r="A365" t="inlineStr">
        <is>
          <t>Aides-soignants</t>
        </is>
      </c>
      <c r="B365" t="inlineStr">
        <is>
          <t>AS</t>
        </is>
      </c>
      <c r="D365" t="inlineStr">
        <is>
          <t>8</t>
        </is>
      </c>
      <c r="E365" t="inlineStr">
        <is>
          <t>Entretien des locaux et des matériels et prévention des risques associés</t>
        </is>
      </c>
      <c r="F365" t="inlineStr">
        <is>
          <t>Règles, bonnes pratiques et recommandations :</t>
        </is>
      </c>
    </row>
    <row r="366">
      <c r="A366" t="inlineStr">
        <is>
          <t>Aides-soignants</t>
        </is>
      </c>
      <c r="B366" t="inlineStr">
        <is>
          <t>AS</t>
        </is>
      </c>
      <c r="D366" t="inlineStr">
        <is>
          <t>8</t>
        </is>
      </c>
      <c r="E366" t="inlineStr">
        <is>
          <t>Entretien des locaux et des matériels et prévention des risques associés</t>
        </is>
      </c>
      <c r="F366" t="inlineStr">
        <is>
          <t>Réalisation des opérations d'entretien des locaux et des matériels</t>
        </is>
      </c>
      <c r="H366">
        <v>5</v>
      </c>
      <c r="I366">
        <v>5</v>
      </c>
      <c r="J366">
        <v>5</v>
      </c>
      <c r="K366">
        <v>15</v>
      </c>
    </row>
    <row r="367">
      <c r="A367" t="inlineStr">
        <is>
          <t>Aides-soignants</t>
        </is>
      </c>
      <c r="B367" t="inlineStr">
        <is>
          <t>AS</t>
        </is>
      </c>
      <c r="D367" t="inlineStr">
        <is>
          <t>9</t>
        </is>
      </c>
      <c r="E367" t="inlineStr">
        <is>
          <t>Traitement des informations</t>
        </is>
      </c>
      <c r="F367" t="inlineStr">
        <is>
          <t>Techniques de communication écrite</t>
        </is>
      </c>
      <c r="H367">
        <v>10</v>
      </c>
      <c r="I367">
        <v>5</v>
      </c>
      <c r="J367">
        <v>5</v>
      </c>
      <c r="K367">
        <v>20</v>
      </c>
    </row>
    <row r="368">
      <c r="A368" t="inlineStr">
        <is>
          <t>Aides-soignants</t>
        </is>
      </c>
      <c r="B368" t="inlineStr">
        <is>
          <t>AS</t>
        </is>
      </c>
      <c r="D368" t="inlineStr">
        <is>
          <t>9</t>
        </is>
      </c>
      <c r="E368" t="inlineStr">
        <is>
          <t>Traitement des informations</t>
        </is>
      </c>
      <c r="F368" t="inlineStr">
        <is>
          <t>Traitement des informations</t>
        </is>
      </c>
      <c r="H368">
        <v>5</v>
      </c>
      <c r="I368">
        <v>5</v>
      </c>
      <c r="J368">
        <v>5</v>
      </c>
      <c r="K368">
        <v>15</v>
      </c>
    </row>
    <row r="369">
      <c r="A369" t="inlineStr">
        <is>
          <t>Aides-soignants</t>
        </is>
      </c>
      <c r="B369" t="inlineStr">
        <is>
          <t>AS</t>
        </is>
      </c>
      <c r="D369" t="inlineStr">
        <is>
          <t>10</t>
        </is>
      </c>
      <c r="E369" t="inlineStr">
        <is>
          <t>Travail en équipe pluri professionnelle, qualité et gestion des risques</t>
        </is>
      </c>
      <c r="F369" t="inlineStr">
        <is>
          <t>Travail en équipe pluri professionnelle</t>
        </is>
      </c>
      <c r="H369">
        <v>15</v>
      </c>
      <c r="I369">
        <v>15</v>
      </c>
      <c r="J369">
        <v>10</v>
      </c>
      <c r="K369">
        <v>40</v>
      </c>
    </row>
    <row r="370">
      <c r="A370" t="inlineStr">
        <is>
          <t>Aides-soignants</t>
        </is>
      </c>
      <c r="B370" t="inlineStr">
        <is>
          <t>AS</t>
        </is>
      </c>
      <c r="D370" t="inlineStr">
        <is>
          <t>10</t>
        </is>
      </c>
      <c r="E370" t="inlineStr">
        <is>
          <t>Travail en équipe pluri professionnelle, qualité et gestion des risques</t>
        </is>
      </c>
      <c r="F370" t="inlineStr">
        <is>
          <t>Démarche qualité et gestion des risques</t>
        </is>
      </c>
      <c r="H370">
        <v>15</v>
      </c>
      <c r="I370">
        <v>5</v>
      </c>
      <c r="J370">
        <v>10</v>
      </c>
      <c r="K370">
        <v>30</v>
      </c>
    </row>
    <row r="371">
      <c r="A371" t="inlineStr">
        <is>
          <t>Aides-soignants</t>
        </is>
      </c>
      <c r="B371" t="inlineStr">
        <is>
          <t>AS</t>
        </is>
      </c>
      <c r="D371" t="inlineStr">
        <is>
          <t>11</t>
        </is>
      </c>
      <c r="E371" t="inlineStr">
        <is>
          <t>Adaptation au valeurs locales</t>
        </is>
      </c>
      <c r="F371" t="inlineStr">
        <is>
          <t>Introduction des pratiques culturelles</t>
        </is>
      </c>
      <c r="H371">
        <v>15</v>
      </c>
      <c r="I371">
        <v>10</v>
      </c>
      <c r="J371">
        <v>5</v>
      </c>
      <c r="K371">
        <v>30</v>
      </c>
    </row>
    <row r="372">
      <c r="A372" t="inlineStr">
        <is>
          <t>Aides-soignants</t>
        </is>
      </c>
      <c r="B372" t="inlineStr">
        <is>
          <t>AS</t>
        </is>
      </c>
      <c r="D372" t="inlineStr">
        <is>
          <t>11</t>
        </is>
      </c>
      <c r="E372" t="inlineStr">
        <is>
          <t>Adaptation au valeurs locales</t>
        </is>
      </c>
      <c r="F372" t="inlineStr">
        <is>
          <t>Valeurs loclaes ert croyances religieuses</t>
        </is>
      </c>
    </row>
    <row r="373">
      <c r="A373" t="inlineStr">
        <is>
          <t>Aides-soignants</t>
        </is>
      </c>
      <c r="B373" t="inlineStr">
        <is>
          <t>AS</t>
        </is>
      </c>
      <c r="D373" t="inlineStr">
        <is>
          <t>11</t>
        </is>
      </c>
      <c r="E373" t="inlineStr">
        <is>
          <t>Adaptation au valeurs locales</t>
        </is>
      </c>
      <c r="F373" t="inlineStr">
        <is>
          <t>Adaptation des soins</t>
        </is>
      </c>
    </row>
    <row r="374">
      <c r="A374" t="inlineStr">
        <is>
          <t>Aides-soignants</t>
        </is>
      </c>
      <c r="B374" t="inlineStr">
        <is>
          <t>AS</t>
        </is>
      </c>
      <c r="D374" t="inlineStr">
        <is>
          <t>11</t>
        </is>
      </c>
      <c r="E374" t="inlineStr">
        <is>
          <t>Adaptation au valeurs locales</t>
        </is>
      </c>
      <c r="F374" t="inlineStr">
        <is>
          <t>Communication interculturelle</t>
        </is>
      </c>
    </row>
    <row r="375">
      <c r="A375" t="inlineStr">
        <is>
          <t>Aides-soignants</t>
        </is>
      </c>
      <c r="B375" t="inlineStr">
        <is>
          <t>AS</t>
        </is>
      </c>
      <c r="D375" t="inlineStr">
        <is>
          <t>11</t>
        </is>
      </c>
      <c r="E375" t="inlineStr">
        <is>
          <t>Adaptation au valeurs locales</t>
        </is>
      </c>
      <c r="F375" t="inlineStr">
        <is>
          <t>Ethique en soins</t>
        </is>
      </c>
      <c r="H375">
        <v>10</v>
      </c>
      <c r="I375">
        <v>5</v>
      </c>
      <c r="J375">
        <v>5</v>
      </c>
      <c r="K375">
        <v>20</v>
      </c>
    </row>
    <row r="376">
      <c r="A376" t="inlineStr">
        <is>
          <t>Maintenance biomédicale</t>
        </is>
      </c>
      <c r="B376" t="inlineStr">
        <is>
          <t>L1</t>
        </is>
      </c>
      <c r="C376" t="inlineStr">
        <is>
          <t>1</t>
        </is>
      </c>
      <c r="D376" t="inlineStr">
        <is>
          <t>UE1</t>
        </is>
      </c>
      <c r="E376" t="inlineStr">
        <is>
          <t>Biologie et anatomie humaine</t>
        </is>
      </c>
      <c r="F376" t="inlineStr">
        <is>
          <t>- Notions d’anatomie générale et systèmes (nerveux, cardio-respiratoire, digestif).</t>
        </is>
      </c>
      <c r="H376">
        <v>12</v>
      </c>
      <c r="I376">
        <v>8</v>
      </c>
      <c r="J376">
        <v>10</v>
      </c>
      <c r="K376">
        <v>30</v>
      </c>
      <c r="L376">
        <v>60</v>
      </c>
      <c r="M376">
        <v>6</v>
      </c>
    </row>
    <row r="377">
      <c r="A377" t="inlineStr">
        <is>
          <t>Maintenance biomédicale</t>
        </is>
      </c>
      <c r="B377" t="inlineStr">
        <is>
          <t>L1</t>
        </is>
      </c>
      <c r="C377" t="inlineStr">
        <is>
          <t>1</t>
        </is>
      </c>
      <c r="D377" t="inlineStr">
        <is>
          <t>UE1</t>
        </is>
      </c>
      <c r="E377" t="inlineStr">
        <is>
          <t>Biologie et anatomie humaine</t>
        </is>
      </c>
      <c r="F377" t="inlineStr">
        <is>
          <t>- Bases de biologie cellulaire et tissus.</t>
        </is>
      </c>
      <c r="H377">
        <v>8</v>
      </c>
      <c r="I377">
        <v>4</v>
      </c>
      <c r="K377">
        <v>12</v>
      </c>
      <c r="L377">
        <v>60</v>
      </c>
      <c r="M377">
        <v>6</v>
      </c>
    </row>
    <row r="378">
      <c r="A378" t="inlineStr">
        <is>
          <t>Maintenance biomédicale</t>
        </is>
      </c>
      <c r="B378" t="inlineStr">
        <is>
          <t>L1</t>
        </is>
      </c>
      <c r="C378" t="inlineStr">
        <is>
          <t>1</t>
        </is>
      </c>
      <c r="D378" t="inlineStr">
        <is>
          <t>UE1</t>
        </is>
      </c>
      <c r="E378" t="inlineStr">
        <is>
          <t>Biologie et anatomie humaine</t>
        </is>
      </c>
      <c r="F378" t="inlineStr">
        <is>
          <t>- Introduction à l’anatomie fonctionnelle appliquée aux équipements biomédicaux.</t>
        </is>
      </c>
      <c r="H378">
        <v>6</v>
      </c>
      <c r="I378">
        <v>8</v>
      </c>
      <c r="J378">
        <v>4</v>
      </c>
      <c r="K378">
        <v>18</v>
      </c>
      <c r="L378">
        <v>60</v>
      </c>
      <c r="M378">
        <v>6</v>
      </c>
    </row>
    <row r="379">
      <c r="A379" t="inlineStr">
        <is>
          <t>Maintenance biomédicale</t>
        </is>
      </c>
      <c r="B379" t="inlineStr">
        <is>
          <t>L1</t>
        </is>
      </c>
      <c r="C379" t="inlineStr">
        <is>
          <t>1</t>
        </is>
      </c>
      <c r="D379" t="inlineStr">
        <is>
          <t>UE2</t>
        </is>
      </c>
      <c r="E379" t="inlineStr">
        <is>
          <t>Physique appliquée</t>
        </is>
      </c>
      <c r="F379" t="inlineStr">
        <is>
          <t>- Bases de mécanique, optique, acoustique et électromagnétisme.</t>
        </is>
      </c>
      <c r="H379">
        <v>10</v>
      </c>
      <c r="I379">
        <v>5</v>
      </c>
      <c r="J379">
        <v>10</v>
      </c>
      <c r="K379">
        <v>25</v>
      </c>
      <c r="L379">
        <v>55</v>
      </c>
      <c r="M379">
        <v>6</v>
      </c>
    </row>
    <row r="380">
      <c r="A380" t="inlineStr">
        <is>
          <t>Maintenance biomédicale</t>
        </is>
      </c>
      <c r="B380" t="inlineStr">
        <is>
          <t>L1</t>
        </is>
      </c>
      <c r="C380" t="inlineStr">
        <is>
          <t>1</t>
        </is>
      </c>
      <c r="D380" t="inlineStr">
        <is>
          <t>UE2</t>
        </is>
      </c>
      <c r="E380" t="inlineStr">
        <is>
          <t>Physique appliquée</t>
        </is>
      </c>
      <c r="F380" t="inlineStr">
        <is>
          <t>- Principes physiques appliqués aux équipements biomédicaux : ultrasons, rayons X, pression/débit.</t>
        </is>
      </c>
      <c r="H380">
        <v>10</v>
      </c>
      <c r="I380">
        <v>8</v>
      </c>
      <c r="J380">
        <v>12</v>
      </c>
      <c r="K380">
        <v>30</v>
      </c>
      <c r="L380">
        <v>55</v>
      </c>
      <c r="M380">
        <v>6</v>
      </c>
    </row>
    <row r="381">
      <c r="A381" t="inlineStr">
        <is>
          <t>Maintenance biomédicale</t>
        </is>
      </c>
      <c r="B381" t="inlineStr">
        <is>
          <t>L1</t>
        </is>
      </c>
      <c r="C381" t="inlineStr">
        <is>
          <t>1</t>
        </is>
      </c>
      <c r="D381" t="inlineStr">
        <is>
          <t>UE3</t>
        </is>
      </c>
      <c r="E381" t="inlineStr">
        <is>
          <t>Mathématiques et statistiques</t>
        </is>
      </c>
      <c r="F381" t="inlineStr">
        <is>
          <t>- Mathématiques appliquées aux sciences biomédicales.</t>
        </is>
      </c>
      <c r="H381">
        <v>8</v>
      </c>
      <c r="I381">
        <v>6</v>
      </c>
      <c r="J381">
        <v>6</v>
      </c>
      <c r="K381">
        <v>20</v>
      </c>
      <c r="L381">
        <v>50</v>
      </c>
      <c r="M381">
        <v>6</v>
      </c>
    </row>
    <row r="382">
      <c r="A382" t="inlineStr">
        <is>
          <t>Maintenance biomédicale</t>
        </is>
      </c>
      <c r="B382" t="inlineStr">
        <is>
          <t>L1</t>
        </is>
      </c>
      <c r="C382" t="inlineStr">
        <is>
          <t>1</t>
        </is>
      </c>
      <c r="D382" t="inlineStr">
        <is>
          <t>UE3</t>
        </is>
      </c>
      <c r="E382" t="inlineStr">
        <is>
          <t>Mathématiques et statistiques</t>
        </is>
      </c>
      <c r="F382" t="inlineStr">
        <is>
          <t>- Statistiques de base (moyenne, écart-type, variance).</t>
        </is>
      </c>
      <c r="H382">
        <v>6</v>
      </c>
      <c r="I382">
        <v>4</v>
      </c>
      <c r="J382">
        <v>6</v>
      </c>
      <c r="K382">
        <v>16</v>
      </c>
      <c r="L382">
        <v>50</v>
      </c>
      <c r="M382">
        <v>6</v>
      </c>
    </row>
    <row r="383">
      <c r="A383" t="inlineStr">
        <is>
          <t>Maintenance biomédicale</t>
        </is>
      </c>
      <c r="B383" t="inlineStr">
        <is>
          <t>L1</t>
        </is>
      </c>
      <c r="C383" t="inlineStr">
        <is>
          <t>1</t>
        </is>
      </c>
      <c r="D383" t="inlineStr">
        <is>
          <t>UE3</t>
        </is>
      </c>
      <c r="E383" t="inlineStr">
        <is>
          <t>Mathématiques et statistiques</t>
        </is>
      </c>
      <c r="F383" t="inlineStr">
        <is>
          <t>- Applications en maintenance (suivi pannes, MTBF, fiabilité).</t>
        </is>
      </c>
      <c r="H383">
        <v>4</v>
      </c>
      <c r="I383">
        <v>4</v>
      </c>
      <c r="J383">
        <v>6</v>
      </c>
      <c r="K383">
        <v>14</v>
      </c>
      <c r="L383">
        <v>50</v>
      </c>
      <c r="M383">
        <v>6</v>
      </c>
    </row>
    <row r="384">
      <c r="A384" t="inlineStr">
        <is>
          <t>Maintenance biomédicale</t>
        </is>
      </c>
      <c r="B384" t="inlineStr">
        <is>
          <t>L1</t>
        </is>
      </c>
      <c r="C384" t="inlineStr">
        <is>
          <t>1</t>
        </is>
      </c>
      <c r="D384" t="inlineStr">
        <is>
          <t>UE4</t>
        </is>
      </c>
      <c r="E384" t="inlineStr">
        <is>
          <t>Introduction à la maintenance biomédicale</t>
        </is>
      </c>
      <c r="F384" t="inlineStr">
        <is>
          <t>- Rôle et place du technicien biomédical.</t>
        </is>
      </c>
      <c r="H384">
        <v>4</v>
      </c>
      <c r="I384">
        <v>2</v>
      </c>
      <c r="J384">
        <v>2</v>
      </c>
      <c r="K384">
        <v>8</v>
      </c>
      <c r="L384">
        <v>40</v>
      </c>
      <c r="M384">
        <v>6</v>
      </c>
    </row>
    <row r="385">
      <c r="A385" t="inlineStr">
        <is>
          <t>Maintenance biomédicale</t>
        </is>
      </c>
      <c r="B385" t="inlineStr">
        <is>
          <t>L1</t>
        </is>
      </c>
      <c r="C385" t="inlineStr">
        <is>
          <t>1</t>
        </is>
      </c>
      <c r="D385" t="inlineStr">
        <is>
          <t>UE4</t>
        </is>
      </c>
      <c r="E385" t="inlineStr">
        <is>
          <t>Introduction à la maintenance biomédicale</t>
        </is>
      </c>
      <c r="F385" t="inlineStr">
        <is>
          <t>- Typologie des équipements hospitaliers.</t>
        </is>
      </c>
      <c r="H385">
        <v>4</v>
      </c>
      <c r="I385">
        <v>2</v>
      </c>
      <c r="J385">
        <v>4</v>
      </c>
      <c r="K385">
        <v>10</v>
      </c>
      <c r="L385">
        <v>40</v>
      </c>
      <c r="M385">
        <v>6</v>
      </c>
    </row>
    <row r="386">
      <c r="A386" t="inlineStr">
        <is>
          <t>Maintenance biomédicale</t>
        </is>
      </c>
      <c r="B386" t="inlineStr">
        <is>
          <t>L1</t>
        </is>
      </c>
      <c r="C386" t="inlineStr">
        <is>
          <t>1</t>
        </is>
      </c>
      <c r="D386" t="inlineStr">
        <is>
          <t>UE4</t>
        </is>
      </c>
      <c r="E386" t="inlineStr">
        <is>
          <t>Introduction à la maintenance biomédicale</t>
        </is>
      </c>
      <c r="F386" t="inlineStr">
        <is>
          <t>- Cycle de vie des dispositifs médicaux (acquisition, utilisation, maintenance, réforme).</t>
        </is>
      </c>
      <c r="H386">
        <v>6</v>
      </c>
      <c r="I386">
        <v>2</v>
      </c>
      <c r="J386">
        <v>4</v>
      </c>
      <c r="K386">
        <v>12</v>
      </c>
      <c r="L386">
        <v>40</v>
      </c>
      <c r="M386">
        <v>6</v>
      </c>
    </row>
    <row r="387">
      <c r="A387" t="inlineStr">
        <is>
          <t>Maintenance biomédicale</t>
        </is>
      </c>
      <c r="B387" t="inlineStr">
        <is>
          <t>L1</t>
        </is>
      </c>
      <c r="C387" t="inlineStr">
        <is>
          <t>1</t>
        </is>
      </c>
      <c r="D387" t="inlineStr">
        <is>
          <t>UE4</t>
        </is>
      </c>
      <c r="E387" t="inlineStr">
        <is>
          <t>Introduction à la maintenance biomédicale</t>
        </is>
      </c>
      <c r="F387" t="inlineStr">
        <is>
          <t>- Introduction aux pannes et types de maintenance.</t>
        </is>
      </c>
      <c r="H387">
        <v>4</v>
      </c>
      <c r="I387">
        <v>2</v>
      </c>
      <c r="J387">
        <v>4</v>
      </c>
      <c r="K387">
        <v>10</v>
      </c>
      <c r="L387">
        <v>40</v>
      </c>
      <c r="M387">
        <v>6</v>
      </c>
    </row>
    <row r="388">
      <c r="A388" t="inlineStr">
        <is>
          <t>Maintenance biomédicale</t>
        </is>
      </c>
      <c r="B388" t="inlineStr">
        <is>
          <t>L1</t>
        </is>
      </c>
      <c r="C388" t="inlineStr">
        <is>
          <t>1</t>
        </is>
      </c>
      <c r="D388" t="inlineStr">
        <is>
          <t>UE5</t>
        </is>
      </c>
      <c r="E388" t="inlineStr">
        <is>
          <t>Communication et TIC</t>
        </is>
      </c>
      <c r="F388" t="inlineStr">
        <is>
          <t>- Bases de communication professionnelle.</t>
        </is>
      </c>
      <c r="H388">
        <v>6</v>
      </c>
      <c r="I388">
        <v>4</v>
      </c>
      <c r="J388">
        <v>0</v>
      </c>
      <c r="K388">
        <v>10</v>
      </c>
      <c r="L388">
        <v>35</v>
      </c>
      <c r="M388">
        <v>3</v>
      </c>
    </row>
    <row r="389">
      <c r="A389" t="inlineStr">
        <is>
          <t>Maintenance biomédicale</t>
        </is>
      </c>
      <c r="B389" t="inlineStr">
        <is>
          <t>L1</t>
        </is>
      </c>
      <c r="C389" t="inlineStr">
        <is>
          <t>1</t>
        </is>
      </c>
      <c r="D389" t="inlineStr">
        <is>
          <t>UE5</t>
        </is>
      </c>
      <c r="E389" t="inlineStr">
        <is>
          <t>Communication et TIC</t>
        </is>
      </c>
      <c r="F389" t="inlineStr">
        <is>
          <t>- Rédaction simple de rapports techniques.</t>
        </is>
      </c>
      <c r="H389">
        <v>6</v>
      </c>
      <c r="I389">
        <v>4</v>
      </c>
      <c r="K389">
        <v>10</v>
      </c>
      <c r="L389">
        <v>35</v>
      </c>
      <c r="M389">
        <v>3</v>
      </c>
    </row>
    <row r="390">
      <c r="A390" t="inlineStr">
        <is>
          <t>Maintenance biomédicale</t>
        </is>
      </c>
      <c r="B390" t="inlineStr">
        <is>
          <t>L1</t>
        </is>
      </c>
      <c r="C390" t="inlineStr">
        <is>
          <t>1</t>
        </is>
      </c>
      <c r="D390" t="inlineStr">
        <is>
          <t>UE5</t>
        </is>
      </c>
      <c r="E390" t="inlineStr">
        <is>
          <t>Communication et TIC</t>
        </is>
      </c>
      <c r="F390" t="inlineStr">
        <is>
          <t>- TIC appliquées : initiation Word/Excel pour inventaire d’équipements.</t>
        </is>
      </c>
      <c r="H390">
        <v>6</v>
      </c>
      <c r="I390">
        <v>4</v>
      </c>
      <c r="K390">
        <v>10</v>
      </c>
      <c r="L390">
        <v>35</v>
      </c>
      <c r="M390">
        <v>3</v>
      </c>
    </row>
    <row r="391">
      <c r="A391" t="inlineStr">
        <is>
          <t>Maintenance biomédicale</t>
        </is>
      </c>
      <c r="B391" t="inlineStr">
        <is>
          <t>L1</t>
        </is>
      </c>
      <c r="C391" t="inlineStr">
        <is>
          <t>1</t>
        </is>
      </c>
      <c r="D391" t="inlineStr">
        <is>
          <t>UE5</t>
        </is>
      </c>
      <c r="E391" t="inlineStr">
        <is>
          <t>Communication et TIC</t>
        </is>
      </c>
      <c r="F391" t="inlineStr">
        <is>
          <t>- Début de sensibilisation au travail en équipe interdisciplinaire.</t>
        </is>
      </c>
      <c r="H391">
        <v>3</v>
      </c>
      <c r="I391">
        <v>2</v>
      </c>
      <c r="K391">
        <v>5</v>
      </c>
      <c r="L391">
        <v>35</v>
      </c>
      <c r="M391">
        <v>3</v>
      </c>
    </row>
    <row r="392">
      <c r="A392" t="inlineStr">
        <is>
          <t>Maintenance biomédicale</t>
        </is>
      </c>
      <c r="B392" t="inlineStr">
        <is>
          <t>L1</t>
        </is>
      </c>
      <c r="C392" t="inlineStr">
        <is>
          <t>1</t>
        </is>
      </c>
      <c r="D392" t="inlineStr">
        <is>
          <t>UE6</t>
        </is>
      </c>
      <c r="E392" t="inlineStr">
        <is>
          <t>Anglais technique</t>
        </is>
      </c>
      <c r="F392" t="inlineStr">
        <is>
          <t>- Vocabulaire médical et technique de base.</t>
        </is>
      </c>
      <c r="H392">
        <v>4</v>
      </c>
      <c r="I392">
        <v>6</v>
      </c>
      <c r="J392">
        <v>0</v>
      </c>
      <c r="K392">
        <v>10</v>
      </c>
      <c r="L392">
        <v>30</v>
      </c>
      <c r="M392">
        <v>3</v>
      </c>
    </row>
    <row r="393">
      <c r="A393" t="inlineStr">
        <is>
          <t>Maintenance biomédicale</t>
        </is>
      </c>
      <c r="B393" t="inlineStr">
        <is>
          <t>L1</t>
        </is>
      </c>
      <c r="C393" t="inlineStr">
        <is>
          <t>1</t>
        </is>
      </c>
      <c r="D393" t="inlineStr">
        <is>
          <t>UE6</t>
        </is>
      </c>
      <c r="E393" t="inlineStr">
        <is>
          <t>Anglais technique</t>
        </is>
      </c>
      <c r="F393" t="inlineStr">
        <is>
          <t>- Lecture de fiches techniques d’équipements.</t>
        </is>
      </c>
      <c r="H393">
        <v>4</v>
      </c>
      <c r="I393">
        <v>4</v>
      </c>
      <c r="K393">
        <v>8</v>
      </c>
      <c r="L393">
        <v>30</v>
      </c>
      <c r="M393">
        <v>3</v>
      </c>
    </row>
    <row r="394">
      <c r="A394" t="inlineStr">
        <is>
          <t>Maintenance biomédicale</t>
        </is>
      </c>
      <c r="B394" t="inlineStr">
        <is>
          <t>L1</t>
        </is>
      </c>
      <c r="C394" t="inlineStr">
        <is>
          <t>1</t>
        </is>
      </c>
      <c r="D394" t="inlineStr">
        <is>
          <t>UE6</t>
        </is>
      </c>
      <c r="E394" t="inlineStr">
        <is>
          <t>Anglais technique</t>
        </is>
      </c>
      <c r="F394" t="inlineStr">
        <is>
          <t>- Exercices de traduction de notices.</t>
        </is>
      </c>
      <c r="H394">
        <v>6</v>
      </c>
      <c r="I394">
        <v>6</v>
      </c>
      <c r="K394">
        <v>12</v>
      </c>
      <c r="L394">
        <v>30</v>
      </c>
      <c r="M394">
        <v>3</v>
      </c>
    </row>
    <row r="395">
      <c r="A395" t="inlineStr">
        <is>
          <t>Maintenance biomédicale</t>
        </is>
      </c>
      <c r="B395" t="inlineStr">
        <is>
          <t>L1</t>
        </is>
      </c>
      <c r="C395" t="inlineStr">
        <is>
          <t>2</t>
        </is>
      </c>
      <c r="D395" t="inlineStr">
        <is>
          <t>UE7</t>
        </is>
      </c>
      <c r="E395" t="inlineStr">
        <is>
          <t>Électrotechnique de base</t>
        </is>
      </c>
      <c r="F395" t="inlineStr">
        <is>
          <t>- Lois fondamentales de l’électricité (Ohm, Kirchhoff).</t>
        </is>
      </c>
      <c r="H395">
        <v>8</v>
      </c>
      <c r="I395">
        <v>6</v>
      </c>
      <c r="J395">
        <v>3</v>
      </c>
      <c r="K395">
        <v>17</v>
      </c>
      <c r="L395">
        <v>50</v>
      </c>
      <c r="M395">
        <v>6</v>
      </c>
    </row>
    <row r="396">
      <c r="A396" t="inlineStr">
        <is>
          <t>Maintenance biomédicale</t>
        </is>
      </c>
      <c r="B396" t="inlineStr">
        <is>
          <t>L1</t>
        </is>
      </c>
      <c r="C396" t="inlineStr">
        <is>
          <t>2</t>
        </is>
      </c>
      <c r="D396" t="inlineStr">
        <is>
          <t>UE7</t>
        </is>
      </c>
      <c r="E396" t="inlineStr">
        <is>
          <t>Électrotechnique de base</t>
        </is>
      </c>
      <c r="F396" t="inlineStr">
        <is>
          <t>- Circuits AC/DC, transformateurs, relais.</t>
        </is>
      </c>
      <c r="H396">
        <v>8</v>
      </c>
      <c r="I396">
        <v>5</v>
      </c>
      <c r="J396">
        <v>5</v>
      </c>
      <c r="K396">
        <v>18</v>
      </c>
      <c r="L396">
        <v>50</v>
      </c>
      <c r="M396">
        <v>6</v>
      </c>
    </row>
    <row r="397">
      <c r="A397" t="inlineStr">
        <is>
          <t>Maintenance biomédicale</t>
        </is>
      </c>
      <c r="B397" t="inlineStr">
        <is>
          <t>L1</t>
        </is>
      </c>
      <c r="C397" t="inlineStr">
        <is>
          <t>2</t>
        </is>
      </c>
      <c r="D397" t="inlineStr">
        <is>
          <t>UE7</t>
        </is>
      </c>
      <c r="E397" t="inlineStr">
        <is>
          <t>Électrotechnique de base</t>
        </is>
      </c>
      <c r="F397" t="inlineStr">
        <is>
          <t>- Applications sur équipements biomédicaux.</t>
        </is>
      </c>
      <c r="H397">
        <v>4</v>
      </c>
      <c r="I397">
        <v>2</v>
      </c>
      <c r="J397">
        <v>3</v>
      </c>
      <c r="K397">
        <v>9</v>
      </c>
      <c r="L397">
        <v>50</v>
      </c>
      <c r="M397">
        <v>6</v>
      </c>
    </row>
    <row r="398">
      <c r="A398" t="inlineStr">
        <is>
          <t>Maintenance biomédicale</t>
        </is>
      </c>
      <c r="B398" t="inlineStr">
        <is>
          <t>L1</t>
        </is>
      </c>
      <c r="C398" t="inlineStr">
        <is>
          <t>2</t>
        </is>
      </c>
      <c r="D398" t="inlineStr">
        <is>
          <t>UE7</t>
        </is>
      </c>
      <c r="E398" t="inlineStr">
        <is>
          <t>Électrotechnique de base</t>
        </is>
      </c>
      <c r="F398" t="inlineStr">
        <is>
          <t>- Travaux pratiques : mesures avec multimètre, diagnostic simple.</t>
        </is>
      </c>
      <c r="I398">
        <v>2</v>
      </c>
      <c r="J398">
        <v>4</v>
      </c>
      <c r="K398">
        <v>6</v>
      </c>
      <c r="L398">
        <v>50</v>
      </c>
      <c r="M398">
        <v>6</v>
      </c>
    </row>
    <row r="399">
      <c r="A399" t="inlineStr">
        <is>
          <t>Maintenance biomédicale</t>
        </is>
      </c>
      <c r="B399" t="inlineStr">
        <is>
          <t>L1</t>
        </is>
      </c>
      <c r="C399" t="inlineStr">
        <is>
          <t>2</t>
        </is>
      </c>
      <c r="D399" t="inlineStr">
        <is>
          <t>UE8</t>
        </is>
      </c>
      <c r="E399" t="inlineStr">
        <is>
          <t>Matériaux et composants électroniques</t>
        </is>
      </c>
      <c r="F399" t="inlineStr">
        <is>
          <t>- Composants de base : résistances, condensateurs, diodes, transistors.</t>
        </is>
      </c>
      <c r="H399">
        <v>8</v>
      </c>
      <c r="I399">
        <v>5</v>
      </c>
      <c r="J399">
        <v>7</v>
      </c>
      <c r="K399">
        <v>20</v>
      </c>
      <c r="L399">
        <v>50</v>
      </c>
      <c r="M399">
        <v>6</v>
      </c>
    </row>
    <row r="400">
      <c r="A400" t="inlineStr">
        <is>
          <t>Maintenance biomédicale</t>
        </is>
      </c>
      <c r="B400" t="inlineStr">
        <is>
          <t>L1</t>
        </is>
      </c>
      <c r="C400" t="inlineStr">
        <is>
          <t>2</t>
        </is>
      </c>
      <c r="D400" t="inlineStr">
        <is>
          <t>UE8</t>
        </is>
      </c>
      <c r="E400" t="inlineStr">
        <is>
          <t>Matériaux et composants électroniques</t>
        </is>
      </c>
      <c r="F400" t="inlineStr">
        <is>
          <t>- Lecture de schémas électroniques simples.</t>
        </is>
      </c>
      <c r="H400">
        <v>5</v>
      </c>
      <c r="I400">
        <v>5</v>
      </c>
      <c r="J400">
        <v>6</v>
      </c>
      <c r="K400">
        <v>16</v>
      </c>
      <c r="L400">
        <v>50</v>
      </c>
      <c r="M400">
        <v>6</v>
      </c>
    </row>
    <row r="401">
      <c r="A401" t="inlineStr">
        <is>
          <t>Maintenance biomédicale</t>
        </is>
      </c>
      <c r="B401" t="inlineStr">
        <is>
          <t>L1</t>
        </is>
      </c>
      <c r="C401" t="inlineStr">
        <is>
          <t>2</t>
        </is>
      </c>
      <c r="D401" t="inlineStr">
        <is>
          <t>UE8</t>
        </is>
      </c>
      <c r="E401" t="inlineStr">
        <is>
          <t>Matériaux et composants électroniques</t>
        </is>
      </c>
      <c r="F401" t="inlineStr">
        <is>
          <t>- Applications sur cartes d’équipements médicaux.</t>
        </is>
      </c>
      <c r="H401">
        <v>5</v>
      </c>
      <c r="I401">
        <v>4</v>
      </c>
      <c r="J401">
        <v>5</v>
      </c>
      <c r="K401">
        <v>14</v>
      </c>
      <c r="L401">
        <v>50</v>
      </c>
      <c r="M401">
        <v>6</v>
      </c>
    </row>
    <row r="402">
      <c r="A402" t="inlineStr">
        <is>
          <t>Maintenance biomédicale</t>
        </is>
      </c>
      <c r="B402" t="inlineStr">
        <is>
          <t>L1</t>
        </is>
      </c>
      <c r="C402" t="inlineStr">
        <is>
          <t>2</t>
        </is>
      </c>
      <c r="D402" t="inlineStr">
        <is>
          <t>UE9</t>
        </is>
      </c>
      <c r="E402" t="inlineStr">
        <is>
          <t>Initiation aux systèmes hospitaliers</t>
        </is>
      </c>
      <c r="F402" t="inlineStr">
        <is>
          <t>- Organisation des services hospitaliers : réanimation, bloc, imagerie, laboratoire.</t>
        </is>
      </c>
      <c r="H402">
        <v>4</v>
      </c>
      <c r="I402">
        <v>4</v>
      </c>
      <c r="J402">
        <v>2</v>
      </c>
      <c r="K402">
        <v>10</v>
      </c>
      <c r="L402">
        <v>30</v>
      </c>
      <c r="M402">
        <v>6</v>
      </c>
    </row>
    <row r="403">
      <c r="A403" t="inlineStr">
        <is>
          <t>Maintenance biomédicale</t>
        </is>
      </c>
      <c r="B403" t="inlineStr">
        <is>
          <t>L1</t>
        </is>
      </c>
      <c r="C403" t="inlineStr">
        <is>
          <t>2</t>
        </is>
      </c>
      <c r="D403" t="inlineStr">
        <is>
          <t>UE9</t>
        </is>
      </c>
      <c r="E403" t="inlineStr">
        <is>
          <t>Initiation aux systèmes hospitaliers</t>
        </is>
      </c>
      <c r="F403" t="inlineStr">
        <is>
          <t>- Équipements clés par service (respirateur, autoclave, analyseur).</t>
        </is>
      </c>
      <c r="H403">
        <v>4</v>
      </c>
      <c r="I403">
        <v>4</v>
      </c>
      <c r="J403">
        <v>4</v>
      </c>
      <c r="K403">
        <v>12</v>
      </c>
      <c r="L403">
        <v>30</v>
      </c>
      <c r="M403">
        <v>6</v>
      </c>
    </row>
    <row r="404">
      <c r="A404" t="inlineStr">
        <is>
          <t>Maintenance biomédicale</t>
        </is>
      </c>
      <c r="B404" t="inlineStr">
        <is>
          <t>L1</t>
        </is>
      </c>
      <c r="C404" t="inlineStr">
        <is>
          <t>2</t>
        </is>
      </c>
      <c r="D404" t="inlineStr">
        <is>
          <t>UE9</t>
        </is>
      </c>
      <c r="E404" t="inlineStr">
        <is>
          <t>Initiation aux systèmes hospitaliers</t>
        </is>
      </c>
      <c r="F404" t="inlineStr">
        <is>
          <t>- Introduction à l’infrastructure hospitalière (électricité, eau, gaz médicaux).</t>
        </is>
      </c>
      <c r="H404">
        <v>2</v>
      </c>
      <c r="I404">
        <v>2</v>
      </c>
      <c r="J404">
        <v>4</v>
      </c>
      <c r="K404">
        <v>8</v>
      </c>
      <c r="L404">
        <v>30</v>
      </c>
      <c r="M404">
        <v>6</v>
      </c>
    </row>
    <row r="405">
      <c r="A405" t="inlineStr">
        <is>
          <t>Maintenance biomédicale</t>
        </is>
      </c>
      <c r="B405" t="inlineStr">
        <is>
          <t>L1</t>
        </is>
      </c>
      <c r="C405" t="inlineStr">
        <is>
          <t>2</t>
        </is>
      </c>
      <c r="D405" t="inlineStr">
        <is>
          <t>UE10</t>
        </is>
      </c>
      <c r="E405" t="inlineStr">
        <is>
          <t>Sécurité et hygiène hospitalière</t>
        </is>
      </c>
      <c r="F405" t="inlineStr">
        <is>
          <t>- Principes de sécurité électrique appliqués aux dispositifs médicaux.</t>
        </is>
      </c>
      <c r="H405">
        <v>6</v>
      </c>
      <c r="I405">
        <v>4</v>
      </c>
      <c r="J405">
        <v>4</v>
      </c>
      <c r="K405">
        <v>14</v>
      </c>
      <c r="L405">
        <v>40</v>
      </c>
      <c r="M405">
        <v>6</v>
      </c>
    </row>
    <row r="406">
      <c r="A406" t="inlineStr">
        <is>
          <t>Maintenance biomédicale</t>
        </is>
      </c>
      <c r="B406" t="inlineStr">
        <is>
          <t>L1</t>
        </is>
      </c>
      <c r="C406" t="inlineStr">
        <is>
          <t>2</t>
        </is>
      </c>
      <c r="D406" t="inlineStr">
        <is>
          <t>UE10</t>
        </is>
      </c>
      <c r="E406" t="inlineStr">
        <is>
          <t>Sécurité et hygiène hospitalière</t>
        </is>
      </c>
      <c r="F406" t="inlineStr">
        <is>
          <t>- Introduction à la radioprotection.</t>
        </is>
      </c>
      <c r="H406">
        <v>4</v>
      </c>
      <c r="I406">
        <v>2</v>
      </c>
      <c r="J406">
        <v>2</v>
      </c>
      <c r="K406">
        <v>8</v>
      </c>
      <c r="L406">
        <v>40</v>
      </c>
      <c r="M406">
        <v>6</v>
      </c>
    </row>
    <row r="407">
      <c r="A407" t="inlineStr">
        <is>
          <t>Maintenance biomédicale</t>
        </is>
      </c>
      <c r="B407" t="inlineStr">
        <is>
          <t>L1</t>
        </is>
      </c>
      <c r="C407" t="inlineStr">
        <is>
          <t>2</t>
        </is>
      </c>
      <c r="D407" t="inlineStr">
        <is>
          <t>UE10</t>
        </is>
      </c>
      <c r="E407" t="inlineStr">
        <is>
          <t>Sécurité et hygiène hospitalière</t>
        </is>
      </c>
      <c r="F407" t="inlineStr">
        <is>
          <t>- Hygiène hospitalière (désinfection, DASRI, biosécurité).</t>
        </is>
      </c>
      <c r="H407">
        <v>4</v>
      </c>
      <c r="I407">
        <v>2</v>
      </c>
      <c r="J407">
        <v>4</v>
      </c>
      <c r="K407">
        <v>10</v>
      </c>
      <c r="L407">
        <v>40</v>
      </c>
      <c r="M407">
        <v>6</v>
      </c>
    </row>
    <row r="408">
      <c r="A408" t="inlineStr">
        <is>
          <t>Maintenance biomédicale</t>
        </is>
      </c>
      <c r="B408" t="inlineStr">
        <is>
          <t>L1</t>
        </is>
      </c>
      <c r="C408" t="inlineStr">
        <is>
          <t>2</t>
        </is>
      </c>
      <c r="D408" t="inlineStr">
        <is>
          <t>UE10</t>
        </is>
      </c>
      <c r="E408" t="inlineStr">
        <is>
          <t>Sécurité et hygiène hospitalière</t>
        </is>
      </c>
      <c r="F408" t="inlineStr">
        <is>
          <t>- Exercices pratiques : checklist de sécurité.</t>
        </is>
      </c>
      <c r="H408">
        <v>2</v>
      </c>
      <c r="I408">
        <v>2</v>
      </c>
      <c r="J408">
        <v>4</v>
      </c>
      <c r="K408">
        <v>8</v>
      </c>
      <c r="L408">
        <v>40</v>
      </c>
      <c r="M408">
        <v>6</v>
      </c>
    </row>
    <row r="409">
      <c r="A409" t="inlineStr">
        <is>
          <t>Maintenance biomédicale</t>
        </is>
      </c>
      <c r="B409" t="inlineStr">
        <is>
          <t>L1</t>
        </is>
      </c>
      <c r="C409" t="inlineStr">
        <is>
          <t>2</t>
        </is>
      </c>
      <c r="D409" t="inlineStr">
        <is>
          <t>UE11</t>
        </is>
      </c>
      <c r="E409" t="inlineStr">
        <is>
          <t>Projet tutoré I</t>
        </is>
      </c>
      <c r="F409" t="inlineStr">
        <is>
          <t>- Mini-projet d’inventaire d’équipements.</t>
        </is>
      </c>
      <c r="H409">
        <v>4</v>
      </c>
      <c r="I409">
        <v>10</v>
      </c>
      <c r="J409">
        <v>12</v>
      </c>
      <c r="K409">
        <v>26</v>
      </c>
      <c r="L409">
        <v>54</v>
      </c>
      <c r="M409">
        <v>3</v>
      </c>
    </row>
    <row r="410">
      <c r="A410" t="inlineStr">
        <is>
          <t>Maintenance biomédicale</t>
        </is>
      </c>
      <c r="B410" t="inlineStr">
        <is>
          <t>L1</t>
        </is>
      </c>
      <c r="C410" t="inlineStr">
        <is>
          <t>2</t>
        </is>
      </c>
      <c r="D410" t="inlineStr">
        <is>
          <t>UE11</t>
        </is>
      </c>
      <c r="E410" t="inlineStr">
        <is>
          <t>Projet tutoré I</t>
        </is>
      </c>
      <c r="F410" t="inlineStr">
        <is>
          <t>- Présentation orale : fiche descriptive d’un appareil biomédical.</t>
        </is>
      </c>
      <c r="H410">
        <v>4</v>
      </c>
      <c r="I410">
        <v>6</v>
      </c>
      <c r="J410">
        <v>6</v>
      </c>
      <c r="K410">
        <v>16</v>
      </c>
      <c r="L410">
        <v>54</v>
      </c>
      <c r="M410">
        <v>3</v>
      </c>
    </row>
    <row r="411">
      <c r="A411" t="inlineStr">
        <is>
          <t>Maintenance biomédicale</t>
        </is>
      </c>
      <c r="B411" t="inlineStr">
        <is>
          <t>L1</t>
        </is>
      </c>
      <c r="C411" t="inlineStr">
        <is>
          <t>2</t>
        </is>
      </c>
      <c r="D411" t="inlineStr">
        <is>
          <t>UE11</t>
        </is>
      </c>
      <c r="E411" t="inlineStr">
        <is>
          <t>Projet tutoré I</t>
        </is>
      </c>
      <c r="F411" t="inlineStr">
        <is>
          <t>- Travail en binôme pour renforcer communication et adaptation.</t>
        </is>
      </c>
      <c r="H411">
        <v>4</v>
      </c>
      <c r="I411">
        <v>4</v>
      </c>
      <c r="J411">
        <v>4</v>
      </c>
      <c r="K411">
        <v>12</v>
      </c>
      <c r="L411">
        <v>54</v>
      </c>
      <c r="M411">
        <v>3</v>
      </c>
    </row>
    <row r="412">
      <c r="A412" t="inlineStr">
        <is>
          <t>Maintenance biomédicale</t>
        </is>
      </c>
      <c r="B412" t="inlineStr">
        <is>
          <t>L1</t>
        </is>
      </c>
      <c r="C412" t="inlineStr">
        <is>
          <t>2</t>
        </is>
      </c>
      <c r="D412" t="inlineStr">
        <is>
          <t>UE12</t>
        </is>
      </c>
      <c r="E412" t="inlineStr">
        <is>
          <t>Stage d’observation (2 semaines)</t>
        </is>
      </c>
      <c r="F412" t="inlineStr">
        <is>
          <t>(Stage externe ).</t>
        </is>
      </c>
      <c r="K412">
        <v>90</v>
      </c>
      <c r="L412">
        <v>90</v>
      </c>
      <c r="M412">
        <v>3</v>
      </c>
    </row>
    <row r="413">
      <c r="A413" t="inlineStr">
        <is>
          <t>Maintenance biomédicale</t>
        </is>
      </c>
      <c r="B413" t="inlineStr">
        <is>
          <t>L2</t>
        </is>
      </c>
      <c r="C413" t="inlineStr">
        <is>
          <t>3</t>
        </is>
      </c>
      <c r="D413" t="inlineStr">
        <is>
          <t>UE13</t>
        </is>
      </c>
      <c r="E413" t="inlineStr">
        <is>
          <t>Circuits électriques et électroniques appliqués</t>
        </is>
      </c>
      <c r="F413" t="inlineStr">
        <is>
          <t>- Circuits AC/DC complexes, transformateurs, redresseurs, filtres.</t>
        </is>
      </c>
      <c r="H413">
        <v>8</v>
      </c>
      <c r="I413">
        <v>6</v>
      </c>
      <c r="J413">
        <v>8</v>
      </c>
      <c r="K413">
        <v>22</v>
      </c>
      <c r="L413">
        <v>60</v>
      </c>
      <c r="M413">
        <v>6</v>
      </c>
    </row>
    <row r="414">
      <c r="A414" t="inlineStr">
        <is>
          <t>Maintenance biomédicale</t>
        </is>
      </c>
      <c r="B414" t="inlineStr">
        <is>
          <t>L2</t>
        </is>
      </c>
      <c r="C414" t="inlineStr">
        <is>
          <t>3</t>
        </is>
      </c>
      <c r="D414" t="inlineStr">
        <is>
          <t>UE13</t>
        </is>
      </c>
      <c r="E414" t="inlineStr">
        <is>
          <t>Circuits électriques et électroniques appliqués</t>
        </is>
      </c>
      <c r="F414" t="inlineStr">
        <is>
          <t>Notion de programmation</t>
        </is>
      </c>
      <c r="H414">
        <v>2</v>
      </c>
      <c r="I414">
        <v>4</v>
      </c>
      <c r="J414">
        <v>4</v>
      </c>
      <c r="K414">
        <v>10</v>
      </c>
      <c r="L414">
        <v>60</v>
      </c>
      <c r="M414">
        <v>6</v>
      </c>
    </row>
    <row r="415">
      <c r="A415" t="inlineStr">
        <is>
          <t>Maintenance biomédicale</t>
        </is>
      </c>
      <c r="B415" t="inlineStr">
        <is>
          <t>L2</t>
        </is>
      </c>
      <c r="C415" t="inlineStr">
        <is>
          <t>3</t>
        </is>
      </c>
      <c r="D415" t="inlineStr">
        <is>
          <t>UE13</t>
        </is>
      </c>
      <c r="E415" t="inlineStr">
        <is>
          <t>Circuits électriques et électroniques appliqués</t>
        </is>
      </c>
      <c r="F415" t="inlineStr">
        <is>
          <t>- Composants électroniques appliqués : transistors, circuits intégrés, microcontrôleurs.</t>
        </is>
      </c>
      <c r="H415">
        <v>2</v>
      </c>
      <c r="I415">
        <v>4</v>
      </c>
      <c r="J415">
        <v>4</v>
      </c>
      <c r="K415">
        <v>10</v>
      </c>
      <c r="L415">
        <v>60</v>
      </c>
      <c r="M415">
        <v>6</v>
      </c>
    </row>
    <row r="416">
      <c r="A416" t="inlineStr">
        <is>
          <t>Maintenance biomédicale</t>
        </is>
      </c>
      <c r="B416" t="inlineStr">
        <is>
          <t>L2</t>
        </is>
      </c>
      <c r="C416" t="inlineStr">
        <is>
          <t>3</t>
        </is>
      </c>
      <c r="D416" t="inlineStr">
        <is>
          <t>UE13</t>
        </is>
      </c>
      <c r="E416" t="inlineStr">
        <is>
          <t>Circuits électriques et électroniques appliqués</t>
        </is>
      </c>
      <c r="F416" t="inlineStr">
        <is>
          <t>- Analyse de cartes électroniques biomédicales (pompes, moniteurs).</t>
        </is>
      </c>
      <c r="H416">
        <v>2</v>
      </c>
      <c r="I416">
        <v>4</v>
      </c>
      <c r="J416">
        <v>6</v>
      </c>
      <c r="K416">
        <v>12</v>
      </c>
      <c r="L416">
        <v>60</v>
      </c>
      <c r="M416">
        <v>6</v>
      </c>
    </row>
    <row r="417">
      <c r="A417" t="inlineStr">
        <is>
          <t>Maintenance biomédicale</t>
        </is>
      </c>
      <c r="B417" t="inlineStr">
        <is>
          <t>L2</t>
        </is>
      </c>
      <c r="C417" t="inlineStr">
        <is>
          <t>3</t>
        </is>
      </c>
      <c r="D417" t="inlineStr">
        <is>
          <t>UE13</t>
        </is>
      </c>
      <c r="E417" t="inlineStr">
        <is>
          <t>Circuits électriques et électroniques appliqués</t>
        </is>
      </c>
      <c r="F417" t="inlineStr">
        <is>
          <t>- Diagnostic de pannes avec multimètre et oscilloscope.</t>
        </is>
      </c>
      <c r="H417">
        <v>2</v>
      </c>
      <c r="J417">
        <v>4</v>
      </c>
      <c r="K417">
        <v>6</v>
      </c>
      <c r="L417">
        <v>60</v>
      </c>
      <c r="M417">
        <v>6</v>
      </c>
    </row>
    <row r="418">
      <c r="A418" t="inlineStr">
        <is>
          <t>Maintenance biomédicale</t>
        </is>
      </c>
      <c r="B418" t="inlineStr">
        <is>
          <t>L2</t>
        </is>
      </c>
      <c r="C418" t="inlineStr">
        <is>
          <t>3</t>
        </is>
      </c>
      <c r="D418" t="inlineStr">
        <is>
          <t>UE14</t>
        </is>
      </c>
      <c r="E418" t="inlineStr">
        <is>
          <t>Maintenance préventive/corrective</t>
        </is>
      </c>
      <c r="F418" t="inlineStr">
        <is>
          <t>- Élaboration d’un plan annuel de maintenance.</t>
        </is>
      </c>
      <c r="H418">
        <v>6</v>
      </c>
      <c r="I418">
        <v>4</v>
      </c>
      <c r="K418">
        <v>10</v>
      </c>
      <c r="L418">
        <v>50</v>
      </c>
      <c r="M418">
        <v>4</v>
      </c>
    </row>
    <row r="419">
      <c r="A419" t="inlineStr">
        <is>
          <t>Maintenance biomédicale</t>
        </is>
      </c>
      <c r="B419" t="inlineStr">
        <is>
          <t>L2</t>
        </is>
      </c>
      <c r="C419" t="inlineStr">
        <is>
          <t>3</t>
        </is>
      </c>
      <c r="D419" t="inlineStr">
        <is>
          <t>UE14</t>
        </is>
      </c>
      <c r="E419" t="inlineStr">
        <is>
          <t>Maintenance préventive/corrective</t>
        </is>
      </c>
      <c r="F419" t="inlineStr">
        <is>
          <t>- Maintenance préventive intermédiaire : planning, périodicités, checklists.</t>
        </is>
      </c>
      <c r="H419">
        <v>6</v>
      </c>
      <c r="I419">
        <v>6</v>
      </c>
      <c r="K419">
        <v>12</v>
      </c>
      <c r="L419">
        <v>50</v>
      </c>
      <c r="M419">
        <v>4</v>
      </c>
    </row>
    <row r="420">
      <c r="A420" t="inlineStr">
        <is>
          <t>Maintenance biomédicale</t>
        </is>
      </c>
      <c r="B420" t="inlineStr">
        <is>
          <t>L2</t>
        </is>
      </c>
      <c r="C420" t="inlineStr">
        <is>
          <t>3</t>
        </is>
      </c>
      <c r="D420" t="inlineStr">
        <is>
          <t>UE14</t>
        </is>
      </c>
      <c r="E420" t="inlineStr">
        <is>
          <t>Maintenance préventive/corrective</t>
        </is>
      </c>
      <c r="F420" t="inlineStr">
        <is>
          <t>- Maintenance corrective : dépannage de moniteurs, respirateurs, incubateurs.</t>
        </is>
      </c>
      <c r="H420">
        <v>4</v>
      </c>
      <c r="I420">
        <v>4</v>
      </c>
      <c r="J420">
        <v>8</v>
      </c>
      <c r="K420">
        <v>16</v>
      </c>
      <c r="L420">
        <v>50</v>
      </c>
      <c r="M420">
        <v>4</v>
      </c>
    </row>
    <row r="421">
      <c r="A421" t="inlineStr">
        <is>
          <t>Maintenance biomédicale</t>
        </is>
      </c>
      <c r="B421" t="inlineStr">
        <is>
          <t>L2</t>
        </is>
      </c>
      <c r="C421" t="inlineStr">
        <is>
          <t>3</t>
        </is>
      </c>
      <c r="D421" t="inlineStr">
        <is>
          <t>UE14</t>
        </is>
      </c>
      <c r="E421" t="inlineStr">
        <is>
          <t>Maintenance préventive/corrective</t>
        </is>
      </c>
      <c r="F421" t="inlineStr">
        <is>
          <t>- Documentation et traçabilité : rapports d’intervention.</t>
        </is>
      </c>
      <c r="H421">
        <v>2</v>
      </c>
      <c r="I421">
        <v>2</v>
      </c>
      <c r="K421">
        <v>4</v>
      </c>
      <c r="L421">
        <v>50</v>
      </c>
      <c r="M421">
        <v>4</v>
      </c>
    </row>
    <row r="422">
      <c r="A422" t="inlineStr">
        <is>
          <t>Maintenance biomédicale</t>
        </is>
      </c>
      <c r="B422" t="inlineStr">
        <is>
          <t>L2</t>
        </is>
      </c>
      <c r="C422" t="inlineStr">
        <is>
          <t>3</t>
        </is>
      </c>
      <c r="D422" t="inlineStr">
        <is>
          <t>UE14</t>
        </is>
      </c>
      <c r="E422" t="inlineStr">
        <is>
          <t>Maintenance préventive/corrective</t>
        </is>
      </c>
      <c r="F422" t="inlineStr">
        <is>
          <t>- Exercices pratiques : simulation de pannes et réparations guidées.</t>
        </is>
      </c>
      <c r="H422">
        <v>2</v>
      </c>
      <c r="I422">
        <v>2</v>
      </c>
      <c r="J422">
        <v>4</v>
      </c>
      <c r="K422">
        <v>8</v>
      </c>
      <c r="L422">
        <v>50</v>
      </c>
      <c r="M422">
        <v>4</v>
      </c>
    </row>
    <row r="423">
      <c r="A423" t="inlineStr">
        <is>
          <t>Maintenance biomédicale</t>
        </is>
      </c>
      <c r="B423" t="inlineStr">
        <is>
          <t>L2</t>
        </is>
      </c>
      <c r="C423" t="inlineStr">
        <is>
          <t>3</t>
        </is>
      </c>
      <c r="D423" t="inlineStr">
        <is>
          <t>UE15</t>
        </is>
      </c>
      <c r="E423" t="inlineStr">
        <is>
          <t>Biomédical I (monitorage, respiratoire)</t>
        </is>
      </c>
      <c r="F423" t="inlineStr">
        <is>
          <t>- Principe et fonctionnement : moniteurs multiparamétriques, défibrillateurs, respirateurs, incubateurs.</t>
        </is>
      </c>
      <c r="H423">
        <v>10</v>
      </c>
      <c r="I423">
        <v>8</v>
      </c>
      <c r="K423">
        <v>18</v>
      </c>
      <c r="L423">
        <v>60</v>
      </c>
      <c r="M423">
        <v>6</v>
      </c>
    </row>
    <row r="424">
      <c r="A424" t="inlineStr">
        <is>
          <t>Maintenance biomédicale</t>
        </is>
      </c>
      <c r="B424" t="inlineStr">
        <is>
          <t>L2</t>
        </is>
      </c>
      <c r="C424" t="inlineStr">
        <is>
          <t>3</t>
        </is>
      </c>
      <c r="D424" t="inlineStr">
        <is>
          <t>UE15</t>
        </is>
      </c>
      <c r="E424" t="inlineStr">
        <is>
          <t>Biomédical I (monitorage, respiratoire)</t>
        </is>
      </c>
      <c r="F424" t="inlineStr">
        <is>
          <t>- Diagnostic de pannes fréquentes (capteurs, batteries, modules).</t>
        </is>
      </c>
      <c r="H424">
        <v>4</v>
      </c>
      <c r="I424">
        <v>6</v>
      </c>
      <c r="J424">
        <v>4</v>
      </c>
      <c r="K424">
        <v>14</v>
      </c>
      <c r="L424">
        <v>60</v>
      </c>
      <c r="M424">
        <v>6</v>
      </c>
    </row>
    <row r="425">
      <c r="A425" t="inlineStr">
        <is>
          <t>Maintenance biomédicale</t>
        </is>
      </c>
      <c r="B425" t="inlineStr">
        <is>
          <t>L2</t>
        </is>
      </c>
      <c r="C425" t="inlineStr">
        <is>
          <t>3</t>
        </is>
      </c>
      <c r="D425" t="inlineStr">
        <is>
          <t>UE15</t>
        </is>
      </c>
      <c r="E425" t="inlineStr">
        <is>
          <t>Biomédical I (monitorage, respiratoire)</t>
        </is>
      </c>
      <c r="F425" t="inlineStr">
        <is>
          <t>- Entretien et calibration de ces équipements.</t>
        </is>
      </c>
      <c r="H425">
        <v>4</v>
      </c>
      <c r="I425">
        <v>4</v>
      </c>
      <c r="J425">
        <v>6</v>
      </c>
      <c r="K425">
        <v>14</v>
      </c>
      <c r="L425">
        <v>60</v>
      </c>
      <c r="M425">
        <v>6</v>
      </c>
    </row>
    <row r="426">
      <c r="A426" t="inlineStr">
        <is>
          <t>Maintenance biomédicale</t>
        </is>
      </c>
      <c r="B426" t="inlineStr">
        <is>
          <t>L2</t>
        </is>
      </c>
      <c r="C426" t="inlineStr">
        <is>
          <t>3</t>
        </is>
      </c>
      <c r="D426" t="inlineStr">
        <is>
          <t>UE15</t>
        </is>
      </c>
      <c r="E426" t="inlineStr">
        <is>
          <t>Biomédical I (monitorage, respiratoire)</t>
        </is>
      </c>
      <c r="F426" t="inlineStr">
        <is>
          <t>- TP pratiques sur modules de monitoring et respirateurs.</t>
        </is>
      </c>
      <c r="J426">
        <v>14</v>
      </c>
      <c r="K426">
        <v>14</v>
      </c>
      <c r="L426">
        <v>60</v>
      </c>
      <c r="M426">
        <v>6</v>
      </c>
    </row>
    <row r="427">
      <c r="A427" t="inlineStr">
        <is>
          <t>Maintenance biomédicale</t>
        </is>
      </c>
      <c r="B427" t="inlineStr">
        <is>
          <t>L2</t>
        </is>
      </c>
      <c r="C427" t="inlineStr">
        <is>
          <t>3</t>
        </is>
      </c>
      <c r="D427" t="inlineStr">
        <is>
          <t>UE16</t>
        </is>
      </c>
      <c r="E427" t="inlineStr">
        <is>
          <t>Maintenance technique (groupe, climatisation, ascenseur)</t>
        </is>
      </c>
      <c r="F427" t="inlineStr">
        <is>
          <t>- Groupes électrogènes hospitaliers : fonctionnement, maintenance préventive.</t>
        </is>
      </c>
      <c r="H427">
        <v>4</v>
      </c>
      <c r="I427">
        <v>4</v>
      </c>
      <c r="J427">
        <v>2</v>
      </c>
      <c r="K427">
        <v>10</v>
      </c>
      <c r="L427">
        <v>50</v>
      </c>
      <c r="M427">
        <v>4</v>
      </c>
    </row>
    <row r="428">
      <c r="A428" t="inlineStr">
        <is>
          <t>Maintenance biomédicale</t>
        </is>
      </c>
      <c r="B428" t="inlineStr">
        <is>
          <t>L2</t>
        </is>
      </c>
      <c r="C428" t="inlineStr">
        <is>
          <t>3</t>
        </is>
      </c>
      <c r="D428" t="inlineStr">
        <is>
          <t>UE16</t>
        </is>
      </c>
      <c r="E428" t="inlineStr">
        <is>
          <t>Maintenance technique (groupe, climatisation, ascenseur)</t>
        </is>
      </c>
      <c r="F428" t="inlineStr">
        <is>
          <t>- Onduleurs et batteries hospitalières.</t>
        </is>
      </c>
      <c r="H428">
        <v>4</v>
      </c>
      <c r="I428">
        <v>4</v>
      </c>
      <c r="J428">
        <v>2</v>
      </c>
      <c r="K428">
        <v>10</v>
      </c>
      <c r="L428">
        <v>50</v>
      </c>
      <c r="M428">
        <v>4</v>
      </c>
    </row>
    <row r="429">
      <c r="A429" t="inlineStr">
        <is>
          <t>Maintenance biomédicale</t>
        </is>
      </c>
      <c r="B429" t="inlineStr">
        <is>
          <t>L2</t>
        </is>
      </c>
      <c r="C429" t="inlineStr">
        <is>
          <t>3</t>
        </is>
      </c>
      <c r="D429" t="inlineStr">
        <is>
          <t>UE16</t>
        </is>
      </c>
      <c r="E429" t="inlineStr">
        <is>
          <t>Maintenance technique (groupe, climatisation, ascenseur)</t>
        </is>
      </c>
      <c r="F429" t="inlineStr">
        <is>
          <t>- Climatisation hospitalière (split, VRV/VRF, chambres froides vaccins et sang).</t>
        </is>
      </c>
      <c r="H429">
        <v>4</v>
      </c>
      <c r="I429">
        <v>4</v>
      </c>
      <c r="J429">
        <v>2</v>
      </c>
      <c r="K429">
        <v>10</v>
      </c>
      <c r="L429">
        <v>50</v>
      </c>
      <c r="M429">
        <v>4</v>
      </c>
    </row>
    <row r="430">
      <c r="A430" t="inlineStr">
        <is>
          <t>Maintenance biomédicale</t>
        </is>
      </c>
      <c r="B430" t="inlineStr">
        <is>
          <t>L2</t>
        </is>
      </c>
      <c r="C430" t="inlineStr">
        <is>
          <t>3</t>
        </is>
      </c>
      <c r="D430" t="inlineStr">
        <is>
          <t>UE16</t>
        </is>
      </c>
      <c r="E430" t="inlineStr">
        <is>
          <t>Maintenance technique (groupe, climatisation, ascenseur)</t>
        </is>
      </c>
      <c r="F430" t="inlineStr">
        <is>
          <t>- Ventilation des blocs opératoires : flux laminaire, filtres HEPA.</t>
        </is>
      </c>
      <c r="H430">
        <v>4</v>
      </c>
      <c r="I430">
        <v>2</v>
      </c>
      <c r="J430">
        <v>4</v>
      </c>
      <c r="K430">
        <v>10</v>
      </c>
      <c r="L430">
        <v>50</v>
      </c>
      <c r="M430">
        <v>4</v>
      </c>
    </row>
    <row r="431">
      <c r="A431" t="inlineStr">
        <is>
          <t>Maintenance biomédicale</t>
        </is>
      </c>
      <c r="B431" t="inlineStr">
        <is>
          <t>L2</t>
        </is>
      </c>
      <c r="C431" t="inlineStr">
        <is>
          <t>3</t>
        </is>
      </c>
      <c r="D431" t="inlineStr">
        <is>
          <t>UE16</t>
        </is>
      </c>
      <c r="E431" t="inlineStr">
        <is>
          <t>Maintenance technique (groupe, climatisation, ascenseur)</t>
        </is>
      </c>
      <c r="F431" t="inlineStr">
        <is>
          <t>- Ascenseurs hospitaliers : sécurité, contrôle des mécanismes et protocoles d’évacuation.</t>
        </is>
      </c>
      <c r="H431">
        <v>2</v>
      </c>
      <c r="I431">
        <v>2</v>
      </c>
      <c r="J431">
        <v>6</v>
      </c>
      <c r="K431">
        <v>10</v>
      </c>
      <c r="L431">
        <v>50</v>
      </c>
      <c r="M431">
        <v>4</v>
      </c>
    </row>
    <row r="432">
      <c r="A432" t="inlineStr">
        <is>
          <t>Maintenance biomédicale</t>
        </is>
      </c>
      <c r="B432" t="inlineStr">
        <is>
          <t>L2</t>
        </is>
      </c>
      <c r="C432" t="inlineStr">
        <is>
          <t>3</t>
        </is>
      </c>
      <c r="D432" t="inlineStr">
        <is>
          <t>UE17</t>
        </is>
      </c>
      <c r="E432" t="inlineStr">
        <is>
          <t>Informatique réseau hospitalier</t>
        </is>
      </c>
      <c r="F432" t="inlineStr">
        <is>
          <t>- Réseaux informatiques : LAN, câblage, configuration basique switch/routeur.</t>
        </is>
      </c>
      <c r="H432">
        <v>4</v>
      </c>
      <c r="I432">
        <v>4</v>
      </c>
      <c r="J432">
        <v>4</v>
      </c>
      <c r="K432">
        <v>12</v>
      </c>
      <c r="L432">
        <v>50</v>
      </c>
      <c r="M432">
        <v>4</v>
      </c>
    </row>
    <row r="433">
      <c r="A433" t="inlineStr">
        <is>
          <t>Maintenance biomédicale</t>
        </is>
      </c>
      <c r="B433" t="inlineStr">
        <is>
          <t>L2</t>
        </is>
      </c>
      <c r="C433" t="inlineStr">
        <is>
          <t>3</t>
        </is>
      </c>
      <c r="D433" t="inlineStr">
        <is>
          <t>UE17</t>
        </is>
      </c>
      <c r="E433" t="inlineStr">
        <is>
          <t>Informatique réseau hospitalier</t>
        </is>
      </c>
      <c r="F433" t="inlineStr">
        <is>
          <t>- Applications hospitalières : PACS, dossiers médicaux électroniques.</t>
        </is>
      </c>
      <c r="H433">
        <v>6</v>
      </c>
      <c r="I433">
        <v>4</v>
      </c>
      <c r="J433">
        <v>2</v>
      </c>
      <c r="K433">
        <v>12</v>
      </c>
      <c r="L433">
        <v>50</v>
      </c>
      <c r="M433">
        <v>4</v>
      </c>
    </row>
    <row r="434">
      <c r="A434" t="inlineStr">
        <is>
          <t>Maintenance biomédicale</t>
        </is>
      </c>
      <c r="B434" t="inlineStr">
        <is>
          <t>L2</t>
        </is>
      </c>
      <c r="C434" t="inlineStr">
        <is>
          <t>3</t>
        </is>
      </c>
      <c r="D434" t="inlineStr">
        <is>
          <t>UE17</t>
        </is>
      </c>
      <c r="E434" t="inlineStr">
        <is>
          <t>Informatique réseau hospitalier</t>
        </is>
      </c>
      <c r="F434" t="inlineStr">
        <is>
          <t>- Cybersécurité appliquée au biomédical.</t>
        </is>
      </c>
      <c r="H434">
        <v>4</v>
      </c>
      <c r="I434">
        <v>6</v>
      </c>
      <c r="J434">
        <v>4</v>
      </c>
      <c r="K434">
        <v>14</v>
      </c>
      <c r="L434">
        <v>50</v>
      </c>
      <c r="M434">
        <v>4</v>
      </c>
    </row>
    <row r="435">
      <c r="A435" t="inlineStr">
        <is>
          <t>Maintenance biomédicale</t>
        </is>
      </c>
      <c r="B435" t="inlineStr">
        <is>
          <t>L2</t>
        </is>
      </c>
      <c r="C435" t="inlineStr">
        <is>
          <t>3</t>
        </is>
      </c>
      <c r="D435" t="inlineStr">
        <is>
          <t>UE17</t>
        </is>
      </c>
      <c r="E435" t="inlineStr">
        <is>
          <t>Informatique réseau hospitalier</t>
        </is>
      </c>
      <c r="F435" t="inlineStr">
        <is>
          <t>- Introduction aux GMAO et logiciels de diagnostic connectés.</t>
        </is>
      </c>
      <c r="H435">
        <v>4</v>
      </c>
      <c r="I435">
        <v>2</v>
      </c>
      <c r="J435">
        <v>6</v>
      </c>
      <c r="K435">
        <v>12</v>
      </c>
      <c r="L435">
        <v>50</v>
      </c>
      <c r="M435">
        <v>4</v>
      </c>
    </row>
    <row r="436">
      <c r="A436" t="inlineStr">
        <is>
          <t>Maintenance biomédicale</t>
        </is>
      </c>
      <c r="B436" t="inlineStr">
        <is>
          <t>L2</t>
        </is>
      </c>
      <c r="C436" t="inlineStr">
        <is>
          <t>3</t>
        </is>
      </c>
      <c r="D436" t="inlineStr">
        <is>
          <t>UE17</t>
        </is>
      </c>
      <c r="E436" t="inlineStr">
        <is>
          <t>Informatique réseau hospitalier</t>
        </is>
      </c>
      <c r="F436" t="inlineStr">
        <is>
          <t>- Vocabulaire médical et technique de base.</t>
        </is>
      </c>
      <c r="H436">
        <v>4</v>
      </c>
      <c r="I436">
        <v>4</v>
      </c>
      <c r="J436">
        <v>2</v>
      </c>
      <c r="K436">
        <v>10</v>
      </c>
      <c r="L436">
        <v>30</v>
      </c>
      <c r="M436">
        <v>3</v>
      </c>
    </row>
    <row r="437">
      <c r="A437" t="inlineStr">
        <is>
          <t>Maintenance biomédicale</t>
        </is>
      </c>
      <c r="B437" t="inlineStr">
        <is>
          <t>L2</t>
        </is>
      </c>
      <c r="C437" t="inlineStr">
        <is>
          <t>3</t>
        </is>
      </c>
      <c r="D437" t="inlineStr">
        <is>
          <t>UE17</t>
        </is>
      </c>
      <c r="E437" t="inlineStr">
        <is>
          <t>Informatique réseau hospitalier</t>
        </is>
      </c>
      <c r="F437" t="inlineStr">
        <is>
          <t>- Lecture de fiches techniques d’équipements.</t>
        </is>
      </c>
      <c r="H437">
        <v>4</v>
      </c>
      <c r="I437">
        <v>4</v>
      </c>
      <c r="J437">
        <v>2</v>
      </c>
      <c r="K437">
        <v>10</v>
      </c>
      <c r="L437">
        <v>30</v>
      </c>
      <c r="M437">
        <v>3</v>
      </c>
    </row>
    <row r="438">
      <c r="A438" t="inlineStr">
        <is>
          <t>Maintenance biomédicale</t>
        </is>
      </c>
      <c r="B438" t="inlineStr">
        <is>
          <t>L2</t>
        </is>
      </c>
      <c r="C438" t="inlineStr">
        <is>
          <t>3</t>
        </is>
      </c>
      <c r="D438" t="inlineStr">
        <is>
          <t>UE17</t>
        </is>
      </c>
      <c r="E438" t="inlineStr">
        <is>
          <t>Informatique réseau hospitalier</t>
        </is>
      </c>
      <c r="F438" t="inlineStr">
        <is>
          <t>- Exercices de traduction de notices.</t>
        </is>
      </c>
      <c r="H438">
        <v>2</v>
      </c>
      <c r="I438">
        <v>8</v>
      </c>
      <c r="K438">
        <v>10</v>
      </c>
      <c r="L438">
        <v>30</v>
      </c>
      <c r="M438">
        <v>3</v>
      </c>
    </row>
    <row r="439">
      <c r="A439" t="inlineStr">
        <is>
          <t>Maintenance biomédicale</t>
        </is>
      </c>
      <c r="B439" t="inlineStr">
        <is>
          <t>L2</t>
        </is>
      </c>
      <c r="C439" t="inlineStr">
        <is>
          <t>3</t>
        </is>
      </c>
      <c r="D439" t="inlineStr">
        <is>
          <t>UE18</t>
        </is>
      </c>
      <c r="E439" t="inlineStr">
        <is>
          <t>Droit hospitalier et éthique</t>
        </is>
      </c>
      <c r="F439" t="inlineStr">
        <is>
          <t>- Bases du droit hospitalier international et comorien.</t>
        </is>
      </c>
      <c r="H439">
        <v>4</v>
      </c>
      <c r="I439">
        <v>4</v>
      </c>
      <c r="K439">
        <v>8</v>
      </c>
      <c r="L439">
        <v>30</v>
      </c>
      <c r="M439">
        <v>3</v>
      </c>
    </row>
    <row r="440">
      <c r="A440" t="inlineStr">
        <is>
          <t>Maintenance biomédicale</t>
        </is>
      </c>
      <c r="B440" t="inlineStr">
        <is>
          <t>L2</t>
        </is>
      </c>
      <c r="C440" t="inlineStr">
        <is>
          <t>3</t>
        </is>
      </c>
      <c r="D440" t="inlineStr">
        <is>
          <t>UE18</t>
        </is>
      </c>
      <c r="E440" t="inlineStr">
        <is>
          <t>Droit hospitalier et éthique</t>
        </is>
      </c>
      <c r="F440" t="inlineStr">
        <is>
          <t>- Réglementation des dispositifs médicaux.</t>
        </is>
      </c>
      <c r="H440">
        <v>4</v>
      </c>
      <c r="I440">
        <v>4</v>
      </c>
      <c r="K440">
        <v>8</v>
      </c>
      <c r="L440">
        <v>30</v>
      </c>
      <c r="M440">
        <v>3</v>
      </c>
    </row>
    <row r="441">
      <c r="A441" t="inlineStr">
        <is>
          <t>Maintenance biomédicale</t>
        </is>
      </c>
      <c r="B441" t="inlineStr">
        <is>
          <t>L2</t>
        </is>
      </c>
      <c r="C441" t="inlineStr">
        <is>
          <t>3</t>
        </is>
      </c>
      <c r="D441" t="inlineStr">
        <is>
          <t>UE18</t>
        </is>
      </c>
      <c r="E441" t="inlineStr">
        <is>
          <t>Droit hospitalier et éthique</t>
        </is>
      </c>
      <c r="F441" t="inlineStr">
        <is>
          <t>- Responsabilités légales et professionnelles du technicien.</t>
        </is>
      </c>
      <c r="H441">
        <v>4</v>
      </c>
      <c r="I441">
        <v>4</v>
      </c>
      <c r="K441">
        <v>8</v>
      </c>
      <c r="L441">
        <v>30</v>
      </c>
      <c r="M441">
        <v>3</v>
      </c>
    </row>
    <row r="442">
      <c r="A442" t="inlineStr">
        <is>
          <t>Maintenance biomédicale</t>
        </is>
      </c>
      <c r="B442" t="inlineStr">
        <is>
          <t>L2</t>
        </is>
      </c>
      <c r="C442" t="inlineStr">
        <is>
          <t>3</t>
        </is>
      </c>
      <c r="D442" t="inlineStr">
        <is>
          <t>UE18</t>
        </is>
      </c>
      <c r="E442" t="inlineStr">
        <is>
          <t>Droit hospitalier et éthique</t>
        </is>
      </c>
      <c r="F442" t="inlineStr">
        <is>
          <t>- Éthique biomédicale : sécurité patient, confidentialité, décisions techniques en contexte contraint.</t>
        </is>
      </c>
      <c r="H442">
        <v>4</v>
      </c>
      <c r="I442">
        <v>2</v>
      </c>
      <c r="K442">
        <v>6</v>
      </c>
      <c r="L442">
        <v>30</v>
      </c>
      <c r="M442">
        <v>3</v>
      </c>
    </row>
    <row r="443">
      <c r="A443" t="inlineStr">
        <is>
          <t>Maintenance biomédicale</t>
        </is>
      </c>
      <c r="B443" t="inlineStr">
        <is>
          <t>L2</t>
        </is>
      </c>
      <c r="C443" t="inlineStr">
        <is>
          <t>4</t>
        </is>
      </c>
      <c r="D443" t="inlineStr">
        <is>
          <t>UE19</t>
        </is>
      </c>
      <c r="E443" t="inlineStr">
        <is>
          <t>Biomédical II (imagerie, stérilisation, laboratoire)</t>
        </is>
      </c>
      <c r="F443" t="inlineStr">
        <is>
          <t>- Imagerie médicale : radiologie conventionnelle, échographie, doppler.</t>
        </is>
      </c>
      <c r="H443">
        <v>8</v>
      </c>
      <c r="I443">
        <v>6</v>
      </c>
      <c r="J443">
        <v>4</v>
      </c>
      <c r="K443">
        <v>18</v>
      </c>
      <c r="L443">
        <v>60</v>
      </c>
      <c r="M443">
        <v>6</v>
      </c>
    </row>
    <row r="444">
      <c r="A444" t="inlineStr">
        <is>
          <t>Maintenance biomédicale</t>
        </is>
      </c>
      <c r="B444" t="inlineStr">
        <is>
          <t>L2</t>
        </is>
      </c>
      <c r="C444" t="inlineStr">
        <is>
          <t>4</t>
        </is>
      </c>
      <c r="D444" t="inlineStr">
        <is>
          <t>UE19</t>
        </is>
      </c>
      <c r="E444" t="inlineStr">
        <is>
          <t>Biomédical II (imagerie, stérilisation, laboratoire)</t>
        </is>
      </c>
      <c r="F444" t="inlineStr">
        <is>
          <t>- Colonnes d’endoscopie et coelioscopie : principes, maintenance de 1er niveau.</t>
        </is>
      </c>
      <c r="H444">
        <v>6</v>
      </c>
      <c r="I444">
        <v>6</v>
      </c>
      <c r="J444">
        <v>2</v>
      </c>
      <c r="K444">
        <v>14</v>
      </c>
      <c r="L444">
        <v>60</v>
      </c>
      <c r="M444">
        <v>6</v>
      </c>
    </row>
    <row r="445">
      <c r="A445" t="inlineStr">
        <is>
          <t>Maintenance biomédicale</t>
        </is>
      </c>
      <c r="B445" t="inlineStr">
        <is>
          <t>L2</t>
        </is>
      </c>
      <c r="C445" t="inlineStr">
        <is>
          <t>4</t>
        </is>
      </c>
      <c r="D445" t="inlineStr">
        <is>
          <t>UE19</t>
        </is>
      </c>
      <c r="E445" t="inlineStr">
        <is>
          <t>Biomédical II (imagerie, stérilisation, laboratoire)</t>
        </is>
      </c>
      <c r="F445" t="inlineStr">
        <is>
          <t>- Autoclaves et stérilisateurs : fonctionnement, vérification, protocoles OMS.</t>
        </is>
      </c>
      <c r="H445">
        <v>6</v>
      </c>
      <c r="I445">
        <v>6</v>
      </c>
      <c r="J445">
        <v>4</v>
      </c>
      <c r="K445">
        <v>16</v>
      </c>
      <c r="L445">
        <v>60</v>
      </c>
      <c r="M445">
        <v>6</v>
      </c>
    </row>
    <row r="446">
      <c r="A446" t="inlineStr">
        <is>
          <t>Maintenance biomédicale</t>
        </is>
      </c>
      <c r="B446" t="inlineStr">
        <is>
          <t>L2</t>
        </is>
      </c>
      <c r="C446" t="inlineStr">
        <is>
          <t>4</t>
        </is>
      </c>
      <c r="D446" t="inlineStr">
        <is>
          <t>UE19</t>
        </is>
      </c>
      <c r="E446" t="inlineStr">
        <is>
          <t>Biomédical II (imagerie, stérilisation, laboratoire)</t>
        </is>
      </c>
      <c r="F446" t="inlineStr">
        <is>
          <t>- TP pratiques sur autoclaves, échographes, analyseurs.</t>
        </is>
      </c>
      <c r="J446">
        <v>12</v>
      </c>
      <c r="K446">
        <v>12</v>
      </c>
      <c r="L446">
        <v>60</v>
      </c>
      <c r="M446">
        <v>6</v>
      </c>
    </row>
    <row r="447">
      <c r="A447" t="inlineStr">
        <is>
          <t>Maintenance biomédicale</t>
        </is>
      </c>
      <c r="B447" t="inlineStr">
        <is>
          <t>L2</t>
        </is>
      </c>
      <c r="C447" t="inlineStr">
        <is>
          <t>4</t>
        </is>
      </c>
      <c r="D447" t="inlineStr">
        <is>
          <t>UE20</t>
        </is>
      </c>
      <c r="E447" t="inlineStr">
        <is>
          <t>Gestion de maintenance</t>
        </is>
      </c>
      <c r="F447" t="inlineStr">
        <is>
          <t>- Planification avancée de la maintenance préventive (AMDEC, MTBF, MTTR).</t>
        </is>
      </c>
      <c r="H447">
        <v>6</v>
      </c>
      <c r="I447">
        <v>4</v>
      </c>
      <c r="K447">
        <v>10</v>
      </c>
      <c r="L447">
        <v>40</v>
      </c>
      <c r="M447">
        <v>6</v>
      </c>
    </row>
    <row r="448">
      <c r="A448" t="inlineStr">
        <is>
          <t>Maintenance biomédicale</t>
        </is>
      </c>
      <c r="B448" t="inlineStr">
        <is>
          <t>L2</t>
        </is>
      </c>
      <c r="C448" t="inlineStr">
        <is>
          <t>4</t>
        </is>
      </c>
      <c r="D448" t="inlineStr">
        <is>
          <t>UE20</t>
        </is>
      </c>
      <c r="E448" t="inlineStr">
        <is>
          <t>Gestion de maintenance</t>
        </is>
      </c>
      <c r="F448" t="inlineStr">
        <is>
          <t>- Utilisation de logiciels simples de GMAO.</t>
        </is>
      </c>
      <c r="H448">
        <v>2</v>
      </c>
      <c r="I448">
        <v>2</v>
      </c>
      <c r="J448">
        <v>4</v>
      </c>
      <c r="K448">
        <v>8</v>
      </c>
      <c r="L448">
        <v>40</v>
      </c>
      <c r="M448">
        <v>6</v>
      </c>
    </row>
    <row r="449">
      <c r="A449" t="inlineStr">
        <is>
          <t>Maintenance biomédicale</t>
        </is>
      </c>
      <c r="B449" t="inlineStr">
        <is>
          <t>L2</t>
        </is>
      </c>
      <c r="C449" t="inlineStr">
        <is>
          <t>4</t>
        </is>
      </c>
      <c r="D449" t="inlineStr">
        <is>
          <t>UE20</t>
        </is>
      </c>
      <c r="E449" t="inlineStr">
        <is>
          <t>Gestion de maintenance</t>
        </is>
      </c>
      <c r="F449" t="inlineStr">
        <is>
          <t>- Gestion des stocks et pièces détachées (méthode ABC, stock critique).</t>
        </is>
      </c>
      <c r="H449">
        <v>2</v>
      </c>
      <c r="I449">
        <v>4</v>
      </c>
      <c r="J449">
        <v>2</v>
      </c>
      <c r="K449">
        <v>8</v>
      </c>
      <c r="L449">
        <v>40</v>
      </c>
      <c r="M449">
        <v>6</v>
      </c>
    </row>
    <row r="450">
      <c r="A450" t="inlineStr">
        <is>
          <t>Maintenance biomédicale</t>
        </is>
      </c>
      <c r="B450" t="inlineStr">
        <is>
          <t>L2</t>
        </is>
      </c>
      <c r="C450" t="inlineStr">
        <is>
          <t>4</t>
        </is>
      </c>
      <c r="D450" t="inlineStr">
        <is>
          <t>UE20</t>
        </is>
      </c>
      <c r="E450" t="inlineStr">
        <is>
          <t>Gestion de maintenance</t>
        </is>
      </c>
      <c r="F450" t="inlineStr">
        <is>
          <t>- Rédaction de rapports techniques détaillés et audit de service.</t>
        </is>
      </c>
      <c r="H450">
        <v>2</v>
      </c>
      <c r="I450">
        <v>2</v>
      </c>
      <c r="J450">
        <v>4</v>
      </c>
      <c r="K450">
        <v>8</v>
      </c>
      <c r="L450">
        <v>40</v>
      </c>
      <c r="M450">
        <v>6</v>
      </c>
    </row>
    <row r="451">
      <c r="A451" t="inlineStr">
        <is>
          <t>Maintenance biomédicale</t>
        </is>
      </c>
      <c r="B451" t="inlineStr">
        <is>
          <t>L2</t>
        </is>
      </c>
      <c r="C451" t="inlineStr">
        <is>
          <t>4</t>
        </is>
      </c>
      <c r="D451" t="inlineStr">
        <is>
          <t>UE20</t>
        </is>
      </c>
      <c r="E451" t="inlineStr">
        <is>
          <t>Gestion de maintenance</t>
        </is>
      </c>
      <c r="F451" t="inlineStr">
        <is>
          <t>- Exercice pratique : mise en place d’un plan de maintenance annuel.</t>
        </is>
      </c>
      <c r="H451">
        <v>2</v>
      </c>
      <c r="J451">
        <v>4</v>
      </c>
      <c r="K451">
        <v>6</v>
      </c>
      <c r="L451">
        <v>40</v>
      </c>
      <c r="M451">
        <v>6</v>
      </c>
    </row>
    <row r="452">
      <c r="A452" t="inlineStr">
        <is>
          <t>Maintenance biomédicale</t>
        </is>
      </c>
      <c r="B452" t="inlineStr">
        <is>
          <t>L2</t>
        </is>
      </c>
      <c r="C452" t="inlineStr">
        <is>
          <t>4</t>
        </is>
      </c>
      <c r="D452" t="inlineStr">
        <is>
          <t>UE21</t>
        </is>
      </c>
      <c r="E452" t="inlineStr">
        <is>
          <t>Hygiène hospitalière approfondie</t>
        </is>
      </c>
      <c r="F452" t="inlineStr">
        <is>
          <t>- Hygiène en bloc opératoire (stérilisation, flux laminaire).</t>
        </is>
      </c>
      <c r="H452">
        <v>4</v>
      </c>
      <c r="I452">
        <v>2</v>
      </c>
      <c r="J452">
        <v>4</v>
      </c>
      <c r="K452">
        <v>10</v>
      </c>
      <c r="L452">
        <v>40</v>
      </c>
      <c r="M452">
        <v>6</v>
      </c>
    </row>
    <row r="453">
      <c r="A453" t="inlineStr">
        <is>
          <t>Maintenance biomédicale</t>
        </is>
      </c>
      <c r="B453" t="inlineStr">
        <is>
          <t>L2</t>
        </is>
      </c>
      <c r="C453" t="inlineStr">
        <is>
          <t>4</t>
        </is>
      </c>
      <c r="D453" t="inlineStr">
        <is>
          <t>UE21</t>
        </is>
      </c>
      <c r="E453" t="inlineStr">
        <is>
          <t>Hygiène hospitalière approfondie</t>
        </is>
      </c>
      <c r="F453" t="inlineStr">
        <is>
          <t>- Biosécurité en laboratoire (niveaux P1–P3).</t>
        </is>
      </c>
      <c r="H453">
        <v>4</v>
      </c>
      <c r="I453">
        <v>2</v>
      </c>
      <c r="J453">
        <v>2</v>
      </c>
      <c r="K453">
        <v>8</v>
      </c>
      <c r="L453">
        <v>40</v>
      </c>
      <c r="M453">
        <v>6</v>
      </c>
    </row>
    <row r="454">
      <c r="A454" t="inlineStr">
        <is>
          <t>Maintenance biomédicale</t>
        </is>
      </c>
      <c r="B454" t="inlineStr">
        <is>
          <t>L2</t>
        </is>
      </c>
      <c r="C454" t="inlineStr">
        <is>
          <t>4</t>
        </is>
      </c>
      <c r="D454" t="inlineStr">
        <is>
          <t>UE21</t>
        </is>
      </c>
      <c r="E454" t="inlineStr">
        <is>
          <t>Hygiène hospitalière approfondie</t>
        </is>
      </c>
      <c r="F454" t="inlineStr">
        <is>
          <t>- Gestion des déchets biomédicaux (DASRI).</t>
        </is>
      </c>
      <c r="H454">
        <v>2</v>
      </c>
      <c r="I454">
        <v>4</v>
      </c>
      <c r="J454">
        <v>2</v>
      </c>
      <c r="K454">
        <v>8</v>
      </c>
      <c r="L454">
        <v>40</v>
      </c>
      <c r="M454">
        <v>6</v>
      </c>
    </row>
    <row r="455">
      <c r="A455" t="inlineStr">
        <is>
          <t>Maintenance biomédicale</t>
        </is>
      </c>
      <c r="B455" t="inlineStr">
        <is>
          <t>L2</t>
        </is>
      </c>
      <c r="C455" t="inlineStr">
        <is>
          <t>4</t>
        </is>
      </c>
      <c r="D455" t="inlineStr">
        <is>
          <t>UE21</t>
        </is>
      </c>
      <c r="E455" t="inlineStr">
        <is>
          <t>Hygiène hospitalière approfondie</t>
        </is>
      </c>
      <c r="F455" t="inlineStr">
        <is>
          <t>- Normes OMS sur désinfection et prévention des infections nosocomiales.</t>
        </is>
      </c>
      <c r="H455">
        <v>4</v>
      </c>
      <c r="I455">
        <v>2</v>
      </c>
      <c r="J455">
        <v>2</v>
      </c>
      <c r="K455">
        <v>8</v>
      </c>
      <c r="L455">
        <v>40</v>
      </c>
      <c r="M455">
        <v>6</v>
      </c>
    </row>
    <row r="456">
      <c r="A456" t="inlineStr">
        <is>
          <t>Maintenance biomédicale</t>
        </is>
      </c>
      <c r="B456" t="inlineStr">
        <is>
          <t>L2</t>
        </is>
      </c>
      <c r="C456" t="inlineStr">
        <is>
          <t>4</t>
        </is>
      </c>
      <c r="D456" t="inlineStr">
        <is>
          <t>UE21</t>
        </is>
      </c>
      <c r="E456" t="inlineStr">
        <is>
          <t>Hygiène hospitalière approfondie</t>
        </is>
      </c>
      <c r="F456" t="inlineStr">
        <is>
          <t>- Exercices pratiques : checklists et inspections internes.</t>
        </is>
      </c>
      <c r="I456">
        <v>2</v>
      </c>
      <c r="J456">
        <v>4</v>
      </c>
      <c r="K456">
        <v>6</v>
      </c>
      <c r="L456">
        <v>40</v>
      </c>
      <c r="M456">
        <v>6</v>
      </c>
    </row>
    <row r="457">
      <c r="A457" t="inlineStr">
        <is>
          <t>Maintenance biomédicale</t>
        </is>
      </c>
      <c r="B457" t="inlineStr">
        <is>
          <t>L2</t>
        </is>
      </c>
      <c r="C457" t="inlineStr">
        <is>
          <t>4</t>
        </is>
      </c>
      <c r="D457" t="inlineStr">
        <is>
          <t>UE22</t>
        </is>
      </c>
      <c r="E457" t="inlineStr">
        <is>
          <t>Projet tutoré II</t>
        </is>
      </c>
      <c r="F457" t="inlineStr">
        <is>
          <t>- Projet de terrain : diagnostic technique d’un service hospitalier.</t>
        </is>
      </c>
      <c r="H457">
        <v>4</v>
      </c>
      <c r="I457">
        <v>6</v>
      </c>
      <c r="J457">
        <v>8</v>
      </c>
      <c r="K457">
        <v>18</v>
      </c>
      <c r="L457">
        <v>50</v>
      </c>
      <c r="M457">
        <v>6</v>
      </c>
    </row>
    <row r="458">
      <c r="A458" t="inlineStr">
        <is>
          <t>Maintenance biomédicale</t>
        </is>
      </c>
      <c r="B458" t="inlineStr">
        <is>
          <t>L2</t>
        </is>
      </c>
      <c r="C458" t="inlineStr">
        <is>
          <t>4</t>
        </is>
      </c>
      <c r="D458" t="inlineStr">
        <is>
          <t>UE22</t>
        </is>
      </c>
      <c r="E458" t="inlineStr">
        <is>
          <t>Projet tutoré II</t>
        </is>
      </c>
      <c r="F458" t="inlineStr">
        <is>
          <t>- Élaboration d’un plan de maintenance pour 5 équipements biomédicaux.</t>
        </is>
      </c>
      <c r="H458">
        <v>4</v>
      </c>
      <c r="I458">
        <v>6</v>
      </c>
      <c r="J458">
        <v>4</v>
      </c>
      <c r="K458">
        <v>14</v>
      </c>
      <c r="L458">
        <v>50</v>
      </c>
      <c r="M458">
        <v>6</v>
      </c>
    </row>
    <row r="459">
      <c r="A459" t="inlineStr">
        <is>
          <t>Maintenance biomédicale</t>
        </is>
      </c>
      <c r="B459" t="inlineStr">
        <is>
          <t>L2</t>
        </is>
      </c>
      <c r="C459" t="inlineStr">
        <is>
          <t>4</t>
        </is>
      </c>
      <c r="D459" t="inlineStr">
        <is>
          <t>UE22</t>
        </is>
      </c>
      <c r="E459" t="inlineStr">
        <is>
          <t>Projet tutoré II</t>
        </is>
      </c>
      <c r="F459" t="inlineStr">
        <is>
          <t>- Travail en équipe interdisciplinaire (simulation médecin – technicien – administrateur).</t>
        </is>
      </c>
      <c r="H459">
        <v>2</v>
      </c>
      <c r="I459">
        <v>2</v>
      </c>
      <c r="J459">
        <v>6</v>
      </c>
      <c r="K459">
        <v>10</v>
      </c>
      <c r="L459">
        <v>50</v>
      </c>
      <c r="M459">
        <v>6</v>
      </c>
    </row>
    <row r="460">
      <c r="A460" t="inlineStr">
        <is>
          <t>Maintenance biomédicale</t>
        </is>
      </c>
      <c r="B460" t="inlineStr">
        <is>
          <t>L2</t>
        </is>
      </c>
      <c r="C460" t="inlineStr">
        <is>
          <t>4</t>
        </is>
      </c>
      <c r="D460" t="inlineStr">
        <is>
          <t>UE22</t>
        </is>
      </c>
      <c r="E460" t="inlineStr">
        <is>
          <t>Projet tutoré II</t>
        </is>
      </c>
      <c r="F460" t="inlineStr">
        <is>
          <t>- Présentation écrite et orale.</t>
        </is>
      </c>
      <c r="H460">
        <v>2</v>
      </c>
      <c r="I460">
        <v>2</v>
      </c>
      <c r="J460">
        <v>4</v>
      </c>
      <c r="K460">
        <v>8</v>
      </c>
      <c r="L460">
        <v>50</v>
      </c>
      <c r="M460">
        <v>6</v>
      </c>
    </row>
    <row r="461">
      <c r="A461" t="inlineStr">
        <is>
          <t>Maintenance biomédicale</t>
        </is>
      </c>
      <c r="B461" t="inlineStr">
        <is>
          <t>L2</t>
        </is>
      </c>
      <c r="C461" t="inlineStr">
        <is>
          <t>4</t>
        </is>
      </c>
      <c r="D461" t="inlineStr">
        <is>
          <t>UE23</t>
        </is>
      </c>
      <c r="E461" t="inlineStr">
        <is>
          <t>Stage technique (1 mois)</t>
        </is>
      </c>
      <c r="F461" t="inlineStr">
        <is>
          <t>(Stage pratique</t>
        </is>
      </c>
      <c r="J461">
        <v>150</v>
      </c>
      <c r="K461">
        <v>150</v>
      </c>
      <c r="L461">
        <v>150</v>
      </c>
      <c r="M461">
        <v>6</v>
      </c>
    </row>
    <row r="462">
      <c r="A462" t="inlineStr">
        <is>
          <t>Maintenance biomédicale</t>
        </is>
      </c>
      <c r="B462" t="inlineStr">
        <is>
          <t>L3</t>
        </is>
      </c>
      <c r="C462" t="inlineStr">
        <is>
          <t>5</t>
        </is>
      </c>
      <c r="D462" t="inlineStr">
        <is>
          <t>UE24</t>
        </is>
      </c>
      <c r="E462" t="inlineStr">
        <is>
          <t>Management des équipements biomédicaux</t>
        </is>
      </c>
      <c r="F462" t="inlineStr">
        <is>
          <t>- Gestion complète du parc biomédical (inventaire, traçabilité, planification pluriannuelle).</t>
        </is>
      </c>
      <c r="H462">
        <v>4</v>
      </c>
      <c r="I462">
        <v>6</v>
      </c>
      <c r="K462">
        <v>10</v>
      </c>
      <c r="L462">
        <v>50</v>
      </c>
      <c r="M462">
        <v>6</v>
      </c>
    </row>
    <row r="463">
      <c r="A463" t="inlineStr">
        <is>
          <t>Maintenance biomédicale</t>
        </is>
      </c>
      <c r="B463" t="inlineStr">
        <is>
          <t>L3</t>
        </is>
      </c>
      <c r="C463" t="inlineStr">
        <is>
          <t>5</t>
        </is>
      </c>
      <c r="D463" t="inlineStr">
        <is>
          <t>UE24</t>
        </is>
      </c>
      <c r="E463" t="inlineStr">
        <is>
          <t>Management des équipements biomédicaux</t>
        </is>
      </c>
      <c r="F463" t="inlineStr">
        <is>
          <t>Gestion de projet</t>
        </is>
      </c>
      <c r="L463">
        <v>50</v>
      </c>
      <c r="M463">
        <v>6</v>
      </c>
    </row>
    <row r="464">
      <c r="A464" t="inlineStr">
        <is>
          <t>Maintenance biomédicale</t>
        </is>
      </c>
      <c r="B464" t="inlineStr">
        <is>
          <t>L3</t>
        </is>
      </c>
      <c r="C464" t="inlineStr">
        <is>
          <t>5</t>
        </is>
      </c>
      <c r="D464" t="inlineStr">
        <is>
          <t>UE24</t>
        </is>
      </c>
      <c r="E464" t="inlineStr">
        <is>
          <t>Management des équipements biomédicaux</t>
        </is>
      </c>
      <c r="F464" t="inlineStr">
        <is>
          <t>- Gestion budgétaire et priorisation des investissements.</t>
        </is>
      </c>
      <c r="H464">
        <v>4</v>
      </c>
      <c r="I464">
        <v>6</v>
      </c>
      <c r="K464">
        <v>10</v>
      </c>
      <c r="L464">
        <v>50</v>
      </c>
      <c r="M464">
        <v>6</v>
      </c>
    </row>
    <row r="465">
      <c r="A465" t="inlineStr">
        <is>
          <t>Maintenance biomédicale</t>
        </is>
      </c>
      <c r="B465" t="inlineStr">
        <is>
          <t>L3</t>
        </is>
      </c>
      <c r="C465" t="inlineStr">
        <is>
          <t>5</t>
        </is>
      </c>
      <c r="D465" t="inlineStr">
        <is>
          <t>UE24</t>
        </is>
      </c>
      <c r="E465" t="inlineStr">
        <is>
          <t>Management des équipements biomédicaux</t>
        </is>
      </c>
      <c r="F465" t="inlineStr">
        <is>
          <t>- Audit technique et reporting pour la direction hospitalière.</t>
        </is>
      </c>
      <c r="H465">
        <v>6</v>
      </c>
      <c r="I465">
        <v>6</v>
      </c>
      <c r="K465">
        <v>12</v>
      </c>
      <c r="L465">
        <v>50</v>
      </c>
      <c r="M465">
        <v>6</v>
      </c>
    </row>
    <row r="466">
      <c r="A466" t="inlineStr">
        <is>
          <t>Maintenance biomédicale</t>
        </is>
      </c>
      <c r="B466" t="inlineStr">
        <is>
          <t>L3</t>
        </is>
      </c>
      <c r="C466" t="inlineStr">
        <is>
          <t>5</t>
        </is>
      </c>
      <c r="D466" t="inlineStr">
        <is>
          <t>UE24</t>
        </is>
      </c>
      <c r="E466" t="inlineStr">
        <is>
          <t>Management des équipements biomédicaux</t>
        </is>
      </c>
      <c r="F466" t="inlineStr">
        <is>
          <t>- Normes ISO 13485 et OMS sur la gestion des dispositifs médicaux.</t>
        </is>
      </c>
      <c r="H466">
        <v>4</v>
      </c>
      <c r="I466">
        <v>4</v>
      </c>
      <c r="K466">
        <v>8</v>
      </c>
      <c r="L466">
        <v>50</v>
      </c>
      <c r="M466">
        <v>6</v>
      </c>
    </row>
    <row r="467">
      <c r="A467" t="inlineStr">
        <is>
          <t>Maintenance biomédicale</t>
        </is>
      </c>
      <c r="B467" t="inlineStr">
        <is>
          <t>L3</t>
        </is>
      </c>
      <c r="C467" t="inlineStr">
        <is>
          <t>5</t>
        </is>
      </c>
      <c r="D467" t="inlineStr">
        <is>
          <t>UE24</t>
        </is>
      </c>
      <c r="E467" t="inlineStr">
        <is>
          <t>Management des équipements biomédicaux</t>
        </is>
      </c>
      <c r="F467" t="inlineStr">
        <is>
          <t>- Normes ISO avancées (13485, 14971, 9001) et recommandations OMS.</t>
        </is>
      </c>
      <c r="H467">
        <v>4</v>
      </c>
      <c r="I467">
        <v>6</v>
      </c>
      <c r="K467">
        <v>10</v>
      </c>
      <c r="L467">
        <v>50</v>
      </c>
      <c r="M467">
        <v>6</v>
      </c>
    </row>
    <row r="468">
      <c r="A468" t="inlineStr">
        <is>
          <t>Maintenance biomédicale</t>
        </is>
      </c>
      <c r="B468" t="inlineStr">
        <is>
          <t>L3</t>
        </is>
      </c>
      <c r="C468" t="inlineStr">
        <is>
          <t>5</t>
        </is>
      </c>
      <c r="D468" t="inlineStr">
        <is>
          <t>UE25</t>
        </is>
      </c>
      <c r="E468" t="inlineStr">
        <is>
          <t>Gestion énergétique et infrastructures</t>
        </is>
      </c>
      <c r="F468" t="inlineStr">
        <is>
          <t>- Supervision des réseaux électriques hospitaliers complexes.</t>
        </is>
      </c>
      <c r="H468">
        <v>4</v>
      </c>
      <c r="I468">
        <v>4</v>
      </c>
      <c r="K468">
        <v>8</v>
      </c>
      <c r="L468">
        <v>40</v>
      </c>
      <c r="M468">
        <v>6</v>
      </c>
    </row>
    <row r="469">
      <c r="A469" t="inlineStr">
        <is>
          <t>Maintenance biomédicale</t>
        </is>
      </c>
      <c r="B469" t="inlineStr">
        <is>
          <t>L3</t>
        </is>
      </c>
      <c r="C469" t="inlineStr">
        <is>
          <t>5</t>
        </is>
      </c>
      <c r="D469" t="inlineStr">
        <is>
          <t>UE25</t>
        </is>
      </c>
      <c r="E469" t="inlineStr">
        <is>
          <t>Gestion énergétique et infrastructures</t>
        </is>
      </c>
      <c r="F469" t="inlineStr">
        <is>
          <t>- Groupes électrogènes et systèmes hybrides (réseau + solaire + batteries).</t>
        </is>
      </c>
      <c r="H469">
        <v>4</v>
      </c>
      <c r="I469">
        <v>4</v>
      </c>
      <c r="K469">
        <v>8</v>
      </c>
      <c r="L469">
        <v>40</v>
      </c>
      <c r="M469">
        <v>6</v>
      </c>
    </row>
    <row r="470">
      <c r="A470" t="inlineStr">
        <is>
          <t>Maintenance biomédicale</t>
        </is>
      </c>
      <c r="B470" t="inlineStr">
        <is>
          <t>L3</t>
        </is>
      </c>
      <c r="C470" t="inlineStr">
        <is>
          <t>5</t>
        </is>
      </c>
      <c r="D470" t="inlineStr">
        <is>
          <t>UE25</t>
        </is>
      </c>
      <c r="E470" t="inlineStr">
        <is>
          <t>Gestion énergétique et infrastructures</t>
        </is>
      </c>
      <c r="F470" t="inlineStr">
        <is>
          <t>- Optimisation de la consommation et continuité de service.</t>
        </is>
      </c>
      <c r="H470">
        <v>4</v>
      </c>
      <c r="I470">
        <v>4</v>
      </c>
      <c r="J470">
        <v>4</v>
      </c>
      <c r="K470">
        <v>12</v>
      </c>
      <c r="L470">
        <v>40</v>
      </c>
      <c r="M470">
        <v>6</v>
      </c>
    </row>
    <row r="471">
      <c r="A471" t="inlineStr">
        <is>
          <t>Maintenance biomédicale</t>
        </is>
      </c>
      <c r="B471" t="inlineStr">
        <is>
          <t>L3</t>
        </is>
      </c>
      <c r="C471" t="inlineStr">
        <is>
          <t>5</t>
        </is>
      </c>
      <c r="D471" t="inlineStr">
        <is>
          <t>UE25</t>
        </is>
      </c>
      <c r="E471" t="inlineStr">
        <is>
          <t>Gestion énergétique et infrastructures</t>
        </is>
      </c>
      <c r="F471" t="inlineStr">
        <is>
          <t>- Maintenance avancée des infrastructures hospitalières (ascenseurs, climatisation, réseaux d’eau/gaz médicaux).</t>
        </is>
      </c>
      <c r="H471">
        <v>4</v>
      </c>
      <c r="I471">
        <v>2</v>
      </c>
      <c r="J471">
        <v>6</v>
      </c>
      <c r="K471">
        <v>12</v>
      </c>
      <c r="L471">
        <v>40</v>
      </c>
      <c r="M471">
        <v>6</v>
      </c>
    </row>
    <row r="472">
      <c r="A472" t="inlineStr">
        <is>
          <t>Maintenance biomédicale</t>
        </is>
      </c>
      <c r="B472" t="inlineStr">
        <is>
          <t>L3</t>
        </is>
      </c>
      <c r="C472" t="inlineStr">
        <is>
          <t>5</t>
        </is>
      </c>
      <c r="D472" t="inlineStr">
        <is>
          <t>UE26</t>
        </is>
      </c>
      <c r="E472" t="inlineStr">
        <is>
          <t>Equipement de laboratoire</t>
        </is>
      </c>
      <c r="F472" t="inlineStr">
        <is>
          <t>- Maintenance avancée des analyseurs de biochimie, hématologie, immunologie.</t>
        </is>
      </c>
      <c r="H472">
        <v>6</v>
      </c>
      <c r="I472">
        <v>4</v>
      </c>
      <c r="J472">
        <v>4</v>
      </c>
      <c r="K472">
        <v>14</v>
      </c>
      <c r="L472">
        <v>40</v>
      </c>
      <c r="M472">
        <v>6</v>
      </c>
    </row>
    <row r="473">
      <c r="A473" t="inlineStr">
        <is>
          <t>Maintenance biomédicale</t>
        </is>
      </c>
      <c r="B473" t="inlineStr">
        <is>
          <t>L3</t>
        </is>
      </c>
      <c r="C473" t="inlineStr">
        <is>
          <t>5</t>
        </is>
      </c>
      <c r="D473" t="inlineStr">
        <is>
          <t>UE26</t>
        </is>
      </c>
      <c r="E473" t="inlineStr">
        <is>
          <t>Equipement de laboratoire</t>
        </is>
      </c>
      <c r="F473" t="inlineStr">
        <is>
          <t>Analyseurs de laboratoire (biochimie, hématologie, immunologie).</t>
        </is>
      </c>
      <c r="L473">
        <v>40</v>
      </c>
      <c r="M473">
        <v>6</v>
      </c>
    </row>
    <row r="474">
      <c r="A474" t="inlineStr">
        <is>
          <t>Maintenance biomédicale</t>
        </is>
      </c>
      <c r="B474" t="inlineStr">
        <is>
          <t>L3</t>
        </is>
      </c>
      <c r="C474" t="inlineStr">
        <is>
          <t>5</t>
        </is>
      </c>
      <c r="D474" t="inlineStr">
        <is>
          <t>UE26</t>
        </is>
      </c>
      <c r="E474" t="inlineStr">
        <is>
          <t>Equipement de laboratoire</t>
        </is>
      </c>
      <c r="F474" t="inlineStr">
        <is>
          <t>- Calibration et contrôles qualité selon normes OMS/ISO.</t>
        </is>
      </c>
      <c r="H474">
        <v>4</v>
      </c>
      <c r="I474">
        <v>2</v>
      </c>
      <c r="J474">
        <v>4</v>
      </c>
      <c r="K474">
        <v>10</v>
      </c>
      <c r="L474">
        <v>40</v>
      </c>
      <c r="M474">
        <v>6</v>
      </c>
    </row>
    <row r="475">
      <c r="A475" t="inlineStr">
        <is>
          <t>Maintenance biomédicale</t>
        </is>
      </c>
      <c r="B475" t="inlineStr">
        <is>
          <t>L3</t>
        </is>
      </c>
      <c r="C475" t="inlineStr">
        <is>
          <t>5</t>
        </is>
      </c>
      <c r="D475" t="inlineStr">
        <is>
          <t>UE26</t>
        </is>
      </c>
      <c r="E475" t="inlineStr">
        <is>
          <t>Equipement de laboratoire</t>
        </is>
      </c>
      <c r="F475" t="inlineStr">
        <is>
          <t>- Sécurité et biosécurité niveau P2–P3.</t>
        </is>
      </c>
      <c r="H475">
        <v>4</v>
      </c>
      <c r="I475">
        <v>4</v>
      </c>
      <c r="K475">
        <v>8</v>
      </c>
      <c r="L475">
        <v>40</v>
      </c>
      <c r="M475">
        <v>6</v>
      </c>
    </row>
    <row r="476">
      <c r="A476" t="inlineStr">
        <is>
          <t>Maintenance biomédicale</t>
        </is>
      </c>
      <c r="B476" t="inlineStr">
        <is>
          <t>L3</t>
        </is>
      </c>
      <c r="C476" t="inlineStr">
        <is>
          <t>5</t>
        </is>
      </c>
      <c r="D476" t="inlineStr">
        <is>
          <t>UE26</t>
        </is>
      </c>
      <c r="E476" t="inlineStr">
        <is>
          <t>Equipement de laboratoire</t>
        </is>
      </c>
      <c r="F476" t="inlineStr">
        <is>
          <t>- Gestion des consommables critiques (cuvettes, réactifs, lampes).</t>
        </is>
      </c>
      <c r="H476">
        <v>2</v>
      </c>
      <c r="I476">
        <v>2</v>
      </c>
      <c r="J476">
        <v>4</v>
      </c>
      <c r="K476">
        <v>8</v>
      </c>
      <c r="L476">
        <v>40</v>
      </c>
      <c r="M476">
        <v>6</v>
      </c>
    </row>
    <row r="477">
      <c r="A477" t="inlineStr">
        <is>
          <t>Maintenance biomédicale</t>
        </is>
      </c>
      <c r="B477" t="inlineStr">
        <is>
          <t>L3</t>
        </is>
      </c>
      <c r="C477" t="inlineStr">
        <is>
          <t>5</t>
        </is>
      </c>
      <c r="D477" t="inlineStr">
        <is>
          <t>UE27</t>
        </is>
      </c>
      <c r="E477" t="inlineStr">
        <is>
          <t>Communication professionnelle &amp; RH</t>
        </is>
      </c>
      <c r="F477" t="inlineStr">
        <is>
          <t>- Communication avancée : préparation et présentation de rapports techniques devant direction/partenaires.</t>
        </is>
      </c>
      <c r="H477">
        <v>2</v>
      </c>
      <c r="I477">
        <v>2</v>
      </c>
      <c r="J477">
        <v>4</v>
      </c>
      <c r="K477">
        <v>8</v>
      </c>
      <c r="L477">
        <v>36</v>
      </c>
      <c r="M477">
        <v>6</v>
      </c>
    </row>
    <row r="478">
      <c r="A478" t="inlineStr">
        <is>
          <t>Maintenance biomédicale</t>
        </is>
      </c>
      <c r="B478" t="inlineStr">
        <is>
          <t>L3</t>
        </is>
      </c>
      <c r="C478" t="inlineStr">
        <is>
          <t>5</t>
        </is>
      </c>
      <c r="D478" t="inlineStr">
        <is>
          <t>UE27</t>
        </is>
      </c>
      <c r="E478" t="inlineStr">
        <is>
          <t>Communication professionnelle &amp; RH</t>
        </is>
      </c>
      <c r="F478" t="inlineStr">
        <is>
          <t>- Animation et gestion d’équipe biomédicale.</t>
        </is>
      </c>
      <c r="H478">
        <v>4</v>
      </c>
      <c r="I478">
        <v>2</v>
      </c>
      <c r="J478">
        <v>4</v>
      </c>
      <c r="K478">
        <v>10</v>
      </c>
      <c r="L478">
        <v>36</v>
      </c>
      <c r="M478">
        <v>6</v>
      </c>
    </row>
    <row r="479">
      <c r="A479" t="inlineStr">
        <is>
          <t>Maintenance biomédicale</t>
        </is>
      </c>
      <c r="B479" t="inlineStr">
        <is>
          <t>L3</t>
        </is>
      </c>
      <c r="C479" t="inlineStr">
        <is>
          <t>5</t>
        </is>
      </c>
      <c r="D479" t="inlineStr">
        <is>
          <t>UE27</t>
        </is>
      </c>
      <c r="E479" t="inlineStr">
        <is>
          <t>Communication professionnelle &amp; RH</t>
        </is>
      </c>
      <c r="F479" t="inlineStr">
        <is>
          <t>- Gestion des conflits techniques ↔ cliniques.</t>
        </is>
      </c>
      <c r="H479">
        <v>2</v>
      </c>
      <c r="I479">
        <v>2</v>
      </c>
      <c r="J479">
        <v>2</v>
      </c>
      <c r="K479">
        <v>6</v>
      </c>
      <c r="L479">
        <v>36</v>
      </c>
      <c r="M479">
        <v>6</v>
      </c>
    </row>
    <row r="480">
      <c r="A480" t="inlineStr">
        <is>
          <t>Maintenance biomédicale</t>
        </is>
      </c>
      <c r="B480" t="inlineStr">
        <is>
          <t>L3</t>
        </is>
      </c>
      <c r="C480" t="inlineStr">
        <is>
          <t>5</t>
        </is>
      </c>
      <c r="D480" t="inlineStr">
        <is>
          <t>UE27</t>
        </is>
      </c>
      <c r="E480" t="inlineStr">
        <is>
          <t>Communication professionnelle &amp; RH</t>
        </is>
      </c>
      <c r="F480" t="inlineStr">
        <is>
          <t>Formation</t>
        </is>
      </c>
      <c r="K480">
        <v>0</v>
      </c>
      <c r="L480">
        <v>36</v>
      </c>
      <c r="M480">
        <v>6</v>
      </c>
    </row>
    <row r="481">
      <c r="A481" t="inlineStr">
        <is>
          <t>Maintenance biomédicale</t>
        </is>
      </c>
      <c r="B481" t="inlineStr">
        <is>
          <t>L3</t>
        </is>
      </c>
      <c r="C481" t="inlineStr">
        <is>
          <t>5</t>
        </is>
      </c>
      <c r="D481" t="inlineStr">
        <is>
          <t>UE27</t>
        </is>
      </c>
      <c r="E481" t="inlineStr">
        <is>
          <t>Communication professionnelle &amp; RH</t>
        </is>
      </c>
      <c r="F481" t="inlineStr">
        <is>
          <t>- Encadrement de stagiaires et techniciens juniors.</t>
        </is>
      </c>
      <c r="H481">
        <v>2</v>
      </c>
      <c r="I481">
        <v>2</v>
      </c>
      <c r="J481">
        <v>2</v>
      </c>
      <c r="K481">
        <v>6</v>
      </c>
      <c r="L481">
        <v>36</v>
      </c>
      <c r="M481">
        <v>6</v>
      </c>
    </row>
    <row r="482">
      <c r="A482" t="inlineStr">
        <is>
          <t>Maintenance biomédicale</t>
        </is>
      </c>
      <c r="B482" t="inlineStr">
        <is>
          <t>L3</t>
        </is>
      </c>
      <c r="C482" t="inlineStr">
        <is>
          <t>5</t>
        </is>
      </c>
      <c r="D482" t="inlineStr">
        <is>
          <t>UE27</t>
        </is>
      </c>
      <c r="E482" t="inlineStr">
        <is>
          <t>Communication professionnelle &amp; RH</t>
        </is>
      </c>
      <c r="F482" t="inlineStr">
        <is>
          <t>- Simulation de réunion interdisciplinaire de crise.</t>
        </is>
      </c>
      <c r="H482">
        <v>4</v>
      </c>
      <c r="I482">
        <v>2</v>
      </c>
      <c r="K482">
        <v>6</v>
      </c>
      <c r="L482">
        <v>36</v>
      </c>
      <c r="M482">
        <v>6</v>
      </c>
    </row>
    <row r="483">
      <c r="A483" t="inlineStr">
        <is>
          <t>Maintenance biomédicale</t>
        </is>
      </c>
      <c r="B483" t="inlineStr">
        <is>
          <t>L3</t>
        </is>
      </c>
      <c r="C483" t="inlineStr">
        <is>
          <t>5</t>
        </is>
      </c>
      <c r="D483" t="inlineStr">
        <is>
          <t>UE28</t>
        </is>
      </c>
      <c r="E483" t="inlineStr">
        <is>
          <t>Anglais professionnel</t>
        </is>
      </c>
      <c r="F483" t="inlineStr">
        <is>
          <t>- Lecture de normes et manuels techniques en anglais.</t>
        </is>
      </c>
      <c r="H483">
        <v>4</v>
      </c>
      <c r="I483">
        <v>4</v>
      </c>
      <c r="K483">
        <v>8</v>
      </c>
      <c r="L483">
        <v>30</v>
      </c>
      <c r="M483">
        <v>3</v>
      </c>
    </row>
    <row r="484">
      <c r="A484" t="inlineStr">
        <is>
          <t>Maintenance biomédicale</t>
        </is>
      </c>
      <c r="B484" t="inlineStr">
        <is>
          <t>L3</t>
        </is>
      </c>
      <c r="C484" t="inlineStr">
        <is>
          <t>5</t>
        </is>
      </c>
      <c r="D484" t="inlineStr">
        <is>
          <t>UE28</t>
        </is>
      </c>
      <c r="E484" t="inlineStr">
        <is>
          <t>Anglais professionnel</t>
        </is>
      </c>
      <c r="F484" t="inlineStr">
        <is>
          <t>- Communication professionnelle avec fournisseurs internationaux.</t>
        </is>
      </c>
      <c r="H484">
        <v>2</v>
      </c>
      <c r="I484">
        <v>4</v>
      </c>
      <c r="K484">
        <v>6</v>
      </c>
      <c r="L484">
        <v>30</v>
      </c>
      <c r="M484">
        <v>3</v>
      </c>
    </row>
    <row r="485">
      <c r="A485" t="inlineStr">
        <is>
          <t>Maintenance biomédicale</t>
        </is>
      </c>
      <c r="B485" t="inlineStr">
        <is>
          <t>L3</t>
        </is>
      </c>
      <c r="C485" t="inlineStr">
        <is>
          <t>5</t>
        </is>
      </c>
      <c r="D485" t="inlineStr">
        <is>
          <t>UE28</t>
        </is>
      </c>
      <c r="E485" t="inlineStr">
        <is>
          <t>Anglais professionnel</t>
        </is>
      </c>
      <c r="F485" t="inlineStr">
        <is>
          <t>- Rédaction d’emails techniques et rapports en anglais.</t>
        </is>
      </c>
      <c r="H485">
        <v>4</v>
      </c>
      <c r="I485">
        <v>4</v>
      </c>
      <c r="K485">
        <v>8</v>
      </c>
      <c r="L485">
        <v>30</v>
      </c>
      <c r="M485">
        <v>3</v>
      </c>
    </row>
    <row r="486">
      <c r="A486" t="inlineStr">
        <is>
          <t>Maintenance biomédicale</t>
        </is>
      </c>
      <c r="B486" t="inlineStr">
        <is>
          <t>L3</t>
        </is>
      </c>
      <c r="C486" t="inlineStr">
        <is>
          <t>5</t>
        </is>
      </c>
      <c r="D486" t="inlineStr">
        <is>
          <t>UE28</t>
        </is>
      </c>
      <c r="E486" t="inlineStr">
        <is>
          <t>Anglais professionnel</t>
        </is>
      </c>
      <c r="F486" t="inlineStr">
        <is>
          <t>- Présentations orales en anglais technique.</t>
        </is>
      </c>
      <c r="H486">
        <v>2</v>
      </c>
      <c r="I486">
        <v>6</v>
      </c>
      <c r="K486">
        <v>8</v>
      </c>
      <c r="L486">
        <v>30</v>
      </c>
      <c r="M486">
        <v>3</v>
      </c>
    </row>
    <row r="487">
      <c r="A487" t="inlineStr">
        <is>
          <t>Maintenance biomédicale</t>
        </is>
      </c>
      <c r="B487" t="inlineStr">
        <is>
          <t>L3</t>
        </is>
      </c>
      <c r="C487" t="inlineStr">
        <is>
          <t>5</t>
        </is>
      </c>
      <c r="D487" t="inlineStr">
        <is>
          <t>UE28</t>
        </is>
      </c>
      <c r="E487" t="inlineStr">
        <is>
          <t>Anglais professionnel</t>
        </is>
      </c>
      <c r="F487" t="inlineStr">
        <is>
          <t>- Préparation et suivi d’audits normatifs.</t>
        </is>
      </c>
      <c r="H487">
        <v>6</v>
      </c>
      <c r="I487">
        <v>4</v>
      </c>
      <c r="K487">
        <v>10</v>
      </c>
      <c r="L487">
        <v>30</v>
      </c>
      <c r="M487">
        <v>3</v>
      </c>
    </row>
    <row r="488">
      <c r="A488" t="inlineStr">
        <is>
          <t>Maintenance biomédicale</t>
        </is>
      </c>
      <c r="B488" t="inlineStr">
        <is>
          <t>L3</t>
        </is>
      </c>
      <c r="C488" t="inlineStr">
        <is>
          <t>5</t>
        </is>
      </c>
      <c r="D488" t="inlineStr">
        <is>
          <t>UE28</t>
        </is>
      </c>
      <c r="E488" t="inlineStr">
        <is>
          <t>Anglais professionnel</t>
        </is>
      </c>
      <c r="F488" t="inlineStr">
        <is>
          <t>- Systèmes de management qualité (SMQ) en maintenance biomédicale.</t>
        </is>
      </c>
      <c r="H488">
        <v>6</v>
      </c>
      <c r="I488">
        <v>6</v>
      </c>
      <c r="K488">
        <v>12</v>
      </c>
      <c r="L488">
        <v>30</v>
      </c>
      <c r="M488">
        <v>3</v>
      </c>
    </row>
    <row r="489">
      <c r="A489" t="inlineStr">
        <is>
          <t>Maintenance biomédicale</t>
        </is>
      </c>
      <c r="B489" t="inlineStr">
        <is>
          <t>L3</t>
        </is>
      </c>
      <c r="C489" t="inlineStr">
        <is>
          <t>5</t>
        </is>
      </c>
      <c r="D489" t="inlineStr">
        <is>
          <t>UE28</t>
        </is>
      </c>
      <c r="E489" t="inlineStr">
        <is>
          <t>Anglais professionnel</t>
        </is>
      </c>
      <c r="F489" t="inlineStr">
        <is>
          <t>- Certification et accréditation d’un service hospitalier.</t>
        </is>
      </c>
      <c r="H489">
        <v>4</v>
      </c>
      <c r="I489">
        <v>4</v>
      </c>
      <c r="K489">
        <v>8</v>
      </c>
      <c r="L489">
        <v>30</v>
      </c>
      <c r="M489">
        <v>3</v>
      </c>
    </row>
    <row r="490">
      <c r="A490" t="inlineStr">
        <is>
          <t>Maintenance biomédicale</t>
        </is>
      </c>
      <c r="B490" t="inlineStr">
        <is>
          <t>L3</t>
        </is>
      </c>
      <c r="C490" t="inlineStr">
        <is>
          <t>6</t>
        </is>
      </c>
      <c r="D490" t="inlineStr">
        <is>
          <t>UE30</t>
        </is>
      </c>
      <c r="E490" t="inlineStr">
        <is>
          <t>Projet de fin d’études</t>
        </is>
      </c>
      <c r="F490" t="inlineStr">
        <is>
          <t>- Réalisation d’un projet pratique complet : audit technique, plan de maintenance ou innovation locale.</t>
        </is>
      </c>
      <c r="H490">
        <v>6</v>
      </c>
      <c r="I490">
        <v>8</v>
      </c>
      <c r="J490">
        <v>24</v>
      </c>
      <c r="K490">
        <v>38</v>
      </c>
      <c r="L490">
        <v>50</v>
      </c>
      <c r="M490">
        <v>6</v>
      </c>
    </row>
    <row r="491">
      <c r="A491" t="inlineStr">
        <is>
          <t>Maintenance biomédicale</t>
        </is>
      </c>
      <c r="B491" t="inlineStr">
        <is>
          <t>L3</t>
        </is>
      </c>
      <c r="C491" t="inlineStr">
        <is>
          <t>6</t>
        </is>
      </c>
      <c r="D491" t="inlineStr">
        <is>
          <t>UE30</t>
        </is>
      </c>
      <c r="E491" t="inlineStr">
        <is>
          <t>Projet de fin d’études</t>
        </is>
      </c>
      <c r="F491" t="inlineStr">
        <is>
          <t>- Rapport écrit et soutenance orale devant un jury mixte (techniciens, médecins, administrateurs).</t>
        </is>
      </c>
      <c r="H491">
        <v>4</v>
      </c>
      <c r="I491">
        <v>4</v>
      </c>
      <c r="J491">
        <v>4</v>
      </c>
      <c r="K491">
        <v>12</v>
      </c>
      <c r="L491">
        <v>50</v>
      </c>
      <c r="M491">
        <v>6</v>
      </c>
    </row>
    <row r="492">
      <c r="A492" t="inlineStr">
        <is>
          <t>Maintenance biomédicale</t>
        </is>
      </c>
      <c r="B492" t="inlineStr">
        <is>
          <t>L3</t>
        </is>
      </c>
      <c r="C492" t="inlineStr">
        <is>
          <t>6</t>
        </is>
      </c>
      <c r="D492" t="inlineStr">
        <is>
          <t>UE31</t>
        </is>
      </c>
      <c r="E492" t="inlineStr">
        <is>
          <t>Stage professionnel (3 à 6 mois)</t>
        </is>
      </c>
      <c r="F492" t="inlineStr">
        <is>
          <t>(Stage pratique long .</t>
        </is>
      </c>
      <c r="J492">
        <v>864</v>
      </c>
      <c r="K492">
        <v>864</v>
      </c>
      <c r="L492">
        <v>864</v>
      </c>
      <c r="M492">
        <v>12</v>
      </c>
    </row>
    <row r="493">
      <c r="A493" t="inlineStr">
        <is>
          <t>Maintenance biomédicale</t>
        </is>
      </c>
      <c r="B493" t="inlineStr">
        <is>
          <t>L3</t>
        </is>
      </c>
      <c r="C493" t="inlineStr">
        <is>
          <t>6</t>
        </is>
      </c>
      <c r="D493" t="inlineStr">
        <is>
          <t>UE32</t>
        </is>
      </c>
      <c r="E493" t="inlineStr">
        <is>
          <t>Equipement des urgences</t>
        </is>
      </c>
      <c r="F493" t="inlineStr">
        <is>
          <t>- Maintenance des équipements d’urgences : moniteurs de transport, respirateurs d’urgence, défibrillateurs, aspirateurs.</t>
        </is>
      </c>
      <c r="H493">
        <v>6</v>
      </c>
      <c r="I493">
        <v>6</v>
      </c>
      <c r="J493">
        <v>10</v>
      </c>
      <c r="K493">
        <v>22</v>
      </c>
      <c r="L493">
        <v>50</v>
      </c>
      <c r="M493">
        <v>6</v>
      </c>
    </row>
    <row r="494">
      <c r="A494" t="inlineStr">
        <is>
          <t>Maintenance biomédicale</t>
        </is>
      </c>
      <c r="B494" t="inlineStr">
        <is>
          <t>L3</t>
        </is>
      </c>
      <c r="C494" t="inlineStr">
        <is>
          <t>6</t>
        </is>
      </c>
      <c r="D494" t="inlineStr">
        <is>
          <t>UE32</t>
        </is>
      </c>
      <c r="E494" t="inlineStr">
        <is>
          <t>Equipement des urgences</t>
        </is>
      </c>
      <c r="F494" t="inlineStr">
        <is>
          <t>- Protocoles de tests rapides et maintenance en contexte critique.</t>
        </is>
      </c>
      <c r="H494">
        <v>4</v>
      </c>
      <c r="I494">
        <v>6</v>
      </c>
      <c r="J494">
        <v>4</v>
      </c>
      <c r="K494">
        <v>14</v>
      </c>
      <c r="L494">
        <v>50</v>
      </c>
      <c r="M494">
        <v>6</v>
      </c>
    </row>
    <row r="495">
      <c r="A495" t="inlineStr">
        <is>
          <t>Maintenance biomédicale</t>
        </is>
      </c>
      <c r="B495" t="inlineStr">
        <is>
          <t>L3</t>
        </is>
      </c>
      <c r="C495" t="inlineStr">
        <is>
          <t>6</t>
        </is>
      </c>
      <c r="D495" t="inlineStr">
        <is>
          <t>UE32</t>
        </is>
      </c>
      <c r="E495" t="inlineStr">
        <is>
          <t>Equipement des urgences</t>
        </is>
      </c>
      <c r="F495" t="inlineStr">
        <is>
          <t>- Plans de continuité des soins en cas de panne.</t>
        </is>
      </c>
      <c r="H495">
        <v>6</v>
      </c>
      <c r="I495">
        <v>8</v>
      </c>
      <c r="K495">
        <v>14</v>
      </c>
      <c r="L495">
        <v>50</v>
      </c>
      <c r="M495">
        <v>6</v>
      </c>
    </row>
    <row r="496">
      <c r="A496" t="inlineStr">
        <is>
          <t>Maintenance biomédicale</t>
        </is>
      </c>
      <c r="B496" t="inlineStr">
        <is>
          <t>L3</t>
        </is>
      </c>
      <c r="C496" t="inlineStr">
        <is>
          <t>6</t>
        </is>
      </c>
      <c r="D496" t="inlineStr">
        <is>
          <t>UE33</t>
        </is>
      </c>
      <c r="E496" t="inlineStr">
        <is>
          <t>Equipments de chirurgie</t>
        </is>
      </c>
      <c r="F496" t="inlineStr">
        <is>
          <t>- Maintenance avancée des équipements du bloc opératoire : générateurs HF, colonnes de coelioscopie, moteurs chirurgicaux.</t>
        </is>
      </c>
      <c r="H496">
        <v>6</v>
      </c>
      <c r="I496">
        <v>6</v>
      </c>
      <c r="J496">
        <v>8</v>
      </c>
      <c r="K496">
        <v>20</v>
      </c>
      <c r="L496">
        <v>50</v>
      </c>
      <c r="M496">
        <v>6</v>
      </c>
    </row>
    <row r="497">
      <c r="A497" t="inlineStr">
        <is>
          <t>Maintenance biomédicale</t>
        </is>
      </c>
      <c r="B497" t="inlineStr">
        <is>
          <t>L3</t>
        </is>
      </c>
      <c r="C497" t="inlineStr">
        <is>
          <t>6</t>
        </is>
      </c>
      <c r="D497" t="inlineStr">
        <is>
          <t>UE33</t>
        </is>
      </c>
      <c r="E497" t="inlineStr">
        <is>
          <t>Equipments de chirurgie</t>
        </is>
      </c>
      <c r="F497" t="inlineStr">
        <is>
          <t>- Sécurité électrique et stérilisation associée.</t>
        </is>
      </c>
      <c r="H497">
        <v>4</v>
      </c>
      <c r="I497">
        <v>4</v>
      </c>
      <c r="K497">
        <v>8</v>
      </c>
      <c r="L497">
        <v>50</v>
      </c>
      <c r="M497">
        <v>6</v>
      </c>
    </row>
    <row r="498">
      <c r="A498" t="inlineStr">
        <is>
          <t>Maintenance biomédicale</t>
        </is>
      </c>
      <c r="B498" t="inlineStr">
        <is>
          <t>L3</t>
        </is>
      </c>
      <c r="C498" t="inlineStr">
        <is>
          <t>6</t>
        </is>
      </c>
      <c r="D498" t="inlineStr">
        <is>
          <t>UE33</t>
        </is>
      </c>
      <c r="E498" t="inlineStr">
        <is>
          <t>Equipments de chirurgie</t>
        </is>
      </c>
      <c r="F498" t="inlineStr">
        <is>
          <t>- Vérification des lampes scialytiques, tables opératoires et systèmes d’aspiration.</t>
        </is>
      </c>
      <c r="H498">
        <v>6</v>
      </c>
      <c r="I498">
        <v>2</v>
      </c>
      <c r="J498">
        <v>4</v>
      </c>
      <c r="K498">
        <v>12</v>
      </c>
      <c r="L498">
        <v>50</v>
      </c>
      <c r="M498">
        <v>6</v>
      </c>
    </row>
    <row r="499">
      <c r="A499" t="inlineStr">
        <is>
          <t>Maintenance biomédicale</t>
        </is>
      </c>
      <c r="B499" t="inlineStr">
        <is>
          <t>L3</t>
        </is>
      </c>
      <c r="C499" t="inlineStr">
        <is>
          <t>6</t>
        </is>
      </c>
      <c r="D499" t="inlineStr">
        <is>
          <t>UE33</t>
        </is>
      </c>
      <c r="E499" t="inlineStr">
        <is>
          <t>Equipments de chirurgie</t>
        </is>
      </c>
      <c r="F499" t="inlineStr">
        <is>
          <t>- TP pratiques : diagnostic et maintenance corrective en bloc.</t>
        </is>
      </c>
      <c r="J499">
        <v>10</v>
      </c>
      <c r="K499">
        <v>10</v>
      </c>
      <c r="L499">
        <v>50</v>
      </c>
      <c r="M499">
        <v>6</v>
      </c>
    </row>
    <row r="500">
      <c r="A500" t="inlineStr">
        <is>
          <t>Imagerie médicale</t>
        </is>
      </c>
      <c r="B500" t="inlineStr">
        <is>
          <t>L1</t>
        </is>
      </c>
      <c r="C500" t="inlineStr">
        <is>
          <t>1</t>
        </is>
      </c>
      <c r="D500" t="inlineStr">
        <is>
          <t>UE1</t>
        </is>
      </c>
      <c r="E500" t="inlineStr">
        <is>
          <t>Physique de l'imagerie</t>
        </is>
      </c>
      <c r="F500" t="inlineStr">
        <is>
          <t>Historique et évolution de la physique de l’imageries avec applications dans le monde médicale  (rayons X, échographie, scanner, IRM)</t>
        </is>
      </c>
      <c r="H500">
        <v>6</v>
      </c>
      <c r="I500">
        <v>4</v>
      </c>
      <c r="K500">
        <v>10</v>
      </c>
      <c r="L500">
        <v>45</v>
      </c>
      <c r="M500">
        <v>5</v>
      </c>
    </row>
    <row r="501">
      <c r="A501" t="inlineStr">
        <is>
          <t>Imagerie médicale</t>
        </is>
      </c>
      <c r="B501" t="inlineStr">
        <is>
          <t>L1</t>
        </is>
      </c>
      <c r="C501" t="inlineStr">
        <is>
          <t>1</t>
        </is>
      </c>
      <c r="D501" t="inlineStr">
        <is>
          <t>UE1</t>
        </is>
      </c>
      <c r="E501" t="inlineStr">
        <is>
          <t>Physique de l'imagerie</t>
        </is>
      </c>
      <c r="F501" t="inlineStr">
        <is>
          <t>Principes physiques des rayonnements ionisants et non ionisants</t>
        </is>
      </c>
      <c r="H501">
        <v>6</v>
      </c>
      <c r="I501">
        <v>3</v>
      </c>
      <c r="K501">
        <v>9</v>
      </c>
      <c r="L501">
        <v>45</v>
      </c>
      <c r="M501">
        <v>5</v>
      </c>
    </row>
    <row r="502">
      <c r="A502" t="inlineStr">
        <is>
          <t>Imagerie médicale</t>
        </is>
      </c>
      <c r="B502" t="inlineStr">
        <is>
          <t>L1</t>
        </is>
      </c>
      <c r="C502" t="inlineStr">
        <is>
          <t>1</t>
        </is>
      </c>
      <c r="D502" t="inlineStr">
        <is>
          <t>UE1</t>
        </is>
      </c>
      <c r="E502" t="inlineStr">
        <is>
          <t>Physique de l'imagerie</t>
        </is>
      </c>
      <c r="F502" t="inlineStr">
        <is>
          <t>Interaction rayonnements–matière (absorption, diffusion, atténuation)</t>
        </is>
      </c>
      <c r="H502">
        <v>5</v>
      </c>
      <c r="I502">
        <v>2</v>
      </c>
      <c r="K502">
        <v>7</v>
      </c>
      <c r="L502">
        <v>45</v>
      </c>
      <c r="M502">
        <v>5</v>
      </c>
    </row>
    <row r="503">
      <c r="A503" t="inlineStr">
        <is>
          <t>Imagerie médicale</t>
        </is>
      </c>
      <c r="B503" t="inlineStr">
        <is>
          <t>L1</t>
        </is>
      </c>
      <c r="C503" t="inlineStr">
        <is>
          <t>1</t>
        </is>
      </c>
      <c r="D503" t="inlineStr">
        <is>
          <t>UE1</t>
        </is>
      </c>
      <c r="E503" t="inlineStr">
        <is>
          <t>Physique de l'imagerie</t>
        </is>
      </c>
      <c r="F503" t="inlineStr">
        <is>
          <t>Bases physiques des ultrasons (propagation, modes A-B-M, Doppler)</t>
        </is>
      </c>
      <c r="H503">
        <v>6</v>
      </c>
      <c r="I503">
        <v>2</v>
      </c>
      <c r="K503">
        <v>8</v>
      </c>
      <c r="L503">
        <v>45</v>
      </c>
      <c r="M503">
        <v>5</v>
      </c>
    </row>
    <row r="504">
      <c r="A504" t="inlineStr">
        <is>
          <t>Imagerie médicale</t>
        </is>
      </c>
      <c r="B504" t="inlineStr">
        <is>
          <t>L1</t>
        </is>
      </c>
      <c r="C504" t="inlineStr">
        <is>
          <t>1</t>
        </is>
      </c>
      <c r="D504" t="inlineStr">
        <is>
          <t>UE1</t>
        </is>
      </c>
      <c r="E504" t="inlineStr">
        <is>
          <t>Physique de l'imagerie</t>
        </is>
      </c>
      <c r="F504" t="inlineStr">
        <is>
          <t>Les grandeurs dosimétrique  (Effets biologiques des rayonnements ionisants)</t>
        </is>
      </c>
      <c r="H504">
        <v>7</v>
      </c>
      <c r="I504">
        <v>4</v>
      </c>
      <c r="K504">
        <v>11</v>
      </c>
      <c r="L504">
        <v>45</v>
      </c>
      <c r="M504">
        <v>5</v>
      </c>
    </row>
    <row r="505">
      <c r="A505" t="inlineStr">
        <is>
          <t>Imagerie médicale</t>
        </is>
      </c>
      <c r="B505" t="inlineStr">
        <is>
          <t>L1</t>
        </is>
      </c>
      <c r="C505" t="inlineStr">
        <is>
          <t>1</t>
        </is>
      </c>
      <c r="D505" t="inlineStr">
        <is>
          <t>UE2</t>
        </is>
      </c>
      <c r="E505" t="inlineStr">
        <is>
          <t>Anatomie et terminologie médicale</t>
        </is>
      </c>
      <c r="F505" t="inlineStr">
        <is>
          <t>Anatomie descriptive des systèmes</t>
        </is>
      </c>
      <c r="H505">
        <v>8</v>
      </c>
      <c r="I505">
        <v>4</v>
      </c>
      <c r="K505">
        <v>12</v>
      </c>
      <c r="L505">
        <v>46</v>
      </c>
      <c r="M505">
        <v>5</v>
      </c>
    </row>
    <row r="506">
      <c r="A506" t="inlineStr">
        <is>
          <t>Imagerie médicale</t>
        </is>
      </c>
      <c r="B506" t="inlineStr">
        <is>
          <t>L1</t>
        </is>
      </c>
      <c r="C506" t="inlineStr">
        <is>
          <t>1</t>
        </is>
      </c>
      <c r="D506" t="inlineStr">
        <is>
          <t>UE2</t>
        </is>
      </c>
      <c r="E506" t="inlineStr">
        <is>
          <t>Anatomie et terminologie médicale</t>
        </is>
      </c>
      <c r="F506" t="inlineStr">
        <is>
          <t>Terminologie médicale et radiologique de base</t>
        </is>
      </c>
      <c r="H506">
        <v>6</v>
      </c>
      <c r="I506">
        <v>3</v>
      </c>
      <c r="K506">
        <v>9</v>
      </c>
      <c r="L506">
        <v>46</v>
      </c>
      <c r="M506">
        <v>5</v>
      </c>
    </row>
    <row r="507">
      <c r="A507" t="inlineStr">
        <is>
          <t>Imagerie médicale</t>
        </is>
      </c>
      <c r="B507" t="inlineStr">
        <is>
          <t>L1</t>
        </is>
      </c>
      <c r="C507" t="inlineStr">
        <is>
          <t>1</t>
        </is>
      </c>
      <c r="D507" t="inlineStr">
        <is>
          <t>UE2</t>
        </is>
      </c>
      <c r="E507" t="inlineStr">
        <is>
          <t>Anatomie et terminologie médicale</t>
        </is>
      </c>
      <c r="F507" t="inlineStr">
        <is>
          <t>Plans de coupe et correspondance avec l’imagerie</t>
        </is>
      </c>
      <c r="H507">
        <v>8</v>
      </c>
      <c r="I507">
        <v>5</v>
      </c>
      <c r="K507">
        <v>13</v>
      </c>
      <c r="L507">
        <v>46</v>
      </c>
      <c r="M507">
        <v>5</v>
      </c>
    </row>
    <row r="508">
      <c r="A508" t="inlineStr">
        <is>
          <t>Imagerie médicale</t>
        </is>
      </c>
      <c r="B508" t="inlineStr">
        <is>
          <t>L1</t>
        </is>
      </c>
      <c r="C508" t="inlineStr">
        <is>
          <t>1</t>
        </is>
      </c>
      <c r="D508" t="inlineStr">
        <is>
          <t>UE2</t>
        </is>
      </c>
      <c r="E508" t="inlineStr">
        <is>
          <t>Anatomie et terminologie médicale</t>
        </is>
      </c>
      <c r="F508" t="inlineStr">
        <is>
          <t>Vocabulaire spécifique aux examens radiologiques, échographiques, scanner et IRM</t>
        </is>
      </c>
      <c r="H508">
        <v>8</v>
      </c>
      <c r="I508">
        <v>4</v>
      </c>
      <c r="K508">
        <v>12</v>
      </c>
      <c r="L508">
        <v>46</v>
      </c>
      <c r="M508">
        <v>5</v>
      </c>
    </row>
    <row r="509">
      <c r="A509" t="inlineStr">
        <is>
          <t>Imagerie médicale</t>
        </is>
      </c>
      <c r="B509" t="inlineStr">
        <is>
          <t>L1</t>
        </is>
      </c>
      <c r="C509" t="inlineStr">
        <is>
          <t>1</t>
        </is>
      </c>
      <c r="D509" t="inlineStr">
        <is>
          <t>UE3</t>
        </is>
      </c>
      <c r="E509" t="inlineStr">
        <is>
          <t>Radioprotection</t>
        </is>
      </c>
      <c r="F509" t="inlineStr">
        <is>
          <t>Principes fondamentaux (justification, optimisation, limitation – ALARA)</t>
        </is>
      </c>
      <c r="H509">
        <v>4</v>
      </c>
      <c r="I509">
        <v>2</v>
      </c>
      <c r="K509">
        <v>6</v>
      </c>
      <c r="L509">
        <v>25</v>
      </c>
      <c r="M509">
        <v>4</v>
      </c>
    </row>
    <row r="510">
      <c r="A510" t="inlineStr">
        <is>
          <t>Imagerie médicale</t>
        </is>
      </c>
      <c r="B510" t="inlineStr">
        <is>
          <t>L1</t>
        </is>
      </c>
      <c r="C510" t="inlineStr">
        <is>
          <t>1</t>
        </is>
      </c>
      <c r="D510" t="inlineStr">
        <is>
          <t>UE3</t>
        </is>
      </c>
      <c r="E510" t="inlineStr">
        <is>
          <t>Radioprotection</t>
        </is>
      </c>
      <c r="F510" t="inlineStr">
        <is>
          <t>Radioprotection et optimisation des doses en radiologie conventionnelle</t>
        </is>
      </c>
      <c r="H510">
        <v>4</v>
      </c>
      <c r="I510">
        <v>2</v>
      </c>
      <c r="K510">
        <v>6</v>
      </c>
      <c r="L510">
        <v>25</v>
      </c>
      <c r="M510">
        <v>4</v>
      </c>
    </row>
    <row r="511">
      <c r="A511" t="inlineStr">
        <is>
          <t>Imagerie médicale</t>
        </is>
      </c>
      <c r="B511" t="inlineStr">
        <is>
          <t>L1</t>
        </is>
      </c>
      <c r="C511" t="inlineStr">
        <is>
          <t>1</t>
        </is>
      </c>
      <c r="D511" t="inlineStr">
        <is>
          <t>UE3</t>
        </is>
      </c>
      <c r="E511" t="inlineStr">
        <is>
          <t>Radioprotection</t>
        </is>
      </c>
      <c r="F511" t="inlineStr">
        <is>
          <t>Mesures de protection (dosimètres, blindages, procédures de sécurité)</t>
        </is>
      </c>
      <c r="H511">
        <v>2</v>
      </c>
      <c r="I511">
        <v>2</v>
      </c>
      <c r="K511">
        <v>4</v>
      </c>
      <c r="L511">
        <v>25</v>
      </c>
      <c r="M511">
        <v>4</v>
      </c>
    </row>
    <row r="512">
      <c r="A512" t="inlineStr">
        <is>
          <t>Imagerie médicale</t>
        </is>
      </c>
      <c r="B512" t="inlineStr">
        <is>
          <t>L1</t>
        </is>
      </c>
      <c r="C512" t="inlineStr">
        <is>
          <t>1</t>
        </is>
      </c>
      <c r="D512" t="inlineStr">
        <is>
          <t>UE3</t>
        </is>
      </c>
      <c r="E512" t="inlineStr">
        <is>
          <t>Radioprotection</t>
        </is>
      </c>
      <c r="F512" t="inlineStr">
        <is>
          <t>Techniques de radioscopie (principes, applications cliniques)</t>
        </is>
      </c>
      <c r="H512">
        <v>2</v>
      </c>
      <c r="I512">
        <v>2</v>
      </c>
      <c r="K512">
        <v>4</v>
      </c>
      <c r="L512">
        <v>25</v>
      </c>
      <c r="M512">
        <v>4</v>
      </c>
    </row>
    <row r="513">
      <c r="A513" t="inlineStr">
        <is>
          <t>Imagerie médicale</t>
        </is>
      </c>
      <c r="B513" t="inlineStr">
        <is>
          <t>L1</t>
        </is>
      </c>
      <c r="C513" t="inlineStr">
        <is>
          <t>1</t>
        </is>
      </c>
      <c r="D513" t="inlineStr">
        <is>
          <t>UE3</t>
        </is>
      </c>
      <c r="E513" t="inlineStr">
        <is>
          <t>Radioprotection</t>
        </is>
      </c>
      <c r="F513" t="inlineStr">
        <is>
          <t>Gestion des déchets</t>
        </is>
      </c>
      <c r="H513">
        <v>2</v>
      </c>
      <c r="I513">
        <v>3</v>
      </c>
      <c r="K513">
        <v>5</v>
      </c>
      <c r="L513">
        <v>25</v>
      </c>
      <c r="M513">
        <v>4</v>
      </c>
    </row>
    <row r="514">
      <c r="A514" t="inlineStr">
        <is>
          <t>Imagerie médicale</t>
        </is>
      </c>
      <c r="B514" t="inlineStr">
        <is>
          <t>L1</t>
        </is>
      </c>
      <c r="C514" t="inlineStr">
        <is>
          <t>1</t>
        </is>
      </c>
      <c r="D514" t="inlineStr">
        <is>
          <t>UE4</t>
        </is>
      </c>
      <c r="E514" t="inlineStr">
        <is>
          <t>Techniques de radiologie conventionnelle</t>
        </is>
      </c>
      <c r="F514" t="inlineStr">
        <is>
          <t>Fonctionnement des appareils de radiologie conventionnelle</t>
        </is>
      </c>
      <c r="H514">
        <v>6</v>
      </c>
      <c r="I514">
        <v>4</v>
      </c>
      <c r="K514">
        <v>10</v>
      </c>
      <c r="L514">
        <v>60</v>
      </c>
      <c r="M514">
        <v>6</v>
      </c>
    </row>
    <row r="515">
      <c r="A515" t="inlineStr">
        <is>
          <t>Imagerie médicale</t>
        </is>
      </c>
      <c r="B515" t="inlineStr">
        <is>
          <t>L1</t>
        </is>
      </c>
      <c r="C515" t="inlineStr">
        <is>
          <t>1</t>
        </is>
      </c>
      <c r="D515" t="inlineStr">
        <is>
          <t>UE4</t>
        </is>
      </c>
      <c r="E515" t="inlineStr">
        <is>
          <t>Techniques de radiologie conventionnelle</t>
        </is>
      </c>
      <c r="F515" t="inlineStr">
        <is>
          <t>Notions de qualité d’image : contraste, résolution, bruit, rapport signal/bruit</t>
        </is>
      </c>
      <c r="H515">
        <v>6</v>
      </c>
      <c r="I515">
        <v>4</v>
      </c>
      <c r="K515">
        <v>10</v>
      </c>
      <c r="L515">
        <v>60</v>
      </c>
      <c r="M515">
        <v>6</v>
      </c>
    </row>
    <row r="516">
      <c r="A516" t="inlineStr">
        <is>
          <t>Imagerie médicale</t>
        </is>
      </c>
      <c r="B516" t="inlineStr">
        <is>
          <t>L1</t>
        </is>
      </c>
      <c r="C516" t="inlineStr">
        <is>
          <t>1</t>
        </is>
      </c>
      <c r="D516" t="inlineStr">
        <is>
          <t>UE4</t>
        </is>
      </c>
      <c r="E516" t="inlineStr">
        <is>
          <t>Techniques de radiologie conventionnelle</t>
        </is>
      </c>
      <c r="F516" t="inlineStr">
        <is>
          <t>Paramètres techniques : kV, mAs, temps d’exposition, collimation</t>
        </is>
      </c>
      <c r="H516">
        <v>6</v>
      </c>
      <c r="I516">
        <v>2</v>
      </c>
      <c r="K516">
        <v>8</v>
      </c>
      <c r="L516">
        <v>60</v>
      </c>
      <c r="M516">
        <v>6</v>
      </c>
    </row>
    <row r="517">
      <c r="A517" t="inlineStr">
        <is>
          <t>Imagerie médicale</t>
        </is>
      </c>
      <c r="B517" t="inlineStr">
        <is>
          <t>L1</t>
        </is>
      </c>
      <c r="C517" t="inlineStr">
        <is>
          <t>1</t>
        </is>
      </c>
      <c r="D517" t="inlineStr">
        <is>
          <t>UE4</t>
        </is>
      </c>
      <c r="E517" t="inlineStr">
        <is>
          <t>Techniques de radiologie conventionnelle</t>
        </is>
      </c>
      <c r="F517" t="inlineStr">
        <is>
          <t>Protocoles standards : thorax, membres, bassin, rachis, abdomen</t>
        </is>
      </c>
      <c r="H517">
        <v>6</v>
      </c>
      <c r="I517">
        <v>4</v>
      </c>
      <c r="K517">
        <v>10</v>
      </c>
      <c r="L517">
        <v>60</v>
      </c>
      <c r="M517">
        <v>6</v>
      </c>
    </row>
    <row r="518">
      <c r="A518" t="inlineStr">
        <is>
          <t>Imagerie médicale</t>
        </is>
      </c>
      <c r="B518" t="inlineStr">
        <is>
          <t>L1</t>
        </is>
      </c>
      <c r="C518" t="inlineStr">
        <is>
          <t>1</t>
        </is>
      </c>
      <c r="D518" t="inlineStr">
        <is>
          <t>UE4</t>
        </is>
      </c>
      <c r="E518" t="inlineStr">
        <is>
          <t>Techniques de radiologie conventionnelle</t>
        </is>
      </c>
      <c r="F518" t="inlineStr">
        <is>
          <t>Techniques de radioscopie (principes, applications cliniques)</t>
        </is>
      </c>
      <c r="H518">
        <v>6</v>
      </c>
      <c r="I518">
        <v>4</v>
      </c>
      <c r="K518">
        <v>10</v>
      </c>
      <c r="L518">
        <v>60</v>
      </c>
      <c r="M518">
        <v>6</v>
      </c>
    </row>
    <row r="519">
      <c r="A519" t="inlineStr">
        <is>
          <t>Imagerie médicale</t>
        </is>
      </c>
      <c r="B519" t="inlineStr">
        <is>
          <t>L1</t>
        </is>
      </c>
      <c r="C519" t="inlineStr">
        <is>
          <t>1</t>
        </is>
      </c>
      <c r="D519" t="inlineStr">
        <is>
          <t>UE4</t>
        </is>
      </c>
      <c r="E519" t="inlineStr">
        <is>
          <t>Techniques de radiologie conventionnelle</t>
        </is>
      </c>
      <c r="F519" t="inlineStr">
        <is>
          <t>Protocoles adaptés (pédiatrie, traumatologie, urgences)</t>
        </is>
      </c>
      <c r="H519">
        <v>6</v>
      </c>
      <c r="I519">
        <v>6</v>
      </c>
      <c r="K519">
        <v>12</v>
      </c>
      <c r="L519">
        <v>60</v>
      </c>
      <c r="M519">
        <v>6</v>
      </c>
    </row>
    <row r="520">
      <c r="A520" t="inlineStr">
        <is>
          <t>Imagerie médicale</t>
        </is>
      </c>
      <c r="B520" t="inlineStr">
        <is>
          <t>L1</t>
        </is>
      </c>
      <c r="C520" t="inlineStr">
        <is>
          <t>1</t>
        </is>
      </c>
      <c r="D520" t="inlineStr">
        <is>
          <t>UE5</t>
        </is>
      </c>
      <c r="E520" t="inlineStr">
        <is>
          <t>Anatomie radiologique</t>
        </is>
      </c>
      <c r="F520" t="inlineStr">
        <is>
          <t>Lecture des images radiographiques normales</t>
        </is>
      </c>
      <c r="H520">
        <v>4</v>
      </c>
      <c r="I520">
        <v>2</v>
      </c>
      <c r="K520">
        <v>6</v>
      </c>
      <c r="L520">
        <v>30</v>
      </c>
      <c r="M520">
        <v>4</v>
      </c>
    </row>
    <row r="521">
      <c r="A521" t="inlineStr">
        <is>
          <t>Imagerie médicale</t>
        </is>
      </c>
      <c r="B521" t="inlineStr">
        <is>
          <t>L1</t>
        </is>
      </c>
      <c r="C521" t="inlineStr">
        <is>
          <t>1</t>
        </is>
      </c>
      <c r="D521" t="inlineStr">
        <is>
          <t>UE5</t>
        </is>
      </c>
      <c r="E521" t="inlineStr">
        <is>
          <t>Anatomie radiologique</t>
        </is>
      </c>
      <c r="F521" t="inlineStr">
        <is>
          <t>Repères anatomiques en radiographie standard</t>
        </is>
      </c>
      <c r="H521">
        <v>4</v>
      </c>
      <c r="I521">
        <v>4</v>
      </c>
      <c r="K521">
        <v>8</v>
      </c>
      <c r="L521">
        <v>30</v>
      </c>
      <c r="M521">
        <v>4</v>
      </c>
    </row>
    <row r="522">
      <c r="A522" t="inlineStr">
        <is>
          <t>Imagerie médicale</t>
        </is>
      </c>
      <c r="B522" t="inlineStr">
        <is>
          <t>L1</t>
        </is>
      </c>
      <c r="C522" t="inlineStr">
        <is>
          <t>1</t>
        </is>
      </c>
      <c r="D522" t="inlineStr">
        <is>
          <t>UE5</t>
        </is>
      </c>
      <c r="E522" t="inlineStr">
        <is>
          <t>Anatomie radiologique</t>
        </is>
      </c>
      <c r="F522" t="inlineStr">
        <is>
          <t>Superpositions et variations anatomiques normales</t>
        </is>
      </c>
      <c r="H522">
        <v>4</v>
      </c>
      <c r="I522">
        <v>2</v>
      </c>
      <c r="K522">
        <v>6</v>
      </c>
      <c r="L522">
        <v>30</v>
      </c>
      <c r="M522">
        <v>4</v>
      </c>
    </row>
    <row r="523">
      <c r="A523" t="inlineStr">
        <is>
          <t>Imagerie médicale</t>
        </is>
      </c>
      <c r="B523" t="inlineStr">
        <is>
          <t>L1</t>
        </is>
      </c>
      <c r="C523" t="inlineStr">
        <is>
          <t>1</t>
        </is>
      </c>
      <c r="D523" t="inlineStr">
        <is>
          <t>UE5</t>
        </is>
      </c>
      <c r="E523" t="inlineStr">
        <is>
          <t>Anatomie radiologique</t>
        </is>
      </c>
      <c r="F523" t="inlineStr">
        <is>
          <t>Introduction à la sémiologie radiologique de base (distinction normal / pathologique)</t>
        </is>
      </c>
      <c r="H523">
        <v>2</v>
      </c>
      <c r="I523">
        <v>2</v>
      </c>
      <c r="K523">
        <v>4</v>
      </c>
      <c r="L523">
        <v>30</v>
      </c>
      <c r="M523">
        <v>4</v>
      </c>
    </row>
    <row r="524">
      <c r="A524" t="inlineStr">
        <is>
          <t>Imagerie médicale</t>
        </is>
      </c>
      <c r="B524" t="inlineStr">
        <is>
          <t>L1</t>
        </is>
      </c>
      <c r="C524" t="inlineStr">
        <is>
          <t>1</t>
        </is>
      </c>
      <c r="D524" t="inlineStr">
        <is>
          <t>UE5</t>
        </is>
      </c>
      <c r="E524" t="inlineStr">
        <is>
          <t>Anatomie radiologique</t>
        </is>
      </c>
      <c r="F524" t="inlineStr">
        <is>
          <t>Utilisation des atlas d’anatomie radiologique et PACS</t>
        </is>
      </c>
      <c r="H524">
        <v>4</v>
      </c>
      <c r="I524">
        <v>2</v>
      </c>
      <c r="K524">
        <v>6</v>
      </c>
      <c r="L524">
        <v>30</v>
      </c>
      <c r="M524">
        <v>4</v>
      </c>
    </row>
    <row r="525">
      <c r="A525" t="inlineStr">
        <is>
          <t>Imagerie médicale</t>
        </is>
      </c>
      <c r="B525" t="inlineStr">
        <is>
          <t>L1</t>
        </is>
      </c>
      <c r="C525" t="inlineStr">
        <is>
          <t>1</t>
        </is>
      </c>
      <c r="D525" t="inlineStr">
        <is>
          <t>UE6</t>
        </is>
      </c>
      <c r="E525" t="inlineStr">
        <is>
          <t>Sciences et techniques infirmières</t>
        </is>
      </c>
      <c r="F525" t="inlineStr">
        <is>
          <t>Soins de base et manutention des malades</t>
        </is>
      </c>
      <c r="H525">
        <v>6</v>
      </c>
      <c r="I525">
        <v>2</v>
      </c>
      <c r="J525">
        <v>4</v>
      </c>
      <c r="K525">
        <v>12</v>
      </c>
      <c r="L525">
        <v>60</v>
      </c>
      <c r="M525">
        <v>6</v>
      </c>
    </row>
    <row r="526">
      <c r="A526" t="inlineStr">
        <is>
          <t>Imagerie médicale</t>
        </is>
      </c>
      <c r="B526" t="inlineStr">
        <is>
          <t>L1</t>
        </is>
      </c>
      <c r="C526" t="inlineStr">
        <is>
          <t>1</t>
        </is>
      </c>
      <c r="D526" t="inlineStr">
        <is>
          <t>UE6</t>
        </is>
      </c>
      <c r="E526" t="inlineStr">
        <is>
          <t>Sciences et techniques infirmières</t>
        </is>
      </c>
      <c r="F526" t="inlineStr">
        <is>
          <t>Ethiques et déontologie</t>
        </is>
      </c>
      <c r="H526">
        <v>4</v>
      </c>
      <c r="I526">
        <v>2</v>
      </c>
      <c r="K526">
        <v>6</v>
      </c>
      <c r="L526">
        <v>60</v>
      </c>
      <c r="M526">
        <v>6</v>
      </c>
    </row>
    <row r="527">
      <c r="A527" t="inlineStr">
        <is>
          <t>Imagerie médicale</t>
        </is>
      </c>
      <c r="B527" t="inlineStr">
        <is>
          <t>L1</t>
        </is>
      </c>
      <c r="C527" t="inlineStr">
        <is>
          <t>1</t>
        </is>
      </c>
      <c r="D527" t="inlineStr">
        <is>
          <t>UE6</t>
        </is>
      </c>
      <c r="E527" t="inlineStr">
        <is>
          <t>Sciences et techniques infirmières</t>
        </is>
      </c>
      <c r="F527" t="inlineStr">
        <is>
          <t>Psychologie et sociologie</t>
        </is>
      </c>
      <c r="H527">
        <v>6</v>
      </c>
      <c r="I527">
        <v>2</v>
      </c>
      <c r="K527">
        <v>8</v>
      </c>
      <c r="L527">
        <v>60</v>
      </c>
      <c r="M527">
        <v>6</v>
      </c>
    </row>
    <row r="528">
      <c r="A528" t="inlineStr">
        <is>
          <t>Imagerie médicale</t>
        </is>
      </c>
      <c r="B528" t="inlineStr">
        <is>
          <t>L1</t>
        </is>
      </c>
      <c r="C528" t="inlineStr">
        <is>
          <t>1</t>
        </is>
      </c>
      <c r="D528" t="inlineStr">
        <is>
          <t>UE6</t>
        </is>
      </c>
      <c r="E528" t="inlineStr">
        <is>
          <t>Sciences et techniques infirmières</t>
        </is>
      </c>
      <c r="F528" t="inlineStr">
        <is>
          <t>Accueil, préparation et positionnement du patient</t>
        </is>
      </c>
      <c r="H528">
        <v>6</v>
      </c>
      <c r="I528">
        <v>2</v>
      </c>
      <c r="J528">
        <v>4</v>
      </c>
      <c r="K528">
        <v>12</v>
      </c>
      <c r="L528">
        <v>60</v>
      </c>
      <c r="M528">
        <v>6</v>
      </c>
    </row>
    <row r="529">
      <c r="A529" t="inlineStr">
        <is>
          <t>Imagerie médicale</t>
        </is>
      </c>
      <c r="B529" t="inlineStr">
        <is>
          <t>L1</t>
        </is>
      </c>
      <c r="C529" t="inlineStr">
        <is>
          <t>1</t>
        </is>
      </c>
      <c r="D529" t="inlineStr">
        <is>
          <t>UE6</t>
        </is>
      </c>
      <c r="E529" t="inlineStr">
        <is>
          <t>Sciences et techniques infirmières</t>
        </is>
      </c>
      <c r="F529" t="inlineStr">
        <is>
          <t>Application des règles d’hygiène et de radioprotection</t>
        </is>
      </c>
      <c r="H529">
        <v>8</v>
      </c>
      <c r="I529">
        <v>2</v>
      </c>
      <c r="J529">
        <v>4</v>
      </c>
      <c r="K529">
        <v>14</v>
      </c>
      <c r="L529">
        <v>60</v>
      </c>
      <c r="M529">
        <v>6</v>
      </c>
    </row>
    <row r="530">
      <c r="A530" t="inlineStr">
        <is>
          <t>Imagerie médicale</t>
        </is>
      </c>
      <c r="B530" t="inlineStr">
        <is>
          <t>L1</t>
        </is>
      </c>
      <c r="C530" t="inlineStr">
        <is>
          <t>1</t>
        </is>
      </c>
      <c r="D530" t="inlineStr">
        <is>
          <t>UE6</t>
        </is>
      </c>
      <c r="E530" t="inlineStr">
        <is>
          <t>Sciences et techniques infirmières</t>
        </is>
      </c>
      <c r="F530" t="inlineStr">
        <is>
          <t>Tenue et organisation des dossiers d’imagerie</t>
        </is>
      </c>
      <c r="H530">
        <v>6</v>
      </c>
      <c r="I530">
        <v>2</v>
      </c>
      <c r="K530">
        <v>8</v>
      </c>
      <c r="L530">
        <v>60</v>
      </c>
      <c r="M530">
        <v>6</v>
      </c>
    </row>
    <row r="531">
      <c r="A531" t="inlineStr">
        <is>
          <t>Imagerie médicale</t>
        </is>
      </c>
      <c r="B531" t="inlineStr">
        <is>
          <t>L1</t>
        </is>
      </c>
      <c r="C531" t="inlineStr">
        <is>
          <t>1</t>
        </is>
      </c>
      <c r="D531" t="inlineStr">
        <is>
          <t>UE6</t>
        </is>
      </c>
      <c r="E531" t="inlineStr">
        <is>
          <t>Sciences et techniques infirmières</t>
        </is>
      </c>
      <c r="H531">
        <v>164</v>
      </c>
      <c r="I531">
        <v>90</v>
      </c>
      <c r="J531">
        <v>12</v>
      </c>
      <c r="K531">
        <v>266</v>
      </c>
      <c r="L531">
        <v>266</v>
      </c>
      <c r="M531">
        <v>30</v>
      </c>
    </row>
    <row r="532">
      <c r="A532" t="inlineStr">
        <is>
          <t>Imagerie médicale</t>
        </is>
      </c>
      <c r="B532" t="inlineStr">
        <is>
          <t>L1</t>
        </is>
      </c>
      <c r="C532" t="inlineStr">
        <is>
          <t>2</t>
        </is>
      </c>
      <c r="D532" t="inlineStr">
        <is>
          <t>UE7</t>
        </is>
      </c>
      <c r="E532" t="inlineStr">
        <is>
          <t>Principes de l’échographie</t>
        </is>
      </c>
      <c r="F532" t="inlineStr">
        <is>
          <t>Principes physiques des ultrasons (propagation, atténuation, réflexion)</t>
        </is>
      </c>
      <c r="H532">
        <v>6</v>
      </c>
      <c r="I532">
        <v>2</v>
      </c>
      <c r="K532">
        <v>8</v>
      </c>
      <c r="L532">
        <v>60</v>
      </c>
      <c r="M532">
        <v>6</v>
      </c>
    </row>
    <row r="533">
      <c r="A533" t="inlineStr">
        <is>
          <t>Imagerie médicale</t>
        </is>
      </c>
      <c r="B533" t="inlineStr">
        <is>
          <t>L1</t>
        </is>
      </c>
      <c r="C533" t="inlineStr">
        <is>
          <t>2</t>
        </is>
      </c>
      <c r="D533" t="inlineStr">
        <is>
          <t>UE7</t>
        </is>
      </c>
      <c r="E533" t="inlineStr">
        <is>
          <t>Principes de l’échographie</t>
        </is>
      </c>
      <c r="F533" t="inlineStr">
        <is>
          <t>Modes d’imagerie : B-mode, Doppler, 3D/4D</t>
        </is>
      </c>
      <c r="H533">
        <v>6</v>
      </c>
      <c r="I533">
        <v>4</v>
      </c>
      <c r="K533">
        <v>10</v>
      </c>
      <c r="L533">
        <v>60</v>
      </c>
      <c r="M533">
        <v>6</v>
      </c>
    </row>
    <row r="534">
      <c r="A534" t="inlineStr">
        <is>
          <t>Imagerie médicale</t>
        </is>
      </c>
      <c r="B534" t="inlineStr">
        <is>
          <t>L1</t>
        </is>
      </c>
      <c r="C534" t="inlineStr">
        <is>
          <t>2</t>
        </is>
      </c>
      <c r="D534" t="inlineStr">
        <is>
          <t>UE7</t>
        </is>
      </c>
      <c r="E534" t="inlineStr">
        <is>
          <t>Principes de l’échographie</t>
        </is>
      </c>
      <c r="F534" t="inlineStr">
        <is>
          <t>Appareils et sondes : linéaire, convexe, sectorielle, endocavitaire</t>
        </is>
      </c>
      <c r="H534">
        <v>6</v>
      </c>
      <c r="I534">
        <v>2</v>
      </c>
      <c r="K534">
        <v>8</v>
      </c>
      <c r="L534">
        <v>60</v>
      </c>
      <c r="M534">
        <v>6</v>
      </c>
    </row>
    <row r="535">
      <c r="A535" t="inlineStr">
        <is>
          <t>Imagerie médicale</t>
        </is>
      </c>
      <c r="B535" t="inlineStr">
        <is>
          <t>L1</t>
        </is>
      </c>
      <c r="C535" t="inlineStr">
        <is>
          <t>2</t>
        </is>
      </c>
      <c r="D535" t="inlineStr">
        <is>
          <t>UE7</t>
        </is>
      </c>
      <c r="E535" t="inlineStr">
        <is>
          <t>Principes de l’échographie</t>
        </is>
      </c>
      <c r="F535" t="inlineStr">
        <is>
          <t>Techniques d’acquisition et réglages de base (gain, profondeur, fréquence)</t>
        </is>
      </c>
      <c r="H535">
        <v>8</v>
      </c>
      <c r="I535">
        <v>4</v>
      </c>
      <c r="J535">
        <v>2</v>
      </c>
      <c r="K535">
        <v>14</v>
      </c>
      <c r="L535">
        <v>60</v>
      </c>
      <c r="M535">
        <v>6</v>
      </c>
    </row>
    <row r="536">
      <c r="A536" t="inlineStr">
        <is>
          <t>Imagerie médicale</t>
        </is>
      </c>
      <c r="B536" t="inlineStr">
        <is>
          <t>L1</t>
        </is>
      </c>
      <c r="C536" t="inlineStr">
        <is>
          <t>2</t>
        </is>
      </c>
      <c r="D536" t="inlineStr">
        <is>
          <t>UE7</t>
        </is>
      </c>
      <c r="E536" t="inlineStr">
        <is>
          <t>Principes de l’échographie</t>
        </is>
      </c>
      <c r="F536" t="inlineStr">
        <is>
          <t>Applications principales : abdominale, obstétricale, vasculaire, musculosquelettique</t>
        </is>
      </c>
      <c r="H536">
        <v>8</v>
      </c>
      <c r="I536">
        <v>6</v>
      </c>
      <c r="K536">
        <v>14</v>
      </c>
      <c r="L536">
        <v>60</v>
      </c>
      <c r="M536">
        <v>6</v>
      </c>
    </row>
    <row r="537">
      <c r="A537" t="inlineStr">
        <is>
          <t>Imagerie médicale</t>
        </is>
      </c>
      <c r="B537" t="inlineStr">
        <is>
          <t>L1</t>
        </is>
      </c>
      <c r="C537" t="inlineStr">
        <is>
          <t>2</t>
        </is>
      </c>
      <c r="D537" t="inlineStr">
        <is>
          <t>UE7</t>
        </is>
      </c>
      <c r="E537" t="inlineStr">
        <is>
          <t>Principes de l’échographie</t>
        </is>
      </c>
      <c r="F537" t="inlineStr">
        <is>
          <t>Sécurité, hygiène et entretien des sondes</t>
        </is>
      </c>
      <c r="H537">
        <v>2</v>
      </c>
      <c r="I537">
        <v>4</v>
      </c>
      <c r="K537">
        <v>6</v>
      </c>
      <c r="L537">
        <v>60</v>
      </c>
      <c r="M537">
        <v>6</v>
      </c>
    </row>
    <row r="538">
      <c r="A538" t="inlineStr">
        <is>
          <t>Imagerie médicale</t>
        </is>
      </c>
      <c r="B538" t="inlineStr">
        <is>
          <t>L1</t>
        </is>
      </c>
      <c r="C538" t="inlineStr">
        <is>
          <t>2</t>
        </is>
      </c>
      <c r="D538" t="inlineStr">
        <is>
          <t>UE8</t>
        </is>
      </c>
      <c r="E538" t="inlineStr">
        <is>
          <t>Anatomie échographique</t>
        </is>
      </c>
      <c r="F538" t="inlineStr">
        <is>
          <t>Repères échographiques de l’abdomen (foie, rate, reins, pancréas, vessie)</t>
        </is>
      </c>
      <c r="H538">
        <v>8</v>
      </c>
      <c r="I538">
        <v>4</v>
      </c>
      <c r="K538">
        <v>12</v>
      </c>
      <c r="L538">
        <v>40</v>
      </c>
      <c r="M538">
        <v>4</v>
      </c>
    </row>
    <row r="539">
      <c r="A539" t="inlineStr">
        <is>
          <t>Imagerie médicale</t>
        </is>
      </c>
      <c r="B539" t="inlineStr">
        <is>
          <t>L1</t>
        </is>
      </c>
      <c r="C539" t="inlineStr">
        <is>
          <t>2</t>
        </is>
      </c>
      <c r="D539" t="inlineStr">
        <is>
          <t>UE8</t>
        </is>
      </c>
      <c r="E539" t="inlineStr">
        <is>
          <t>Anatomie échographique</t>
        </is>
      </c>
      <c r="F539" t="inlineStr">
        <is>
          <t>Structures échographiques gynécologiques et obstétricales</t>
        </is>
      </c>
      <c r="H539">
        <v>6</v>
      </c>
      <c r="I539">
        <v>4</v>
      </c>
      <c r="K539">
        <v>10</v>
      </c>
      <c r="L539">
        <v>40</v>
      </c>
      <c r="M539">
        <v>4</v>
      </c>
    </row>
    <row r="540">
      <c r="A540" t="inlineStr">
        <is>
          <t>Imagerie médicale</t>
        </is>
      </c>
      <c r="B540" t="inlineStr">
        <is>
          <t>L1</t>
        </is>
      </c>
      <c r="C540" t="inlineStr">
        <is>
          <t>2</t>
        </is>
      </c>
      <c r="D540" t="inlineStr">
        <is>
          <t>UE8</t>
        </is>
      </c>
      <c r="E540" t="inlineStr">
        <is>
          <t>Anatomie échographique</t>
        </is>
      </c>
      <c r="F540" t="inlineStr">
        <is>
          <t>Anatomie vasculaire (artères, veines principales) et applications du Doppler</t>
        </is>
      </c>
      <c r="H540">
        <v>4</v>
      </c>
      <c r="I540">
        <v>2</v>
      </c>
      <c r="K540">
        <v>6</v>
      </c>
      <c r="L540">
        <v>40</v>
      </c>
      <c r="M540">
        <v>4</v>
      </c>
    </row>
    <row r="541">
      <c r="A541" t="inlineStr">
        <is>
          <t>Imagerie médicale</t>
        </is>
      </c>
      <c r="B541" t="inlineStr">
        <is>
          <t>L1</t>
        </is>
      </c>
      <c r="C541" t="inlineStr">
        <is>
          <t>2</t>
        </is>
      </c>
      <c r="D541" t="inlineStr">
        <is>
          <t>UE8</t>
        </is>
      </c>
      <c r="E541" t="inlineStr">
        <is>
          <t>Anatomie échographique</t>
        </is>
      </c>
      <c r="F541" t="inlineStr">
        <is>
          <t>Structures musculosquelettiques accessibles (tendons, articulations, muscles)</t>
        </is>
      </c>
      <c r="H541">
        <v>4</v>
      </c>
      <c r="I541">
        <v>2</v>
      </c>
      <c r="K541">
        <v>6</v>
      </c>
      <c r="L541">
        <v>40</v>
      </c>
      <c r="M541">
        <v>4</v>
      </c>
    </row>
    <row r="542">
      <c r="A542" t="inlineStr">
        <is>
          <t>Imagerie médicale</t>
        </is>
      </c>
      <c r="B542" t="inlineStr">
        <is>
          <t>L1</t>
        </is>
      </c>
      <c r="C542" t="inlineStr">
        <is>
          <t>2</t>
        </is>
      </c>
      <c r="D542" t="inlineStr">
        <is>
          <t>UE8</t>
        </is>
      </c>
      <c r="E542" t="inlineStr">
        <is>
          <t>Anatomie échographique</t>
        </is>
      </c>
      <c r="F542" t="inlineStr">
        <is>
          <t>Variations normales et pièges d’interprétation</t>
        </is>
      </c>
      <c r="H542">
        <v>4</v>
      </c>
      <c r="I542">
        <v>2</v>
      </c>
      <c r="K542">
        <v>6</v>
      </c>
      <c r="L542">
        <v>40</v>
      </c>
      <c r="M542">
        <v>4</v>
      </c>
    </row>
    <row r="543">
      <c r="A543" t="inlineStr">
        <is>
          <t>Imagerie médicale</t>
        </is>
      </c>
      <c r="B543" t="inlineStr">
        <is>
          <t>L1</t>
        </is>
      </c>
      <c r="C543" t="inlineStr">
        <is>
          <t>2</t>
        </is>
      </c>
      <c r="D543" t="inlineStr">
        <is>
          <t>UE 9 (UE17)</t>
        </is>
      </c>
      <c r="E543" t="inlineStr">
        <is>
          <t>Sémiologie radiologique</t>
        </is>
      </c>
      <c r="F543" t="inlineStr">
        <is>
          <t>Principes de la sémiologie en imagerie médicale (normal, variation, pathologique)</t>
        </is>
      </c>
      <c r="H543">
        <v>4</v>
      </c>
      <c r="I543">
        <v>2</v>
      </c>
      <c r="K543">
        <v>6</v>
      </c>
      <c r="L543">
        <v>46</v>
      </c>
      <c r="M543">
        <v>5</v>
      </c>
    </row>
    <row r="544">
      <c r="A544" t="inlineStr">
        <is>
          <t>Imagerie médicale</t>
        </is>
      </c>
      <c r="B544" t="inlineStr">
        <is>
          <t>L1</t>
        </is>
      </c>
      <c r="C544" t="inlineStr">
        <is>
          <t>2</t>
        </is>
      </c>
      <c r="D544" t="inlineStr">
        <is>
          <t>UE 9 (UE17)</t>
        </is>
      </c>
      <c r="E544" t="inlineStr">
        <is>
          <t>Sémiologie radiologique</t>
        </is>
      </c>
      <c r="F544" t="inlineStr">
        <is>
          <t>Sémiologie thoracique : opacités, atélectasie, épanchement, pneumothorax</t>
        </is>
      </c>
      <c r="H544">
        <v>6</v>
      </c>
      <c r="I544">
        <v>2</v>
      </c>
      <c r="K544">
        <v>8</v>
      </c>
      <c r="L544">
        <v>46</v>
      </c>
      <c r="M544">
        <v>5</v>
      </c>
    </row>
    <row r="545">
      <c r="A545" t="inlineStr">
        <is>
          <t>Imagerie médicale</t>
        </is>
      </c>
      <c r="B545" t="inlineStr">
        <is>
          <t>L1</t>
        </is>
      </c>
      <c r="C545" t="inlineStr">
        <is>
          <t>2</t>
        </is>
      </c>
      <c r="D545" t="inlineStr">
        <is>
          <t>UE 9 (UE17)</t>
        </is>
      </c>
      <c r="E545" t="inlineStr">
        <is>
          <t>Sémiologie radiologique</t>
        </is>
      </c>
      <c r="F545" t="inlineStr">
        <is>
          <t>Sémiologie osseuse et articulaire : fractures, luxations, lésions ostéolytiques/condensantes</t>
        </is>
      </c>
      <c r="H545">
        <v>6</v>
      </c>
      <c r="I545">
        <v>2</v>
      </c>
      <c r="K545">
        <v>8</v>
      </c>
      <c r="L545">
        <v>46</v>
      </c>
      <c r="M545">
        <v>5</v>
      </c>
    </row>
    <row r="546">
      <c r="A546" t="inlineStr">
        <is>
          <t>Imagerie médicale</t>
        </is>
      </c>
      <c r="B546" t="inlineStr">
        <is>
          <t>L1</t>
        </is>
      </c>
      <c r="C546" t="inlineStr">
        <is>
          <t>2</t>
        </is>
      </c>
      <c r="D546" t="inlineStr">
        <is>
          <t>UE 9 (UE17)</t>
        </is>
      </c>
      <c r="E546" t="inlineStr">
        <is>
          <t>Sémiologie radiologique</t>
        </is>
      </c>
      <c r="F546" t="inlineStr">
        <is>
          <t>Sémiologie abdominale : masses, occlusions, calcifications, ascite</t>
        </is>
      </c>
      <c r="H546">
        <v>6</v>
      </c>
      <c r="I546">
        <v>2</v>
      </c>
      <c r="K546">
        <v>8</v>
      </c>
      <c r="L546">
        <v>46</v>
      </c>
      <c r="M546">
        <v>5</v>
      </c>
    </row>
    <row r="547">
      <c r="A547" t="inlineStr">
        <is>
          <t>Imagerie médicale</t>
        </is>
      </c>
      <c r="B547" t="inlineStr">
        <is>
          <t>L1</t>
        </is>
      </c>
      <c r="C547" t="inlineStr">
        <is>
          <t>2</t>
        </is>
      </c>
      <c r="D547" t="inlineStr">
        <is>
          <t>UE 9 (UE17)</t>
        </is>
      </c>
      <c r="E547" t="inlineStr">
        <is>
          <t>Sémiologie radiologique</t>
        </is>
      </c>
      <c r="F547" t="inlineStr">
        <is>
          <t>Sémiologie en scanner : hémorragies, tumeurs, embolies, pathologies digestives</t>
        </is>
      </c>
      <c r="H547">
        <v>6</v>
      </c>
      <c r="I547">
        <v>2</v>
      </c>
      <c r="K547">
        <v>8</v>
      </c>
      <c r="L547">
        <v>46</v>
      </c>
      <c r="M547">
        <v>5</v>
      </c>
    </row>
    <row r="548">
      <c r="A548" t="inlineStr">
        <is>
          <t>Imagerie médicale</t>
        </is>
      </c>
      <c r="B548" t="inlineStr">
        <is>
          <t>L1</t>
        </is>
      </c>
      <c r="C548" t="inlineStr">
        <is>
          <t>2</t>
        </is>
      </c>
      <c r="D548" t="inlineStr">
        <is>
          <t>UE 9 (UE17)</t>
        </is>
      </c>
      <c r="E548" t="inlineStr">
        <is>
          <t>Sémiologie radiologique</t>
        </is>
      </c>
      <c r="F548" t="inlineStr">
        <is>
          <t>Sémiologie en IRM : neurologique, musculosquelettique, abdominale et pelvienne</t>
        </is>
      </c>
      <c r="H548">
        <v>6</v>
      </c>
      <c r="I548">
        <v>2</v>
      </c>
      <c r="K548">
        <v>8</v>
      </c>
      <c r="L548">
        <v>46</v>
      </c>
      <c r="M548">
        <v>5</v>
      </c>
    </row>
    <row r="549">
      <c r="A549" t="inlineStr">
        <is>
          <t>Imagerie médicale</t>
        </is>
      </c>
      <c r="B549" t="inlineStr">
        <is>
          <t>L1</t>
        </is>
      </c>
      <c r="C549" t="inlineStr">
        <is>
          <t>2</t>
        </is>
      </c>
      <c r="D549" t="inlineStr">
        <is>
          <t>UE10</t>
        </is>
      </c>
      <c r="E549" t="inlineStr">
        <is>
          <t>Pharmacologie de produits de contrastes</t>
        </is>
      </c>
      <c r="F549" t="inlineStr">
        <is>
          <t>Produits de contraste iodés, gadolinés et à microbulles</t>
        </is>
      </c>
      <c r="H549">
        <v>4</v>
      </c>
      <c r="I549">
        <v>1</v>
      </c>
      <c r="K549">
        <v>5</v>
      </c>
      <c r="L549">
        <v>25</v>
      </c>
      <c r="M549">
        <v>4</v>
      </c>
    </row>
    <row r="550">
      <c r="A550" t="inlineStr">
        <is>
          <t>Imagerie médicale</t>
        </is>
      </c>
      <c r="B550" t="inlineStr">
        <is>
          <t>L1</t>
        </is>
      </c>
      <c r="C550" t="inlineStr">
        <is>
          <t>2</t>
        </is>
      </c>
      <c r="D550" t="inlineStr">
        <is>
          <t>UE10</t>
        </is>
      </c>
      <c r="E550" t="inlineStr">
        <is>
          <t>Pharmacologie de produits de contrastes</t>
        </is>
      </c>
      <c r="F550" t="inlineStr">
        <is>
          <t>Mécanismes d’action, indications et contre-indications</t>
        </is>
      </c>
      <c r="H550">
        <v>4</v>
      </c>
      <c r="I550">
        <v>1</v>
      </c>
      <c r="K550">
        <v>5</v>
      </c>
      <c r="L550">
        <v>25</v>
      </c>
      <c r="M550">
        <v>4</v>
      </c>
    </row>
    <row r="551">
      <c r="A551" t="inlineStr">
        <is>
          <t>Imagerie médicale</t>
        </is>
      </c>
      <c r="B551" t="inlineStr">
        <is>
          <t>L1</t>
        </is>
      </c>
      <c r="C551" t="inlineStr">
        <is>
          <t>2</t>
        </is>
      </c>
      <c r="D551" t="inlineStr">
        <is>
          <t>UE10</t>
        </is>
      </c>
      <c r="E551" t="inlineStr">
        <is>
          <t>Pharmacologie de produits de contrastes</t>
        </is>
      </c>
      <c r="F551" t="inlineStr">
        <is>
          <t>Effets indésirables et réactions allergiques</t>
        </is>
      </c>
      <c r="H551">
        <v>4</v>
      </c>
      <c r="I551">
        <v>1</v>
      </c>
      <c r="K551">
        <v>5</v>
      </c>
      <c r="L551">
        <v>25</v>
      </c>
      <c r="M551">
        <v>4</v>
      </c>
    </row>
    <row r="552">
      <c r="A552" t="inlineStr">
        <is>
          <t>Imagerie médicale</t>
        </is>
      </c>
      <c r="B552" t="inlineStr">
        <is>
          <t>L1</t>
        </is>
      </c>
      <c r="C552" t="inlineStr">
        <is>
          <t>2</t>
        </is>
      </c>
      <c r="D552" t="inlineStr">
        <is>
          <t>UE10</t>
        </is>
      </c>
      <c r="E552" t="inlineStr">
        <is>
          <t>Pharmacologie de produits de contrastes</t>
        </is>
      </c>
      <c r="F552" t="inlineStr">
        <is>
          <t>Prévention des complications et protocoles de sécurité</t>
        </is>
      </c>
      <c r="H552">
        <v>4</v>
      </c>
      <c r="I552">
        <v>1</v>
      </c>
      <c r="K552">
        <v>5</v>
      </c>
      <c r="L552">
        <v>25</v>
      </c>
      <c r="M552">
        <v>4</v>
      </c>
    </row>
    <row r="553">
      <c r="A553" t="inlineStr">
        <is>
          <t>Imagerie médicale</t>
        </is>
      </c>
      <c r="B553" t="inlineStr">
        <is>
          <t>L1</t>
        </is>
      </c>
      <c r="C553" t="inlineStr">
        <is>
          <t>2</t>
        </is>
      </c>
      <c r="D553" t="inlineStr">
        <is>
          <t>UE10</t>
        </is>
      </c>
      <c r="E553" t="inlineStr">
        <is>
          <t>Pharmacologie de produits de contrastes</t>
        </is>
      </c>
      <c r="F553" t="inlineStr">
        <is>
          <t>Notions de pharmacovigilance en imagerie médicale</t>
        </is>
      </c>
      <c r="H553">
        <v>2</v>
      </c>
      <c r="I553">
        <v>1</v>
      </c>
      <c r="K553">
        <v>3</v>
      </c>
      <c r="L553">
        <v>25</v>
      </c>
      <c r="M553">
        <v>4</v>
      </c>
    </row>
    <row r="554">
      <c r="A554" t="inlineStr">
        <is>
          <t>Imagerie médicale</t>
        </is>
      </c>
      <c r="B554" t="inlineStr">
        <is>
          <t>L1</t>
        </is>
      </c>
      <c r="C554" t="inlineStr">
        <is>
          <t>2</t>
        </is>
      </c>
      <c r="D554" t="inlineStr">
        <is>
          <t>UE10</t>
        </is>
      </c>
      <c r="E554" t="inlineStr">
        <is>
          <t>Pharmacologie de produits de contrastes</t>
        </is>
      </c>
      <c r="F554" t="inlineStr">
        <is>
          <t>Traçabilité et gestion des médicaments utilisés en radiologie</t>
        </is>
      </c>
      <c r="H554">
        <v>2</v>
      </c>
      <c r="K554">
        <v>2</v>
      </c>
      <c r="L554">
        <v>25</v>
      </c>
      <c r="M554">
        <v>4</v>
      </c>
    </row>
    <row r="555">
      <c r="A555" t="inlineStr">
        <is>
          <t>Imagerie médicale</t>
        </is>
      </c>
      <c r="B555" t="inlineStr">
        <is>
          <t>L1</t>
        </is>
      </c>
      <c r="C555" t="inlineStr">
        <is>
          <t>2</t>
        </is>
      </c>
      <c r="D555" t="inlineStr">
        <is>
          <t>UE11</t>
        </is>
      </c>
      <c r="E555" t="inlineStr">
        <is>
          <t>Stage en radiologie conventionnelle et échographie</t>
        </is>
      </c>
      <c r="F555" t="inlineStr">
        <is>
          <t>Réalisation supervisée des examens de radiologie conventionnelle</t>
        </is>
      </c>
      <c r="H555" t="inlineStr">
        <is>
          <t>STAGE</t>
        </is>
      </c>
      <c r="J555">
        <v>150</v>
      </c>
      <c r="K555">
        <v>150</v>
      </c>
      <c r="L555">
        <v>150</v>
      </c>
      <c r="M555">
        <v>11</v>
      </c>
    </row>
    <row r="556">
      <c r="A556" t="inlineStr">
        <is>
          <t>Imagerie médicale</t>
        </is>
      </c>
      <c r="B556" t="inlineStr">
        <is>
          <t>L1</t>
        </is>
      </c>
      <c r="C556" t="inlineStr">
        <is>
          <t>2</t>
        </is>
      </c>
      <c r="D556" t="inlineStr">
        <is>
          <t>UE11</t>
        </is>
      </c>
      <c r="E556" t="inlineStr">
        <is>
          <t>Stage en radiologie conventionnelle et échographie</t>
        </is>
      </c>
      <c r="F556" t="inlineStr">
        <is>
          <t>Participation aux examens échographiques (préparation et installation du patient)</t>
        </is>
      </c>
      <c r="L556">
        <v>150</v>
      </c>
      <c r="M556">
        <v>11</v>
      </c>
    </row>
    <row r="557">
      <c r="A557" t="inlineStr">
        <is>
          <t>Imagerie médicale</t>
        </is>
      </c>
      <c r="B557" t="inlineStr">
        <is>
          <t>L1</t>
        </is>
      </c>
      <c r="C557" t="inlineStr">
        <is>
          <t>2</t>
        </is>
      </c>
      <c r="D557" t="inlineStr">
        <is>
          <t>UE11</t>
        </is>
      </c>
      <c r="E557" t="inlineStr">
        <is>
          <t>Stage en radiologie conventionnelle et échographie</t>
        </is>
      </c>
      <c r="F557" t="inlineStr">
        <is>
          <t>Application des protocoles standards et respect des règles de radioprotection</t>
        </is>
      </c>
      <c r="L557">
        <v>150</v>
      </c>
      <c r="M557">
        <v>11</v>
      </c>
    </row>
    <row r="558">
      <c r="A558" t="inlineStr">
        <is>
          <t>Imagerie médicale</t>
        </is>
      </c>
      <c r="B558" t="inlineStr">
        <is>
          <t>L1</t>
        </is>
      </c>
      <c r="C558" t="inlineStr">
        <is>
          <t>2</t>
        </is>
      </c>
      <c r="D558" t="inlineStr">
        <is>
          <t>UE11</t>
        </is>
      </c>
      <c r="E558" t="inlineStr">
        <is>
          <t>Stage en radiologie conventionnelle et échographie</t>
        </is>
      </c>
      <c r="F558" t="inlineStr">
        <is>
          <t>Acquisition des gestes de base en manipulation d’appareils</t>
        </is>
      </c>
      <c r="L558">
        <v>150</v>
      </c>
      <c r="M558">
        <v>11</v>
      </c>
    </row>
    <row r="559">
      <c r="A559" t="inlineStr">
        <is>
          <t>Imagerie médicale</t>
        </is>
      </c>
      <c r="B559" t="inlineStr">
        <is>
          <t>L1</t>
        </is>
      </c>
      <c r="C559" t="inlineStr">
        <is>
          <t>2</t>
        </is>
      </c>
      <c r="D559" t="inlineStr">
        <is>
          <t>UE11</t>
        </is>
      </c>
      <c r="E559" t="inlineStr">
        <is>
          <t>Stage en radiologie conventionnelle et échographie</t>
        </is>
      </c>
      <c r="F559" t="inlineStr">
        <is>
          <t>Observation et participation aux soins associés (injections, confort patient)</t>
        </is>
      </c>
      <c r="L559">
        <v>150</v>
      </c>
      <c r="M559">
        <v>11</v>
      </c>
    </row>
    <row r="560">
      <c r="A560" t="inlineStr">
        <is>
          <t>Imagerie médicale</t>
        </is>
      </c>
      <c r="B560" t="inlineStr">
        <is>
          <t>L1</t>
        </is>
      </c>
      <c r="C560" t="inlineStr">
        <is>
          <t>2</t>
        </is>
      </c>
      <c r="D560" t="inlineStr">
        <is>
          <t>UE11</t>
        </is>
      </c>
      <c r="E560" t="inlineStr">
        <is>
          <t>Stage en radiologie conventionnelle et échographie</t>
        </is>
      </c>
      <c r="F560" t="inlineStr">
        <is>
          <t>Travail interdisciplinaire avec radiologues et équipes de soins</t>
        </is>
      </c>
      <c r="L560">
        <v>150</v>
      </c>
      <c r="M560">
        <v>11</v>
      </c>
    </row>
    <row r="561">
      <c r="A561" t="inlineStr">
        <is>
          <t>Imagerie médicale</t>
        </is>
      </c>
      <c r="B561" t="inlineStr">
        <is>
          <t>L2</t>
        </is>
      </c>
      <c r="C561" t="inlineStr">
        <is>
          <t>3</t>
        </is>
      </c>
      <c r="D561" t="inlineStr">
        <is>
          <t>UE12</t>
        </is>
      </c>
      <c r="E561" t="inlineStr">
        <is>
          <t>Principes du scanner (TDM)</t>
        </is>
      </c>
      <c r="F561" t="inlineStr">
        <is>
          <t>Bases physiques de la tomodensitométrie (rayons X, reconstruction des coupes)</t>
        </is>
      </c>
      <c r="H561">
        <v>6</v>
      </c>
      <c r="I561">
        <v>2</v>
      </c>
      <c r="K561">
        <v>8</v>
      </c>
      <c r="L561">
        <v>60</v>
      </c>
      <c r="M561">
        <v>6</v>
      </c>
    </row>
    <row r="562">
      <c r="A562" t="inlineStr">
        <is>
          <t>Imagerie médicale</t>
        </is>
      </c>
      <c r="B562" t="inlineStr">
        <is>
          <t>L2</t>
        </is>
      </c>
      <c r="C562" t="inlineStr">
        <is>
          <t>3</t>
        </is>
      </c>
      <c r="D562" t="inlineStr">
        <is>
          <t>UE12</t>
        </is>
      </c>
      <c r="E562" t="inlineStr">
        <is>
          <t>Principes du scanner (TDM)</t>
        </is>
      </c>
      <c r="F562" t="inlineStr">
        <is>
          <t>Paramètres techniques : kV, mAs, pitch, collimation, épaisseur de coupe</t>
        </is>
      </c>
      <c r="H562">
        <v>8</v>
      </c>
      <c r="I562">
        <v>4</v>
      </c>
      <c r="K562">
        <v>12</v>
      </c>
      <c r="L562">
        <v>60</v>
      </c>
      <c r="M562">
        <v>6</v>
      </c>
    </row>
    <row r="563">
      <c r="A563" t="inlineStr">
        <is>
          <t>Imagerie médicale</t>
        </is>
      </c>
      <c r="B563" t="inlineStr">
        <is>
          <t>L2</t>
        </is>
      </c>
      <c r="C563" t="inlineStr">
        <is>
          <t>3</t>
        </is>
      </c>
      <c r="D563" t="inlineStr">
        <is>
          <t>UE12</t>
        </is>
      </c>
      <c r="E563" t="inlineStr">
        <is>
          <t>Principes du scanner (TDM)</t>
        </is>
      </c>
      <c r="F563" t="inlineStr">
        <is>
          <t>Modes d’acquisition : hélicoïdal, multibarrettes, reconstructions multiplanaires</t>
        </is>
      </c>
      <c r="H563">
        <v>6</v>
      </c>
      <c r="I563">
        <v>2</v>
      </c>
      <c r="K563">
        <v>8</v>
      </c>
      <c r="L563">
        <v>60</v>
      </c>
      <c r="M563">
        <v>6</v>
      </c>
    </row>
    <row r="564">
      <c r="A564" t="inlineStr">
        <is>
          <t>Imagerie médicale</t>
        </is>
      </c>
      <c r="B564" t="inlineStr">
        <is>
          <t>L2</t>
        </is>
      </c>
      <c r="C564" t="inlineStr">
        <is>
          <t>3</t>
        </is>
      </c>
      <c r="D564" t="inlineStr">
        <is>
          <t>UE12</t>
        </is>
      </c>
      <c r="E564" t="inlineStr">
        <is>
          <t>Principes du scanner (TDM)</t>
        </is>
      </c>
      <c r="F564" t="inlineStr">
        <is>
          <t>Protocoles selon les régions : tête, thorax, abdomen, pelvis</t>
        </is>
      </c>
      <c r="H564">
        <v>10</v>
      </c>
      <c r="I564">
        <v>2</v>
      </c>
      <c r="J564">
        <v>4</v>
      </c>
      <c r="K564">
        <v>16</v>
      </c>
      <c r="L564">
        <v>60</v>
      </c>
      <c r="M564">
        <v>6</v>
      </c>
    </row>
    <row r="565">
      <c r="A565" t="inlineStr">
        <is>
          <t>Imagerie médicale</t>
        </is>
      </c>
      <c r="B565" t="inlineStr">
        <is>
          <t>L2</t>
        </is>
      </c>
      <c r="C565" t="inlineStr">
        <is>
          <t>3</t>
        </is>
      </c>
      <c r="D565" t="inlineStr">
        <is>
          <t>UE12</t>
        </is>
      </c>
      <c r="E565" t="inlineStr">
        <is>
          <t>Principes du scanner (TDM)</t>
        </is>
      </c>
      <c r="F565" t="inlineStr">
        <is>
          <t>Techniques de réduction de dose et principe ALARA</t>
        </is>
      </c>
      <c r="H565">
        <v>6</v>
      </c>
      <c r="I565">
        <v>2</v>
      </c>
      <c r="K565">
        <v>8</v>
      </c>
      <c r="L565">
        <v>60</v>
      </c>
      <c r="M565">
        <v>6</v>
      </c>
    </row>
    <row r="566">
      <c r="A566" t="inlineStr">
        <is>
          <t>Imagerie médicale</t>
        </is>
      </c>
      <c r="B566" t="inlineStr">
        <is>
          <t>L2</t>
        </is>
      </c>
      <c r="C566" t="inlineStr">
        <is>
          <t>3</t>
        </is>
      </c>
      <c r="D566" t="inlineStr">
        <is>
          <t>UE12</t>
        </is>
      </c>
      <c r="E566" t="inlineStr">
        <is>
          <t>Principes du scanner (TDM)</t>
        </is>
      </c>
      <c r="F566" t="inlineStr">
        <is>
          <t>Sécurité patient : préparation, produits de contraste, contre-indications</t>
        </is>
      </c>
      <c r="H566">
        <v>6</v>
      </c>
      <c r="I566">
        <v>2</v>
      </c>
      <c r="K566">
        <v>8</v>
      </c>
      <c r="L566">
        <v>60</v>
      </c>
      <c r="M566">
        <v>6</v>
      </c>
    </row>
    <row r="567">
      <c r="A567" t="inlineStr">
        <is>
          <t>Imagerie médicale</t>
        </is>
      </c>
      <c r="B567" t="inlineStr">
        <is>
          <t>L2</t>
        </is>
      </c>
      <c r="C567" t="inlineStr">
        <is>
          <t>3</t>
        </is>
      </c>
      <c r="D567" t="inlineStr">
        <is>
          <t>UE13</t>
        </is>
      </c>
      <c r="E567" t="inlineStr">
        <is>
          <t>Anatomie scanographique</t>
        </is>
      </c>
      <c r="F567" t="inlineStr">
        <is>
          <t>Repères anatomiques en coupes axiales, coronales et sagittales</t>
        </is>
      </c>
      <c r="H567">
        <v>4</v>
      </c>
      <c r="I567">
        <v>1</v>
      </c>
      <c r="K567">
        <v>5</v>
      </c>
      <c r="L567">
        <v>30</v>
      </c>
      <c r="M567">
        <v>4</v>
      </c>
    </row>
    <row r="568">
      <c r="A568" t="inlineStr">
        <is>
          <t>Imagerie médicale</t>
        </is>
      </c>
      <c r="B568" t="inlineStr">
        <is>
          <t>L2</t>
        </is>
      </c>
      <c r="C568" t="inlineStr">
        <is>
          <t>3</t>
        </is>
      </c>
      <c r="D568" t="inlineStr">
        <is>
          <t>UE13</t>
        </is>
      </c>
      <c r="E568" t="inlineStr">
        <is>
          <t>Anatomie scanographique</t>
        </is>
      </c>
      <c r="F568" t="inlineStr">
        <is>
          <t>Structures intracrâniennes (cerveau, sinus, base du crâne)</t>
        </is>
      </c>
      <c r="H568">
        <v>4</v>
      </c>
      <c r="I568">
        <v>2</v>
      </c>
      <c r="K568">
        <v>6</v>
      </c>
      <c r="L568">
        <v>30</v>
      </c>
      <c r="M568">
        <v>4</v>
      </c>
    </row>
    <row r="569">
      <c r="A569" t="inlineStr">
        <is>
          <t>Imagerie médicale</t>
        </is>
      </c>
      <c r="B569" t="inlineStr">
        <is>
          <t>L2</t>
        </is>
      </c>
      <c r="C569" t="inlineStr">
        <is>
          <t>3</t>
        </is>
      </c>
      <c r="D569" t="inlineStr">
        <is>
          <t>UE13</t>
        </is>
      </c>
      <c r="E569" t="inlineStr">
        <is>
          <t>Anatomie scanographique</t>
        </is>
      </c>
      <c r="F569" t="inlineStr">
        <is>
          <t>Anatomie thoracique : poumons, médiastin, cœur, gros vaisseaux</t>
        </is>
      </c>
      <c r="H569">
        <v>4</v>
      </c>
      <c r="I569">
        <v>1</v>
      </c>
      <c r="K569">
        <v>5</v>
      </c>
      <c r="L569">
        <v>30</v>
      </c>
      <c r="M569">
        <v>4</v>
      </c>
    </row>
    <row r="570">
      <c r="A570" t="inlineStr">
        <is>
          <t>Imagerie médicale</t>
        </is>
      </c>
      <c r="B570" t="inlineStr">
        <is>
          <t>L2</t>
        </is>
      </c>
      <c r="C570" t="inlineStr">
        <is>
          <t>3</t>
        </is>
      </c>
      <c r="D570" t="inlineStr">
        <is>
          <t>UE13</t>
        </is>
      </c>
      <c r="E570" t="inlineStr">
        <is>
          <t>Anatomie scanographique</t>
        </is>
      </c>
      <c r="F570" t="inlineStr">
        <is>
          <t>Anatomie abdominale et pelvienne : foie, reins, rate, tube digestif, vessie</t>
        </is>
      </c>
      <c r="H570">
        <v>6</v>
      </c>
      <c r="I570">
        <v>2</v>
      </c>
      <c r="K570">
        <v>8</v>
      </c>
      <c r="L570">
        <v>30</v>
      </c>
      <c r="M570">
        <v>4</v>
      </c>
    </row>
    <row r="571">
      <c r="A571" t="inlineStr">
        <is>
          <t>Imagerie médicale</t>
        </is>
      </c>
      <c r="B571" t="inlineStr">
        <is>
          <t>L2</t>
        </is>
      </c>
      <c r="C571" t="inlineStr">
        <is>
          <t>3</t>
        </is>
      </c>
      <c r="D571" t="inlineStr">
        <is>
          <t>UE13</t>
        </is>
      </c>
      <c r="E571" t="inlineStr">
        <is>
          <t>Anatomie scanographique</t>
        </is>
      </c>
      <c r="F571" t="inlineStr">
        <is>
          <t>Squelette axial en scanner (rachis, bassin)</t>
        </is>
      </c>
      <c r="H571">
        <v>2</v>
      </c>
      <c r="K571">
        <v>2</v>
      </c>
      <c r="L571">
        <v>30</v>
      </c>
      <c r="M571">
        <v>4</v>
      </c>
    </row>
    <row r="572">
      <c r="A572" t="inlineStr">
        <is>
          <t>Imagerie médicale</t>
        </is>
      </c>
      <c r="B572" t="inlineStr">
        <is>
          <t>L2</t>
        </is>
      </c>
      <c r="C572" t="inlineStr">
        <is>
          <t>3</t>
        </is>
      </c>
      <c r="D572" t="inlineStr">
        <is>
          <t>UE13</t>
        </is>
      </c>
      <c r="E572" t="inlineStr">
        <is>
          <t>Anatomie scanographique</t>
        </is>
      </c>
      <c r="F572" t="inlineStr">
        <is>
          <t>Différenciation normal / pathologique en imagerie scanographique</t>
        </is>
      </c>
      <c r="H572">
        <v>4</v>
      </c>
      <c r="K572">
        <v>4</v>
      </c>
      <c r="L572">
        <v>30</v>
      </c>
      <c r="M572">
        <v>4</v>
      </c>
    </row>
    <row r="573">
      <c r="A573" t="inlineStr">
        <is>
          <t>Imagerie médicale</t>
        </is>
      </c>
      <c r="B573" t="inlineStr">
        <is>
          <t>L2</t>
        </is>
      </c>
      <c r="C573" t="inlineStr">
        <is>
          <t>3</t>
        </is>
      </c>
      <c r="D573" t="inlineStr">
        <is>
          <t>UE14</t>
        </is>
      </c>
      <c r="E573" t="inlineStr">
        <is>
          <t>Principes de l’IRM</t>
        </is>
      </c>
      <c r="F573" t="inlineStr">
        <is>
          <t>Principes physiques : champ magnétique, radiofréquences, relaxation T1/T2</t>
        </is>
      </c>
      <c r="H573">
        <v>6</v>
      </c>
      <c r="I573">
        <v>2</v>
      </c>
      <c r="K573">
        <v>8</v>
      </c>
      <c r="L573">
        <v>60</v>
      </c>
      <c r="M573">
        <v>6</v>
      </c>
    </row>
    <row r="574">
      <c r="A574" t="inlineStr">
        <is>
          <t>Imagerie médicale</t>
        </is>
      </c>
      <c r="B574" t="inlineStr">
        <is>
          <t>L2</t>
        </is>
      </c>
      <c r="C574" t="inlineStr">
        <is>
          <t>3</t>
        </is>
      </c>
      <c r="D574" t="inlineStr">
        <is>
          <t>UE14</t>
        </is>
      </c>
      <c r="E574" t="inlineStr">
        <is>
          <t>Principes de l’IRM</t>
        </is>
      </c>
      <c r="F574" t="inlineStr">
        <is>
          <t>Séquences IRM : spin-écho, écho de gradient, FLAIR, diffusion, perfusion</t>
        </is>
      </c>
      <c r="H574">
        <v>6</v>
      </c>
      <c r="I574">
        <v>2</v>
      </c>
      <c r="J574">
        <v>4</v>
      </c>
      <c r="K574">
        <v>12</v>
      </c>
      <c r="L574">
        <v>60</v>
      </c>
      <c r="M574">
        <v>6</v>
      </c>
    </row>
    <row r="575">
      <c r="A575" t="inlineStr">
        <is>
          <t>Imagerie médicale</t>
        </is>
      </c>
      <c r="B575" t="inlineStr">
        <is>
          <t>L2</t>
        </is>
      </c>
      <c r="C575" t="inlineStr">
        <is>
          <t>3</t>
        </is>
      </c>
      <c r="D575" t="inlineStr">
        <is>
          <t>UE14</t>
        </is>
      </c>
      <c r="E575" t="inlineStr">
        <is>
          <t>Principes de l’IRM</t>
        </is>
      </c>
      <c r="F575" t="inlineStr">
        <is>
          <t>Principes physiques de l’IRM (champ magnétique, radiofréquences, relaxation T1/T2)</t>
        </is>
      </c>
      <c r="H575">
        <v>6</v>
      </c>
      <c r="I575">
        <v>2</v>
      </c>
      <c r="K575">
        <v>8</v>
      </c>
      <c r="L575">
        <v>60</v>
      </c>
      <c r="M575">
        <v>6</v>
      </c>
    </row>
    <row r="576">
      <c r="A576" t="inlineStr">
        <is>
          <t>Imagerie médicale</t>
        </is>
      </c>
      <c r="B576" t="inlineStr">
        <is>
          <t>L2</t>
        </is>
      </c>
      <c r="C576" t="inlineStr">
        <is>
          <t>3</t>
        </is>
      </c>
      <c r="D576" t="inlineStr">
        <is>
          <t>UE14</t>
        </is>
      </c>
      <c r="E576" t="inlineStr">
        <is>
          <t>Principes de l’IRM</t>
        </is>
      </c>
      <c r="F576" t="inlineStr">
        <is>
          <t>Protocoles cliniques principaux : neurologie, musculosquelettique, abdominal et pelvien</t>
        </is>
      </c>
      <c r="H576">
        <v>6</v>
      </c>
      <c r="I576">
        <v>2</v>
      </c>
      <c r="J576">
        <v>4</v>
      </c>
      <c r="K576">
        <v>12</v>
      </c>
      <c r="L576">
        <v>60</v>
      </c>
      <c r="M576">
        <v>6</v>
      </c>
    </row>
    <row r="577">
      <c r="A577" t="inlineStr">
        <is>
          <t>Imagerie médicale</t>
        </is>
      </c>
      <c r="B577" t="inlineStr">
        <is>
          <t>L2</t>
        </is>
      </c>
      <c r="C577" t="inlineStr">
        <is>
          <t>3</t>
        </is>
      </c>
      <c r="D577" t="inlineStr">
        <is>
          <t>UE14</t>
        </is>
      </c>
      <c r="E577" t="inlineStr">
        <is>
          <t>Principes de l’IRM</t>
        </is>
      </c>
      <c r="F577" t="inlineStr">
        <is>
          <t>Produits de contraste à base de gadolinium : indications et risques</t>
        </is>
      </c>
      <c r="H577">
        <v>4</v>
      </c>
      <c r="K577">
        <v>4</v>
      </c>
      <c r="L577">
        <v>60</v>
      </c>
      <c r="M577">
        <v>6</v>
      </c>
    </row>
    <row r="578">
      <c r="A578" t="inlineStr">
        <is>
          <t>Imagerie médicale</t>
        </is>
      </c>
      <c r="B578" t="inlineStr">
        <is>
          <t>L2</t>
        </is>
      </c>
      <c r="C578" t="inlineStr">
        <is>
          <t>3</t>
        </is>
      </c>
      <c r="D578" t="inlineStr">
        <is>
          <t>UE14</t>
        </is>
      </c>
      <c r="E578" t="inlineStr">
        <is>
          <t>Principes de l’IRM</t>
        </is>
      </c>
      <c r="F578" t="inlineStr">
        <is>
          <t>Sécurité en environnement IRM : implants, claustrophobie, champs magnétiques</t>
        </is>
      </c>
      <c r="H578">
        <v>6</v>
      </c>
      <c r="I578">
        <v>2</v>
      </c>
      <c r="K578">
        <v>8</v>
      </c>
      <c r="L578">
        <v>60</v>
      </c>
      <c r="M578">
        <v>6</v>
      </c>
    </row>
    <row r="579">
      <c r="A579" t="inlineStr">
        <is>
          <t>Imagerie médicale</t>
        </is>
      </c>
      <c r="B579" t="inlineStr">
        <is>
          <t>L2</t>
        </is>
      </c>
      <c r="C579" t="inlineStr">
        <is>
          <t>3</t>
        </is>
      </c>
      <c r="D579" t="inlineStr">
        <is>
          <t>UE14</t>
        </is>
      </c>
      <c r="E579" t="inlineStr">
        <is>
          <t>Principes de l’IRM</t>
        </is>
      </c>
      <c r="F579" t="inlineStr">
        <is>
          <t>Optimisation de la qualité des images et réduction des artéfacts</t>
        </is>
      </c>
      <c r="H579">
        <v>6</v>
      </c>
      <c r="I579">
        <v>2</v>
      </c>
      <c r="K579">
        <v>8</v>
      </c>
      <c r="L579">
        <v>60</v>
      </c>
      <c r="M579">
        <v>6</v>
      </c>
    </row>
    <row r="580">
      <c r="A580" t="inlineStr">
        <is>
          <t>Imagerie médicale</t>
        </is>
      </c>
      <c r="B580" t="inlineStr">
        <is>
          <t>L2</t>
        </is>
      </c>
      <c r="C580" t="inlineStr">
        <is>
          <t>3</t>
        </is>
      </c>
      <c r="D580" t="inlineStr">
        <is>
          <t>UE15</t>
        </is>
      </c>
      <c r="E580" t="inlineStr">
        <is>
          <t>Anatomie IRM</t>
        </is>
      </c>
      <c r="F580" t="inlineStr">
        <is>
          <t>Lecture des coupes IRM : axial, sagittal, coronal</t>
        </is>
      </c>
      <c r="H580">
        <v>2</v>
      </c>
      <c r="I580">
        <v>2</v>
      </c>
      <c r="J580">
        <v>2</v>
      </c>
      <c r="K580">
        <v>6</v>
      </c>
      <c r="L580">
        <v>30</v>
      </c>
      <c r="M580">
        <v>4</v>
      </c>
    </row>
    <row r="581">
      <c r="A581" t="inlineStr">
        <is>
          <t>Imagerie médicale</t>
        </is>
      </c>
      <c r="B581" t="inlineStr">
        <is>
          <t>L2</t>
        </is>
      </c>
      <c r="C581" t="inlineStr">
        <is>
          <t>3</t>
        </is>
      </c>
      <c r="D581" t="inlineStr">
        <is>
          <t>UE15</t>
        </is>
      </c>
      <c r="E581" t="inlineStr">
        <is>
          <t>Anatomie IRM</t>
        </is>
      </c>
      <c r="F581" t="inlineStr">
        <is>
          <t>Anatomie cérébrale et médullaire (substance grise, blanche, nerfs, moelle)</t>
        </is>
      </c>
      <c r="H581">
        <v>2</v>
      </c>
      <c r="I581">
        <v>2</v>
      </c>
      <c r="K581">
        <v>4</v>
      </c>
      <c r="L581">
        <v>30</v>
      </c>
      <c r="M581">
        <v>4</v>
      </c>
    </row>
    <row r="582">
      <c r="A582" t="inlineStr">
        <is>
          <t>Imagerie médicale</t>
        </is>
      </c>
      <c r="B582" t="inlineStr">
        <is>
          <t>L2</t>
        </is>
      </c>
      <c r="C582" t="inlineStr">
        <is>
          <t>3</t>
        </is>
      </c>
      <c r="D582" t="inlineStr">
        <is>
          <t>UE15</t>
        </is>
      </c>
      <c r="E582" t="inlineStr">
        <is>
          <t>Anatomie IRM</t>
        </is>
      </c>
      <c r="F582" t="inlineStr">
        <is>
          <t>Structures musculosquelettiques (articulations, ligaments, muscles)</t>
        </is>
      </c>
      <c r="H582">
        <v>4</v>
      </c>
      <c r="I582">
        <v>2</v>
      </c>
      <c r="K582">
        <v>6</v>
      </c>
      <c r="L582">
        <v>30</v>
      </c>
      <c r="M582">
        <v>4</v>
      </c>
    </row>
    <row r="583">
      <c r="A583" t="inlineStr">
        <is>
          <t>Imagerie médicale</t>
        </is>
      </c>
      <c r="B583" t="inlineStr">
        <is>
          <t>L2</t>
        </is>
      </c>
      <c r="C583" t="inlineStr">
        <is>
          <t>3</t>
        </is>
      </c>
      <c r="D583" t="inlineStr">
        <is>
          <t>UE15</t>
        </is>
      </c>
      <c r="E583" t="inlineStr">
        <is>
          <t>Anatomie IRM</t>
        </is>
      </c>
      <c r="F583" t="inlineStr">
        <is>
          <t>Organes abdominaux et pelviens : foie, pancréas, reins, prostate, utérus, ovaires</t>
        </is>
      </c>
      <c r="H583">
        <v>4</v>
      </c>
      <c r="I583">
        <v>2</v>
      </c>
      <c r="K583">
        <v>6</v>
      </c>
      <c r="L583">
        <v>30</v>
      </c>
      <c r="M583">
        <v>4</v>
      </c>
    </row>
    <row r="584">
      <c r="A584" t="inlineStr">
        <is>
          <t>Imagerie médicale</t>
        </is>
      </c>
      <c r="B584" t="inlineStr">
        <is>
          <t>L2</t>
        </is>
      </c>
      <c r="C584" t="inlineStr">
        <is>
          <t>3</t>
        </is>
      </c>
      <c r="D584" t="inlineStr">
        <is>
          <t>UE15</t>
        </is>
      </c>
      <c r="E584" t="inlineStr">
        <is>
          <t>Anatomie IRM</t>
        </is>
      </c>
      <c r="F584" t="inlineStr">
        <is>
          <t>Anatomie cardiaque et vasculaire en IRM</t>
        </is>
      </c>
      <c r="H584">
        <v>2</v>
      </c>
      <c r="I584">
        <v>2</v>
      </c>
      <c r="K584">
        <v>4</v>
      </c>
      <c r="L584">
        <v>30</v>
      </c>
      <c r="M584">
        <v>4</v>
      </c>
    </row>
    <row r="585">
      <c r="A585" t="inlineStr">
        <is>
          <t>Imagerie médicale</t>
        </is>
      </c>
      <c r="B585" t="inlineStr">
        <is>
          <t>L2</t>
        </is>
      </c>
      <c r="C585" t="inlineStr">
        <is>
          <t>3</t>
        </is>
      </c>
      <c r="D585" t="inlineStr">
        <is>
          <t>UE15</t>
        </is>
      </c>
      <c r="E585" t="inlineStr">
        <is>
          <t>Anatomie IRM</t>
        </is>
      </c>
      <c r="F585" t="inlineStr">
        <is>
          <t>Repères IRM pédiatriques et obstétricaux</t>
        </is>
      </c>
      <c r="H585">
        <v>2</v>
      </c>
      <c r="I585">
        <v>2</v>
      </c>
      <c r="K585">
        <v>4</v>
      </c>
      <c r="L585">
        <v>30</v>
      </c>
      <c r="M585">
        <v>4</v>
      </c>
    </row>
    <row r="586">
      <c r="A586" t="inlineStr">
        <is>
          <t>Imagerie médicale</t>
        </is>
      </c>
      <c r="B586" t="inlineStr">
        <is>
          <t>L2</t>
        </is>
      </c>
      <c r="C586" t="inlineStr">
        <is>
          <t>3</t>
        </is>
      </c>
      <c r="D586" t="inlineStr">
        <is>
          <t>UE16</t>
        </is>
      </c>
      <c r="E586" t="inlineStr">
        <is>
          <t>Stage en scanner et IRM</t>
        </is>
      </c>
      <c r="F586" t="inlineStr">
        <is>
          <t>Participation active aux examens de scanner et IRM</t>
        </is>
      </c>
      <c r="H586" t="inlineStr">
        <is>
          <t>STAGE</t>
        </is>
      </c>
      <c r="J586">
        <v>150</v>
      </c>
      <c r="K586">
        <v>150</v>
      </c>
      <c r="L586">
        <v>150</v>
      </c>
      <c r="M586">
        <v>10</v>
      </c>
    </row>
    <row r="587">
      <c r="A587" t="inlineStr">
        <is>
          <t>Imagerie médicale</t>
        </is>
      </c>
      <c r="B587" t="inlineStr">
        <is>
          <t>L2</t>
        </is>
      </c>
      <c r="C587" t="inlineStr">
        <is>
          <t>3</t>
        </is>
      </c>
      <c r="D587" t="inlineStr">
        <is>
          <t>UE16</t>
        </is>
      </c>
      <c r="E587" t="inlineStr">
        <is>
          <t>Stage en scanner et IRM</t>
        </is>
      </c>
      <c r="F587" t="inlineStr">
        <is>
          <t>Préparation et installation du patient (sécurité, confort, contre-indications)</t>
        </is>
      </c>
      <c r="L587">
        <v>150</v>
      </c>
      <c r="M587">
        <v>10</v>
      </c>
    </row>
    <row r="588">
      <c r="A588" t="inlineStr">
        <is>
          <t>Imagerie médicale</t>
        </is>
      </c>
      <c r="B588" t="inlineStr">
        <is>
          <t>L2</t>
        </is>
      </c>
      <c r="C588" t="inlineStr">
        <is>
          <t>3</t>
        </is>
      </c>
      <c r="D588" t="inlineStr">
        <is>
          <t>UE16</t>
        </is>
      </c>
      <c r="E588" t="inlineStr">
        <is>
          <t>Stage en scanner et IRM</t>
        </is>
      </c>
      <c r="F588" t="inlineStr">
        <is>
          <t>Utilisation des injecteurs automatiques et suivi des produits de contraste</t>
        </is>
      </c>
      <c r="L588">
        <v>150</v>
      </c>
      <c r="M588">
        <v>10</v>
      </c>
    </row>
    <row r="589">
      <c r="A589" t="inlineStr">
        <is>
          <t>Imagerie médicale</t>
        </is>
      </c>
      <c r="B589" t="inlineStr">
        <is>
          <t>L2</t>
        </is>
      </c>
      <c r="C589" t="inlineStr">
        <is>
          <t>3</t>
        </is>
      </c>
      <c r="D589" t="inlineStr">
        <is>
          <t>UE16</t>
        </is>
      </c>
      <c r="E589" t="inlineStr">
        <is>
          <t>Stage en scanner et IRM</t>
        </is>
      </c>
      <c r="F589" t="inlineStr">
        <is>
          <t>Application des protocoles standards (tête, thorax, abdomen, pelvis, rachis)</t>
        </is>
      </c>
      <c r="L589">
        <v>150</v>
      </c>
      <c r="M589">
        <v>10</v>
      </c>
    </row>
    <row r="590">
      <c r="A590" t="inlineStr">
        <is>
          <t>Imagerie médicale</t>
        </is>
      </c>
      <c r="B590" t="inlineStr">
        <is>
          <t>L2</t>
        </is>
      </c>
      <c r="C590" t="inlineStr">
        <is>
          <t>3</t>
        </is>
      </c>
      <c r="D590" t="inlineStr">
        <is>
          <t>UE16</t>
        </is>
      </c>
      <c r="E590" t="inlineStr">
        <is>
          <t>Stage en scanner et IRM</t>
        </is>
      </c>
      <c r="F590" t="inlineStr">
        <is>
          <t>Respect des normes de radioprotection et de sécurité en IRM</t>
        </is>
      </c>
      <c r="L590">
        <v>150</v>
      </c>
      <c r="M590">
        <v>10</v>
      </c>
    </row>
    <row r="591">
      <c r="A591" t="inlineStr">
        <is>
          <t>Imagerie médicale</t>
        </is>
      </c>
      <c r="B591" t="inlineStr">
        <is>
          <t>L2</t>
        </is>
      </c>
      <c r="C591" t="inlineStr">
        <is>
          <t>3</t>
        </is>
      </c>
      <c r="D591" t="inlineStr">
        <is>
          <t>UE16</t>
        </is>
      </c>
      <c r="E591" t="inlineStr">
        <is>
          <t>Stage en scanner et IRM</t>
        </is>
      </c>
      <c r="F591" t="inlineStr">
        <is>
          <t>Observation et description des images obtenues sous supervision</t>
        </is>
      </c>
      <c r="L591">
        <v>150</v>
      </c>
      <c r="M591">
        <v>10</v>
      </c>
    </row>
    <row r="592">
      <c r="A592" t="inlineStr">
        <is>
          <t>Imagerie médicale</t>
        </is>
      </c>
      <c r="B592" t="inlineStr">
        <is>
          <t>L2</t>
        </is>
      </c>
      <c r="C592" t="inlineStr">
        <is>
          <t>4</t>
        </is>
      </c>
      <c r="D592" t="inlineStr">
        <is>
          <t>UE 17 (UE9)</t>
        </is>
      </c>
      <c r="E592" t="inlineStr">
        <is>
          <t>Sémiologie radiologique</t>
        </is>
      </c>
      <c r="F592" t="inlineStr">
        <is>
          <t>Principes de la sémiologie en imagerie médicale (normal, variation, pathologique)</t>
        </is>
      </c>
      <c r="H592">
        <v>6</v>
      </c>
      <c r="I592">
        <v>2</v>
      </c>
      <c r="K592">
        <v>8</v>
      </c>
      <c r="L592">
        <v>45</v>
      </c>
      <c r="M592">
        <v>5</v>
      </c>
    </row>
    <row r="593">
      <c r="A593" t="inlineStr">
        <is>
          <t>Imagerie médicale</t>
        </is>
      </c>
      <c r="B593" t="inlineStr">
        <is>
          <t>L2</t>
        </is>
      </c>
      <c r="C593" t="inlineStr">
        <is>
          <t>4</t>
        </is>
      </c>
      <c r="D593" t="inlineStr">
        <is>
          <t>UE 17 (UE9)</t>
        </is>
      </c>
      <c r="E593" t="inlineStr">
        <is>
          <t>Sémiologie radiologique</t>
        </is>
      </c>
      <c r="F593" t="inlineStr">
        <is>
          <t>Sémiologie thoracique : opacités, atélectasie, épanchement, pneumothorax</t>
        </is>
      </c>
      <c r="H593">
        <v>5</v>
      </c>
      <c r="I593">
        <v>3</v>
      </c>
      <c r="K593">
        <v>8</v>
      </c>
      <c r="L593">
        <v>45</v>
      </c>
      <c r="M593">
        <v>5</v>
      </c>
    </row>
    <row r="594">
      <c r="A594" t="inlineStr">
        <is>
          <t>Imagerie médicale</t>
        </is>
      </c>
      <c r="B594" t="inlineStr">
        <is>
          <t>L2</t>
        </is>
      </c>
      <c r="C594" t="inlineStr">
        <is>
          <t>4</t>
        </is>
      </c>
      <c r="D594" t="inlineStr">
        <is>
          <t>UE 17 (UE9)</t>
        </is>
      </c>
      <c r="E594" t="inlineStr">
        <is>
          <t>Sémiologie radiologique</t>
        </is>
      </c>
      <c r="F594" t="inlineStr">
        <is>
          <t>Sémiologie osseuse et articulaire : fractures, luxations, lésions ostéolytiques/condensantes</t>
        </is>
      </c>
      <c r="H594">
        <v>5</v>
      </c>
      <c r="I594">
        <v>3</v>
      </c>
      <c r="K594">
        <v>8</v>
      </c>
      <c r="L594">
        <v>45</v>
      </c>
      <c r="M594">
        <v>5</v>
      </c>
    </row>
    <row r="595">
      <c r="A595" t="inlineStr">
        <is>
          <t>Imagerie médicale</t>
        </is>
      </c>
      <c r="B595" t="inlineStr">
        <is>
          <t>L2</t>
        </is>
      </c>
      <c r="C595" t="inlineStr">
        <is>
          <t>4</t>
        </is>
      </c>
      <c r="D595" t="inlineStr">
        <is>
          <t>UE 17 (UE9)</t>
        </is>
      </c>
      <c r="E595" t="inlineStr">
        <is>
          <t>Sémiologie radiologique</t>
        </is>
      </c>
      <c r="F595" t="inlineStr">
        <is>
          <t>Sémiologie abdominale : masses, occlusions, calcifications, ascite</t>
        </is>
      </c>
      <c r="H595">
        <v>5</v>
      </c>
      <c r="I595">
        <v>2</v>
      </c>
      <c r="K595">
        <v>7</v>
      </c>
      <c r="L595">
        <v>45</v>
      </c>
      <c r="M595">
        <v>5</v>
      </c>
    </row>
    <row r="596">
      <c r="A596" t="inlineStr">
        <is>
          <t>Imagerie médicale</t>
        </is>
      </c>
      <c r="B596" t="inlineStr">
        <is>
          <t>L2</t>
        </is>
      </c>
      <c r="C596" t="inlineStr">
        <is>
          <t>4</t>
        </is>
      </c>
      <c r="D596" t="inlineStr">
        <is>
          <t>UE 17 (UE9)</t>
        </is>
      </c>
      <c r="E596" t="inlineStr">
        <is>
          <t>Sémiologie radiologique</t>
        </is>
      </c>
      <c r="F596" t="inlineStr">
        <is>
          <t>Sémiologie en scanner : hémorragies, tumeurs, embolies, pathologies digestives</t>
        </is>
      </c>
      <c r="H596">
        <v>5</v>
      </c>
      <c r="I596">
        <v>3</v>
      </c>
      <c r="K596">
        <v>8</v>
      </c>
      <c r="L596">
        <v>45</v>
      </c>
      <c r="M596">
        <v>5</v>
      </c>
    </row>
    <row r="597">
      <c r="A597" t="inlineStr">
        <is>
          <t>Imagerie médicale</t>
        </is>
      </c>
      <c r="B597" t="inlineStr">
        <is>
          <t>L2</t>
        </is>
      </c>
      <c r="C597" t="inlineStr">
        <is>
          <t>4</t>
        </is>
      </c>
      <c r="D597" t="inlineStr">
        <is>
          <t>UE 17 (UE9)</t>
        </is>
      </c>
      <c r="E597" t="inlineStr">
        <is>
          <t>Sémiologie radiologique</t>
        </is>
      </c>
      <c r="F597" t="inlineStr">
        <is>
          <t>Sémiologie en IRM : neurologique, musculosquelettique, abdominale et pelvienne</t>
        </is>
      </c>
      <c r="H597">
        <v>4</v>
      </c>
      <c r="I597">
        <v>2</v>
      </c>
      <c r="K597">
        <v>6</v>
      </c>
      <c r="L597">
        <v>45</v>
      </c>
      <c r="M597">
        <v>5</v>
      </c>
    </row>
    <row r="598">
      <c r="A598" t="inlineStr">
        <is>
          <t>Imagerie médicale</t>
        </is>
      </c>
      <c r="B598" t="inlineStr">
        <is>
          <t>L2</t>
        </is>
      </c>
      <c r="C598" t="inlineStr">
        <is>
          <t>4</t>
        </is>
      </c>
      <c r="D598" t="inlineStr">
        <is>
          <t>UE18</t>
        </is>
      </c>
      <c r="E598" t="inlineStr">
        <is>
          <t>Imagerie ostéo-articulaire</t>
        </is>
      </c>
      <c r="F598" t="inlineStr">
        <is>
          <t>Anatomie radiologique et IRM de l’appareil locomoteur</t>
        </is>
      </c>
      <c r="H598">
        <v>3</v>
      </c>
      <c r="I598">
        <v>2</v>
      </c>
      <c r="K598">
        <v>5</v>
      </c>
      <c r="L598">
        <v>30</v>
      </c>
      <c r="M598">
        <v>4</v>
      </c>
    </row>
    <row r="599">
      <c r="A599" t="inlineStr">
        <is>
          <t>Imagerie médicale</t>
        </is>
      </c>
      <c r="B599" t="inlineStr">
        <is>
          <t>L2</t>
        </is>
      </c>
      <c r="C599" t="inlineStr">
        <is>
          <t>4</t>
        </is>
      </c>
      <c r="D599" t="inlineStr">
        <is>
          <t>UE18</t>
        </is>
      </c>
      <c r="E599" t="inlineStr">
        <is>
          <t>Imagerie ostéo-articulaire</t>
        </is>
      </c>
      <c r="F599" t="inlineStr">
        <is>
          <t>Radiographies standards des os et articulations</t>
        </is>
      </c>
      <c r="H599">
        <v>2</v>
      </c>
      <c r="I599">
        <v>3</v>
      </c>
      <c r="K599">
        <v>5</v>
      </c>
      <c r="L599">
        <v>30</v>
      </c>
      <c r="M599">
        <v>4</v>
      </c>
    </row>
    <row r="600">
      <c r="A600" t="inlineStr">
        <is>
          <t>Imagerie médicale</t>
        </is>
      </c>
      <c r="B600" t="inlineStr">
        <is>
          <t>L2</t>
        </is>
      </c>
      <c r="C600" t="inlineStr">
        <is>
          <t>4</t>
        </is>
      </c>
      <c r="D600" t="inlineStr">
        <is>
          <t>UE18</t>
        </is>
      </c>
      <c r="E600" t="inlineStr">
        <is>
          <t>Imagerie ostéo-articulaire</t>
        </is>
      </c>
      <c r="F600" t="inlineStr">
        <is>
          <t>Imagerie scanner et IRM du rachis, des articulations périphériques et des os longs</t>
        </is>
      </c>
      <c r="H600">
        <v>3</v>
      </c>
      <c r="I600">
        <v>3</v>
      </c>
      <c r="K600">
        <v>6</v>
      </c>
      <c r="L600">
        <v>30</v>
      </c>
      <c r="M600">
        <v>4</v>
      </c>
    </row>
    <row r="601">
      <c r="A601" t="inlineStr">
        <is>
          <t>Imagerie médicale</t>
        </is>
      </c>
      <c r="B601" t="inlineStr">
        <is>
          <t>L2</t>
        </is>
      </c>
      <c r="C601" t="inlineStr">
        <is>
          <t>4</t>
        </is>
      </c>
      <c r="D601" t="inlineStr">
        <is>
          <t>UE18</t>
        </is>
      </c>
      <c r="E601" t="inlineStr">
        <is>
          <t>Imagerie ostéo-articulaire</t>
        </is>
      </c>
      <c r="F601" t="inlineStr">
        <is>
          <t>Sémiologie des pathologies fréquentes : fractures, entorses, arthrose, tumeurs osseuses</t>
        </is>
      </c>
      <c r="H601">
        <v>3</v>
      </c>
      <c r="I601">
        <v>3</v>
      </c>
      <c r="K601">
        <v>6</v>
      </c>
      <c r="L601">
        <v>30</v>
      </c>
      <c r="M601">
        <v>4</v>
      </c>
    </row>
    <row r="602">
      <c r="A602" t="inlineStr">
        <is>
          <t>Imagerie médicale</t>
        </is>
      </c>
      <c r="B602" t="inlineStr">
        <is>
          <t>L2</t>
        </is>
      </c>
      <c r="C602" t="inlineStr">
        <is>
          <t>4</t>
        </is>
      </c>
      <c r="D602" t="inlineStr">
        <is>
          <t>UE18</t>
        </is>
      </c>
      <c r="E602" t="inlineStr">
        <is>
          <t>Imagerie ostéo-articulaire</t>
        </is>
      </c>
      <c r="F602" t="inlineStr">
        <is>
          <t>Apports de l’échographie dans l’étude musculosquelettique</t>
        </is>
      </c>
      <c r="H602">
        <v>2</v>
      </c>
      <c r="I602">
        <v>2</v>
      </c>
      <c r="K602">
        <v>4</v>
      </c>
      <c r="L602">
        <v>30</v>
      </c>
      <c r="M602">
        <v>4</v>
      </c>
    </row>
    <row r="603">
      <c r="A603" t="inlineStr">
        <is>
          <t>Imagerie médicale</t>
        </is>
      </c>
      <c r="B603" t="inlineStr">
        <is>
          <t>L2</t>
        </is>
      </c>
      <c r="C603" t="inlineStr">
        <is>
          <t>4</t>
        </is>
      </c>
      <c r="D603" t="inlineStr">
        <is>
          <t>UE18</t>
        </is>
      </c>
      <c r="E603" t="inlineStr">
        <is>
          <t>Imagerie ostéo-articulaire</t>
        </is>
      </c>
      <c r="F603" t="inlineStr">
        <is>
          <t>Protocoles spécifiques en traumatologie et rhumatologie</t>
        </is>
      </c>
      <c r="H603">
        <v>2</v>
      </c>
      <c r="I603">
        <v>2</v>
      </c>
      <c r="K603">
        <v>4</v>
      </c>
      <c r="L603">
        <v>30</v>
      </c>
      <c r="M603">
        <v>4</v>
      </c>
    </row>
    <row r="604">
      <c r="A604" t="inlineStr">
        <is>
          <t>Imagerie médicale</t>
        </is>
      </c>
      <c r="B604" t="inlineStr">
        <is>
          <t>L2</t>
        </is>
      </c>
      <c r="C604" t="inlineStr">
        <is>
          <t>4</t>
        </is>
      </c>
      <c r="D604" t="inlineStr">
        <is>
          <t>UE19</t>
        </is>
      </c>
      <c r="E604" t="inlineStr">
        <is>
          <t>Imagerie abdominale et pelvienne</t>
        </is>
      </c>
      <c r="F604" t="inlineStr">
        <is>
          <t>Anatomie radiologique et échographique des organes abdominaux et pelviens</t>
        </is>
      </c>
      <c r="H604">
        <v>3</v>
      </c>
      <c r="I604">
        <v>2</v>
      </c>
      <c r="K604">
        <v>5</v>
      </c>
      <c r="L604">
        <v>30</v>
      </c>
      <c r="M604">
        <v>4</v>
      </c>
    </row>
    <row r="605">
      <c r="A605" t="inlineStr">
        <is>
          <t>Imagerie médicale</t>
        </is>
      </c>
      <c r="B605" t="inlineStr">
        <is>
          <t>L2</t>
        </is>
      </c>
      <c r="C605" t="inlineStr">
        <is>
          <t>4</t>
        </is>
      </c>
      <c r="D605" t="inlineStr">
        <is>
          <t>UE19</t>
        </is>
      </c>
      <c r="E605" t="inlineStr">
        <is>
          <t>Imagerie abdominale et pelvienne</t>
        </is>
      </c>
      <c r="F605" t="inlineStr">
        <is>
          <t>Imagerie hépatique, pancréatique, splénique et rénale (scanner, IRM, échographie)</t>
        </is>
      </c>
      <c r="H605">
        <v>2</v>
      </c>
      <c r="I605">
        <v>2</v>
      </c>
      <c r="K605">
        <v>4</v>
      </c>
      <c r="L605">
        <v>30</v>
      </c>
      <c r="M605">
        <v>4</v>
      </c>
    </row>
    <row r="606">
      <c r="A606" t="inlineStr">
        <is>
          <t>Imagerie médicale</t>
        </is>
      </c>
      <c r="B606" t="inlineStr">
        <is>
          <t>L2</t>
        </is>
      </c>
      <c r="C606" t="inlineStr">
        <is>
          <t>4</t>
        </is>
      </c>
      <c r="D606" t="inlineStr">
        <is>
          <t>UE19</t>
        </is>
      </c>
      <c r="E606" t="inlineStr">
        <is>
          <t>Imagerie abdominale et pelvienne</t>
        </is>
      </c>
      <c r="F606" t="inlineStr">
        <is>
          <t>Imagerie digestive : estomac, intestin grêle, côlon, rectum</t>
        </is>
      </c>
      <c r="H606">
        <v>3</v>
      </c>
      <c r="I606">
        <v>3</v>
      </c>
      <c r="K606">
        <v>6</v>
      </c>
      <c r="L606">
        <v>30</v>
      </c>
      <c r="M606">
        <v>4</v>
      </c>
    </row>
    <row r="607">
      <c r="A607" t="inlineStr">
        <is>
          <t>Imagerie médicale</t>
        </is>
      </c>
      <c r="B607" t="inlineStr">
        <is>
          <t>L2</t>
        </is>
      </c>
      <c r="C607" t="inlineStr">
        <is>
          <t>4</t>
        </is>
      </c>
      <c r="D607" t="inlineStr">
        <is>
          <t>UE19</t>
        </is>
      </c>
      <c r="E607" t="inlineStr">
        <is>
          <t>Imagerie abdominale et pelvienne</t>
        </is>
      </c>
      <c r="F607" t="inlineStr">
        <is>
          <t>Imagerie pelvienne : utérus, ovaires, prostate, vessie</t>
        </is>
      </c>
      <c r="H607">
        <v>4</v>
      </c>
      <c r="I607">
        <v>3</v>
      </c>
      <c r="K607">
        <v>7</v>
      </c>
      <c r="L607">
        <v>30</v>
      </c>
      <c r="M607">
        <v>4</v>
      </c>
    </row>
    <row r="608">
      <c r="A608" t="inlineStr">
        <is>
          <t>Imagerie médicale</t>
        </is>
      </c>
      <c r="B608" t="inlineStr">
        <is>
          <t>L2</t>
        </is>
      </c>
      <c r="C608" t="inlineStr">
        <is>
          <t>4</t>
        </is>
      </c>
      <c r="D608" t="inlineStr">
        <is>
          <t>UE19</t>
        </is>
      </c>
      <c r="E608" t="inlineStr">
        <is>
          <t>Imagerie abdominale et pelvienne</t>
        </is>
      </c>
      <c r="F608" t="inlineStr">
        <is>
          <t>Utilisation des produits de contraste en imagerie abdominale et pelvienne</t>
        </is>
      </c>
      <c r="H608">
        <v>2</v>
      </c>
      <c r="I608">
        <v>2</v>
      </c>
      <c r="K608">
        <v>4</v>
      </c>
      <c r="L608">
        <v>30</v>
      </c>
      <c r="M608">
        <v>4</v>
      </c>
    </row>
    <row r="609">
      <c r="A609" t="inlineStr">
        <is>
          <t>Imagerie médicale</t>
        </is>
      </c>
      <c r="B609" t="inlineStr">
        <is>
          <t>L2</t>
        </is>
      </c>
      <c r="C609" t="inlineStr">
        <is>
          <t>4</t>
        </is>
      </c>
      <c r="D609" t="inlineStr">
        <is>
          <t>UE19</t>
        </is>
      </c>
      <c r="E609" t="inlineStr">
        <is>
          <t>Imagerie abdominale et pelvienne</t>
        </is>
      </c>
      <c r="F609" t="inlineStr">
        <is>
          <t>Sémiologie des pathologies : tumeurs, lithiases, infections, occlusions</t>
        </is>
      </c>
      <c r="H609">
        <v>2</v>
      </c>
      <c r="I609">
        <v>2</v>
      </c>
      <c r="K609">
        <v>4</v>
      </c>
      <c r="L609">
        <v>30</v>
      </c>
      <c r="M609">
        <v>4</v>
      </c>
    </row>
    <row r="610">
      <c r="A610" t="inlineStr">
        <is>
          <t>Imagerie médicale</t>
        </is>
      </c>
      <c r="B610" t="inlineStr">
        <is>
          <t>L2</t>
        </is>
      </c>
      <c r="C610" t="inlineStr">
        <is>
          <t>4</t>
        </is>
      </c>
      <c r="D610" t="inlineStr">
        <is>
          <t>UE20</t>
        </is>
      </c>
      <c r="E610" t="inlineStr">
        <is>
          <t>Stage en scanner et IRM approfondi</t>
        </is>
      </c>
      <c r="F610" t="inlineStr">
        <is>
          <t>Participation approfondie aux examens de scanner et IRM complexes</t>
        </is>
      </c>
      <c r="H610" t="inlineStr">
        <is>
          <t>STAGE</t>
        </is>
      </c>
      <c r="J610">
        <v>150</v>
      </c>
      <c r="K610">
        <v>150</v>
      </c>
      <c r="L610">
        <v>150</v>
      </c>
      <c r="M610">
        <v>17</v>
      </c>
    </row>
    <row r="611">
      <c r="A611" t="inlineStr">
        <is>
          <t>Imagerie médicale</t>
        </is>
      </c>
      <c r="B611" t="inlineStr">
        <is>
          <t>L2</t>
        </is>
      </c>
      <c r="C611" t="inlineStr">
        <is>
          <t>4</t>
        </is>
      </c>
      <c r="D611" t="inlineStr">
        <is>
          <t>UE20</t>
        </is>
      </c>
      <c r="E611" t="inlineStr">
        <is>
          <t>Stage en scanner et IRM approfondi</t>
        </is>
      </c>
      <c r="F611" t="inlineStr">
        <is>
          <t>Mise en pratique des protocoles d’exploration neurologique, thoracique, abdominale, pelvienne et musculosquelettique</t>
        </is>
      </c>
      <c r="L611">
        <v>150</v>
      </c>
      <c r="M611">
        <v>17</v>
      </c>
    </row>
    <row r="612">
      <c r="A612" t="inlineStr">
        <is>
          <t>Imagerie médicale</t>
        </is>
      </c>
      <c r="B612" t="inlineStr">
        <is>
          <t>L2</t>
        </is>
      </c>
      <c r="C612" t="inlineStr">
        <is>
          <t>4</t>
        </is>
      </c>
      <c r="D612" t="inlineStr">
        <is>
          <t>UE20</t>
        </is>
      </c>
      <c r="E612" t="inlineStr">
        <is>
          <t>Stage en scanner et IRM approfondi</t>
        </is>
      </c>
      <c r="F612" t="inlineStr">
        <is>
          <t>Optimisation des paramètres techniques pour la qualité d’image</t>
        </is>
      </c>
      <c r="L612">
        <v>150</v>
      </c>
      <c r="M612">
        <v>17</v>
      </c>
    </row>
    <row r="613">
      <c r="A613" t="inlineStr">
        <is>
          <t>Imagerie médicale</t>
        </is>
      </c>
      <c r="B613" t="inlineStr">
        <is>
          <t>L2</t>
        </is>
      </c>
      <c r="C613" t="inlineStr">
        <is>
          <t>4</t>
        </is>
      </c>
      <c r="D613" t="inlineStr">
        <is>
          <t>UE20</t>
        </is>
      </c>
      <c r="E613" t="inlineStr">
        <is>
          <t>Stage en scanner et IRM approfondi</t>
        </is>
      </c>
      <c r="F613" t="inlineStr">
        <is>
          <t>Application stricte des mesures de sécurité en IRM</t>
        </is>
      </c>
      <c r="L613">
        <v>150</v>
      </c>
      <c r="M613">
        <v>17</v>
      </c>
    </row>
    <row r="614">
      <c r="A614" t="inlineStr">
        <is>
          <t>Imagerie médicale</t>
        </is>
      </c>
      <c r="B614" t="inlineStr">
        <is>
          <t>L2</t>
        </is>
      </c>
      <c r="C614" t="inlineStr">
        <is>
          <t>4</t>
        </is>
      </c>
      <c r="D614" t="inlineStr">
        <is>
          <t>UE20</t>
        </is>
      </c>
      <c r="E614" t="inlineStr">
        <is>
          <t>Stage en scanner et IRM approfondi</t>
        </is>
      </c>
      <c r="F614" t="inlineStr">
        <is>
          <t>Gestion des situations cliniques particulières (urgences, pédiatrie, patients polytraumatisés)</t>
        </is>
      </c>
      <c r="L614">
        <v>150</v>
      </c>
      <c r="M614">
        <v>17</v>
      </c>
    </row>
    <row r="615">
      <c r="A615" t="inlineStr">
        <is>
          <t>Imagerie médicale</t>
        </is>
      </c>
      <c r="B615" t="inlineStr">
        <is>
          <t>L2</t>
        </is>
      </c>
      <c r="C615" t="inlineStr">
        <is>
          <t>4</t>
        </is>
      </c>
      <c r="D615" t="inlineStr">
        <is>
          <t>UE20</t>
        </is>
      </c>
      <c r="E615" t="inlineStr">
        <is>
          <t>Stage en scanner et IRM approfondi</t>
        </is>
      </c>
      <c r="F615" t="inlineStr">
        <is>
          <t>Travail interdisciplinaire avec radiologues et cliniciens</t>
        </is>
      </c>
      <c r="L615">
        <v>150</v>
      </c>
      <c r="M615">
        <v>17</v>
      </c>
    </row>
    <row r="616">
      <c r="A616" t="inlineStr">
        <is>
          <t>Imagerie médicale</t>
        </is>
      </c>
      <c r="B616" t="inlineStr">
        <is>
          <t>L3</t>
        </is>
      </c>
      <c r="C616" t="inlineStr">
        <is>
          <t>5</t>
        </is>
      </c>
      <c r="D616" t="inlineStr">
        <is>
          <t>UE21</t>
        </is>
      </c>
      <c r="E616" t="inlineStr">
        <is>
          <t>Techniques d’imagerie pédiatrique</t>
        </is>
      </c>
      <c r="F616" t="inlineStr">
        <is>
          <t>Spécificités de l’imagerie chez l’enfant (radioprotection, protocoles adaptés)</t>
        </is>
      </c>
      <c r="H616">
        <v>4</v>
      </c>
      <c r="I616">
        <v>1</v>
      </c>
      <c r="K616">
        <v>5</v>
      </c>
      <c r="L616">
        <v>30</v>
      </c>
      <c r="M616">
        <v>4</v>
      </c>
    </row>
    <row r="617">
      <c r="A617" t="inlineStr">
        <is>
          <t>Imagerie médicale</t>
        </is>
      </c>
      <c r="B617" t="inlineStr">
        <is>
          <t>L3</t>
        </is>
      </c>
      <c r="C617" t="inlineStr">
        <is>
          <t>5</t>
        </is>
      </c>
      <c r="D617" t="inlineStr">
        <is>
          <t>UE21</t>
        </is>
      </c>
      <c r="E617" t="inlineStr">
        <is>
          <t>Techniques d’imagerie pédiatrique</t>
        </is>
      </c>
      <c r="F617" t="inlineStr">
        <is>
          <t>Radiographie pédiatrique : croissance osseuse, pathologies respiratoires</t>
        </is>
      </c>
      <c r="H617">
        <v>4</v>
      </c>
      <c r="I617">
        <v>1</v>
      </c>
      <c r="K617">
        <v>5</v>
      </c>
      <c r="L617">
        <v>30</v>
      </c>
      <c r="M617">
        <v>4</v>
      </c>
    </row>
    <row r="618">
      <c r="A618" t="inlineStr">
        <is>
          <t>Imagerie médicale</t>
        </is>
      </c>
      <c r="B618" t="inlineStr">
        <is>
          <t>L3</t>
        </is>
      </c>
      <c r="C618" t="inlineStr">
        <is>
          <t>5</t>
        </is>
      </c>
      <c r="D618" t="inlineStr">
        <is>
          <t>UE21</t>
        </is>
      </c>
      <c r="E618" t="inlineStr">
        <is>
          <t>Techniques d’imagerie pédiatrique</t>
        </is>
      </c>
      <c r="F618" t="inlineStr">
        <is>
          <t>Échographie pédiatrique (abdomen, reins, cerveau du nourrisson)</t>
        </is>
      </c>
      <c r="H618">
        <v>4</v>
      </c>
      <c r="I618">
        <v>1</v>
      </c>
      <c r="K618">
        <v>5</v>
      </c>
      <c r="L618">
        <v>30</v>
      </c>
      <c r="M618">
        <v>4</v>
      </c>
    </row>
    <row r="619">
      <c r="A619" t="inlineStr">
        <is>
          <t>Imagerie médicale</t>
        </is>
      </c>
      <c r="B619" t="inlineStr">
        <is>
          <t>L3</t>
        </is>
      </c>
      <c r="C619" t="inlineStr">
        <is>
          <t>5</t>
        </is>
      </c>
      <c r="D619" t="inlineStr">
        <is>
          <t>UE21</t>
        </is>
      </c>
      <c r="E619" t="inlineStr">
        <is>
          <t>Techniques d’imagerie pédiatrique</t>
        </is>
      </c>
      <c r="F619" t="inlineStr">
        <is>
          <t>Scanner et IRM pédiatriques : indications, limites, sédation</t>
        </is>
      </c>
      <c r="H619">
        <v>4</v>
      </c>
      <c r="I619">
        <v>1</v>
      </c>
      <c r="K619">
        <v>5</v>
      </c>
      <c r="L619">
        <v>30</v>
      </c>
      <c r="M619">
        <v>4</v>
      </c>
    </row>
    <row r="620">
      <c r="A620" t="inlineStr">
        <is>
          <t>Imagerie médicale</t>
        </is>
      </c>
      <c r="B620" t="inlineStr">
        <is>
          <t>L3</t>
        </is>
      </c>
      <c r="C620" t="inlineStr">
        <is>
          <t>5</t>
        </is>
      </c>
      <c r="D620" t="inlineStr">
        <is>
          <t>UE21</t>
        </is>
      </c>
      <c r="E620" t="inlineStr">
        <is>
          <t>Techniques d’imagerie pédiatrique</t>
        </is>
      </c>
      <c r="F620" t="inlineStr">
        <is>
          <t>Sémiologie des pathologies courantes (malformations, infections, traumatismes)</t>
        </is>
      </c>
      <c r="H620">
        <v>4</v>
      </c>
      <c r="I620">
        <v>1</v>
      </c>
      <c r="K620">
        <v>5</v>
      </c>
      <c r="L620">
        <v>30</v>
      </c>
      <c r="M620">
        <v>4</v>
      </c>
    </row>
    <row r="621">
      <c r="A621" t="inlineStr">
        <is>
          <t>Imagerie médicale</t>
        </is>
      </c>
      <c r="B621" t="inlineStr">
        <is>
          <t>L3</t>
        </is>
      </c>
      <c r="C621" t="inlineStr">
        <is>
          <t>5</t>
        </is>
      </c>
      <c r="D621" t="inlineStr">
        <is>
          <t>UE21</t>
        </is>
      </c>
      <c r="E621" t="inlineStr">
        <is>
          <t>Techniques d’imagerie pédiatrique</t>
        </is>
      </c>
      <c r="F621" t="inlineStr">
        <is>
          <t>Prise en charge et communication avec l’enfant et sa famille</t>
        </is>
      </c>
      <c r="H621">
        <v>4</v>
      </c>
      <c r="I621">
        <v>1</v>
      </c>
      <c r="K621">
        <v>5</v>
      </c>
      <c r="L621">
        <v>30</v>
      </c>
      <c r="M621">
        <v>4</v>
      </c>
    </row>
    <row r="622">
      <c r="A622" t="inlineStr">
        <is>
          <t>Imagerie médicale</t>
        </is>
      </c>
      <c r="B622" t="inlineStr">
        <is>
          <t>L3</t>
        </is>
      </c>
      <c r="C622" t="inlineStr">
        <is>
          <t>5</t>
        </is>
      </c>
      <c r="D622" t="inlineStr">
        <is>
          <t>UE22</t>
        </is>
      </c>
      <c r="E622" t="inlineStr">
        <is>
          <t>Techniques d’imagerie obstétricale</t>
        </is>
      </c>
      <c r="F622" t="inlineStr">
        <is>
          <t>Principes de l’échographie obstétricale (2D, 3D, Doppler)</t>
        </is>
      </c>
      <c r="H622">
        <v>4</v>
      </c>
      <c r="I622">
        <v>1</v>
      </c>
      <c r="K622">
        <v>5</v>
      </c>
      <c r="L622">
        <v>30</v>
      </c>
      <c r="M622">
        <v>4</v>
      </c>
    </row>
    <row r="623">
      <c r="A623" t="inlineStr">
        <is>
          <t>Imagerie médicale</t>
        </is>
      </c>
      <c r="B623" t="inlineStr">
        <is>
          <t>L3</t>
        </is>
      </c>
      <c r="C623" t="inlineStr">
        <is>
          <t>5</t>
        </is>
      </c>
      <c r="D623" t="inlineStr">
        <is>
          <t>UE22</t>
        </is>
      </c>
      <c r="E623" t="inlineStr">
        <is>
          <t>Techniques d’imagerie obstétricale</t>
        </is>
      </c>
      <c r="F623" t="inlineStr">
        <is>
          <t>Suivi de grossesse : biométrie, placenta, liquide amniotique</t>
        </is>
      </c>
      <c r="H623">
        <v>6</v>
      </c>
      <c r="I623">
        <v>2</v>
      </c>
      <c r="K623">
        <v>8</v>
      </c>
      <c r="L623">
        <v>30</v>
      </c>
      <c r="M623">
        <v>4</v>
      </c>
    </row>
    <row r="624">
      <c r="A624" t="inlineStr">
        <is>
          <t>Imagerie médicale</t>
        </is>
      </c>
      <c r="B624" t="inlineStr">
        <is>
          <t>L3</t>
        </is>
      </c>
      <c r="C624" t="inlineStr">
        <is>
          <t>5</t>
        </is>
      </c>
      <c r="D624" t="inlineStr">
        <is>
          <t>UE22</t>
        </is>
      </c>
      <c r="E624" t="inlineStr">
        <is>
          <t>Techniques d’imagerie obstétricale</t>
        </is>
      </c>
      <c r="F624" t="inlineStr">
        <is>
          <t>Dépistage des malformations congénitales</t>
        </is>
      </c>
      <c r="H624">
        <v>4</v>
      </c>
      <c r="I624">
        <v>1</v>
      </c>
      <c r="K624">
        <v>5</v>
      </c>
      <c r="L624">
        <v>30</v>
      </c>
      <c r="M624">
        <v>4</v>
      </c>
    </row>
    <row r="625">
      <c r="A625" t="inlineStr">
        <is>
          <t>Imagerie médicale</t>
        </is>
      </c>
      <c r="B625" t="inlineStr">
        <is>
          <t>L3</t>
        </is>
      </c>
      <c r="C625" t="inlineStr">
        <is>
          <t>5</t>
        </is>
      </c>
      <c r="D625" t="inlineStr">
        <is>
          <t>UE22</t>
        </is>
      </c>
      <c r="E625" t="inlineStr">
        <is>
          <t>Techniques d’imagerie obstétricale</t>
        </is>
      </c>
      <c r="F625" t="inlineStr">
        <is>
          <t>IRM obstétricale : indications spécifiques et limites</t>
        </is>
      </c>
      <c r="H625">
        <v>2</v>
      </c>
      <c r="K625">
        <v>2</v>
      </c>
      <c r="L625">
        <v>30</v>
      </c>
      <c r="M625">
        <v>4</v>
      </c>
    </row>
    <row r="626">
      <c r="A626" t="inlineStr">
        <is>
          <t>Imagerie médicale</t>
        </is>
      </c>
      <c r="B626" t="inlineStr">
        <is>
          <t>L3</t>
        </is>
      </c>
      <c r="C626" t="inlineStr">
        <is>
          <t>5</t>
        </is>
      </c>
      <c r="D626" t="inlineStr">
        <is>
          <t>UE22</t>
        </is>
      </c>
      <c r="E626" t="inlineStr">
        <is>
          <t>Techniques d’imagerie obstétricale</t>
        </is>
      </c>
      <c r="F626" t="inlineStr">
        <is>
          <t>Sécurité et radioprotection de la femme enceinte</t>
        </is>
      </c>
      <c r="H626">
        <v>2</v>
      </c>
      <c r="K626">
        <v>2</v>
      </c>
      <c r="L626">
        <v>30</v>
      </c>
      <c r="M626">
        <v>4</v>
      </c>
    </row>
    <row r="627">
      <c r="A627" t="inlineStr">
        <is>
          <t>Imagerie médicale</t>
        </is>
      </c>
      <c r="B627" t="inlineStr">
        <is>
          <t>L3</t>
        </is>
      </c>
      <c r="C627" t="inlineStr">
        <is>
          <t>5</t>
        </is>
      </c>
      <c r="D627" t="inlineStr">
        <is>
          <t>UE22</t>
        </is>
      </c>
      <c r="E627" t="inlineStr">
        <is>
          <t>Techniques d’imagerie obstétricale</t>
        </is>
      </c>
      <c r="F627" t="inlineStr">
        <is>
          <t>Sémiologie des complications obstétricales (grossesse extra-utérine, retard de croissance, anomalies placentaires)</t>
        </is>
      </c>
      <c r="H627">
        <v>6</v>
      </c>
      <c r="I627">
        <v>2</v>
      </c>
      <c r="K627">
        <v>8</v>
      </c>
      <c r="L627">
        <v>30</v>
      </c>
      <c r="M627">
        <v>4</v>
      </c>
    </row>
    <row r="628">
      <c r="A628" t="inlineStr">
        <is>
          <t>Imagerie médicale</t>
        </is>
      </c>
      <c r="B628" t="inlineStr">
        <is>
          <t>L3</t>
        </is>
      </c>
      <c r="C628" t="inlineStr">
        <is>
          <t>5</t>
        </is>
      </c>
      <c r="D628" t="inlineStr">
        <is>
          <t>UE23</t>
        </is>
      </c>
      <c r="E628" t="inlineStr">
        <is>
          <t>Maintenance des équipements d’imagerie</t>
        </is>
      </c>
      <c r="F628" t="inlineStr">
        <is>
          <t>Principes de contrôle qualité en radiologie, scanner, IRM, échographie</t>
        </is>
      </c>
      <c r="H628">
        <v>4</v>
      </c>
      <c r="I628">
        <v>1</v>
      </c>
      <c r="K628">
        <v>5</v>
      </c>
      <c r="L628">
        <v>30</v>
      </c>
      <c r="M628">
        <v>4</v>
      </c>
    </row>
    <row r="629">
      <c r="A629" t="inlineStr">
        <is>
          <t>Imagerie médicale</t>
        </is>
      </c>
      <c r="B629" t="inlineStr">
        <is>
          <t>L3</t>
        </is>
      </c>
      <c r="C629" t="inlineStr">
        <is>
          <t>5</t>
        </is>
      </c>
      <c r="D629" t="inlineStr">
        <is>
          <t>UE23</t>
        </is>
      </c>
      <c r="E629" t="inlineStr">
        <is>
          <t>Maintenance des équipements d’imagerie</t>
        </is>
      </c>
      <c r="F629" t="inlineStr">
        <is>
          <t>Tests de performance et calibration des appareils</t>
        </is>
      </c>
      <c r="H629">
        <v>4</v>
      </c>
      <c r="I629">
        <v>2</v>
      </c>
      <c r="K629">
        <v>6</v>
      </c>
      <c r="L629">
        <v>30</v>
      </c>
      <c r="M629">
        <v>4</v>
      </c>
    </row>
    <row r="630">
      <c r="A630" t="inlineStr">
        <is>
          <t>Imagerie médicale</t>
        </is>
      </c>
      <c r="B630" t="inlineStr">
        <is>
          <t>L3</t>
        </is>
      </c>
      <c r="C630" t="inlineStr">
        <is>
          <t>5</t>
        </is>
      </c>
      <c r="D630" t="inlineStr">
        <is>
          <t>UE23</t>
        </is>
      </c>
      <c r="E630" t="inlineStr">
        <is>
          <t>Maintenance des équipements d’imagerie</t>
        </is>
      </c>
      <c r="F630" t="inlineStr">
        <is>
          <t>Vérification quotidienne des équipements et signalement des anomalies</t>
        </is>
      </c>
      <c r="H630">
        <v>4</v>
      </c>
      <c r="I630">
        <v>1</v>
      </c>
      <c r="K630">
        <v>5</v>
      </c>
      <c r="L630">
        <v>30</v>
      </c>
      <c r="M630">
        <v>4</v>
      </c>
    </row>
    <row r="631">
      <c r="A631" t="inlineStr">
        <is>
          <t>Imagerie médicale</t>
        </is>
      </c>
      <c r="B631" t="inlineStr">
        <is>
          <t>L3</t>
        </is>
      </c>
      <c r="C631" t="inlineStr">
        <is>
          <t>5</t>
        </is>
      </c>
      <c r="D631" t="inlineStr">
        <is>
          <t>UE23</t>
        </is>
      </c>
      <c r="E631" t="inlineStr">
        <is>
          <t>Maintenance des équipements d’imagerie</t>
        </is>
      </c>
      <c r="F631" t="inlineStr">
        <is>
          <t>Maintenance préventive de premier niveau (nettoyage, consommables, filtres)</t>
        </is>
      </c>
      <c r="H631">
        <v>4</v>
      </c>
      <c r="I631">
        <v>1</v>
      </c>
      <c r="K631">
        <v>5</v>
      </c>
      <c r="L631">
        <v>30</v>
      </c>
      <c r="M631">
        <v>4</v>
      </c>
    </row>
    <row r="632">
      <c r="A632" t="inlineStr">
        <is>
          <t>Imagerie médicale</t>
        </is>
      </c>
      <c r="B632" t="inlineStr">
        <is>
          <t>L3</t>
        </is>
      </c>
      <c r="C632" t="inlineStr">
        <is>
          <t>5</t>
        </is>
      </c>
      <c r="D632" t="inlineStr">
        <is>
          <t>UE23</t>
        </is>
      </c>
      <c r="E632" t="inlineStr">
        <is>
          <t>Maintenance des équipements d’imagerie</t>
        </is>
      </c>
      <c r="F632" t="inlineStr">
        <is>
          <t>Protocoles de sécurité et documentation (check-lists, registres)</t>
        </is>
      </c>
      <c r="H632">
        <v>4</v>
      </c>
      <c r="I632">
        <v>1</v>
      </c>
      <c r="K632">
        <v>5</v>
      </c>
      <c r="L632">
        <v>30</v>
      </c>
      <c r="M632">
        <v>4</v>
      </c>
    </row>
    <row r="633">
      <c r="A633" t="inlineStr">
        <is>
          <t>Imagerie médicale</t>
        </is>
      </c>
      <c r="B633" t="inlineStr">
        <is>
          <t>L3</t>
        </is>
      </c>
      <c r="C633" t="inlineStr">
        <is>
          <t>5</t>
        </is>
      </c>
      <c r="D633" t="inlineStr">
        <is>
          <t>UE23</t>
        </is>
      </c>
      <c r="E633" t="inlineStr">
        <is>
          <t>Maintenance des équipements d’imagerie</t>
        </is>
      </c>
      <c r="F633" t="inlineStr">
        <is>
          <t>Collaboration avec le service biomédical pour la maintenance avancée</t>
        </is>
      </c>
      <c r="H633">
        <v>4</v>
      </c>
      <c r="K633">
        <v>4</v>
      </c>
      <c r="L633">
        <v>30</v>
      </c>
      <c r="M633">
        <v>4</v>
      </c>
    </row>
    <row r="634">
      <c r="A634" t="inlineStr">
        <is>
          <t>Imagerie médicale</t>
        </is>
      </c>
      <c r="B634" t="inlineStr">
        <is>
          <t>L3</t>
        </is>
      </c>
      <c r="C634" t="inlineStr">
        <is>
          <t>5</t>
        </is>
      </c>
      <c r="D634" t="inlineStr">
        <is>
          <t>UE24</t>
        </is>
      </c>
      <c r="E634" t="inlineStr">
        <is>
          <t>Gestion des données en imagerie médicale</t>
        </is>
      </c>
      <c r="F634" t="inlineStr">
        <is>
          <t>Systèmes d’archivage et de communication (PACS, RIS)</t>
        </is>
      </c>
      <c r="H634">
        <v>4</v>
      </c>
      <c r="I634">
        <v>2</v>
      </c>
      <c r="K634">
        <v>6</v>
      </c>
      <c r="L634">
        <v>26</v>
      </c>
      <c r="M634">
        <v>4</v>
      </c>
    </row>
    <row r="635">
      <c r="A635" t="inlineStr">
        <is>
          <t>Imagerie médicale</t>
        </is>
      </c>
      <c r="B635" t="inlineStr">
        <is>
          <t>L3</t>
        </is>
      </c>
      <c r="C635" t="inlineStr">
        <is>
          <t>5</t>
        </is>
      </c>
      <c r="D635" t="inlineStr">
        <is>
          <t>UE24</t>
        </is>
      </c>
      <c r="E635" t="inlineStr">
        <is>
          <t>Gestion des données en imagerie médicale</t>
        </is>
      </c>
      <c r="F635" t="inlineStr">
        <is>
          <t>Confidentialité, protection et traçabilité des données patients</t>
        </is>
      </c>
      <c r="H635">
        <v>4</v>
      </c>
      <c r="I635">
        <v>1</v>
      </c>
      <c r="K635">
        <v>5</v>
      </c>
      <c r="L635">
        <v>26</v>
      </c>
      <c r="M635">
        <v>4</v>
      </c>
    </row>
    <row r="636">
      <c r="A636" t="inlineStr">
        <is>
          <t>Imagerie médicale</t>
        </is>
      </c>
      <c r="B636" t="inlineStr">
        <is>
          <t>L3</t>
        </is>
      </c>
      <c r="C636" t="inlineStr">
        <is>
          <t>5</t>
        </is>
      </c>
      <c r="D636" t="inlineStr">
        <is>
          <t>UE24</t>
        </is>
      </c>
      <c r="E636" t="inlineStr">
        <is>
          <t>Gestion des données en imagerie médicale</t>
        </is>
      </c>
      <c r="F636" t="inlineStr">
        <is>
          <t>Normes légales et éthiques liées aux données médicales</t>
        </is>
      </c>
      <c r="H636">
        <v>4</v>
      </c>
      <c r="K636">
        <v>4</v>
      </c>
      <c r="L636">
        <v>26</v>
      </c>
      <c r="M636">
        <v>4</v>
      </c>
    </row>
    <row r="637">
      <c r="A637" t="inlineStr">
        <is>
          <t>Imagerie médicale</t>
        </is>
      </c>
      <c r="B637" t="inlineStr">
        <is>
          <t>L3</t>
        </is>
      </c>
      <c r="C637" t="inlineStr">
        <is>
          <t>5</t>
        </is>
      </c>
      <c r="D637" t="inlineStr">
        <is>
          <t>UE24</t>
        </is>
      </c>
      <c r="E637" t="inlineStr">
        <is>
          <t>Gestion des données en imagerie médicale</t>
        </is>
      </c>
      <c r="F637" t="inlineStr">
        <is>
          <t>Traitement numérique des images (formats DICOM, compression)</t>
        </is>
      </c>
      <c r="H637">
        <v>4</v>
      </c>
      <c r="I637">
        <v>1</v>
      </c>
      <c r="K637">
        <v>5</v>
      </c>
      <c r="L637">
        <v>26</v>
      </c>
      <c r="M637">
        <v>4</v>
      </c>
    </row>
    <row r="638">
      <c r="A638" t="inlineStr">
        <is>
          <t>Imagerie médicale</t>
        </is>
      </c>
      <c r="B638" t="inlineStr">
        <is>
          <t>L3</t>
        </is>
      </c>
      <c r="C638" t="inlineStr">
        <is>
          <t>5</t>
        </is>
      </c>
      <c r="D638" t="inlineStr">
        <is>
          <t>UE24</t>
        </is>
      </c>
      <c r="E638" t="inlineStr">
        <is>
          <t>Gestion des données en imagerie médicale</t>
        </is>
      </c>
      <c r="F638" t="inlineStr">
        <is>
          <t>Organisation et stockage des dossiers d’imagerie</t>
        </is>
      </c>
      <c r="H638">
        <v>4</v>
      </c>
      <c r="K638">
        <v>4</v>
      </c>
      <c r="L638">
        <v>26</v>
      </c>
      <c r="M638">
        <v>4</v>
      </c>
    </row>
    <row r="639">
      <c r="A639" t="inlineStr">
        <is>
          <t>Imagerie médicale</t>
        </is>
      </c>
      <c r="B639" t="inlineStr">
        <is>
          <t>L3</t>
        </is>
      </c>
      <c r="C639" t="inlineStr">
        <is>
          <t>5</t>
        </is>
      </c>
      <c r="D639" t="inlineStr">
        <is>
          <t>UE24</t>
        </is>
      </c>
      <c r="E639" t="inlineStr">
        <is>
          <t>Gestion des données en imagerie médicale</t>
        </is>
      </c>
      <c r="F639" t="inlineStr">
        <is>
          <t>Notions de cybersécurité en santé</t>
        </is>
      </c>
      <c r="H639">
        <v>2</v>
      </c>
      <c r="K639">
        <v>2</v>
      </c>
      <c r="L639">
        <v>26</v>
      </c>
      <c r="M639">
        <v>4</v>
      </c>
    </row>
    <row r="640">
      <c r="A640" t="inlineStr">
        <is>
          <t>Imagerie médicale</t>
        </is>
      </c>
      <c r="B640" t="inlineStr">
        <is>
          <t>L3</t>
        </is>
      </c>
      <c r="C640" t="inlineStr">
        <is>
          <t>5</t>
        </is>
      </c>
      <c r="D640" t="inlineStr">
        <is>
          <t>UE25</t>
        </is>
      </c>
      <c r="E640" t="inlineStr">
        <is>
          <t>Stage en imagerie spécialisée</t>
        </is>
      </c>
      <c r="F640" t="inlineStr">
        <is>
          <t>Participation aux examens spécialisés : imagerie obstétricale, pédiatrique, musculosquelettique</t>
        </is>
      </c>
      <c r="H640" t="inlineStr">
        <is>
          <t>STAGE</t>
        </is>
      </c>
      <c r="J640">
        <v>150</v>
      </c>
      <c r="K640">
        <v>150</v>
      </c>
      <c r="L640">
        <v>150</v>
      </c>
      <c r="M640">
        <v>14</v>
      </c>
    </row>
    <row r="641">
      <c r="A641" t="inlineStr">
        <is>
          <t>Imagerie médicale</t>
        </is>
      </c>
      <c r="B641" t="inlineStr">
        <is>
          <t>L3</t>
        </is>
      </c>
      <c r="C641" t="inlineStr">
        <is>
          <t>5</t>
        </is>
      </c>
      <c r="D641" t="inlineStr">
        <is>
          <t>UE25</t>
        </is>
      </c>
      <c r="E641" t="inlineStr">
        <is>
          <t>Stage en imagerie spécialisée</t>
        </is>
      </c>
      <c r="F641" t="inlineStr">
        <is>
          <t>Pratique supervisée de l’échographie obstétricale et pédiatrique</t>
        </is>
      </c>
      <c r="L641">
        <v>150</v>
      </c>
      <c r="M641">
        <v>14</v>
      </c>
    </row>
    <row r="642">
      <c r="A642" t="inlineStr">
        <is>
          <t>Imagerie médicale</t>
        </is>
      </c>
      <c r="B642" t="inlineStr">
        <is>
          <t>L3</t>
        </is>
      </c>
      <c r="C642" t="inlineStr">
        <is>
          <t>5</t>
        </is>
      </c>
      <c r="D642" t="inlineStr">
        <is>
          <t>UE25</t>
        </is>
      </c>
      <c r="E642" t="inlineStr">
        <is>
          <t>Stage en imagerie spécialisée</t>
        </is>
      </c>
      <c r="F642" t="inlineStr">
        <is>
          <t>Observation et participation aux examens avancés (angiographie, IRM spécialisée)</t>
        </is>
      </c>
      <c r="L642">
        <v>150</v>
      </c>
      <c r="M642">
        <v>14</v>
      </c>
    </row>
    <row r="643">
      <c r="A643" t="inlineStr">
        <is>
          <t>Imagerie médicale</t>
        </is>
      </c>
      <c r="B643" t="inlineStr">
        <is>
          <t>L3</t>
        </is>
      </c>
      <c r="C643" t="inlineStr">
        <is>
          <t>5</t>
        </is>
      </c>
      <c r="D643" t="inlineStr">
        <is>
          <t>UE25</t>
        </is>
      </c>
      <c r="E643" t="inlineStr">
        <is>
          <t>Stage en imagerie spécialisée</t>
        </is>
      </c>
      <c r="F643" t="inlineStr">
        <is>
          <t>Intégration des compétences techniques et cliniques acquises</t>
        </is>
      </c>
      <c r="L643">
        <v>150</v>
      </c>
      <c r="M643">
        <v>14</v>
      </c>
    </row>
    <row r="644">
      <c r="A644" t="inlineStr">
        <is>
          <t>Imagerie médicale</t>
        </is>
      </c>
      <c r="B644" t="inlineStr">
        <is>
          <t>L3</t>
        </is>
      </c>
      <c r="C644" t="inlineStr">
        <is>
          <t>5</t>
        </is>
      </c>
      <c r="D644" t="inlineStr">
        <is>
          <t>UE25</t>
        </is>
      </c>
      <c r="E644" t="inlineStr">
        <is>
          <t>Stage en imagerie spécialisée</t>
        </is>
      </c>
      <c r="F644" t="inlineStr">
        <is>
          <t>Approfondissement de la relation patient – technicien en contexte spécialisé</t>
        </is>
      </c>
      <c r="L644">
        <v>150</v>
      </c>
      <c r="M644">
        <v>14</v>
      </c>
    </row>
    <row r="645">
      <c r="A645" t="inlineStr">
        <is>
          <t>Imagerie médicale</t>
        </is>
      </c>
      <c r="B645" t="inlineStr">
        <is>
          <t>L3</t>
        </is>
      </c>
      <c r="C645" t="inlineStr">
        <is>
          <t>5</t>
        </is>
      </c>
      <c r="D645" t="inlineStr">
        <is>
          <t>UE25</t>
        </is>
      </c>
      <c r="E645" t="inlineStr">
        <is>
          <t>Stage en imagerie spécialisée</t>
        </is>
      </c>
      <c r="F645" t="inlineStr">
        <is>
          <t>Application des protocoles de radioprotection spécifiques</t>
        </is>
      </c>
      <c r="L645">
        <v>150</v>
      </c>
      <c r="M645">
        <v>14</v>
      </c>
    </row>
    <row r="646">
      <c r="A646" t="inlineStr">
        <is>
          <t>Imagerie médicale</t>
        </is>
      </c>
      <c r="B646" t="inlineStr">
        <is>
          <t>L3</t>
        </is>
      </c>
      <c r="C646" t="inlineStr">
        <is>
          <t>6</t>
        </is>
      </c>
      <c r="D646" t="inlineStr">
        <is>
          <t>UE26</t>
        </is>
      </c>
      <c r="E646" t="inlineStr">
        <is>
          <t>Méthodologie de recherche</t>
        </is>
      </c>
      <c r="F646" t="inlineStr">
        <is>
          <t>Introduction à la recherche en sciences de la santé</t>
        </is>
      </c>
      <c r="H646">
        <v>4</v>
      </c>
      <c r="K646">
        <v>4</v>
      </c>
      <c r="L646">
        <v>30</v>
      </c>
      <c r="M646">
        <v>4</v>
      </c>
    </row>
    <row r="647">
      <c r="A647" t="inlineStr">
        <is>
          <t>Imagerie médicale</t>
        </is>
      </c>
      <c r="B647" t="inlineStr">
        <is>
          <t>L3</t>
        </is>
      </c>
      <c r="C647" t="inlineStr">
        <is>
          <t>6</t>
        </is>
      </c>
      <c r="D647" t="inlineStr">
        <is>
          <t>UE26</t>
        </is>
      </c>
      <c r="E647" t="inlineStr">
        <is>
          <t>Méthodologie de recherche</t>
        </is>
      </c>
      <c r="F647" t="inlineStr">
        <is>
          <t>Étapes d’un projet de recherche : problématique, hypothèses, objectifs</t>
        </is>
      </c>
      <c r="H647">
        <v>4</v>
      </c>
      <c r="I647">
        <v>2</v>
      </c>
      <c r="K647">
        <v>6</v>
      </c>
      <c r="L647">
        <v>30</v>
      </c>
      <c r="M647">
        <v>4</v>
      </c>
    </row>
    <row r="648">
      <c r="A648" t="inlineStr">
        <is>
          <t>Imagerie médicale</t>
        </is>
      </c>
      <c r="B648" t="inlineStr">
        <is>
          <t>L3</t>
        </is>
      </c>
      <c r="C648" t="inlineStr">
        <is>
          <t>6</t>
        </is>
      </c>
      <c r="D648" t="inlineStr">
        <is>
          <t>UE26</t>
        </is>
      </c>
      <c r="E648" t="inlineStr">
        <is>
          <t>Méthodologie de recherche</t>
        </is>
      </c>
      <c r="F648" t="inlineStr">
        <is>
          <t>Méthodes de recherche : quantitative, qualitative, mixte</t>
        </is>
      </c>
      <c r="H648">
        <v>4</v>
      </c>
      <c r="I648">
        <v>2</v>
      </c>
      <c r="K648">
        <v>6</v>
      </c>
      <c r="L648">
        <v>30</v>
      </c>
      <c r="M648">
        <v>4</v>
      </c>
    </row>
    <row r="649">
      <c r="A649" t="inlineStr">
        <is>
          <t>Imagerie médicale</t>
        </is>
      </c>
      <c r="B649" t="inlineStr">
        <is>
          <t>L3</t>
        </is>
      </c>
      <c r="C649" t="inlineStr">
        <is>
          <t>6</t>
        </is>
      </c>
      <c r="D649" t="inlineStr">
        <is>
          <t>UE26</t>
        </is>
      </c>
      <c r="E649" t="inlineStr">
        <is>
          <t>Méthodologie de recherche</t>
        </is>
      </c>
      <c r="F649" t="inlineStr">
        <is>
          <t>Notions de biostatistiques appliquées à l’imagerie médicale</t>
        </is>
      </c>
      <c r="H649">
        <v>4</v>
      </c>
      <c r="K649">
        <v>4</v>
      </c>
      <c r="L649">
        <v>30</v>
      </c>
      <c r="M649">
        <v>4</v>
      </c>
    </row>
    <row r="650">
      <c r="A650" t="inlineStr">
        <is>
          <t>Imagerie médicale</t>
        </is>
      </c>
      <c r="B650" t="inlineStr">
        <is>
          <t>L3</t>
        </is>
      </c>
      <c r="C650" t="inlineStr">
        <is>
          <t>6</t>
        </is>
      </c>
      <c r="D650" t="inlineStr">
        <is>
          <t>UE26</t>
        </is>
      </c>
      <c r="E650" t="inlineStr">
        <is>
          <t>Méthodologie de recherche</t>
        </is>
      </c>
      <c r="F650" t="inlineStr">
        <is>
          <t>Recherche documentaire (bases de données, bibliographie scientifique)</t>
        </is>
      </c>
      <c r="H650">
        <v>4</v>
      </c>
      <c r="I650">
        <v>2</v>
      </c>
      <c r="K650">
        <v>6</v>
      </c>
      <c r="L650">
        <v>30</v>
      </c>
      <c r="M650">
        <v>4</v>
      </c>
    </row>
    <row r="651">
      <c r="A651" t="inlineStr">
        <is>
          <t>Imagerie médicale</t>
        </is>
      </c>
      <c r="B651" t="inlineStr">
        <is>
          <t>L3</t>
        </is>
      </c>
      <c r="C651" t="inlineStr">
        <is>
          <t>6</t>
        </is>
      </c>
      <c r="D651" t="inlineStr">
        <is>
          <t>UE26</t>
        </is>
      </c>
      <c r="E651" t="inlineStr">
        <is>
          <t>Méthodologie de recherche</t>
        </is>
      </c>
      <c r="F651" t="inlineStr">
        <is>
          <t>Règles éthiques et réglementaires de la recherche en santé</t>
        </is>
      </c>
      <c r="H651">
        <v>2</v>
      </c>
      <c r="I651">
        <v>2</v>
      </c>
      <c r="K651">
        <v>4</v>
      </c>
      <c r="L651">
        <v>30</v>
      </c>
      <c r="M651">
        <v>4</v>
      </c>
    </row>
    <row r="652">
      <c r="A652" t="inlineStr">
        <is>
          <t>Imagerie médicale</t>
        </is>
      </c>
      <c r="B652" t="inlineStr">
        <is>
          <t>L3</t>
        </is>
      </c>
      <c r="C652" t="inlineStr">
        <is>
          <t>6</t>
        </is>
      </c>
      <c r="D652" t="inlineStr">
        <is>
          <t>UE27</t>
        </is>
      </c>
      <c r="E652" t="inlineStr">
        <is>
          <t>Rédaction et soutenance de mémoire</t>
        </is>
      </c>
      <c r="F652" t="inlineStr">
        <is>
          <t>Techniques de rédaction scientifique (plan, style, citations, références)</t>
        </is>
      </c>
      <c r="H652">
        <v>6</v>
      </c>
      <c r="I652">
        <v>6</v>
      </c>
      <c r="J652">
        <v>8</v>
      </c>
      <c r="K652">
        <v>20</v>
      </c>
      <c r="L652">
        <v>150</v>
      </c>
      <c r="M652">
        <v>10</v>
      </c>
    </row>
    <row r="653">
      <c r="A653" t="inlineStr">
        <is>
          <t>Imagerie médicale</t>
        </is>
      </c>
      <c r="B653" t="inlineStr">
        <is>
          <t>L3</t>
        </is>
      </c>
      <c r="C653" t="inlineStr">
        <is>
          <t>6</t>
        </is>
      </c>
      <c r="D653" t="inlineStr">
        <is>
          <t>UE27</t>
        </is>
      </c>
      <c r="E653" t="inlineStr">
        <is>
          <t>Rédaction et soutenance de mémoire</t>
        </is>
      </c>
      <c r="F653" t="inlineStr">
        <is>
          <t>Normes de présentation d’un mémoire universitaire</t>
        </is>
      </c>
      <c r="H653">
        <v>4</v>
      </c>
      <c r="I653">
        <v>4</v>
      </c>
      <c r="J653">
        <v>6</v>
      </c>
      <c r="K653">
        <v>14</v>
      </c>
      <c r="L653">
        <v>150</v>
      </c>
      <c r="M653">
        <v>10</v>
      </c>
    </row>
    <row r="654">
      <c r="A654" t="inlineStr">
        <is>
          <t>Imagerie médicale</t>
        </is>
      </c>
      <c r="B654" t="inlineStr">
        <is>
          <t>L3</t>
        </is>
      </c>
      <c r="C654" t="inlineStr">
        <is>
          <t>6</t>
        </is>
      </c>
      <c r="D654" t="inlineStr">
        <is>
          <t>UE27</t>
        </is>
      </c>
      <c r="E654" t="inlineStr">
        <is>
          <t>Rédaction et soutenance de mémoire</t>
        </is>
      </c>
      <c r="F654" t="inlineStr">
        <is>
          <t>Analyse critique de la littérature scientifique</t>
        </is>
      </c>
      <c r="H654">
        <v>6</v>
      </c>
      <c r="I654">
        <v>6</v>
      </c>
      <c r="J654">
        <v>8</v>
      </c>
      <c r="K654">
        <v>20</v>
      </c>
      <c r="L654">
        <v>150</v>
      </c>
      <c r="M654">
        <v>10</v>
      </c>
    </row>
    <row r="655">
      <c r="A655" t="inlineStr">
        <is>
          <t>Imagerie médicale</t>
        </is>
      </c>
      <c r="B655" t="inlineStr">
        <is>
          <t>L3</t>
        </is>
      </c>
      <c r="C655" t="inlineStr">
        <is>
          <t>6</t>
        </is>
      </c>
      <c r="D655" t="inlineStr">
        <is>
          <t>UE27</t>
        </is>
      </c>
      <c r="E655" t="inlineStr">
        <is>
          <t>Rédaction et soutenance de mémoire</t>
        </is>
      </c>
      <c r="F655" t="inlineStr">
        <is>
          <t>Élaboration d’un mémoire appliqué en imagerie médicale</t>
        </is>
      </c>
      <c r="H655">
        <v>10</v>
      </c>
      <c r="I655">
        <v>16</v>
      </c>
      <c r="J655">
        <v>40</v>
      </c>
      <c r="K655">
        <v>66</v>
      </c>
      <c r="L655">
        <v>150</v>
      </c>
      <c r="M655">
        <v>10</v>
      </c>
    </row>
    <row r="656">
      <c r="A656" t="inlineStr">
        <is>
          <t>Imagerie médicale</t>
        </is>
      </c>
      <c r="B656" t="inlineStr">
        <is>
          <t>L3</t>
        </is>
      </c>
      <c r="C656" t="inlineStr">
        <is>
          <t>6</t>
        </is>
      </c>
      <c r="D656" t="inlineStr">
        <is>
          <t>UE27</t>
        </is>
      </c>
      <c r="E656" t="inlineStr">
        <is>
          <t>Rédaction et soutenance de mémoire</t>
        </is>
      </c>
      <c r="F656" t="inlineStr">
        <is>
          <t>Préparation et techniques de soutenance orale</t>
        </is>
      </c>
      <c r="H656">
        <v>4</v>
      </c>
      <c r="I656">
        <v>4</v>
      </c>
      <c r="J656">
        <v>7</v>
      </c>
      <c r="K656">
        <v>15</v>
      </c>
      <c r="L656">
        <v>150</v>
      </c>
      <c r="M656">
        <v>10</v>
      </c>
    </row>
    <row r="657">
      <c r="A657" t="inlineStr">
        <is>
          <t>Imagerie médicale</t>
        </is>
      </c>
      <c r="B657" t="inlineStr">
        <is>
          <t>L3</t>
        </is>
      </c>
      <c r="C657" t="inlineStr">
        <is>
          <t>6</t>
        </is>
      </c>
      <c r="D657" t="inlineStr">
        <is>
          <t>UE27</t>
        </is>
      </c>
      <c r="E657" t="inlineStr">
        <is>
          <t>Rédaction et soutenance de mémoire</t>
        </is>
      </c>
      <c r="F657" t="inlineStr">
        <is>
          <t>Évaluation et auto-évaluation des compétences de recherche</t>
        </is>
      </c>
      <c r="H657">
        <v>4</v>
      </c>
      <c r="I657">
        <v>5</v>
      </c>
      <c r="J657">
        <v>6</v>
      </c>
      <c r="K657">
        <v>15</v>
      </c>
      <c r="L657">
        <v>150</v>
      </c>
      <c r="M657">
        <v>10</v>
      </c>
    </row>
    <row r="658">
      <c r="A658" t="inlineStr">
        <is>
          <t>Imagerie médicale</t>
        </is>
      </c>
      <c r="B658" t="inlineStr">
        <is>
          <t>L3</t>
        </is>
      </c>
      <c r="C658" t="inlineStr">
        <is>
          <t>6</t>
        </is>
      </c>
      <c r="D658" t="inlineStr">
        <is>
          <t>UE28</t>
        </is>
      </c>
      <c r="E658" t="inlineStr">
        <is>
          <t>Stage d'intégration professionnelle (stage préprofessionnel</t>
        </is>
      </c>
      <c r="F658" t="inlineStr">
        <is>
          <t>Immersion complète dans un service d’imagerie médicale</t>
        </is>
      </c>
      <c r="H658" t="inlineStr">
        <is>
          <t>STAGE</t>
        </is>
      </c>
      <c r="J658" t="inlineStr">
        <is>
          <t>200 (290)</t>
        </is>
      </c>
      <c r="K658">
        <v>200</v>
      </c>
      <c r="L658">
        <v>200</v>
      </c>
      <c r="M658">
        <v>16</v>
      </c>
    </row>
    <row r="659">
      <c r="A659" t="inlineStr">
        <is>
          <t>Imagerie médicale</t>
        </is>
      </c>
      <c r="B659" t="inlineStr">
        <is>
          <t>L3</t>
        </is>
      </c>
      <c r="C659" t="inlineStr">
        <is>
          <t>6</t>
        </is>
      </c>
      <c r="D659" t="inlineStr">
        <is>
          <t>UE28</t>
        </is>
      </c>
      <c r="E659" t="inlineStr">
        <is>
          <t>Stage d'intégration professionnelle (stage préprofessionnel</t>
        </is>
      </c>
      <c r="F659" t="inlineStr">
        <is>
          <t>Réalisation autonome et supervisée des examens (radiologie, échographie, scanner, IRM)</t>
        </is>
      </c>
      <c r="L659">
        <v>200</v>
      </c>
      <c r="M659">
        <v>16</v>
      </c>
    </row>
    <row r="660">
      <c r="A660" t="inlineStr">
        <is>
          <t>Imagerie médicale</t>
        </is>
      </c>
      <c r="B660" t="inlineStr">
        <is>
          <t>L3</t>
        </is>
      </c>
      <c r="C660" t="inlineStr">
        <is>
          <t>6</t>
        </is>
      </c>
      <c r="D660" t="inlineStr">
        <is>
          <t>UE28</t>
        </is>
      </c>
      <c r="E660" t="inlineStr">
        <is>
          <t>Stage d'intégration professionnelle (stage préprofessionnel</t>
        </is>
      </c>
      <c r="F660" t="inlineStr">
        <is>
          <t>Intégration des compétences techniques, cliniques et organisationnelles</t>
        </is>
      </c>
      <c r="L660">
        <v>200</v>
      </c>
      <c r="M660">
        <v>16</v>
      </c>
    </row>
    <row r="661">
      <c r="A661" t="inlineStr">
        <is>
          <t>Imagerie médicale</t>
        </is>
      </c>
      <c r="B661" t="inlineStr">
        <is>
          <t>L3</t>
        </is>
      </c>
      <c r="C661" t="inlineStr">
        <is>
          <t>6</t>
        </is>
      </c>
      <c r="D661" t="inlineStr">
        <is>
          <t>UE28</t>
        </is>
      </c>
      <c r="E661" t="inlineStr">
        <is>
          <t>Stage d'intégration professionnelle (stage préprofessionnel</t>
        </is>
      </c>
      <c r="F661" t="inlineStr">
        <is>
          <t>Participation à la gestion d’un service d’imagerie (organisation, qualité, sécurité)</t>
        </is>
      </c>
      <c r="L661">
        <v>200</v>
      </c>
      <c r="M661">
        <v>16</v>
      </c>
    </row>
    <row r="662">
      <c r="A662" t="inlineStr">
        <is>
          <t>Imagerie médicale</t>
        </is>
      </c>
      <c r="B662" t="inlineStr">
        <is>
          <t>L3</t>
        </is>
      </c>
      <c r="C662" t="inlineStr">
        <is>
          <t>6</t>
        </is>
      </c>
      <c r="D662" t="inlineStr">
        <is>
          <t>UE28</t>
        </is>
      </c>
      <c r="E662" t="inlineStr">
        <is>
          <t>Stage d'intégration professionnelle (stage préprofessionnel</t>
        </is>
      </c>
      <c r="F662" t="inlineStr">
        <is>
          <t>Communication interprofessionnelle et relation avec les patients</t>
        </is>
      </c>
      <c r="L662">
        <v>200</v>
      </c>
      <c r="M662">
        <v>16</v>
      </c>
    </row>
    <row r="663">
      <c r="A663" t="inlineStr">
        <is>
          <t>Imagerie médicale</t>
        </is>
      </c>
      <c r="B663" t="inlineStr">
        <is>
          <t>L3</t>
        </is>
      </c>
      <c r="C663" t="inlineStr">
        <is>
          <t>6</t>
        </is>
      </c>
      <c r="D663" t="inlineStr">
        <is>
          <t>UE28</t>
        </is>
      </c>
      <c r="E663" t="inlineStr">
        <is>
          <t>Stage d'intégration professionnelle (stage préprofessionnel</t>
        </is>
      </c>
      <c r="F663" t="inlineStr">
        <is>
          <t>Préparation à l’insertion professionnelle et à l’évolution de carrière</t>
        </is>
      </c>
      <c r="L663">
        <v>200</v>
      </c>
      <c r="M663">
        <v>16</v>
      </c>
    </row>
  </sheetData>
</worksheet>
</file>

<file path=xl/worksheets/sheet24.xml><?xml version="1.0" encoding="utf-8"?>
<worksheet xmlns="http://schemas.openxmlformats.org/spreadsheetml/2006/main" xmlns:r="http://schemas.openxmlformats.org/officeDocument/2006/relationships">
  <dimension ref="A1:F2"/>
  <sheetViews>
    <sheetView workbookViewId="0">
      <pane ySplit="2" topLeftCell="A3" activePane="bottomLeft" state="frozen"/>
    </sheetView>
  </sheetViews>
  <sheetFormatPr defaultRowHeight="15"/>
  <cols>
    <col min="1" max="1" width="32"/>
    <col min="2" max="3" width="22"/>
    <col min="4" max="4" width="18"/>
    <col min="5" max="5" width="10"/>
    <col min="6" max="6" width="26"/>
  </cols>
  <sheetData>
    <row r="1">
      <c r="A1" t="inlineStr">
        <is>
          <t>LIEUX DE STAGE — REFERENTIEL ET QUOTAS</t>
        </is>
      </c>
    </row>
    <row r="2">
      <c r="A2" t="inlineStr">
        <is>
          <t>Lieu / structure (*)</t>
        </is>
      </c>
      <c r="B2" t="inlineStr">
        <is>
          <t>Service (*)</t>
        </is>
      </c>
      <c r="C2" t="inlineStr">
        <is>
          <t>Commune (*)</t>
        </is>
      </c>
      <c r="D2" t="inlineStr">
        <is>
          <t>Niveau concerne (*)</t>
        </is>
      </c>
      <c r="E2" t="inlineStr">
        <is>
          <t>Quota (*)</t>
        </is>
      </c>
      <c r="F2" t="inlineStr">
        <is>
          <t>Periode de disponibilite (*)</t>
        </is>
      </c>
    </row>
  </sheetData>
</worksheet>
</file>

<file path=xl/worksheets/sheet25.xml><?xml version="1.0" encoding="utf-8"?>
<worksheet xmlns="http://schemas.openxmlformats.org/spreadsheetml/2006/main" xmlns:r="http://schemas.openxmlformats.org/officeDocument/2006/relationships">
  <dimension ref="A1:M2"/>
  <sheetViews>
    <sheetView workbookViewId="0">
      <pane ySplit="2" topLeftCell="A3" activePane="bottomLeft" state="frozen"/>
    </sheetView>
  </sheetViews>
  <sheetFormatPr defaultRowHeight="15"/>
  <cols>
    <col min="1" max="1" width="14"/>
    <col min="2" max="2" width="16"/>
    <col min="3" max="3" width="22"/>
    <col min="4" max="4" width="22"/>
    <col min="5" max="5" width="30"/>
    <col min="6" max="6" width="10"/>
    <col min="7" max="7" width="20"/>
    <col min="8" max="8" width="12"/>
    <col min="9" max="9" width="14"/>
    <col min="10" max="10" width="16"/>
    <col min="11" max="11" width="20"/>
    <col min="12" max="12" width="28"/>
    <col min="13" max="13" width="16"/>
  </cols>
  <sheetData>
    <row r="1">
      <c r="A1" t="inlineStr">
        <is>
          <t>EXPRESSION DE BESOIN (LOGISTIQUE)</t>
        </is>
      </c>
    </row>
    <row r="2">
      <c r="A2" t="inlineStr">
        <is>
          <t>ID besoin (*)</t>
        </is>
      </c>
      <c r="B2" t="inlineStr">
        <is>
          <t>Date d'expression (**)</t>
        </is>
      </c>
      <c r="C2" t="inlineStr">
        <is>
          <t>Type de besoin (**)</t>
        </is>
      </c>
      <c r="D2" t="inlineStr">
        <is>
          <t>Equipement concerne (**)</t>
        </is>
      </c>
      <c r="E2" t="inlineStr">
        <is>
          <t>Libelle du besoin (**)</t>
        </is>
      </c>
      <c r="F2" t="inlineStr">
        <is>
          <t>Quantite (**)</t>
        </is>
      </c>
      <c r="G2" t="inlineStr">
        <is>
          <t>Localisation / salle (**)</t>
        </is>
      </c>
      <c r="H2" t="inlineStr">
        <is>
          <t>Priorite (**)</t>
        </is>
      </c>
      <c r="I2" t="inlineStr">
        <is>
          <t>Statut (**)</t>
        </is>
      </c>
      <c r="J2" t="inlineStr">
        <is>
          <t>Cout estime (KMF) (**)</t>
        </is>
      </c>
      <c r="K2" t="inlineStr">
        <is>
          <t>Demandeur (**)</t>
        </is>
      </c>
      <c r="L2" t="inlineStr">
        <is>
          <t>Observations (**)</t>
        </is>
      </c>
      <c r="M2" t="inlineStr">
        <is>
          <t>Saisi par (*)</t>
        </is>
      </c>
    </row>
  </sheetData>
</worksheet>
</file>

<file path=xl/worksheets/sheet26.xml><?xml version="1.0" encoding="utf-8"?>
<worksheet xmlns="http://schemas.openxmlformats.org/spreadsheetml/2006/main" xmlns:r="http://schemas.openxmlformats.org/officeDocument/2006/relationships">
  <dimension ref="A1:L2"/>
  <sheetViews>
    <sheetView workbookViewId="0">
      <pane ySplit="2" topLeftCell="A3" activePane="bottomLeft" state="frozen"/>
    </sheetView>
  </sheetViews>
  <sheetFormatPr defaultRowHeight="15"/>
  <cols>
    <col min="1" max="1" width="16"/>
    <col min="2" max="2" width="18"/>
    <col min="3" max="3" width="18"/>
    <col min="4" max="4" width="16"/>
    <col min="5" max="5" width="14"/>
    <col min="6" max="6" width="24"/>
    <col min="7" max="7" width="16"/>
    <col min="8" max="8" width="22"/>
    <col min="9" max="9" width="16"/>
    <col min="10" max="10" width="28"/>
    <col min="11" max="11" width="16"/>
    <col min="12" max="12" width="16"/>
  </cols>
  <sheetData>
    <row r="1">
      <c r="A1" t="inlineStr">
        <is>
          <t>JOURNAL PERMANENT DES ELEVES (clotures successives)</t>
        </is>
      </c>
    </row>
    <row r="2">
      <c r="A2" t="inlineStr">
        <is>
          <t>Matricule</t>
        </is>
      </c>
      <c r="B2" t="inlineStr">
        <is>
          <t>Nom</t>
        </is>
      </c>
      <c r="C2" t="inlineStr">
        <is>
          <t>Prenom</t>
        </is>
      </c>
      <c r="D2" t="inlineStr">
        <is>
          <t>Filiere</t>
        </is>
      </c>
      <c r="E2" t="inlineStr">
        <is>
          <t>Niveau atteint (*)</t>
        </is>
      </c>
      <c r="F2" t="inlineStr">
        <is>
          <t>Periode (entree - sortie) (*)</t>
        </is>
      </c>
      <c r="G2" t="inlineStr">
        <is>
          <t>Statut final (*)</t>
        </is>
      </c>
      <c r="H2" t="inlineStr">
        <is>
          <t>Diplome obtenu (*)</t>
        </is>
      </c>
      <c r="I2" t="inlineStr">
        <is>
          <t>Mention (*)</t>
        </is>
      </c>
      <c r="J2" t="inlineStr">
        <is>
          <t>Ref. archive (*)</t>
        </is>
      </c>
      <c r="K2" t="inlineStr">
        <is>
          <t>Cloture le (*)</t>
        </is>
      </c>
      <c r="L2" t="inlineStr">
        <is>
          <t>Cloture par (*)</t>
        </is>
      </c>
    </row>
  </sheetData>
</worksheet>
</file>

<file path=xl/worksheets/sheet27.xml><?xml version="1.0" encoding="utf-8"?>
<worksheet xmlns="http://schemas.openxmlformats.org/spreadsheetml/2006/main" xmlns:r="http://schemas.openxmlformats.org/officeDocument/2006/relationships">
  <dimension ref="A1:G2"/>
  <sheetViews>
    <sheetView workbookViewId="0">
      <pane ySplit="2" topLeftCell="A3" activePane="bottomLeft" state="frozen"/>
    </sheetView>
  </sheetViews>
  <sheetFormatPr defaultRowHeight="15"/>
  <cols>
    <col min="1" max="1" width="10"/>
    <col min="2" max="2" width="22"/>
    <col min="3" max="3" width="22"/>
    <col min="4" max="4" width="24"/>
    <col min="5" max="5" width="28"/>
    <col min="6" max="6" width="16"/>
    <col min="7" max="7" width="16"/>
  </cols>
  <sheetData>
    <row r="1">
      <c r="A1" t="inlineStr">
        <is>
          <t>JOURNAL PERMANENT DE LA COMPTABILITE (exercices clos)</t>
        </is>
      </c>
    </row>
    <row r="2">
      <c r="A2" t="inlineStr">
        <is>
          <t>Annee (*)</t>
        </is>
      </c>
      <c r="B2" t="inlineStr">
        <is>
          <t>Total recettes (KMF) (*)</t>
        </is>
      </c>
      <c r="C2" t="inlineStr">
        <is>
          <t>Total depenses (KMF) (*)</t>
        </is>
      </c>
      <c r="D2" t="inlineStr">
        <is>
          <t>Solde de cloture (KMF) (*)</t>
        </is>
      </c>
      <c r="E2" t="inlineStr">
        <is>
          <t>Ref. archive (*)</t>
        </is>
      </c>
      <c r="F2" t="inlineStr">
        <is>
          <t>Cloture le (*)</t>
        </is>
      </c>
      <c r="G2" t="inlineStr">
        <is>
          <t>Cloture par (*)</t>
        </is>
      </c>
    </row>
  </sheetData>
</worksheet>
</file>

<file path=xl/worksheets/sheet28.xml><?xml version="1.0" encoding="utf-8"?>
<worksheet xmlns="http://schemas.openxmlformats.org/spreadsheetml/2006/main" xmlns:r="http://schemas.openxmlformats.org/officeDocument/2006/relationships">
  <dimension ref="A1:I2"/>
  <sheetViews>
    <sheetView workbookViewId="0">
      <pane ySplit="2" topLeftCell="A3" activePane="bottomLeft" state="frozen"/>
    </sheetView>
  </sheetViews>
  <sheetFormatPr defaultRowHeight="15"/>
  <cols>
    <col min="1" max="1" width="12"/>
    <col min="2" max="2" width="18"/>
    <col min="3" max="3" width="10"/>
    <col min="4" max="4" width="14"/>
    <col min="5" max="5" width="22"/>
    <col min="6" max="6" width="26"/>
    <col min="7" max="7" width="14"/>
    <col min="8" max="8" width="30"/>
    <col min="9" max="9" width="14"/>
  </cols>
  <sheetData>
    <row r="1">
      <c r="A1" t="inlineStr">
        <is>
          <t>SUIVI DES SEANCES REALISEES (exceptions : remplacant / cours annule / duree)</t>
        </is>
      </c>
    </row>
    <row r="2">
      <c r="A2" t="inlineStr">
        <is>
          <t>Date (*)</t>
        </is>
      </c>
      <c r="B2" t="inlineStr">
        <is>
          <t>Session / Matiere (*)</t>
        </is>
      </c>
      <c r="C2" t="inlineStr">
        <is>
          <t>Creneau (*)</t>
        </is>
      </c>
      <c r="D2" t="inlineStr">
        <is>
          <t>Etat (*)</t>
        </is>
      </c>
      <c r="E2" t="inlineStr">
        <is>
          <t>Assure par (*)</t>
        </is>
      </c>
      <c r="F2" t="inlineStr">
        <is>
          <t>Matiere reelle (*)</t>
        </is>
      </c>
      <c r="G2" t="inlineStr">
        <is>
          <t>Vol. constate h (*)</t>
        </is>
      </c>
      <c r="H2" t="inlineStr">
        <is>
          <t>Motif (*)</t>
        </is>
      </c>
      <c r="I2" t="inlineStr">
        <is>
          <t>Saisi par (*)</t>
        </is>
      </c>
    </row>
  </sheetData>
</worksheet>
</file>

<file path=xl/worksheets/sheet29.xml><?xml version="1.0" encoding="utf-8"?>
<worksheet xmlns="http://schemas.openxmlformats.org/spreadsheetml/2006/main" xmlns:r="http://schemas.openxmlformats.org/officeDocument/2006/relationships">
  <dimension ref="A1:H2"/>
  <sheetViews>
    <sheetView workbookViewId="0">
      <pane ySplit="2" topLeftCell="A3" activePane="bottomLeft" state="frozen"/>
    </sheetView>
  </sheetViews>
  <sheetFormatPr defaultRowHeight="15"/>
  <cols>
    <col min="1" max="1" width="12"/>
    <col min="2" max="2" width="30"/>
    <col min="3" max="3" width="16"/>
    <col min="4" max="4" width="12"/>
    <col min="5" max="5" width="34"/>
    <col min="6" max="6" width="22"/>
    <col min="7" max="7" width="30"/>
    <col min="8" max="8" width="16"/>
  </cols>
  <sheetData>
    <row r="1">
      <c r="A1" t="inlineStr">
        <is>
          <t>BUDGET PAR POSTE (prevu) -- comparatif prevu / realise / ecart en annee civile</t>
        </is>
      </c>
    </row>
    <row r="2">
      <c r="A2" s="7" t="inlineStr">
        <is>
          <t>Exercice</t>
        </is>
      </c>
      <c r="B2" s="7" t="inlineStr">
        <is>
          <t>Poste budgetaire (**)</t>
        </is>
      </c>
      <c r="C2" s="7" t="inlineStr">
        <is>
          <t>Filiere (*)</t>
        </is>
      </c>
      <c r="D2" s="7" t="inlineStr">
        <is>
          <t>Sens (*)</t>
        </is>
      </c>
      <c r="E2" s="7" t="inlineStr">
        <is>
          <t>Source de financement / Bailleur (*)</t>
        </is>
      </c>
      <c r="F2" s="7" t="inlineStr">
        <is>
          <t>Montant budgete (KMF)</t>
        </is>
      </c>
      <c r="G2" s="7" t="inlineStr">
        <is>
          <t>Observations</t>
        </is>
      </c>
      <c r="H2" s="7" t="inlineStr">
        <is>
          <t>Saisi par (*)</t>
        </is>
      </c>
    </row>
  </sheetData>
</worksheet>
</file>

<file path=xl/worksheets/sheet30.xml><?xml version="1.0" encoding="utf-8"?>
<worksheet xmlns="http://schemas.openxmlformats.org/spreadsheetml/2006/main" xmlns:r="http://schemas.openxmlformats.org/officeDocument/2006/relationships">
  <dimension ref="A1:E3"/>
  <sheetViews>
    <sheetView workbookViewId="0">
      <pane ySplit="2" topLeftCell="A3" activePane="bottomLeft" state="frozen"/>
    </sheetView>
  </sheetViews>
  <sheetFormatPr defaultRowHeight="15"/>
  <cols>
    <col min="1" max="1" width="12"/>
    <col min="2" max="2" width="10"/>
    <col min="3" max="3" width="14"/>
    <col min="4" max="4" width="14"/>
    <col min="5" max="5" width="40"/>
  </cols>
  <sheetData>
    <row r="1">
      <c r="A1" t="inlineStr">
        <is>
          <t>TAUX DE CHANGE (references) -- EUR = parite fixe; USD a renseigner par l'EMSP</t>
        </is>
      </c>
    </row>
    <row r="2">
      <c r="A2" s="7" t="inlineStr">
        <is>
          <t>Devise</t>
        </is>
      </c>
      <c r="B2" s="7" t="inlineStr">
        <is>
          <t>Code</t>
        </is>
      </c>
      <c r="C2" s="7" t="inlineStr">
        <is>
          <t>Taux en KMF</t>
        </is>
      </c>
      <c r="D2" s="7" t="inlineStr">
        <is>
          <t>Date d'effet</t>
        </is>
      </c>
      <c r="E2" s="7" t="inlineStr">
        <is>
          <t>Observations</t>
        </is>
      </c>
    </row>
    <row r="3">
      <c r="A3" t="inlineStr">
        <is>
          <t>EUR</t>
        </is>
      </c>
      <c r="B3" t="inlineStr">
        <is>
          <t>978</t>
        </is>
      </c>
      <c r="C3">
        <v>491.967</v>
      </c>
      <c r="D3" t="inlineStr">
        <is>
          <t>01/01/2026</t>
        </is>
      </c>
      <c r="E3" t="inlineStr">
        <is>
          <t>Parite fixe EUR/KMF</t>
        </is>
      </c>
    </row>
  </sheetData>
</worksheet>
</file>

<file path=xl/worksheets/sheet31.xml><?xml version="1.0" encoding="utf-8"?>
<worksheet xmlns="http://schemas.openxmlformats.org/spreadsheetml/2006/main" xmlns:r="http://schemas.openxmlformats.org/officeDocument/2006/relationships">
  <dimension ref="A1:L6"/>
  <sheetViews>
    <sheetView workbookViewId="0">
      <pane ySplit="2" topLeftCell="A3" activePane="bottomLeft" state="frozen"/>
    </sheetView>
  </sheetViews>
  <sheetFormatPr defaultRowHeight="15"/>
  <cols>
    <col min="1" max="1" width="16"/>
    <col min="2" max="2" width="34"/>
    <col min="3" max="3" width="22"/>
    <col min="4" max="4" width="26"/>
    <col min="5" max="5" width="14"/>
    <col min="6" max="6" width="14"/>
    <col min="7" max="7" width="20"/>
    <col min="8" max="8" width="34"/>
    <col min="9" max="9" width="24"/>
    <col min="10" max="10" width="16"/>
    <col min="11" max="11" width="30"/>
    <col min="12" max="12" width="16"/>
  </cols>
  <sheetData>
    <row r="1">
      <c r="A1" t="inlineStr">
        <is>
          <t xml:space="preserve">BAILLEURS / SOURCES DE FINANCEMENT — CONTRAT, BUDGET, PERIMETRE</t>
        </is>
      </c>
    </row>
    <row r="2">
      <c r="A2" s="7" t="inlineStr">
        <is>
          <t xml:space="preserve">ID bailleur (*)</t>
        </is>
      </c>
      <c r="B2" s="7" t="inlineStr">
        <is>
          <t xml:space="preserve">Nom / raison sociale (**)</t>
        </is>
      </c>
      <c r="C2" s="7" t="inlineStr">
        <is>
          <t xml:space="preserve">Type (*)</t>
        </is>
      </c>
      <c r="D2" s="7" t="inlineStr">
        <is>
          <t xml:space="preserve">Reference contrat / convention (**)</t>
        </is>
      </c>
      <c r="E2" s="7" t="inlineStr">
        <is>
          <t xml:space="preserve">Date debut (**)</t>
        </is>
      </c>
      <c r="F2" s="7" t="inlineStr">
        <is>
          <t xml:space="preserve">Date fin (**)</t>
        </is>
      </c>
      <c r="G2" s="7" t="inlineStr">
        <is>
          <t xml:space="preserve">Budget alloue (KMF) (**)</t>
        </is>
      </c>
      <c r="H2" s="7" t="inlineStr">
        <is>
          <t xml:space="preserve">Perimetre du financement (**)</t>
        </is>
      </c>
      <c r="I2" s="7" t="inlineStr">
        <is>
          <t xml:space="preserve">Documents lies (*)</t>
        </is>
      </c>
      <c r="J2" s="7" t="inlineStr">
        <is>
          <t xml:space="preserve">Statut (*)</t>
        </is>
      </c>
      <c r="K2" s="7" t="inlineStr">
        <is>
          <t xml:space="preserve">Observations (**)</t>
        </is>
      </c>
      <c r="L2" s="7" t="inlineStr">
        <is>
          <t xml:space="preserve">Saisi par (*)</t>
        </is>
      </c>
    </row>
    <row r="3">
      <c r="A3" t="inlineStr">
        <is>
          <t xml:space="preserve">AFD</t>
        </is>
      </c>
      <c r="B3" t="inlineStr">
        <is>
          <t xml:space="preserve">Agence Française de Développement</t>
        </is>
      </c>
      <c r="C3" t="inlineStr">
        <is>
          <t xml:space="preserve">International</t>
        </is>
      </c>
      <c r="J3" t="inlineStr">
        <is>
          <t xml:space="preserve">Actif</t>
        </is>
      </c>
    </row>
    <row r="4">
      <c r="A4" t="inlineStr">
        <is>
          <t xml:space="preserve">Etat comorien</t>
        </is>
      </c>
      <c r="B4" t="inlineStr">
        <is>
          <t xml:space="preserve">État comorien (Union des Comores)</t>
        </is>
      </c>
      <c r="C4" t="inlineStr">
        <is>
          <t xml:space="preserve">État</t>
        </is>
      </c>
      <c r="J4" t="inlineStr">
        <is>
          <t xml:space="preserve">Actif</t>
        </is>
      </c>
    </row>
    <row r="5">
      <c r="A5" t="inlineStr">
        <is>
          <t xml:space="preserve">Ressources propres EMSP</t>
        </is>
      </c>
      <c r="B5" t="inlineStr">
        <is>
          <t xml:space="preserve">Ressources propres EMSP</t>
        </is>
      </c>
      <c r="C5" t="inlineStr">
        <is>
          <t xml:space="preserve">Autre</t>
        </is>
      </c>
      <c r="H5" t="inlineStr">
        <is>
          <t xml:space="preserve">Autofinancement EMSP</t>
        </is>
      </c>
      <c r="J5" t="inlineStr">
        <is>
          <t xml:space="preserve">Actif</t>
        </is>
      </c>
      <c r="L5" t="inlineStr">
        <is>
          <t xml:space="preserve">systeme</t>
        </is>
      </c>
    </row>
    <row r="6">
      <c r="A6" t="inlineStr">
        <is>
          <t xml:space="preserve">Autres donateurs</t>
        </is>
      </c>
      <c r="B6" t="inlineStr">
        <is>
          <t xml:space="preserve">Autres donateurs</t>
        </is>
      </c>
      <c r="C6" t="inlineStr">
        <is>
          <t xml:space="preserve">Autre</t>
        </is>
      </c>
      <c r="H6" t="inlineStr">
        <is>
          <t xml:space="preserve">Dons et financements divers</t>
        </is>
      </c>
      <c r="J6" t="inlineStr">
        <is>
          <t xml:space="preserve">Actif</t>
        </is>
      </c>
      <c r="L6" t="inlineStr">
        <is>
          <t xml:space="preserve">systeme</t>
        </is>
      </c>
    </row>
  </sheetData>
</worksheet>
</file>

<file path=xl/worksheets/sheet32.xml><?xml version="1.0" encoding="utf-8"?>
<worksheet xmlns="http://schemas.openxmlformats.org/spreadsheetml/2006/main" xmlns:r="http://schemas.openxmlformats.org/officeDocument/2006/relationships">
  <dimension ref="A1:T2"/>
  <sheetViews>
    <sheetView workbookViewId="0">
      <pane ySplit="2" topLeftCell="A3" activePane="bottomLeft" state="frozen"/>
    </sheetView>
  </sheetViews>
  <sheetFormatPr defaultRowHeight="15"/>
  <cols>
    <col min="1" max="1" width="16"/>
    <col min="2" max="2" width="11"/>
    <col min="3" max="3" width="16"/>
    <col min="4" max="4" width="16"/>
    <col min="5" max="5" width="14"/>
    <col min="6" max="6" width="16"/>
    <col min="7" max="7" width="18"/>
    <col min="8" max="8" width="16"/>
    <col min="9" max="9" width="28"/>
    <col min="10" max="10" width="16"/>
    <col min="11" max="11" width="18"/>
    <col min="12" max="12" width="28"/>
    <col min="13" max="13" width="10"/>
    <col min="14" max="14" width="14"/>
    <col min="15" max="15" width="16"/>
    <col min="16" max="16" width="22"/>
    <col min="17" max="17" width="18"/>
    <col min="18" max="18" width="12"/>
    <col min="19" max="19" width="16"/>
    <col min="20" max="20" width="16"/>
  </cols>
  <sheetData>
    <row r="1">
      <c r="A1" t="inlineStr">
        <is>
          <t xml:space="preserve">ETATS DE PAIEMENT DES VACATIONS — HEURES, TAUX, MONTANT (KMF)</t>
        </is>
      </c>
    </row>
    <row r="2">
      <c r="A2" s="7" t="inlineStr">
        <is>
          <t xml:space="preserve">ID etat</t>
        </is>
      </c>
      <c r="B2" s="7" t="inlineStr">
        <is>
          <t xml:space="preserve">Semestre</t>
        </is>
      </c>
      <c r="C2" s="7" t="inlineStr">
        <is>
          <t xml:space="preserve">Annee academique</t>
        </is>
      </c>
      <c r="D2" s="7" t="inlineStr">
        <is>
          <t xml:space="preserve">Statut etat</t>
        </is>
      </c>
      <c r="E2" s="7" t="inlineStr">
        <is>
          <t xml:space="preserve">Date arrete</t>
        </is>
      </c>
      <c r="F2" s="7" t="inlineStr">
        <is>
          <t xml:space="preserve">Arrete par</t>
        </is>
      </c>
      <c r="G2" s="7" t="inlineStr">
        <is>
          <t xml:space="preserve">Ref ecriture F1</t>
        </is>
      </c>
      <c r="H2" s="7" t="inlineStr">
        <is>
          <t xml:space="preserve">Matricule ens.</t>
        </is>
      </c>
      <c r="I2" s="7" t="inlineStr">
        <is>
          <t xml:space="preserve">Nom-Prenom</t>
        </is>
      </c>
      <c r="J2" s="7" t="inlineStr">
        <is>
          <t xml:space="preserve">Statut prof.</t>
        </is>
      </c>
      <c r="K2" s="7" t="inlineStr">
        <is>
          <t xml:space="preserve">Mode remuneration</t>
        </is>
      </c>
      <c r="L2" s="7" t="inlineStr">
        <is>
          <t xml:space="preserve">Matiere enseignee</t>
        </is>
      </c>
      <c r="M2" s="7" t="inlineStr">
        <is>
          <t xml:space="preserve">Niveau</t>
        </is>
      </c>
      <c r="N2" s="7" t="inlineStr">
        <is>
          <t xml:space="preserve">Heures prevues</t>
        </is>
      </c>
      <c r="O2" s="7" t="inlineStr">
        <is>
          <t xml:space="preserve">Heures effectuees</t>
        </is>
      </c>
      <c r="P2" s="7" t="inlineStr">
        <is>
          <t xml:space="preserve">Heures autorisees a payer</t>
        </is>
      </c>
      <c r="Q2" s="7" t="inlineStr">
        <is>
          <t xml:space="preserve">Taux horaire (KMF/h)</t>
        </is>
      </c>
      <c r="R2" s="7" t="inlineStr">
        <is>
          <t xml:space="preserve">Mois (forfait)</t>
        </is>
      </c>
      <c r="S2" s="7" t="inlineStr">
        <is>
          <t xml:space="preserve">Cout mensuel (KMF)</t>
        </is>
      </c>
      <c r="T2" s="7" t="inlineStr">
        <is>
          <t xml:space="preserve">Montant (KMF)</t>
        </is>
      </c>
    </row>
  </sheetData>
</worksheet>
</file>

<file path=xl/worksheets/sheet33.xml><?xml version="1.0" encoding="utf-8"?>
<worksheet xmlns="http://schemas.openxmlformats.org/spreadsheetml/2006/main" xmlns:r="http://schemas.openxmlformats.org/officeDocument/2006/relationships">
  <dimension ref="A1:F152"/>
  <sheetViews>
    <sheetView workbookViewId="0">
      <pane ySplit="2" topLeftCell="A3" activePane="bottomLeft" state="frozen"/>
    </sheetView>
  </sheetViews>
  <sheetFormatPr defaultRowHeight="15"/>
  <cols>
    <col min="1" max="1" width="12" customWidth="1"/>
    <col min="2" max="2" width="58" customWidth="1"/>
    <col min="3" max="3" width="16" customWidth="1"/>
    <col min="4" max="4" width="14" customWidth="1"/>
    <col min="5" max="5" width="10" customWidth="1"/>
    <col min="6" max="6" width="8" customWidth="1"/>
  </cols>
  <sheetData>
    <row r="1">
      <c r="A1" t="inlineStr">
        <is>
          <t xml:space="preserve">EMSP - Nomenclature budgetaire (codes recette / depense / investissement)</t>
        </is>
      </c>
    </row>
    <row r="2">
      <c r="A2" t="inlineStr">
        <is>
          <t xml:space="preserve">Code</t>
        </is>
      </c>
      <c r="B2" t="inlineStr">
        <is>
          <t xml:space="preserve">Intitule</t>
        </is>
      </c>
      <c r="C2" t="inlineStr">
        <is>
          <t xml:space="preserve">Sens</t>
        </is>
      </c>
      <c r="D2" t="inlineStr">
        <is>
          <t xml:space="preserve">Niveau</t>
        </is>
      </c>
      <c r="E2" t="inlineStr">
        <is>
          <t xml:space="preserve">Source</t>
        </is>
      </c>
      <c r="F2" t="inlineStr">
        <is>
          <t xml:space="preserve">Actif</t>
        </is>
      </c>
    </row>
    <row r="3">
      <c r="A3" t="inlineStr">
        <is>
          <t xml:space="preserve">70</t>
        </is>
      </c>
      <c r="B3" t="inlineStr">
        <is>
          <t xml:space="preserve">Prestations de services</t>
        </is>
      </c>
      <c r="C3" t="inlineStr">
        <is>
          <t xml:space="preserve">Recette</t>
        </is>
      </c>
      <c r="D3" t="inlineStr">
        <is>
          <t xml:space="preserve">Chapitre</t>
        </is>
      </c>
      <c r="E3" t="inlineStr">
        <is>
          <t xml:space="preserve">OHADA</t>
        </is>
      </c>
      <c r="F3" t="inlineStr">
        <is>
          <t xml:space="preserve">Oui</t>
        </is>
      </c>
    </row>
    <row r="4">
      <c r="A4" t="inlineStr">
        <is>
          <t xml:space="preserve">72</t>
        </is>
      </c>
      <c r="B4" t="inlineStr">
        <is>
          <t xml:space="preserve">Production Immobilisee</t>
        </is>
      </c>
      <c r="C4" t="inlineStr">
        <is>
          <t xml:space="preserve">Recette</t>
        </is>
      </c>
      <c r="D4" t="inlineStr">
        <is>
          <t xml:space="preserve">Chapitre</t>
        </is>
      </c>
      <c r="E4" t="inlineStr">
        <is>
          <t xml:space="preserve">OHADA</t>
        </is>
      </c>
      <c r="F4" t="inlineStr">
        <is>
          <t xml:space="preserve">Non</t>
        </is>
      </c>
    </row>
    <row r="5">
      <c r="A5" t="inlineStr">
        <is>
          <t xml:space="preserve">73</t>
        </is>
      </c>
      <c r="B5" t="inlineStr">
        <is>
          <t xml:space="preserve">Variations De Stocks De Biens Et De Services Produits</t>
        </is>
      </c>
      <c r="C5" t="inlineStr">
        <is>
          <t xml:space="preserve">Recette</t>
        </is>
      </c>
      <c r="D5" t="inlineStr">
        <is>
          <t xml:space="preserve">Chapitre</t>
        </is>
      </c>
      <c r="E5" t="inlineStr">
        <is>
          <t xml:space="preserve">OHADA</t>
        </is>
      </c>
      <c r="F5" t="inlineStr">
        <is>
          <t xml:space="preserve">Non</t>
        </is>
      </c>
    </row>
    <row r="6">
      <c r="A6" t="inlineStr">
        <is>
          <t xml:space="preserve">74</t>
        </is>
      </c>
      <c r="B6" t="inlineStr">
        <is>
          <t xml:space="preserve">Subvention d'exploitation</t>
        </is>
      </c>
      <c r="C6" t="inlineStr">
        <is>
          <t xml:space="preserve">Recette</t>
        </is>
      </c>
      <c r="D6" t="inlineStr">
        <is>
          <t xml:space="preserve">Chapitre</t>
        </is>
      </c>
      <c r="E6" t="inlineStr">
        <is>
          <t xml:space="preserve">OHADA</t>
        </is>
      </c>
      <c r="F6" t="inlineStr">
        <is>
          <t xml:space="preserve">Oui</t>
        </is>
      </c>
    </row>
    <row r="7">
      <c r="A7" t="inlineStr">
        <is>
          <t xml:space="preserve">77</t>
        </is>
      </c>
      <c r="B7" t="inlineStr">
        <is>
          <t xml:space="preserve">Revenus Financiers Et Assimiles</t>
        </is>
      </c>
      <c r="C7" t="inlineStr">
        <is>
          <t xml:space="preserve">Recette</t>
        </is>
      </c>
      <c r="D7" t="inlineStr">
        <is>
          <t xml:space="preserve">Chapitre</t>
        </is>
      </c>
      <c r="E7" t="inlineStr">
        <is>
          <t xml:space="preserve">OHADA</t>
        </is>
      </c>
      <c r="F7" t="inlineStr">
        <is>
          <t xml:space="preserve">Non</t>
        </is>
      </c>
    </row>
    <row r="8">
      <c r="A8" t="inlineStr">
        <is>
          <t xml:space="preserve">78</t>
        </is>
      </c>
      <c r="B8" t="inlineStr">
        <is>
          <t xml:space="preserve">Transferts De Charges</t>
        </is>
      </c>
      <c r="C8" t="inlineStr">
        <is>
          <t xml:space="preserve">Recette</t>
        </is>
      </c>
      <c r="D8" t="inlineStr">
        <is>
          <t xml:space="preserve">Chapitre</t>
        </is>
      </c>
      <c r="E8" t="inlineStr">
        <is>
          <t xml:space="preserve">OHADA</t>
        </is>
      </c>
      <c r="F8" t="inlineStr">
        <is>
          <t xml:space="preserve">Non</t>
        </is>
      </c>
    </row>
    <row r="9">
      <c r="A9" t="inlineStr">
        <is>
          <t xml:space="preserve">79</t>
        </is>
      </c>
      <c r="B9" t="inlineStr">
        <is>
          <t xml:space="preserve">Reprises De Provisions</t>
        </is>
      </c>
      <c r="C9" t="inlineStr">
        <is>
          <t xml:space="preserve">Recette</t>
        </is>
      </c>
      <c r="D9" t="inlineStr">
        <is>
          <t xml:space="preserve">Chapitre</t>
        </is>
      </c>
      <c r="E9" t="inlineStr">
        <is>
          <t xml:space="preserve">OHADA</t>
        </is>
      </c>
      <c r="F9" t="inlineStr">
        <is>
          <t xml:space="preserve">Non</t>
        </is>
      </c>
    </row>
    <row r="10">
      <c r="A10" t="inlineStr">
        <is>
          <t xml:space="preserve">701</t>
        </is>
      </c>
      <c r="B10" t="inlineStr">
        <is>
          <t xml:space="preserve">Ventes De Marchandises</t>
        </is>
      </c>
      <c r="C10" t="inlineStr">
        <is>
          <t xml:space="preserve">Recette</t>
        </is>
      </c>
      <c r="D10" t="inlineStr">
        <is>
          <t xml:space="preserve">Article</t>
        </is>
      </c>
      <c r="E10" t="inlineStr">
        <is>
          <t xml:space="preserve">OHADA</t>
        </is>
      </c>
      <c r="F10" t="inlineStr">
        <is>
          <t xml:space="preserve">Non</t>
        </is>
      </c>
    </row>
    <row r="11">
      <c r="A11" t="inlineStr">
        <is>
          <t xml:space="preserve">703</t>
        </is>
      </c>
      <c r="B11" t="inlineStr">
        <is>
          <t xml:space="preserve">Ventes De Produits Intermediaires</t>
        </is>
      </c>
      <c r="C11" t="inlineStr">
        <is>
          <t xml:space="preserve">Recette</t>
        </is>
      </c>
      <c r="D11" t="inlineStr">
        <is>
          <t xml:space="preserve">Article</t>
        </is>
      </c>
      <c r="E11" t="inlineStr">
        <is>
          <t xml:space="preserve">OHADA</t>
        </is>
      </c>
      <c r="F11" t="inlineStr">
        <is>
          <t xml:space="preserve">Non</t>
        </is>
      </c>
    </row>
    <row r="12">
      <c r="A12" t="inlineStr">
        <is>
          <t xml:space="preserve">704</t>
        </is>
      </c>
      <c r="B12" t="inlineStr">
        <is>
          <t xml:space="preserve">Ventes De Produits Residuels</t>
        </is>
      </c>
      <c r="C12" t="inlineStr">
        <is>
          <t xml:space="preserve">Recette</t>
        </is>
      </c>
      <c r="D12" t="inlineStr">
        <is>
          <t xml:space="preserve">Article</t>
        </is>
      </c>
      <c r="E12" t="inlineStr">
        <is>
          <t xml:space="preserve">OHADA</t>
        </is>
      </c>
      <c r="F12" t="inlineStr">
        <is>
          <t xml:space="preserve">Non</t>
        </is>
      </c>
    </row>
    <row r="13">
      <c r="A13" t="inlineStr">
        <is>
          <t xml:space="preserve">705</t>
        </is>
      </c>
      <c r="B13" t="inlineStr">
        <is>
          <t xml:space="preserve">Études</t>
        </is>
      </c>
      <c r="C13" t="inlineStr">
        <is>
          <t xml:space="preserve">Recette</t>
        </is>
      </c>
      <c r="D13" t="inlineStr">
        <is>
          <t xml:space="preserve">Article</t>
        </is>
      </c>
      <c r="E13" t="inlineStr">
        <is>
          <t xml:space="preserve">OHADA</t>
        </is>
      </c>
      <c r="F13" t="inlineStr">
        <is>
          <t xml:space="preserve">Oui</t>
        </is>
      </c>
    </row>
    <row r="14">
      <c r="A14" t="inlineStr">
        <is>
          <t xml:space="preserve">706</t>
        </is>
      </c>
      <c r="B14" t="inlineStr">
        <is>
          <t xml:space="preserve">Prestations de services — droits universitaires</t>
        </is>
      </c>
      <c r="C14" t="inlineStr">
        <is>
          <t xml:space="preserve">Recette</t>
        </is>
      </c>
      <c r="D14" t="inlineStr">
        <is>
          <t xml:space="preserve">Article</t>
        </is>
      </c>
      <c r="E14" t="inlineStr">
        <is>
          <t xml:space="preserve">OHADA</t>
        </is>
      </c>
      <c r="F14" t="inlineStr">
        <is>
          <t xml:space="preserve">Oui</t>
        </is>
      </c>
    </row>
    <row r="15">
      <c r="A15" t="inlineStr">
        <is>
          <t xml:space="preserve">706a</t>
        </is>
      </c>
      <c r="B15" t="inlineStr">
        <is>
          <t xml:space="preserve">Droit de pré-inscription</t>
        </is>
      </c>
      <c r="C15" t="inlineStr">
        <is>
          <t xml:space="preserve">Recette</t>
        </is>
      </c>
      <c r="D15" t="inlineStr">
        <is>
          <t xml:space="preserve">Sous-article</t>
        </is>
      </c>
      <c r="E15" t="inlineStr">
        <is>
          <t xml:space="preserve">EMSP</t>
        </is>
      </c>
      <c r="F15" t="inlineStr">
        <is>
          <t xml:space="preserve">Oui</t>
        </is>
      </c>
    </row>
    <row r="16">
      <c r="A16" t="inlineStr">
        <is>
          <t xml:space="preserve">706b</t>
        </is>
      </c>
      <c r="B16" t="inlineStr">
        <is>
          <t xml:space="preserve">Droit d'inscription L1</t>
        </is>
      </c>
      <c r="C16" t="inlineStr">
        <is>
          <t xml:space="preserve">Recette</t>
        </is>
      </c>
      <c r="D16" t="inlineStr">
        <is>
          <t xml:space="preserve">Sous-article</t>
        </is>
      </c>
      <c r="E16" t="inlineStr">
        <is>
          <t xml:space="preserve">EMSP</t>
        </is>
      </c>
      <c r="F16" t="inlineStr">
        <is>
          <t xml:space="preserve">Oui</t>
        </is>
      </c>
    </row>
    <row r="17">
      <c r="A17" t="inlineStr">
        <is>
          <t xml:space="preserve">706c</t>
        </is>
      </c>
      <c r="B17" t="inlineStr">
        <is>
          <t xml:space="preserve">Droit d'inscription L2</t>
        </is>
      </c>
      <c r="C17" t="inlineStr">
        <is>
          <t xml:space="preserve">Recette</t>
        </is>
      </c>
      <c r="D17" t="inlineStr">
        <is>
          <t xml:space="preserve">Sous-article</t>
        </is>
      </c>
      <c r="E17" t="inlineStr">
        <is>
          <t xml:space="preserve">EMSP</t>
        </is>
      </c>
      <c r="F17" t="inlineStr">
        <is>
          <t xml:space="preserve">Oui</t>
        </is>
      </c>
    </row>
    <row r="18">
      <c r="A18" t="inlineStr">
        <is>
          <t xml:space="preserve">706d</t>
        </is>
      </c>
      <c r="B18" t="inlineStr">
        <is>
          <t xml:space="preserve">Droit d'inscription L3</t>
        </is>
      </c>
      <c r="C18" t="inlineStr">
        <is>
          <t xml:space="preserve">Recette</t>
        </is>
      </c>
      <c r="D18" t="inlineStr">
        <is>
          <t xml:space="preserve">Sous-article</t>
        </is>
      </c>
      <c r="E18" t="inlineStr">
        <is>
          <t xml:space="preserve">EMSP</t>
        </is>
      </c>
      <c r="F18" t="inlineStr">
        <is>
          <t xml:space="preserve">Oui</t>
        </is>
      </c>
    </row>
    <row r="19">
      <c r="A19" t="inlineStr">
        <is>
          <t xml:space="preserve">706e</t>
        </is>
      </c>
      <c r="B19" t="inlineStr">
        <is>
          <t xml:space="preserve">Formation continue (certification, attestations)</t>
        </is>
      </c>
      <c r="C19" t="inlineStr">
        <is>
          <t xml:space="preserve">Recette</t>
        </is>
      </c>
      <c r="D19" t="inlineStr">
        <is>
          <t xml:space="preserve">Sous-article</t>
        </is>
      </c>
      <c r="E19" t="inlineStr">
        <is>
          <t xml:space="preserve">EMSP</t>
        </is>
      </c>
      <c r="F19" t="inlineStr">
        <is>
          <t xml:space="preserve">Oui</t>
        </is>
      </c>
    </row>
    <row r="20">
      <c r="A20" t="inlineStr">
        <is>
          <t xml:space="preserve">707</t>
        </is>
      </c>
      <c r="B20" t="inlineStr">
        <is>
          <t xml:space="preserve">Produits Accessoires</t>
        </is>
      </c>
      <c r="C20" t="inlineStr">
        <is>
          <t xml:space="preserve">Recette</t>
        </is>
      </c>
      <c r="D20" t="inlineStr">
        <is>
          <t xml:space="preserve">Article</t>
        </is>
      </c>
      <c r="E20" t="inlineStr">
        <is>
          <t xml:space="preserve">OHADA</t>
        </is>
      </c>
      <c r="F20" t="inlineStr">
        <is>
          <t xml:space="preserve">Non</t>
        </is>
      </c>
    </row>
    <row r="21">
      <c r="A21" t="inlineStr">
        <is>
          <t xml:space="preserve">708</t>
        </is>
      </c>
      <c r="B21" t="inlineStr">
        <is>
          <t xml:space="preserve">Produits des activités annexes</t>
        </is>
      </c>
      <c r="C21" t="inlineStr">
        <is>
          <t xml:space="preserve">Recette</t>
        </is>
      </c>
      <c r="D21" t="inlineStr">
        <is>
          <t xml:space="preserve">Article</t>
        </is>
      </c>
      <c r="E21" t="inlineStr">
        <is>
          <t xml:space="preserve">OHADA</t>
        </is>
      </c>
      <c r="F21" t="inlineStr">
        <is>
          <t xml:space="preserve">Oui</t>
        </is>
      </c>
    </row>
    <row r="22">
      <c r="A22" t="inlineStr">
        <is>
          <t xml:space="preserve">708a</t>
        </is>
      </c>
      <c r="B22" t="inlineStr">
        <is>
          <t xml:space="preserve">Cafétéria / buvette</t>
        </is>
      </c>
      <c r="C22" t="inlineStr">
        <is>
          <t xml:space="preserve">Recette</t>
        </is>
      </c>
      <c r="D22" t="inlineStr">
        <is>
          <t xml:space="preserve">Sous-article</t>
        </is>
      </c>
      <c r="E22" t="inlineStr">
        <is>
          <t xml:space="preserve">EMSP</t>
        </is>
      </c>
      <c r="F22" t="inlineStr">
        <is>
          <t xml:space="preserve">Oui</t>
        </is>
      </c>
    </row>
    <row r="23">
      <c r="A23" t="inlineStr">
        <is>
          <t xml:space="preserve">708b</t>
        </is>
      </c>
      <c r="B23" t="inlineStr">
        <is>
          <t xml:space="preserve">Photocopies / polycopies des cours</t>
        </is>
      </c>
      <c r="C23" t="inlineStr">
        <is>
          <t xml:space="preserve">Recette</t>
        </is>
      </c>
      <c r="D23" t="inlineStr">
        <is>
          <t xml:space="preserve">Sous-article</t>
        </is>
      </c>
      <c r="E23" t="inlineStr">
        <is>
          <t xml:space="preserve">EMSP</t>
        </is>
      </c>
      <c r="F23" t="inlineStr">
        <is>
          <t xml:space="preserve">Oui</t>
        </is>
      </c>
    </row>
    <row r="24">
      <c r="A24" t="inlineStr">
        <is>
          <t xml:space="preserve">708c</t>
        </is>
      </c>
      <c r="B24" t="inlineStr">
        <is>
          <t xml:space="preserve">Attestation de passage</t>
        </is>
      </c>
      <c r="C24" t="inlineStr">
        <is>
          <t xml:space="preserve">Recette</t>
        </is>
      </c>
      <c r="D24" t="inlineStr">
        <is>
          <t xml:space="preserve">Sous-article</t>
        </is>
      </c>
      <c r="E24" t="inlineStr">
        <is>
          <t xml:space="preserve">EMSP</t>
        </is>
      </c>
      <c r="F24" t="inlineStr">
        <is>
          <t xml:space="preserve">Oui</t>
        </is>
      </c>
    </row>
    <row r="25">
      <c r="A25" t="inlineStr">
        <is>
          <t xml:space="preserve">708d</t>
        </is>
      </c>
      <c r="B25" t="inlineStr">
        <is>
          <t xml:space="preserve">Certification de scolarité</t>
        </is>
      </c>
      <c r="C25" t="inlineStr">
        <is>
          <t xml:space="preserve">Recette</t>
        </is>
      </c>
      <c r="D25" t="inlineStr">
        <is>
          <t xml:space="preserve">Sous-article</t>
        </is>
      </c>
      <c r="E25" t="inlineStr">
        <is>
          <t xml:space="preserve">EMSP</t>
        </is>
      </c>
      <c r="F25" t="inlineStr">
        <is>
          <t xml:space="preserve">Oui</t>
        </is>
      </c>
    </row>
    <row r="26">
      <c r="A26" t="inlineStr">
        <is>
          <t xml:space="preserve">711</t>
        </is>
      </c>
      <c r="B26" t="inlineStr">
        <is>
          <t xml:space="preserve">Sur Produits A L'Exportation</t>
        </is>
      </c>
      <c r="C26" t="inlineStr">
        <is>
          <t xml:space="preserve">Recette</t>
        </is>
      </c>
      <c r="D26" t="inlineStr">
        <is>
          <t xml:space="preserve">Article</t>
        </is>
      </c>
      <c r="E26" t="inlineStr">
        <is>
          <t xml:space="preserve">OHADA</t>
        </is>
      </c>
      <c r="F26" t="inlineStr">
        <is>
          <t xml:space="preserve">Non</t>
        </is>
      </c>
    </row>
    <row r="27">
      <c r="A27" t="inlineStr">
        <is>
          <t xml:space="preserve">712</t>
        </is>
      </c>
      <c r="B27" t="inlineStr">
        <is>
          <t xml:space="preserve">Sur Produits A L'Importation</t>
        </is>
      </c>
      <c r="C27" t="inlineStr">
        <is>
          <t xml:space="preserve">Recette</t>
        </is>
      </c>
      <c r="D27" t="inlineStr">
        <is>
          <t xml:space="preserve">Article</t>
        </is>
      </c>
      <c r="E27" t="inlineStr">
        <is>
          <t xml:space="preserve">OHADA</t>
        </is>
      </c>
      <c r="F27" t="inlineStr">
        <is>
          <t xml:space="preserve">Non</t>
        </is>
      </c>
    </row>
    <row r="28">
      <c r="A28" t="inlineStr">
        <is>
          <t xml:space="preserve">713</t>
        </is>
      </c>
      <c r="B28" t="inlineStr">
        <is>
          <t xml:space="preserve">Sur Produits De Perequation</t>
        </is>
      </c>
      <c r="C28" t="inlineStr">
        <is>
          <t xml:space="preserve">Recette</t>
        </is>
      </c>
      <c r="D28" t="inlineStr">
        <is>
          <t xml:space="preserve">Article</t>
        </is>
      </c>
      <c r="E28" t="inlineStr">
        <is>
          <t xml:space="preserve">OHADA</t>
        </is>
      </c>
      <c r="F28" t="inlineStr">
        <is>
          <t xml:space="preserve">Non</t>
        </is>
      </c>
    </row>
    <row r="29">
      <c r="A29" t="inlineStr">
        <is>
          <t xml:space="preserve">718</t>
        </is>
      </c>
      <c r="B29" t="inlineStr">
        <is>
          <t xml:space="preserve">Autres Subventions D'Exploitation</t>
        </is>
      </c>
      <c r="C29" t="inlineStr">
        <is>
          <t xml:space="preserve">Recette</t>
        </is>
      </c>
      <c r="D29" t="inlineStr">
        <is>
          <t xml:space="preserve">Article</t>
        </is>
      </c>
      <c r="E29" t="inlineStr">
        <is>
          <t xml:space="preserve">OHADA</t>
        </is>
      </c>
      <c r="F29" t="inlineStr">
        <is>
          <t xml:space="preserve">Non</t>
        </is>
      </c>
    </row>
    <row r="30">
      <c r="A30" t="inlineStr">
        <is>
          <t xml:space="preserve">721</t>
        </is>
      </c>
      <c r="B30" t="inlineStr">
        <is>
          <t xml:space="preserve">Immobilisations Incorporelles</t>
        </is>
      </c>
      <c r="C30" t="inlineStr">
        <is>
          <t xml:space="preserve">Recette</t>
        </is>
      </c>
      <c r="D30" t="inlineStr">
        <is>
          <t xml:space="preserve">Article</t>
        </is>
      </c>
      <c r="E30" t="inlineStr">
        <is>
          <t xml:space="preserve">OHADA</t>
        </is>
      </c>
      <c r="F30" t="inlineStr">
        <is>
          <t xml:space="preserve">Non</t>
        </is>
      </c>
    </row>
    <row r="31">
      <c r="A31" t="inlineStr">
        <is>
          <t xml:space="preserve">722</t>
        </is>
      </c>
      <c r="B31" t="inlineStr">
        <is>
          <t xml:space="preserve">Immobilisations Corporelles</t>
        </is>
      </c>
      <c r="C31" t="inlineStr">
        <is>
          <t xml:space="preserve">Recette</t>
        </is>
      </c>
      <c r="D31" t="inlineStr">
        <is>
          <t xml:space="preserve">Article</t>
        </is>
      </c>
      <c r="E31" t="inlineStr">
        <is>
          <t xml:space="preserve">OHADA</t>
        </is>
      </c>
      <c r="F31" t="inlineStr">
        <is>
          <t xml:space="preserve">Non</t>
        </is>
      </c>
    </row>
    <row r="32">
      <c r="A32" t="inlineStr">
        <is>
          <t xml:space="preserve">726</t>
        </is>
      </c>
      <c r="B32" t="inlineStr">
        <is>
          <t xml:space="preserve">Immobilisations Financieres (')</t>
        </is>
      </c>
      <c r="C32" t="inlineStr">
        <is>
          <t xml:space="preserve">Recette</t>
        </is>
      </c>
      <c r="D32" t="inlineStr">
        <is>
          <t xml:space="preserve">Article</t>
        </is>
      </c>
      <c r="E32" t="inlineStr">
        <is>
          <t xml:space="preserve">OHADA</t>
        </is>
      </c>
      <c r="F32" t="inlineStr">
        <is>
          <t xml:space="preserve">Non</t>
        </is>
      </c>
    </row>
    <row r="33">
      <c r="A33" t="inlineStr">
        <is>
          <t xml:space="preserve">734</t>
        </is>
      </c>
      <c r="B33" t="inlineStr">
        <is>
          <t xml:space="preserve">Variations Des Stocks De Produits En Cours</t>
        </is>
      </c>
      <c r="C33" t="inlineStr">
        <is>
          <t xml:space="preserve">Recette</t>
        </is>
      </c>
      <c r="D33" t="inlineStr">
        <is>
          <t xml:space="preserve">Article</t>
        </is>
      </c>
      <c r="E33" t="inlineStr">
        <is>
          <t xml:space="preserve">OHADA</t>
        </is>
      </c>
      <c r="F33" t="inlineStr">
        <is>
          <t xml:space="preserve">Non</t>
        </is>
      </c>
    </row>
    <row r="34">
      <c r="A34" t="inlineStr">
        <is>
          <t xml:space="preserve">735</t>
        </is>
      </c>
      <c r="B34" t="inlineStr">
        <is>
          <t xml:space="preserve">Variations Des En-Cours De Services</t>
        </is>
      </c>
      <c r="C34" t="inlineStr">
        <is>
          <t xml:space="preserve">Recette</t>
        </is>
      </c>
      <c r="D34" t="inlineStr">
        <is>
          <t xml:space="preserve">Article</t>
        </is>
      </c>
      <c r="E34" t="inlineStr">
        <is>
          <t xml:space="preserve">OHADA</t>
        </is>
      </c>
      <c r="F34" t="inlineStr">
        <is>
          <t xml:space="preserve">Non</t>
        </is>
      </c>
    </row>
    <row r="35">
      <c r="A35" t="inlineStr">
        <is>
          <t xml:space="preserve">736</t>
        </is>
      </c>
      <c r="B35" t="inlineStr">
        <is>
          <t xml:space="preserve">Variations Des Stocks De Produits Finis</t>
        </is>
      </c>
      <c r="C35" t="inlineStr">
        <is>
          <t xml:space="preserve">Recette</t>
        </is>
      </c>
      <c r="D35" t="inlineStr">
        <is>
          <t xml:space="preserve">Article</t>
        </is>
      </c>
      <c r="E35" t="inlineStr">
        <is>
          <t xml:space="preserve">OHADA</t>
        </is>
      </c>
      <c r="F35" t="inlineStr">
        <is>
          <t xml:space="preserve">Non</t>
        </is>
      </c>
    </row>
    <row r="36">
      <c r="A36" t="inlineStr">
        <is>
          <t xml:space="preserve">737</t>
        </is>
      </c>
      <c r="B36" t="inlineStr">
        <is>
          <t xml:space="preserve">Variations Des Stocks De Produits Intermediaires Et Residuels</t>
        </is>
      </c>
      <c r="C36" t="inlineStr">
        <is>
          <t xml:space="preserve">Recette</t>
        </is>
      </c>
      <c r="D36" t="inlineStr">
        <is>
          <t xml:space="preserve">Article</t>
        </is>
      </c>
      <c r="E36" t="inlineStr">
        <is>
          <t xml:space="preserve">OHADA</t>
        </is>
      </c>
      <c r="F36" t="inlineStr">
        <is>
          <t xml:space="preserve">Non</t>
        </is>
      </c>
    </row>
    <row r="37">
      <c r="A37" t="inlineStr">
        <is>
          <t xml:space="preserve">741</t>
        </is>
      </c>
      <c r="B37" t="inlineStr">
        <is>
          <t xml:space="preserve">État (subvention budget, TCR, RAU)</t>
        </is>
      </c>
      <c r="C37" t="inlineStr">
        <is>
          <t xml:space="preserve">Recette</t>
        </is>
      </c>
      <c r="D37" t="inlineStr">
        <is>
          <t xml:space="preserve">Article</t>
        </is>
      </c>
      <c r="E37" t="inlineStr">
        <is>
          <t xml:space="preserve">OHADA</t>
        </is>
      </c>
      <c r="F37" t="inlineStr">
        <is>
          <t xml:space="preserve">Oui</t>
        </is>
      </c>
    </row>
    <row r="38">
      <c r="A38" t="inlineStr">
        <is>
          <t xml:space="preserve">744</t>
        </is>
      </c>
      <c r="B38" t="inlineStr">
        <is>
          <t xml:space="preserve">Collectivités locales</t>
        </is>
      </c>
      <c r="C38" t="inlineStr">
        <is>
          <t xml:space="preserve">Recette</t>
        </is>
      </c>
      <c r="D38" t="inlineStr">
        <is>
          <t xml:space="preserve">Article</t>
        </is>
      </c>
      <c r="E38" t="inlineStr">
        <is>
          <t xml:space="preserve">OHADA</t>
        </is>
      </c>
      <c r="F38" t="inlineStr">
        <is>
          <t xml:space="preserve">Oui</t>
        </is>
      </c>
    </row>
    <row r="39">
      <c r="A39" t="inlineStr">
        <is>
          <t xml:space="preserve">752</t>
        </is>
      </c>
      <c r="B39" t="inlineStr">
        <is>
          <t xml:space="preserve">Quote-Part De Resultat Sur Operations Faites En Commun</t>
        </is>
      </c>
      <c r="C39" t="inlineStr">
        <is>
          <t xml:space="preserve">Recette</t>
        </is>
      </c>
      <c r="D39" t="inlineStr">
        <is>
          <t xml:space="preserve">Article</t>
        </is>
      </c>
      <c r="E39" t="inlineStr">
        <is>
          <t xml:space="preserve">OHADA</t>
        </is>
      </c>
      <c r="F39" t="inlineStr">
        <is>
          <t xml:space="preserve">Non</t>
        </is>
      </c>
    </row>
    <row r="40">
      <c r="A40" t="inlineStr">
        <is>
          <t xml:space="preserve">753</t>
        </is>
      </c>
      <c r="B40" t="inlineStr">
        <is>
          <t xml:space="preserve">Quote-Part De Resultat Sur Execution Partielle De Contrats</t>
        </is>
      </c>
      <c r="C40" t="inlineStr">
        <is>
          <t xml:space="preserve">Recette</t>
        </is>
      </c>
      <c r="D40" t="inlineStr">
        <is>
          <t xml:space="preserve">Article</t>
        </is>
      </c>
      <c r="E40" t="inlineStr">
        <is>
          <t xml:space="preserve">OHADA</t>
        </is>
      </c>
      <c r="F40" t="inlineStr">
        <is>
          <t xml:space="preserve">Non</t>
        </is>
      </c>
    </row>
    <row r="41">
      <c r="A41" t="inlineStr">
        <is>
          <t xml:space="preserve">754</t>
        </is>
      </c>
      <c r="B41" t="inlineStr">
        <is>
          <t xml:space="preserve">Produits Des Cessions Courantes D'Immobilisations</t>
        </is>
      </c>
      <c r="C41" t="inlineStr">
        <is>
          <t xml:space="preserve">Recette</t>
        </is>
      </c>
      <c r="D41" t="inlineStr">
        <is>
          <t xml:space="preserve">Article</t>
        </is>
      </c>
      <c r="E41" t="inlineStr">
        <is>
          <t xml:space="preserve">OHADA</t>
        </is>
      </c>
      <c r="F41" t="inlineStr">
        <is>
          <t xml:space="preserve">Non</t>
        </is>
      </c>
    </row>
    <row r="42">
      <c r="A42" t="inlineStr">
        <is>
          <t xml:space="preserve">758</t>
        </is>
      </c>
      <c r="B42" t="inlineStr">
        <is>
          <t xml:space="preserve">Produits Divers</t>
        </is>
      </c>
      <c r="C42" t="inlineStr">
        <is>
          <t xml:space="preserve">Recette</t>
        </is>
      </c>
      <c r="D42" t="inlineStr">
        <is>
          <t xml:space="preserve">Article</t>
        </is>
      </c>
      <c r="E42" t="inlineStr">
        <is>
          <t xml:space="preserve">OHADA</t>
        </is>
      </c>
      <c r="F42" t="inlineStr">
        <is>
          <t xml:space="preserve">Non</t>
        </is>
      </c>
    </row>
    <row r="43">
      <c r="A43" t="inlineStr">
        <is>
          <t xml:space="preserve">759</t>
        </is>
      </c>
      <c r="B43" t="inlineStr">
        <is>
          <t xml:space="preserve">Reprises De Charges Provisionnees D'Exploitation</t>
        </is>
      </c>
      <c r="C43" t="inlineStr">
        <is>
          <t xml:space="preserve">Recette</t>
        </is>
      </c>
      <c r="D43" t="inlineStr">
        <is>
          <t xml:space="preserve">Article</t>
        </is>
      </c>
      <c r="E43" t="inlineStr">
        <is>
          <t xml:space="preserve">OHADA</t>
        </is>
      </c>
      <c r="F43" t="inlineStr">
        <is>
          <t xml:space="preserve">Non</t>
        </is>
      </c>
    </row>
    <row r="44">
      <c r="A44" t="inlineStr">
        <is>
          <t xml:space="preserve">771</t>
        </is>
      </c>
      <c r="B44" t="inlineStr">
        <is>
          <t xml:space="preserve">Interets De Prets</t>
        </is>
      </c>
      <c r="C44" t="inlineStr">
        <is>
          <t xml:space="preserve">Recette</t>
        </is>
      </c>
      <c r="D44" t="inlineStr">
        <is>
          <t xml:space="preserve">Article</t>
        </is>
      </c>
      <c r="E44" t="inlineStr">
        <is>
          <t xml:space="preserve">OHADA</t>
        </is>
      </c>
      <c r="F44" t="inlineStr">
        <is>
          <t xml:space="preserve">Non</t>
        </is>
      </c>
    </row>
    <row r="45">
      <c r="A45" t="inlineStr">
        <is>
          <t xml:space="preserve">772</t>
        </is>
      </c>
      <c r="B45" t="inlineStr">
        <is>
          <t xml:space="preserve">Revenus De Participations</t>
        </is>
      </c>
      <c r="C45" t="inlineStr">
        <is>
          <t xml:space="preserve">Recette</t>
        </is>
      </c>
      <c r="D45" t="inlineStr">
        <is>
          <t xml:space="preserve">Article</t>
        </is>
      </c>
      <c r="E45" t="inlineStr">
        <is>
          <t xml:space="preserve">OHADA</t>
        </is>
      </c>
      <c r="F45" t="inlineStr">
        <is>
          <t xml:space="preserve">Non</t>
        </is>
      </c>
    </row>
    <row r="46">
      <c r="A46" t="inlineStr">
        <is>
          <t xml:space="preserve">774</t>
        </is>
      </c>
      <c r="B46" t="inlineStr">
        <is>
          <t xml:space="preserve">Revenus De Titres De Placement</t>
        </is>
      </c>
      <c r="C46" t="inlineStr">
        <is>
          <t xml:space="preserve">Recette</t>
        </is>
      </c>
      <c r="D46" t="inlineStr">
        <is>
          <t xml:space="preserve">Article</t>
        </is>
      </c>
      <c r="E46" t="inlineStr">
        <is>
          <t xml:space="preserve">OHADA</t>
        </is>
      </c>
      <c r="F46" t="inlineStr">
        <is>
          <t xml:space="preserve">Non</t>
        </is>
      </c>
    </row>
    <row r="47">
      <c r="A47" t="inlineStr">
        <is>
          <t xml:space="preserve">776</t>
        </is>
      </c>
      <c r="B47" t="inlineStr">
        <is>
          <t xml:space="preserve">Gains De Change</t>
        </is>
      </c>
      <c r="C47" t="inlineStr">
        <is>
          <t xml:space="preserve">Recette</t>
        </is>
      </c>
      <c r="D47" t="inlineStr">
        <is>
          <t xml:space="preserve">Article</t>
        </is>
      </c>
      <c r="E47" t="inlineStr">
        <is>
          <t xml:space="preserve">OHADA</t>
        </is>
      </c>
      <c r="F47" t="inlineStr">
        <is>
          <t xml:space="preserve">Non</t>
        </is>
      </c>
    </row>
    <row r="48">
      <c r="A48" t="inlineStr">
        <is>
          <t xml:space="preserve">777</t>
        </is>
      </c>
      <c r="B48" t="inlineStr">
        <is>
          <t xml:space="preserve">Gains Sur Cessions De Titres De Placement</t>
        </is>
      </c>
      <c r="C48" t="inlineStr">
        <is>
          <t xml:space="preserve">Recette</t>
        </is>
      </c>
      <c r="D48" t="inlineStr">
        <is>
          <t xml:space="preserve">Article</t>
        </is>
      </c>
      <c r="E48" t="inlineStr">
        <is>
          <t xml:space="preserve">OHADA</t>
        </is>
      </c>
      <c r="F48" t="inlineStr">
        <is>
          <t xml:space="preserve">Non</t>
        </is>
      </c>
    </row>
    <row r="49">
      <c r="A49" t="inlineStr">
        <is>
          <t xml:space="preserve">778</t>
        </is>
      </c>
      <c r="B49" t="inlineStr">
        <is>
          <t xml:space="preserve">Gains Sur Risques Financiers</t>
        </is>
      </c>
      <c r="C49" t="inlineStr">
        <is>
          <t xml:space="preserve">Recette</t>
        </is>
      </c>
      <c r="D49" t="inlineStr">
        <is>
          <t xml:space="preserve">Article</t>
        </is>
      </c>
      <c r="E49" t="inlineStr">
        <is>
          <t xml:space="preserve">OHADA</t>
        </is>
      </c>
      <c r="F49" t="inlineStr">
        <is>
          <t xml:space="preserve">Non</t>
        </is>
      </c>
    </row>
    <row r="50">
      <c r="A50" t="inlineStr">
        <is>
          <t xml:space="preserve">779</t>
        </is>
      </c>
      <c r="B50" t="inlineStr">
        <is>
          <t xml:space="preserve">Reprises De Charges Provisionnees Financieres</t>
        </is>
      </c>
      <c r="C50" t="inlineStr">
        <is>
          <t xml:space="preserve">Recette</t>
        </is>
      </c>
      <c r="D50" t="inlineStr">
        <is>
          <t xml:space="preserve">Article</t>
        </is>
      </c>
      <c r="E50" t="inlineStr">
        <is>
          <t xml:space="preserve">OHADA</t>
        </is>
      </c>
      <c r="F50" t="inlineStr">
        <is>
          <t xml:space="preserve">Non</t>
        </is>
      </c>
    </row>
    <row r="51">
      <c r="A51" t="inlineStr">
        <is>
          <t xml:space="preserve">781</t>
        </is>
      </c>
      <c r="B51" t="inlineStr">
        <is>
          <t xml:space="preserve">Transferts De Charges D'Exploitation</t>
        </is>
      </c>
      <c r="C51" t="inlineStr">
        <is>
          <t xml:space="preserve">Recette</t>
        </is>
      </c>
      <c r="D51" t="inlineStr">
        <is>
          <t xml:space="preserve">Article</t>
        </is>
      </c>
      <c r="E51" t="inlineStr">
        <is>
          <t xml:space="preserve">OHADA</t>
        </is>
      </c>
      <c r="F51" t="inlineStr">
        <is>
          <t xml:space="preserve">Non</t>
        </is>
      </c>
    </row>
    <row r="52">
      <c r="A52" t="inlineStr">
        <is>
          <t xml:space="preserve">787</t>
        </is>
      </c>
      <c r="B52" t="inlineStr">
        <is>
          <t xml:space="preserve">Transferts De Charges Financieres</t>
        </is>
      </c>
      <c r="C52" t="inlineStr">
        <is>
          <t xml:space="preserve">Recette</t>
        </is>
      </c>
      <c r="D52" t="inlineStr">
        <is>
          <t xml:space="preserve">Article</t>
        </is>
      </c>
      <c r="E52" t="inlineStr">
        <is>
          <t xml:space="preserve">OHADA</t>
        </is>
      </c>
      <c r="F52" t="inlineStr">
        <is>
          <t xml:space="preserve">Non</t>
        </is>
      </c>
    </row>
    <row r="53">
      <c r="A53" t="inlineStr">
        <is>
          <t xml:space="preserve">791</t>
        </is>
      </c>
      <c r="B53" t="inlineStr">
        <is>
          <t xml:space="preserve">Reprises De Provisions D'Exploitation</t>
        </is>
      </c>
      <c r="C53" t="inlineStr">
        <is>
          <t xml:space="preserve">Recette</t>
        </is>
      </c>
      <c r="D53" t="inlineStr">
        <is>
          <t xml:space="preserve">Article</t>
        </is>
      </c>
      <c r="E53" t="inlineStr">
        <is>
          <t xml:space="preserve">OHADA</t>
        </is>
      </c>
      <c r="F53" t="inlineStr">
        <is>
          <t xml:space="preserve">Non</t>
        </is>
      </c>
    </row>
    <row r="54">
      <c r="A54" t="inlineStr">
        <is>
          <t xml:space="preserve">797</t>
        </is>
      </c>
      <c r="B54" t="inlineStr">
        <is>
          <t xml:space="preserve">Reprises De Provisions Financieres</t>
        </is>
      </c>
      <c r="C54" t="inlineStr">
        <is>
          <t xml:space="preserve">Recette</t>
        </is>
      </c>
      <c r="D54" t="inlineStr">
        <is>
          <t xml:space="preserve">Article</t>
        </is>
      </c>
      <c r="E54" t="inlineStr">
        <is>
          <t xml:space="preserve">OHADA</t>
        </is>
      </c>
      <c r="F54" t="inlineStr">
        <is>
          <t xml:space="preserve">Non</t>
        </is>
      </c>
    </row>
    <row r="55">
      <c r="A55" t="inlineStr">
        <is>
          <t xml:space="preserve">798</t>
        </is>
      </c>
      <c r="B55" t="inlineStr">
        <is>
          <t xml:space="preserve">Reprises D'Amortissements (')</t>
        </is>
      </c>
      <c r="C55" t="inlineStr">
        <is>
          <t xml:space="preserve">Recette</t>
        </is>
      </c>
      <c r="D55" t="inlineStr">
        <is>
          <t xml:space="preserve">Article</t>
        </is>
      </c>
      <c r="E55" t="inlineStr">
        <is>
          <t xml:space="preserve">OHADA</t>
        </is>
      </c>
      <c r="F55" t="inlineStr">
        <is>
          <t xml:space="preserve">Non</t>
        </is>
      </c>
    </row>
    <row r="56">
      <c r="A56" t="inlineStr">
        <is>
          <t xml:space="preserve">60</t>
        </is>
      </c>
      <c r="B56" t="inlineStr">
        <is>
          <t xml:space="preserve">Achats et variations de stocks</t>
        </is>
      </c>
      <c r="C56" t="inlineStr">
        <is>
          <t xml:space="preserve">Depense</t>
        </is>
      </c>
      <c r="D56" t="inlineStr">
        <is>
          <t xml:space="preserve">Chapitre</t>
        </is>
      </c>
      <c r="E56" t="inlineStr">
        <is>
          <t xml:space="preserve">OHADA</t>
        </is>
      </c>
      <c r="F56" t="inlineStr">
        <is>
          <t xml:space="preserve">Oui</t>
        </is>
      </c>
    </row>
    <row r="57">
      <c r="A57" t="inlineStr">
        <is>
          <t xml:space="preserve">61</t>
        </is>
      </c>
      <c r="B57" t="inlineStr">
        <is>
          <t xml:space="preserve">Services extérieurs</t>
        </is>
      </c>
      <c r="C57" t="inlineStr">
        <is>
          <t xml:space="preserve">Depense</t>
        </is>
      </c>
      <c r="D57" t="inlineStr">
        <is>
          <t xml:space="preserve">Chapitre</t>
        </is>
      </c>
      <c r="E57" t="inlineStr">
        <is>
          <t xml:space="preserve">OHADA</t>
        </is>
      </c>
      <c r="F57" t="inlineStr">
        <is>
          <t xml:space="preserve">Oui</t>
        </is>
      </c>
    </row>
    <row r="58">
      <c r="A58" t="inlineStr">
        <is>
          <t xml:space="preserve">62</t>
        </is>
      </c>
      <c r="B58" t="inlineStr">
        <is>
          <t xml:space="preserve">Autres services extérieurs</t>
        </is>
      </c>
      <c r="C58" t="inlineStr">
        <is>
          <t xml:space="preserve">Depense</t>
        </is>
      </c>
      <c r="D58" t="inlineStr">
        <is>
          <t xml:space="preserve">Chapitre</t>
        </is>
      </c>
      <c r="E58" t="inlineStr">
        <is>
          <t xml:space="preserve">OHADA</t>
        </is>
      </c>
      <c r="F58" t="inlineStr">
        <is>
          <t xml:space="preserve">Oui</t>
        </is>
      </c>
    </row>
    <row r="59">
      <c r="A59" t="inlineStr">
        <is>
          <t xml:space="preserve">63</t>
        </is>
      </c>
      <c r="B59" t="inlineStr">
        <is>
          <t xml:space="preserve">Services Exterieurs B</t>
        </is>
      </c>
      <c r="C59" t="inlineStr">
        <is>
          <t xml:space="preserve">Depense</t>
        </is>
      </c>
      <c r="D59" t="inlineStr">
        <is>
          <t xml:space="preserve">Chapitre</t>
        </is>
      </c>
      <c r="E59" t="inlineStr">
        <is>
          <t xml:space="preserve">OHADA</t>
        </is>
      </c>
      <c r="F59" t="inlineStr">
        <is>
          <t xml:space="preserve">Non</t>
        </is>
      </c>
    </row>
    <row r="60">
      <c r="A60" t="inlineStr">
        <is>
          <t xml:space="preserve">64</t>
        </is>
      </c>
      <c r="B60" t="inlineStr">
        <is>
          <t xml:space="preserve">Charges de personnel</t>
        </is>
      </c>
      <c r="C60" t="inlineStr">
        <is>
          <t xml:space="preserve">Depense</t>
        </is>
      </c>
      <c r="D60" t="inlineStr">
        <is>
          <t xml:space="preserve">Chapitre</t>
        </is>
      </c>
      <c r="E60" t="inlineStr">
        <is>
          <t xml:space="preserve">OHADA</t>
        </is>
      </c>
      <c r="F60" t="inlineStr">
        <is>
          <t xml:space="preserve">Oui</t>
        </is>
      </c>
    </row>
    <row r="61">
      <c r="A61" t="inlineStr">
        <is>
          <t xml:space="preserve">65</t>
        </is>
      </c>
      <c r="B61" t="inlineStr">
        <is>
          <t xml:space="preserve">Autres charges de gestion courante</t>
        </is>
      </c>
      <c r="C61" t="inlineStr">
        <is>
          <t xml:space="preserve">Depense</t>
        </is>
      </c>
      <c r="D61" t="inlineStr">
        <is>
          <t xml:space="preserve">Chapitre</t>
        </is>
      </c>
      <c r="E61" t="inlineStr">
        <is>
          <t xml:space="preserve">OHADA</t>
        </is>
      </c>
      <c r="F61" t="inlineStr">
        <is>
          <t xml:space="preserve">Oui</t>
        </is>
      </c>
    </row>
    <row r="62">
      <c r="A62" t="inlineStr">
        <is>
          <t xml:space="preserve">66</t>
        </is>
      </c>
      <c r="B62" t="inlineStr">
        <is>
          <t xml:space="preserve">Charges financières</t>
        </is>
      </c>
      <c r="C62" t="inlineStr">
        <is>
          <t xml:space="preserve">Depense</t>
        </is>
      </c>
      <c r="D62" t="inlineStr">
        <is>
          <t xml:space="preserve">Chapitre</t>
        </is>
      </c>
      <c r="E62" t="inlineStr">
        <is>
          <t xml:space="preserve">OHADA</t>
        </is>
      </c>
      <c r="F62" t="inlineStr">
        <is>
          <t xml:space="preserve">Oui</t>
        </is>
      </c>
    </row>
    <row r="63">
      <c r="A63" t="inlineStr">
        <is>
          <t xml:space="preserve">67</t>
        </is>
      </c>
      <c r="B63" t="inlineStr">
        <is>
          <t xml:space="preserve">Charges exceptionnelles</t>
        </is>
      </c>
      <c r="C63" t="inlineStr">
        <is>
          <t xml:space="preserve">Depense</t>
        </is>
      </c>
      <c r="D63" t="inlineStr">
        <is>
          <t xml:space="preserve">Chapitre</t>
        </is>
      </c>
      <c r="E63" t="inlineStr">
        <is>
          <t xml:space="preserve">OHADA</t>
        </is>
      </c>
      <c r="F63" t="inlineStr">
        <is>
          <t xml:space="preserve">Oui</t>
        </is>
      </c>
    </row>
    <row r="64">
      <c r="A64" t="inlineStr">
        <is>
          <t xml:space="preserve">68</t>
        </is>
      </c>
      <c r="B64" t="inlineStr">
        <is>
          <t xml:space="preserve">Dotations Aux Amortissements</t>
        </is>
      </c>
      <c r="C64" t="inlineStr">
        <is>
          <t xml:space="preserve">Depense</t>
        </is>
      </c>
      <c r="D64" t="inlineStr">
        <is>
          <t xml:space="preserve">Chapitre</t>
        </is>
      </c>
      <c r="E64" t="inlineStr">
        <is>
          <t xml:space="preserve">OHADA</t>
        </is>
      </c>
      <c r="F64" t="inlineStr">
        <is>
          <t xml:space="preserve">Non</t>
        </is>
      </c>
    </row>
    <row r="65">
      <c r="A65" t="inlineStr">
        <is>
          <t xml:space="preserve">69</t>
        </is>
      </c>
      <c r="B65" t="inlineStr">
        <is>
          <t xml:space="preserve">Dotations Aux Provisions</t>
        </is>
      </c>
      <c r="C65" t="inlineStr">
        <is>
          <t xml:space="preserve">Depense</t>
        </is>
      </c>
      <c r="D65" t="inlineStr">
        <is>
          <t xml:space="preserve">Chapitre</t>
        </is>
      </c>
      <c r="E65" t="inlineStr">
        <is>
          <t xml:space="preserve">OHADA</t>
        </is>
      </c>
      <c r="F65" t="inlineStr">
        <is>
          <t xml:space="preserve">Non</t>
        </is>
      </c>
    </row>
    <row r="66">
      <c r="A66" t="inlineStr">
        <is>
          <t xml:space="preserve">601</t>
        </is>
      </c>
      <c r="B66" t="inlineStr">
        <is>
          <t xml:space="preserve">Achats De Marchandises</t>
        </is>
      </c>
      <c r="C66" t="inlineStr">
        <is>
          <t xml:space="preserve">Depense</t>
        </is>
      </c>
      <c r="D66" t="inlineStr">
        <is>
          <t xml:space="preserve">Article</t>
        </is>
      </c>
      <c r="E66" t="inlineStr">
        <is>
          <t xml:space="preserve">OHADA</t>
        </is>
      </c>
      <c r="F66" t="inlineStr">
        <is>
          <t xml:space="preserve">Non</t>
        </is>
      </c>
    </row>
    <row r="67">
      <c r="A67" t="inlineStr">
        <is>
          <t xml:space="preserve">602</t>
        </is>
      </c>
      <c r="B67" t="inlineStr">
        <is>
          <t xml:space="preserve">Achats stockés – autres approvisionnements</t>
        </is>
      </c>
      <c r="C67" t="inlineStr">
        <is>
          <t xml:space="preserve">Depense</t>
        </is>
      </c>
      <c r="D67" t="inlineStr">
        <is>
          <t xml:space="preserve">Article</t>
        </is>
      </c>
      <c r="E67" t="inlineStr">
        <is>
          <t xml:space="preserve">OHADA</t>
        </is>
      </c>
      <c r="F67" t="inlineStr">
        <is>
          <t xml:space="preserve">Oui</t>
        </is>
      </c>
    </row>
    <row r="68">
      <c r="A68" t="inlineStr">
        <is>
          <t xml:space="preserve">603</t>
        </is>
      </c>
      <c r="B68" t="inlineStr">
        <is>
          <t xml:space="preserve">Variations Des Stocks De Biens Achetes</t>
        </is>
      </c>
      <c r="C68" t="inlineStr">
        <is>
          <t xml:space="preserve">Depense</t>
        </is>
      </c>
      <c r="D68" t="inlineStr">
        <is>
          <t xml:space="preserve">Article</t>
        </is>
      </c>
      <c r="E68" t="inlineStr">
        <is>
          <t xml:space="preserve">OHADA</t>
        </is>
      </c>
      <c r="F68" t="inlineStr">
        <is>
          <t xml:space="preserve">Non</t>
        </is>
      </c>
    </row>
    <row r="69">
      <c r="A69" t="inlineStr">
        <is>
          <t xml:space="preserve">604</t>
        </is>
      </c>
      <c r="B69" t="inlineStr">
        <is>
          <t xml:space="preserve">Achat d'études et de prestations de services</t>
        </is>
      </c>
      <c r="C69" t="inlineStr">
        <is>
          <t xml:space="preserve">Depense</t>
        </is>
      </c>
      <c r="D69" t="inlineStr">
        <is>
          <t xml:space="preserve">Article</t>
        </is>
      </c>
      <c r="E69" t="inlineStr">
        <is>
          <t xml:space="preserve">OHADA</t>
        </is>
      </c>
      <c r="F69" t="inlineStr">
        <is>
          <t xml:space="preserve">Oui</t>
        </is>
      </c>
    </row>
    <row r="70">
      <c r="A70" t="inlineStr">
        <is>
          <t xml:space="preserve">605</t>
        </is>
      </c>
      <c r="B70" t="inlineStr">
        <is>
          <t xml:space="preserve">Achat de matériel — petit matériel</t>
        </is>
      </c>
      <c r="C70" t="inlineStr">
        <is>
          <t xml:space="preserve">Depense</t>
        </is>
      </c>
      <c r="D70" t="inlineStr">
        <is>
          <t xml:space="preserve">Article</t>
        </is>
      </c>
      <c r="E70" t="inlineStr">
        <is>
          <t xml:space="preserve">OHADA</t>
        </is>
      </c>
      <c r="F70" t="inlineStr">
        <is>
          <t xml:space="preserve">Oui</t>
        </is>
      </c>
    </row>
    <row r="71">
      <c r="A71" t="inlineStr">
        <is>
          <t xml:space="preserve">605A</t>
        </is>
      </c>
      <c r="B71" t="inlineStr">
        <is>
          <t xml:space="preserve">Matériel didactique et pédagogique</t>
        </is>
      </c>
      <c r="C71" t="inlineStr">
        <is>
          <t xml:space="preserve">Depense</t>
        </is>
      </c>
      <c r="D71" t="inlineStr">
        <is>
          <t xml:space="preserve">Sous-article</t>
        </is>
      </c>
      <c r="E71" t="inlineStr">
        <is>
          <t xml:space="preserve">EMSP</t>
        </is>
      </c>
      <c r="F71" t="inlineStr">
        <is>
          <t xml:space="preserve">Oui</t>
        </is>
      </c>
    </row>
    <row r="72">
      <c r="A72" t="inlineStr">
        <is>
          <t xml:space="preserve">606</t>
        </is>
      </c>
      <c r="B72" t="inlineStr">
        <is>
          <t xml:space="preserve">Achats non stockés de matières et fournitures</t>
        </is>
      </c>
      <c r="C72" t="inlineStr">
        <is>
          <t xml:space="preserve">Depense</t>
        </is>
      </c>
      <c r="D72" t="inlineStr">
        <is>
          <t xml:space="preserve">Article</t>
        </is>
      </c>
      <c r="E72" t="inlineStr">
        <is>
          <t xml:space="preserve">OHADA</t>
        </is>
      </c>
      <c r="F72" t="inlineStr">
        <is>
          <t xml:space="preserve">Oui</t>
        </is>
      </c>
    </row>
    <row r="73">
      <c r="A73" t="inlineStr">
        <is>
          <t xml:space="preserve">613</t>
        </is>
      </c>
      <c r="B73" t="inlineStr">
        <is>
          <t xml:space="preserve">Locations</t>
        </is>
      </c>
      <c r="C73" t="inlineStr">
        <is>
          <t xml:space="preserve">Depense</t>
        </is>
      </c>
      <c r="D73" t="inlineStr">
        <is>
          <t xml:space="preserve">Article</t>
        </is>
      </c>
      <c r="E73" t="inlineStr">
        <is>
          <t xml:space="preserve">OHADA</t>
        </is>
      </c>
      <c r="F73" t="inlineStr">
        <is>
          <t xml:space="preserve">Oui</t>
        </is>
      </c>
    </row>
    <row r="74">
      <c r="A74" t="inlineStr">
        <is>
          <t xml:space="preserve">615</t>
        </is>
      </c>
      <c r="B74" t="inlineStr">
        <is>
          <t xml:space="preserve">Entretien et réparations</t>
        </is>
      </c>
      <c r="C74" t="inlineStr">
        <is>
          <t xml:space="preserve">Depense</t>
        </is>
      </c>
      <c r="D74" t="inlineStr">
        <is>
          <t xml:space="preserve">Article</t>
        </is>
      </c>
      <c r="E74" t="inlineStr">
        <is>
          <t xml:space="preserve">OHADA</t>
        </is>
      </c>
      <c r="F74" t="inlineStr">
        <is>
          <t xml:space="preserve">Oui</t>
        </is>
      </c>
    </row>
    <row r="75">
      <c r="A75" t="inlineStr">
        <is>
          <t xml:space="preserve">616</t>
        </is>
      </c>
      <c r="B75" t="inlineStr">
        <is>
          <t xml:space="preserve">Primes d'assurances</t>
        </is>
      </c>
      <c r="C75" t="inlineStr">
        <is>
          <t xml:space="preserve">Depense</t>
        </is>
      </c>
      <c r="D75" t="inlineStr">
        <is>
          <t xml:space="preserve">Article</t>
        </is>
      </c>
      <c r="E75" t="inlineStr">
        <is>
          <t xml:space="preserve">OHADA</t>
        </is>
      </c>
      <c r="F75" t="inlineStr">
        <is>
          <t xml:space="preserve">Oui</t>
        </is>
      </c>
    </row>
    <row r="76">
      <c r="A76" t="inlineStr">
        <is>
          <t xml:space="preserve">617</t>
        </is>
      </c>
      <c r="B76" t="inlineStr">
        <is>
          <t xml:space="preserve">Études et recherches / formation et recherche</t>
        </is>
      </c>
      <c r="C76" t="inlineStr">
        <is>
          <t xml:space="preserve">Depense</t>
        </is>
      </c>
      <c r="D76" t="inlineStr">
        <is>
          <t xml:space="preserve">Article</t>
        </is>
      </c>
      <c r="E76" t="inlineStr">
        <is>
          <t xml:space="preserve">OHADA</t>
        </is>
      </c>
      <c r="F76" t="inlineStr">
        <is>
          <t xml:space="preserve">Oui</t>
        </is>
      </c>
    </row>
    <row r="77">
      <c r="A77" t="inlineStr">
        <is>
          <t xml:space="preserve">617 (sorties)</t>
        </is>
      </c>
      <c r="B77" t="inlineStr">
        <is>
          <t xml:space="preserve">Frais de sorties pédagogiques</t>
        </is>
      </c>
      <c r="C77" t="inlineStr">
        <is>
          <t xml:space="preserve">Depense</t>
        </is>
      </c>
      <c r="D77" t="inlineStr">
        <is>
          <t xml:space="preserve">Sous-article</t>
        </is>
      </c>
      <c r="E77" t="inlineStr">
        <is>
          <t xml:space="preserve">EMSP</t>
        </is>
      </c>
      <c r="F77" t="inlineStr">
        <is>
          <t xml:space="preserve">Oui</t>
        </is>
      </c>
    </row>
    <row r="78">
      <c r="A78" t="inlineStr">
        <is>
          <t xml:space="preserve">617d</t>
        </is>
      </c>
      <c r="B78" t="inlineStr">
        <is>
          <t xml:space="preserve">Appui à la publication des travaux de recherche</t>
        </is>
      </c>
      <c r="C78" t="inlineStr">
        <is>
          <t xml:space="preserve">Depense</t>
        </is>
      </c>
      <c r="D78" t="inlineStr">
        <is>
          <t xml:space="preserve">Sous-article</t>
        </is>
      </c>
      <c r="E78" t="inlineStr">
        <is>
          <t xml:space="preserve">EMSP</t>
        </is>
      </c>
      <c r="F78" t="inlineStr">
        <is>
          <t xml:space="preserve">Oui</t>
        </is>
      </c>
    </row>
    <row r="79">
      <c r="A79" t="inlineStr">
        <is>
          <t xml:space="preserve">617e</t>
        </is>
      </c>
      <c r="B79" t="inlineStr">
        <is>
          <t xml:space="preserve">Indemnité d'encadrement</t>
        </is>
      </c>
      <c r="C79" t="inlineStr">
        <is>
          <t xml:space="preserve">Depense</t>
        </is>
      </c>
      <c r="D79" t="inlineStr">
        <is>
          <t xml:space="preserve">Sous-article</t>
        </is>
      </c>
      <c r="E79" t="inlineStr">
        <is>
          <t xml:space="preserve">EMSP</t>
        </is>
      </c>
      <c r="F79" t="inlineStr">
        <is>
          <t xml:space="preserve">Oui</t>
        </is>
      </c>
    </row>
    <row r="80">
      <c r="A80" t="inlineStr">
        <is>
          <t xml:space="preserve">618</t>
        </is>
      </c>
      <c r="B80" t="inlineStr">
        <is>
          <t xml:space="preserve">Divers — abonnement documentation et reprographie</t>
        </is>
      </c>
      <c r="C80" t="inlineStr">
        <is>
          <t xml:space="preserve">Depense</t>
        </is>
      </c>
      <c r="D80" t="inlineStr">
        <is>
          <t xml:space="preserve">Article</t>
        </is>
      </c>
      <c r="E80" t="inlineStr">
        <is>
          <t xml:space="preserve">OHADA</t>
        </is>
      </c>
      <c r="F80" t="inlineStr">
        <is>
          <t xml:space="preserve">Oui</t>
        </is>
      </c>
    </row>
    <row r="81">
      <c r="A81" t="inlineStr">
        <is>
          <t xml:space="preserve">621</t>
        </is>
      </c>
      <c r="B81" t="inlineStr">
        <is>
          <t xml:space="preserve">Personnel extérieur</t>
        </is>
      </c>
      <c r="C81" t="inlineStr">
        <is>
          <t xml:space="preserve">Depense</t>
        </is>
      </c>
      <c r="D81" t="inlineStr">
        <is>
          <t xml:space="preserve">Article</t>
        </is>
      </c>
      <c r="E81" t="inlineStr">
        <is>
          <t xml:space="preserve">OHADA</t>
        </is>
      </c>
      <c r="F81" t="inlineStr">
        <is>
          <t xml:space="preserve">Oui</t>
        </is>
      </c>
    </row>
    <row r="82">
      <c r="A82" t="inlineStr">
        <is>
          <t xml:space="preserve">621a</t>
        </is>
      </c>
      <c r="B82" t="inlineStr">
        <is>
          <t xml:space="preserve">Personnel détaché</t>
        </is>
      </c>
      <c r="C82" t="inlineStr">
        <is>
          <t xml:space="preserve">Depense</t>
        </is>
      </c>
      <c r="D82" t="inlineStr">
        <is>
          <t xml:space="preserve">Sous-article</t>
        </is>
      </c>
      <c r="E82" t="inlineStr">
        <is>
          <t xml:space="preserve">EMSP</t>
        </is>
      </c>
      <c r="F82" t="inlineStr">
        <is>
          <t xml:space="preserve">Oui</t>
        </is>
      </c>
    </row>
    <row r="83">
      <c r="A83" t="inlineStr">
        <is>
          <t xml:space="preserve">622</t>
        </is>
      </c>
      <c r="B83" t="inlineStr">
        <is>
          <t xml:space="preserve">Rémunération d'intermédiaires et honoraires</t>
        </is>
      </c>
      <c r="C83" t="inlineStr">
        <is>
          <t xml:space="preserve">Depense</t>
        </is>
      </c>
      <c r="D83" t="inlineStr">
        <is>
          <t xml:space="preserve">Article</t>
        </is>
      </c>
      <c r="E83" t="inlineStr">
        <is>
          <t xml:space="preserve">OHADA</t>
        </is>
      </c>
      <c r="F83" t="inlineStr">
        <is>
          <t xml:space="preserve">Oui</t>
        </is>
      </c>
    </row>
    <row r="84">
      <c r="A84" t="inlineStr">
        <is>
          <t xml:space="preserve">622a</t>
        </is>
      </c>
      <c r="B84" t="inlineStr">
        <is>
          <t xml:space="preserve">Rémunération des transitaires</t>
        </is>
      </c>
      <c r="C84" t="inlineStr">
        <is>
          <t xml:space="preserve">Depense</t>
        </is>
      </c>
      <c r="D84" t="inlineStr">
        <is>
          <t xml:space="preserve">Sous-article</t>
        </is>
      </c>
      <c r="E84" t="inlineStr">
        <is>
          <t xml:space="preserve">EMSP</t>
        </is>
      </c>
      <c r="F84" t="inlineStr">
        <is>
          <t xml:space="preserve">Oui</t>
        </is>
      </c>
    </row>
    <row r="85">
      <c r="A85" t="inlineStr">
        <is>
          <t xml:space="preserve">623</t>
        </is>
      </c>
      <c r="B85" t="inlineStr">
        <is>
          <t xml:space="preserve">Publicité, relations publiques, annonces et insertions</t>
        </is>
      </c>
      <c r="C85" t="inlineStr">
        <is>
          <t xml:space="preserve">Depense</t>
        </is>
      </c>
      <c r="D85" t="inlineStr">
        <is>
          <t xml:space="preserve">Article</t>
        </is>
      </c>
      <c r="E85" t="inlineStr">
        <is>
          <t xml:space="preserve">OHADA</t>
        </is>
      </c>
      <c r="F85" t="inlineStr">
        <is>
          <t xml:space="preserve">Oui</t>
        </is>
      </c>
    </row>
    <row r="86">
      <c r="A86" t="inlineStr">
        <is>
          <t xml:space="preserve">625</t>
        </is>
      </c>
      <c r="B86" t="inlineStr">
        <is>
          <t xml:space="preserve">Déplacements, missions et réceptions</t>
        </is>
      </c>
      <c r="C86" t="inlineStr">
        <is>
          <t xml:space="preserve">Depense</t>
        </is>
      </c>
      <c r="D86" t="inlineStr">
        <is>
          <t xml:space="preserve">Article</t>
        </is>
      </c>
      <c r="E86" t="inlineStr">
        <is>
          <t xml:space="preserve">OHADA</t>
        </is>
      </c>
      <c r="F86" t="inlineStr">
        <is>
          <t xml:space="preserve">Oui</t>
        </is>
      </c>
    </row>
    <row r="87">
      <c r="A87" t="inlineStr">
        <is>
          <t xml:space="preserve">625 (récep.)</t>
        </is>
      </c>
      <c r="B87" t="inlineStr">
        <is>
          <t xml:space="preserve">Réception</t>
        </is>
      </c>
      <c r="C87" t="inlineStr">
        <is>
          <t xml:space="preserve">Depense</t>
        </is>
      </c>
      <c r="D87" t="inlineStr">
        <is>
          <t xml:space="preserve">Sous-article</t>
        </is>
      </c>
      <c r="E87" t="inlineStr">
        <is>
          <t xml:space="preserve">EMSP</t>
        </is>
      </c>
      <c r="F87" t="inlineStr">
        <is>
          <t xml:space="preserve">Oui</t>
        </is>
      </c>
    </row>
    <row r="88">
      <c r="A88" t="inlineStr">
        <is>
          <t xml:space="preserve">625b</t>
        </is>
      </c>
      <c r="B88" t="inlineStr">
        <is>
          <t xml:space="preserve">Transport et mission externe</t>
        </is>
      </c>
      <c r="C88" t="inlineStr">
        <is>
          <t xml:space="preserve">Depense</t>
        </is>
      </c>
      <c r="D88" t="inlineStr">
        <is>
          <t xml:space="preserve">Sous-article</t>
        </is>
      </c>
      <c r="E88" t="inlineStr">
        <is>
          <t xml:space="preserve">EMSP</t>
        </is>
      </c>
      <c r="F88" t="inlineStr">
        <is>
          <t xml:space="preserve">Oui</t>
        </is>
      </c>
    </row>
    <row r="89">
      <c r="A89" t="inlineStr">
        <is>
          <t xml:space="preserve">625c</t>
        </is>
      </c>
      <c r="B89" t="inlineStr">
        <is>
          <t xml:space="preserve">Transport et mission interne</t>
        </is>
      </c>
      <c r="C89" t="inlineStr">
        <is>
          <t xml:space="preserve">Depense</t>
        </is>
      </c>
      <c r="D89" t="inlineStr">
        <is>
          <t xml:space="preserve">Sous-article</t>
        </is>
      </c>
      <c r="E89" t="inlineStr">
        <is>
          <t xml:space="preserve">EMSP</t>
        </is>
      </c>
      <c r="F89" t="inlineStr">
        <is>
          <t xml:space="preserve">Oui</t>
        </is>
      </c>
    </row>
    <row r="90">
      <c r="A90" t="inlineStr">
        <is>
          <t xml:space="preserve">626</t>
        </is>
      </c>
      <c r="B90" t="inlineStr">
        <is>
          <t xml:space="preserve">Frais postaux et de télécommunication</t>
        </is>
      </c>
      <c r="C90" t="inlineStr">
        <is>
          <t xml:space="preserve">Depense</t>
        </is>
      </c>
      <c r="D90" t="inlineStr">
        <is>
          <t xml:space="preserve">Article</t>
        </is>
      </c>
      <c r="E90" t="inlineStr">
        <is>
          <t xml:space="preserve">OHADA</t>
        </is>
      </c>
      <c r="F90" t="inlineStr">
        <is>
          <t xml:space="preserve">Oui</t>
        </is>
      </c>
    </row>
    <row r="91">
      <c r="A91" t="inlineStr">
        <is>
          <t xml:space="preserve">626 (tel.)</t>
        </is>
      </c>
      <c r="B91" t="inlineStr">
        <is>
          <t xml:space="preserve">Téléphone, fax, Internet</t>
        </is>
      </c>
      <c r="C91" t="inlineStr">
        <is>
          <t xml:space="preserve">Depense</t>
        </is>
      </c>
      <c r="D91" t="inlineStr">
        <is>
          <t xml:space="preserve">Sous-article</t>
        </is>
      </c>
      <c r="E91" t="inlineStr">
        <is>
          <t xml:space="preserve">EMSP</t>
        </is>
      </c>
      <c r="F91" t="inlineStr">
        <is>
          <t xml:space="preserve">Oui</t>
        </is>
      </c>
    </row>
    <row r="92">
      <c r="A92" t="inlineStr">
        <is>
          <t xml:space="preserve">627</t>
        </is>
      </c>
      <c r="B92" t="inlineStr">
        <is>
          <t xml:space="preserve">Services bancaires et assimilés</t>
        </is>
      </c>
      <c r="C92" t="inlineStr">
        <is>
          <t xml:space="preserve">Depense</t>
        </is>
      </c>
      <c r="D92" t="inlineStr">
        <is>
          <t xml:space="preserve">Article</t>
        </is>
      </c>
      <c r="E92" t="inlineStr">
        <is>
          <t xml:space="preserve">OHADA</t>
        </is>
      </c>
      <c r="F92" t="inlineStr">
        <is>
          <t xml:space="preserve">Oui</t>
        </is>
      </c>
    </row>
    <row r="93">
      <c r="A93" t="inlineStr">
        <is>
          <t xml:space="preserve">641</t>
        </is>
      </c>
      <c r="B93" t="inlineStr">
        <is>
          <t xml:space="preserve">Rémunérations du personnel</t>
        </is>
      </c>
      <c r="C93" t="inlineStr">
        <is>
          <t xml:space="preserve">Depense</t>
        </is>
      </c>
      <c r="D93" t="inlineStr">
        <is>
          <t xml:space="preserve">Article</t>
        </is>
      </c>
      <c r="E93" t="inlineStr">
        <is>
          <t xml:space="preserve">OHADA</t>
        </is>
      </c>
      <c r="F93" t="inlineStr">
        <is>
          <t xml:space="preserve">Oui</t>
        </is>
      </c>
    </row>
    <row r="94">
      <c r="A94" t="inlineStr">
        <is>
          <t xml:space="preserve">642</t>
        </is>
      </c>
      <c r="B94" t="inlineStr">
        <is>
          <t xml:space="preserve">Cours complémentaires (heures supplémentaires)</t>
        </is>
      </c>
      <c r="C94" t="inlineStr">
        <is>
          <t xml:space="preserve">Depense</t>
        </is>
      </c>
      <c r="D94" t="inlineStr">
        <is>
          <t xml:space="preserve">Article</t>
        </is>
      </c>
      <c r="E94" t="inlineStr">
        <is>
          <t xml:space="preserve">OHADA</t>
        </is>
      </c>
      <c r="F94" t="inlineStr">
        <is>
          <t xml:space="preserve">Oui</t>
        </is>
      </c>
    </row>
    <row r="95">
      <c r="A95" t="inlineStr">
        <is>
          <t xml:space="preserve">645</t>
        </is>
      </c>
      <c r="B95" t="inlineStr">
        <is>
          <t xml:space="preserve">Charges de prévoyance</t>
        </is>
      </c>
      <c r="C95" t="inlineStr">
        <is>
          <t xml:space="preserve">Depense</t>
        </is>
      </c>
      <c r="D95" t="inlineStr">
        <is>
          <t xml:space="preserve">Article</t>
        </is>
      </c>
      <c r="E95" t="inlineStr">
        <is>
          <t xml:space="preserve">OHADA</t>
        </is>
      </c>
      <c r="F95" t="inlineStr">
        <is>
          <t xml:space="preserve">Oui</t>
        </is>
      </c>
    </row>
    <row r="96">
      <c r="A96" t="inlineStr">
        <is>
          <t xml:space="preserve">648</t>
        </is>
      </c>
      <c r="B96" t="inlineStr">
        <is>
          <t xml:space="preserve">Formation du personnel administratif</t>
        </is>
      </c>
      <c r="C96" t="inlineStr">
        <is>
          <t xml:space="preserve">Depense</t>
        </is>
      </c>
      <c r="D96" t="inlineStr">
        <is>
          <t xml:space="preserve">Article</t>
        </is>
      </c>
      <c r="E96" t="inlineStr">
        <is>
          <t xml:space="preserve">OHADA</t>
        </is>
      </c>
      <c r="F96" t="inlineStr">
        <is>
          <t xml:space="preserve">Oui</t>
        </is>
      </c>
    </row>
    <row r="97">
      <c r="A97" t="inlineStr">
        <is>
          <t xml:space="preserve">653</t>
        </is>
      </c>
      <c r="B97" t="inlineStr">
        <is>
          <t xml:space="preserve">Jetons de présence (conseil des composantes)</t>
        </is>
      </c>
      <c r="C97" t="inlineStr">
        <is>
          <t xml:space="preserve">Depense</t>
        </is>
      </c>
      <c r="D97" t="inlineStr">
        <is>
          <t xml:space="preserve">Article</t>
        </is>
      </c>
      <c r="E97" t="inlineStr">
        <is>
          <t xml:space="preserve">OHADA</t>
        </is>
      </c>
      <c r="F97" t="inlineStr">
        <is>
          <t xml:space="preserve">Oui</t>
        </is>
      </c>
    </row>
    <row r="98">
      <c r="A98" t="inlineStr">
        <is>
          <t xml:space="preserve">658</t>
        </is>
      </c>
      <c r="B98" t="inlineStr">
        <is>
          <t xml:space="preserve">Charges diverses de gestion</t>
        </is>
      </c>
      <c r="C98" t="inlineStr">
        <is>
          <t xml:space="preserve">Depense</t>
        </is>
      </c>
      <c r="D98" t="inlineStr">
        <is>
          <t xml:space="preserve">Article</t>
        </is>
      </c>
      <c r="E98" t="inlineStr">
        <is>
          <t xml:space="preserve">OHADA</t>
        </is>
      </c>
      <c r="F98" t="inlineStr">
        <is>
          <t xml:space="preserve">Oui</t>
        </is>
      </c>
    </row>
    <row r="99">
      <c r="A99" t="inlineStr">
        <is>
          <t xml:space="preserve">658a</t>
        </is>
      </c>
      <c r="B99" t="inlineStr">
        <is>
          <t xml:space="preserve">Frais de stage</t>
        </is>
      </c>
      <c r="C99" t="inlineStr">
        <is>
          <t xml:space="preserve">Depense</t>
        </is>
      </c>
      <c r="D99" t="inlineStr">
        <is>
          <t xml:space="preserve">Sous-article</t>
        </is>
      </c>
      <c r="E99" t="inlineStr">
        <is>
          <t xml:space="preserve">EMSP</t>
        </is>
      </c>
      <c r="F99" t="inlineStr">
        <is>
          <t xml:space="preserve">Oui</t>
        </is>
      </c>
    </row>
    <row r="100">
      <c r="A100" t="inlineStr">
        <is>
          <t xml:space="preserve">658b</t>
        </is>
      </c>
      <c r="B100" t="inlineStr">
        <is>
          <t xml:space="preserve">Couverture sanitaire</t>
        </is>
      </c>
      <c r="C100" t="inlineStr">
        <is>
          <t xml:space="preserve">Depense</t>
        </is>
      </c>
      <c r="D100" t="inlineStr">
        <is>
          <t xml:space="preserve">Sous-article</t>
        </is>
      </c>
      <c r="E100" t="inlineStr">
        <is>
          <t xml:space="preserve">EMSP</t>
        </is>
      </c>
      <c r="F100" t="inlineStr">
        <is>
          <t xml:space="preserve">Oui</t>
        </is>
      </c>
    </row>
    <row r="101">
      <c r="A101" t="inlineStr">
        <is>
          <t xml:space="preserve">658d</t>
        </is>
      </c>
      <c r="B101" t="inlineStr">
        <is>
          <t xml:space="preserve">Subvention à la vie scolaire</t>
        </is>
      </c>
      <c r="C101" t="inlineStr">
        <is>
          <t xml:space="preserve">Depense</t>
        </is>
      </c>
      <c r="D101" t="inlineStr">
        <is>
          <t xml:space="preserve">Sous-article</t>
        </is>
      </c>
      <c r="E101" t="inlineStr">
        <is>
          <t xml:space="preserve">EMSP</t>
        </is>
      </c>
      <c r="F101" t="inlineStr">
        <is>
          <t xml:space="preserve">Oui</t>
        </is>
      </c>
    </row>
    <row r="102">
      <c r="A102" t="inlineStr">
        <is>
          <t xml:space="preserve">6022</t>
        </is>
      </c>
      <c r="B102" t="inlineStr">
        <is>
          <t xml:space="preserve">Fournitures consommables</t>
        </is>
      </c>
      <c r="C102" t="inlineStr">
        <is>
          <t xml:space="preserve">Depense</t>
        </is>
      </c>
      <c r="D102" t="inlineStr">
        <is>
          <t xml:space="preserve">Sous-article</t>
        </is>
      </c>
      <c r="E102" t="inlineStr">
        <is>
          <t xml:space="preserve">OHADA</t>
        </is>
      </c>
      <c r="F102" t="inlineStr">
        <is>
          <t xml:space="preserve">Oui</t>
        </is>
      </c>
    </row>
    <row r="103">
      <c r="A103" t="inlineStr">
        <is>
          <t xml:space="preserve">6022B</t>
        </is>
      </c>
      <c r="B103" t="inlineStr">
        <is>
          <t xml:space="preserve">Fournitures d'examens</t>
        </is>
      </c>
      <c r="C103" t="inlineStr">
        <is>
          <t xml:space="preserve">Depense</t>
        </is>
      </c>
      <c r="D103" t="inlineStr">
        <is>
          <t xml:space="preserve">Sous-article</t>
        </is>
      </c>
      <c r="E103" t="inlineStr">
        <is>
          <t xml:space="preserve">EMSP</t>
        </is>
      </c>
      <c r="F103" t="inlineStr">
        <is>
          <t xml:space="preserve">Oui</t>
        </is>
      </c>
    </row>
    <row r="104">
      <c r="A104" t="inlineStr">
        <is>
          <t xml:space="preserve">6025</t>
        </is>
      </c>
      <c r="B104" t="inlineStr">
        <is>
          <t xml:space="preserve">Carburant et lubrifiant (groupe électrogène)</t>
        </is>
      </c>
      <c r="C104" t="inlineStr">
        <is>
          <t xml:space="preserve">Depense</t>
        </is>
      </c>
      <c r="D104" t="inlineStr">
        <is>
          <t xml:space="preserve">Sous-article</t>
        </is>
      </c>
      <c r="E104" t="inlineStr">
        <is>
          <t xml:space="preserve">OHADA</t>
        </is>
      </c>
      <c r="F104" t="inlineStr">
        <is>
          <t xml:space="preserve">Oui</t>
        </is>
      </c>
    </row>
    <row r="105">
      <c r="A105" t="inlineStr">
        <is>
          <t xml:space="preserve">6061</t>
        </is>
      </c>
      <c r="B105" t="inlineStr">
        <is>
          <t xml:space="preserve">Eau et électricité</t>
        </is>
      </c>
      <c r="C105" t="inlineStr">
        <is>
          <t xml:space="preserve">Depense</t>
        </is>
      </c>
      <c r="D105" t="inlineStr">
        <is>
          <t xml:space="preserve">Sous-article</t>
        </is>
      </c>
      <c r="E105" t="inlineStr">
        <is>
          <t xml:space="preserve">OHADA</t>
        </is>
      </c>
      <c r="F105" t="inlineStr">
        <is>
          <t xml:space="preserve">Oui</t>
        </is>
      </c>
    </row>
    <row r="106">
      <c r="A106" t="inlineStr">
        <is>
          <t xml:space="preserve">6063</t>
        </is>
      </c>
      <c r="B106" t="inlineStr">
        <is>
          <t xml:space="preserve">Autres (fournitures de laboratoire…)</t>
        </is>
      </c>
      <c r="C106" t="inlineStr">
        <is>
          <t xml:space="preserve">Depense</t>
        </is>
      </c>
      <c r="D106" t="inlineStr">
        <is>
          <t xml:space="preserve">Sous-article</t>
        </is>
      </c>
      <c r="E106" t="inlineStr">
        <is>
          <t xml:space="preserve">OHADA</t>
        </is>
      </c>
      <c r="F106" t="inlineStr">
        <is>
          <t xml:space="preserve">Oui</t>
        </is>
      </c>
    </row>
    <row r="107">
      <c r="A107" t="inlineStr">
        <is>
          <t xml:space="preserve">6155a</t>
        </is>
      </c>
      <c r="B107" t="inlineStr">
        <is>
          <t xml:space="preserve">Entretien du matériel commun</t>
        </is>
      </c>
      <c r="C107" t="inlineStr">
        <is>
          <t xml:space="preserve">Depense</t>
        </is>
      </c>
      <c r="D107" t="inlineStr">
        <is>
          <t xml:space="preserve">Sous-article</t>
        </is>
      </c>
      <c r="E107" t="inlineStr">
        <is>
          <t xml:space="preserve">EMSP</t>
        </is>
      </c>
      <c r="F107" t="inlineStr">
        <is>
          <t xml:space="preserve">Oui</t>
        </is>
      </c>
    </row>
    <row r="108">
      <c r="A108" t="inlineStr">
        <is>
          <t xml:space="preserve">6163</t>
        </is>
      </c>
      <c r="B108" t="inlineStr">
        <is>
          <t xml:space="preserve">Assurances automobiles</t>
        </is>
      </c>
      <c r="C108" t="inlineStr">
        <is>
          <t xml:space="preserve">Depense</t>
        </is>
      </c>
      <c r="D108" t="inlineStr">
        <is>
          <t xml:space="preserve">Sous-article</t>
        </is>
      </c>
      <c r="E108" t="inlineStr">
        <is>
          <t xml:space="preserve">OHADA</t>
        </is>
      </c>
      <c r="F108" t="inlineStr">
        <is>
          <t xml:space="preserve">Oui</t>
        </is>
      </c>
    </row>
    <row r="109">
      <c r="A109" t="inlineStr">
        <is>
          <t xml:space="preserve">6163A</t>
        </is>
      </c>
      <c r="B109" t="inlineStr">
        <is>
          <t xml:space="preserve">Assurances étudiantes</t>
        </is>
      </c>
      <c r="C109" t="inlineStr">
        <is>
          <t xml:space="preserve">Depense</t>
        </is>
      </c>
      <c r="D109" t="inlineStr">
        <is>
          <t xml:space="preserve">Sous-article</t>
        </is>
      </c>
      <c r="E109" t="inlineStr">
        <is>
          <t xml:space="preserve">EMSP</t>
        </is>
      </c>
      <c r="F109" t="inlineStr">
        <is>
          <t xml:space="preserve">Oui</t>
        </is>
      </c>
    </row>
    <row r="110">
      <c r="A110" t="inlineStr">
        <is>
          <t xml:space="preserve">6185</t>
        </is>
      </c>
      <c r="B110" t="inlineStr">
        <is>
          <t xml:space="preserve">Conférence et séminaire</t>
        </is>
      </c>
      <c r="C110" t="inlineStr">
        <is>
          <t xml:space="preserve">Depense</t>
        </is>
      </c>
      <c r="D110" t="inlineStr">
        <is>
          <t xml:space="preserve">Sous-article</t>
        </is>
      </c>
      <c r="E110" t="inlineStr">
        <is>
          <t xml:space="preserve">OHADA</t>
        </is>
      </c>
      <c r="F110" t="inlineStr">
        <is>
          <t xml:space="preserve">Oui</t>
        </is>
      </c>
    </row>
    <row r="111">
      <c r="A111" t="inlineStr">
        <is>
          <t xml:space="preserve">13</t>
        </is>
      </c>
      <c r="B111" t="inlineStr">
        <is>
          <t xml:space="preserve">Subvention d'investissement</t>
        </is>
      </c>
      <c r="C111" t="inlineStr">
        <is>
          <t xml:space="preserve">Investissement</t>
        </is>
      </c>
      <c r="D111" t="inlineStr">
        <is>
          <t xml:space="preserve">Chapitre</t>
        </is>
      </c>
      <c r="E111" t="inlineStr">
        <is>
          <t xml:space="preserve">OHADA</t>
        </is>
      </c>
      <c r="F111" t="inlineStr">
        <is>
          <t xml:space="preserve">Oui</t>
        </is>
      </c>
    </row>
    <row r="112">
      <c r="A112" t="inlineStr">
        <is>
          <t xml:space="preserve">16</t>
        </is>
      </c>
      <c r="B112" t="inlineStr">
        <is>
          <t xml:space="preserve">Remboursement des dettes (168 Autres dettes)</t>
        </is>
      </c>
      <c r="C112" t="inlineStr">
        <is>
          <t xml:space="preserve">Investissement</t>
        </is>
      </c>
      <c r="D112" t="inlineStr">
        <is>
          <t xml:space="preserve">Chapitre</t>
        </is>
      </c>
      <c r="E112" t="inlineStr">
        <is>
          <t xml:space="preserve">OHADA</t>
        </is>
      </c>
      <c r="F112" t="inlineStr">
        <is>
          <t xml:space="preserve">Oui</t>
        </is>
      </c>
    </row>
    <row r="113">
      <c r="A113" t="inlineStr">
        <is>
          <t xml:space="preserve">20</t>
        </is>
      </c>
      <c r="B113" t="inlineStr">
        <is>
          <t xml:space="preserve">Immobilisations incorporelles (208 Autres)</t>
        </is>
      </c>
      <c r="C113" t="inlineStr">
        <is>
          <t xml:space="preserve">Investissement</t>
        </is>
      </c>
      <c r="D113" t="inlineStr">
        <is>
          <t xml:space="preserve">Chapitre</t>
        </is>
      </c>
      <c r="E113" t="inlineStr">
        <is>
          <t xml:space="preserve">OHADA</t>
        </is>
      </c>
      <c r="F113" t="inlineStr">
        <is>
          <t xml:space="preserve">Oui</t>
        </is>
      </c>
    </row>
    <row r="114">
      <c r="A114" t="inlineStr">
        <is>
          <t xml:space="preserve">21</t>
        </is>
      </c>
      <c r="B114" t="inlineStr">
        <is>
          <t xml:space="preserve">Immobilisations corporelles</t>
        </is>
      </c>
      <c r="C114" t="inlineStr">
        <is>
          <t xml:space="preserve">Investissement</t>
        </is>
      </c>
      <c r="D114" t="inlineStr">
        <is>
          <t xml:space="preserve">Chapitre</t>
        </is>
      </c>
      <c r="E114" t="inlineStr">
        <is>
          <t xml:space="preserve">OHADA</t>
        </is>
      </c>
      <c r="F114" t="inlineStr">
        <is>
          <t xml:space="preserve">Oui</t>
        </is>
      </c>
    </row>
    <row r="115">
      <c r="A115" t="inlineStr">
        <is>
          <t xml:space="preserve">22</t>
        </is>
      </c>
      <c r="B115" t="inlineStr">
        <is>
          <t xml:space="preserve">Terrains</t>
        </is>
      </c>
      <c r="C115" t="inlineStr">
        <is>
          <t xml:space="preserve">Investissement</t>
        </is>
      </c>
      <c r="D115" t="inlineStr">
        <is>
          <t xml:space="preserve">Chapitre</t>
        </is>
      </c>
      <c r="E115" t="inlineStr">
        <is>
          <t xml:space="preserve">OHADA</t>
        </is>
      </c>
      <c r="F115" t="inlineStr">
        <is>
          <t xml:space="preserve">Non</t>
        </is>
      </c>
    </row>
    <row r="116">
      <c r="A116" t="inlineStr">
        <is>
          <t xml:space="preserve">23</t>
        </is>
      </c>
      <c r="B116" t="inlineStr">
        <is>
          <t xml:space="preserve">Batiments, Installations Techniques Et Agencements</t>
        </is>
      </c>
      <c r="C116" t="inlineStr">
        <is>
          <t xml:space="preserve">Investissement</t>
        </is>
      </c>
      <c r="D116" t="inlineStr">
        <is>
          <t xml:space="preserve">Chapitre</t>
        </is>
      </c>
      <c r="E116" t="inlineStr">
        <is>
          <t xml:space="preserve">OHADA</t>
        </is>
      </c>
      <c r="F116" t="inlineStr">
        <is>
          <t xml:space="preserve">Non</t>
        </is>
      </c>
    </row>
    <row r="117">
      <c r="A117" t="inlineStr">
        <is>
          <t xml:space="preserve">25</t>
        </is>
      </c>
      <c r="B117" t="inlineStr">
        <is>
          <t xml:space="preserve">Avances Et Acomptes Verses Sur Immobilisations</t>
        </is>
      </c>
      <c r="C117" t="inlineStr">
        <is>
          <t xml:space="preserve">Investissement</t>
        </is>
      </c>
      <c r="D117" t="inlineStr">
        <is>
          <t xml:space="preserve">Chapitre</t>
        </is>
      </c>
      <c r="E117" t="inlineStr">
        <is>
          <t xml:space="preserve">OHADA</t>
        </is>
      </c>
      <c r="F117" t="inlineStr">
        <is>
          <t xml:space="preserve">Non</t>
        </is>
      </c>
    </row>
    <row r="118">
      <c r="A118" t="inlineStr">
        <is>
          <t xml:space="preserve">26</t>
        </is>
      </c>
      <c r="B118" t="inlineStr">
        <is>
          <t xml:space="preserve">Titres De Participation</t>
        </is>
      </c>
      <c r="C118" t="inlineStr">
        <is>
          <t xml:space="preserve">Investissement</t>
        </is>
      </c>
      <c r="D118" t="inlineStr">
        <is>
          <t xml:space="preserve">Chapitre</t>
        </is>
      </c>
      <c r="E118" t="inlineStr">
        <is>
          <t xml:space="preserve">OHADA</t>
        </is>
      </c>
      <c r="F118" t="inlineStr">
        <is>
          <t xml:space="preserve">Non</t>
        </is>
      </c>
    </row>
    <row r="119">
      <c r="A119" t="inlineStr">
        <is>
          <t xml:space="preserve">27</t>
        </is>
      </c>
      <c r="B119" t="inlineStr">
        <is>
          <t xml:space="preserve">Autres Immobilisations Financieres</t>
        </is>
      </c>
      <c r="C119" t="inlineStr">
        <is>
          <t xml:space="preserve">Investissement</t>
        </is>
      </c>
      <c r="D119" t="inlineStr">
        <is>
          <t xml:space="preserve">Chapitre</t>
        </is>
      </c>
      <c r="E119" t="inlineStr">
        <is>
          <t xml:space="preserve">OHADA</t>
        </is>
      </c>
      <c r="F119" t="inlineStr">
        <is>
          <t xml:space="preserve">Non</t>
        </is>
      </c>
    </row>
    <row r="120">
      <c r="A120" t="inlineStr">
        <is>
          <t xml:space="preserve">28</t>
        </is>
      </c>
      <c r="B120" t="inlineStr">
        <is>
          <t xml:space="preserve">Amortissements</t>
        </is>
      </c>
      <c r="C120" t="inlineStr">
        <is>
          <t xml:space="preserve">Investissement</t>
        </is>
      </c>
      <c r="D120" t="inlineStr">
        <is>
          <t xml:space="preserve">Chapitre</t>
        </is>
      </c>
      <c r="E120" t="inlineStr">
        <is>
          <t xml:space="preserve">OHADA</t>
        </is>
      </c>
      <c r="F120" t="inlineStr">
        <is>
          <t xml:space="preserve">Non</t>
        </is>
      </c>
    </row>
    <row r="121">
      <c r="A121" t="inlineStr">
        <is>
          <t xml:space="preserve">29</t>
        </is>
      </c>
      <c r="B121" t="inlineStr">
        <is>
          <t xml:space="preserve">Provisions Pour Depreciation</t>
        </is>
      </c>
      <c r="C121" t="inlineStr">
        <is>
          <t xml:space="preserve">Investissement</t>
        </is>
      </c>
      <c r="D121" t="inlineStr">
        <is>
          <t xml:space="preserve">Chapitre</t>
        </is>
      </c>
      <c r="E121" t="inlineStr">
        <is>
          <t xml:space="preserve">OHADA</t>
        </is>
      </c>
      <c r="F121" t="inlineStr">
        <is>
          <t xml:space="preserve">Non</t>
        </is>
      </c>
    </row>
    <row r="122">
      <c r="A122" t="inlineStr">
        <is>
          <t xml:space="preserve">201</t>
        </is>
      </c>
      <c r="B122" t="inlineStr">
        <is>
          <t xml:space="preserve">Frais D'Etablissement</t>
        </is>
      </c>
      <c r="C122" t="inlineStr">
        <is>
          <t xml:space="preserve">Investissement</t>
        </is>
      </c>
      <c r="D122" t="inlineStr">
        <is>
          <t xml:space="preserve">Article</t>
        </is>
      </c>
      <c r="E122" t="inlineStr">
        <is>
          <t xml:space="preserve">OHADA</t>
        </is>
      </c>
      <c r="F122" t="inlineStr">
        <is>
          <t xml:space="preserve">Non</t>
        </is>
      </c>
    </row>
    <row r="123">
      <c r="A123" t="inlineStr">
        <is>
          <t xml:space="preserve">202</t>
        </is>
      </c>
      <c r="B123" t="inlineStr">
        <is>
          <t xml:space="preserve">Charges A Repartir Sur Plusieurs Exercices</t>
        </is>
      </c>
      <c r="C123" t="inlineStr">
        <is>
          <t xml:space="preserve">Investissement</t>
        </is>
      </c>
      <c r="D123" t="inlineStr">
        <is>
          <t xml:space="preserve">Article</t>
        </is>
      </c>
      <c r="E123" t="inlineStr">
        <is>
          <t xml:space="preserve">OHADA</t>
        </is>
      </c>
      <c r="F123" t="inlineStr">
        <is>
          <t xml:space="preserve">Non</t>
        </is>
      </c>
    </row>
    <row r="124">
      <c r="A124" t="inlineStr">
        <is>
          <t xml:space="preserve">206</t>
        </is>
      </c>
      <c r="B124" t="inlineStr">
        <is>
          <t xml:space="preserve">Primes De Remboursement Des Obligations</t>
        </is>
      </c>
      <c r="C124" t="inlineStr">
        <is>
          <t xml:space="preserve">Investissement</t>
        </is>
      </c>
      <c r="D124" t="inlineStr">
        <is>
          <t xml:space="preserve">Article</t>
        </is>
      </c>
      <c r="E124" t="inlineStr">
        <is>
          <t xml:space="preserve">OHADA</t>
        </is>
      </c>
      <c r="F124" t="inlineStr">
        <is>
          <t xml:space="preserve">Non</t>
        </is>
      </c>
    </row>
    <row r="125">
      <c r="A125" t="inlineStr">
        <is>
          <t xml:space="preserve">211</t>
        </is>
      </c>
      <c r="B125" t="inlineStr">
        <is>
          <t xml:space="preserve">Frais De Recherche Et De Developpement</t>
        </is>
      </c>
      <c r="C125" t="inlineStr">
        <is>
          <t xml:space="preserve">Investissement</t>
        </is>
      </c>
      <c r="D125" t="inlineStr">
        <is>
          <t xml:space="preserve">Article</t>
        </is>
      </c>
      <c r="E125" t="inlineStr">
        <is>
          <t xml:space="preserve">OHADA</t>
        </is>
      </c>
      <c r="F125" t="inlineStr">
        <is>
          <t xml:space="preserve">Non</t>
        </is>
      </c>
    </row>
    <row r="126">
      <c r="A126" t="inlineStr">
        <is>
          <t xml:space="preserve">213</t>
        </is>
      </c>
      <c r="B126" t="inlineStr">
        <is>
          <t xml:space="preserve">Constructions</t>
        </is>
      </c>
      <c r="C126" t="inlineStr">
        <is>
          <t xml:space="preserve">Investissement</t>
        </is>
      </c>
      <c r="D126" t="inlineStr">
        <is>
          <t xml:space="preserve">Article</t>
        </is>
      </c>
      <c r="E126" t="inlineStr">
        <is>
          <t xml:space="preserve">OHADA</t>
        </is>
      </c>
      <c r="F126" t="inlineStr">
        <is>
          <t xml:space="preserve">Oui</t>
        </is>
      </c>
    </row>
    <row r="127">
      <c r="A127" t="inlineStr">
        <is>
          <t xml:space="preserve">214</t>
        </is>
      </c>
      <c r="B127" t="inlineStr">
        <is>
          <t xml:space="preserve">Marques</t>
        </is>
      </c>
      <c r="C127" t="inlineStr">
        <is>
          <t xml:space="preserve">Investissement</t>
        </is>
      </c>
      <c r="D127" t="inlineStr">
        <is>
          <t xml:space="preserve">Article</t>
        </is>
      </c>
      <c r="E127" t="inlineStr">
        <is>
          <t xml:space="preserve">OHADA</t>
        </is>
      </c>
      <c r="F127" t="inlineStr">
        <is>
          <t xml:space="preserve">Non</t>
        </is>
      </c>
    </row>
    <row r="128">
      <c r="A128" t="inlineStr">
        <is>
          <t xml:space="preserve">215</t>
        </is>
      </c>
      <c r="B128" t="inlineStr">
        <is>
          <t xml:space="preserve">Installations techniques</t>
        </is>
      </c>
      <c r="C128" t="inlineStr">
        <is>
          <t xml:space="preserve">Investissement</t>
        </is>
      </c>
      <c r="D128" t="inlineStr">
        <is>
          <t xml:space="preserve">Article</t>
        </is>
      </c>
      <c r="E128" t="inlineStr">
        <is>
          <t xml:space="preserve">OHADA</t>
        </is>
      </c>
      <c r="F128" t="inlineStr">
        <is>
          <t xml:space="preserve">Oui</t>
        </is>
      </c>
    </row>
    <row r="129">
      <c r="A129" t="inlineStr">
        <is>
          <t xml:space="preserve">216</t>
        </is>
      </c>
      <c r="B129" t="inlineStr">
        <is>
          <t xml:space="preserve">Droit Au Bail</t>
        </is>
      </c>
      <c r="C129" t="inlineStr">
        <is>
          <t xml:space="preserve">Investissement</t>
        </is>
      </c>
      <c r="D129" t="inlineStr">
        <is>
          <t xml:space="preserve">Article</t>
        </is>
      </c>
      <c r="E129" t="inlineStr">
        <is>
          <t xml:space="preserve">OHADA</t>
        </is>
      </c>
      <c r="F129" t="inlineStr">
        <is>
          <t xml:space="preserve">Non</t>
        </is>
      </c>
    </row>
    <row r="130">
      <c r="A130" t="inlineStr">
        <is>
          <t xml:space="preserve">217</t>
        </is>
      </c>
      <c r="B130" t="inlineStr">
        <is>
          <t xml:space="preserve">Investissements De Creation</t>
        </is>
      </c>
      <c r="C130" t="inlineStr">
        <is>
          <t xml:space="preserve">Investissement</t>
        </is>
      </c>
      <c r="D130" t="inlineStr">
        <is>
          <t xml:space="preserve">Article</t>
        </is>
      </c>
      <c r="E130" t="inlineStr">
        <is>
          <t xml:space="preserve">OHADA</t>
        </is>
      </c>
      <c r="F130" t="inlineStr">
        <is>
          <t xml:space="preserve">Non</t>
        </is>
      </c>
    </row>
    <row r="131">
      <c r="A131" t="inlineStr">
        <is>
          <t xml:space="preserve">218</t>
        </is>
      </c>
      <c r="B131" t="inlineStr">
        <is>
          <t xml:space="preserve">Autres immobilisations corporelles</t>
        </is>
      </c>
      <c r="C131" t="inlineStr">
        <is>
          <t xml:space="preserve">Investissement</t>
        </is>
      </c>
      <c r="D131" t="inlineStr">
        <is>
          <t xml:space="preserve">Article</t>
        </is>
      </c>
      <c r="E131" t="inlineStr">
        <is>
          <t xml:space="preserve">OHADA</t>
        </is>
      </c>
      <c r="F131" t="inlineStr">
        <is>
          <t xml:space="preserve">Oui</t>
        </is>
      </c>
    </row>
    <row r="132">
      <c r="A132" t="inlineStr">
        <is>
          <t xml:space="preserve">219</t>
        </is>
      </c>
      <c r="B132" t="inlineStr">
        <is>
          <t xml:space="preserve">Immobilisations Incorporelles En Cours</t>
        </is>
      </c>
      <c r="C132" t="inlineStr">
        <is>
          <t xml:space="preserve">Investissement</t>
        </is>
      </c>
      <c r="D132" t="inlineStr">
        <is>
          <t xml:space="preserve">Article</t>
        </is>
      </c>
      <c r="E132" t="inlineStr">
        <is>
          <t xml:space="preserve">OHADA</t>
        </is>
      </c>
      <c r="F132" t="inlineStr">
        <is>
          <t xml:space="preserve">Non</t>
        </is>
      </c>
    </row>
    <row r="133">
      <c r="A133" t="inlineStr">
        <is>
          <t xml:space="preserve">221</t>
        </is>
      </c>
      <c r="B133" t="inlineStr">
        <is>
          <t xml:space="preserve">Terrains Agricoles Et Forestiers</t>
        </is>
      </c>
      <c r="C133" t="inlineStr">
        <is>
          <t xml:space="preserve">Investissement</t>
        </is>
      </c>
      <c r="D133" t="inlineStr">
        <is>
          <t xml:space="preserve">Article</t>
        </is>
      </c>
      <c r="E133" t="inlineStr">
        <is>
          <t xml:space="preserve">OHADA</t>
        </is>
      </c>
      <c r="F133" t="inlineStr">
        <is>
          <t xml:space="preserve">Non</t>
        </is>
      </c>
    </row>
    <row r="134">
      <c r="A134" t="inlineStr">
        <is>
          <t xml:space="preserve">222</t>
        </is>
      </c>
      <c r="B134" t="inlineStr">
        <is>
          <t xml:space="preserve">Terrains Nus</t>
        </is>
      </c>
      <c r="C134" t="inlineStr">
        <is>
          <t xml:space="preserve">Investissement</t>
        </is>
      </c>
      <c r="D134" t="inlineStr">
        <is>
          <t xml:space="preserve">Article</t>
        </is>
      </c>
      <c r="E134" t="inlineStr">
        <is>
          <t xml:space="preserve">OHADA</t>
        </is>
      </c>
      <c r="F134" t="inlineStr">
        <is>
          <t xml:space="preserve">Non</t>
        </is>
      </c>
    </row>
    <row r="135">
      <c r="A135" t="inlineStr">
        <is>
          <t xml:space="preserve">263</t>
        </is>
      </c>
      <c r="B135" t="inlineStr">
        <is>
          <t xml:space="preserve">Titres De Participation Dans Des Societes Conferant Une</t>
        </is>
      </c>
      <c r="C135" t="inlineStr">
        <is>
          <t xml:space="preserve">Investissement</t>
        </is>
      </c>
      <c r="D135" t="inlineStr">
        <is>
          <t xml:space="preserve">Article</t>
        </is>
      </c>
      <c r="E135" t="inlineStr">
        <is>
          <t xml:space="preserve">OHADA</t>
        </is>
      </c>
      <c r="F135" t="inlineStr">
        <is>
          <t xml:space="preserve">Non</t>
        </is>
      </c>
    </row>
    <row r="136">
      <c r="A136" t="inlineStr">
        <is>
          <t xml:space="preserve">265</t>
        </is>
      </c>
      <c r="B136" t="inlineStr">
        <is>
          <t xml:space="preserve">Participations Dans Des Organismes Professionnels</t>
        </is>
      </c>
      <c r="C136" t="inlineStr">
        <is>
          <t xml:space="preserve">Investissement</t>
        </is>
      </c>
      <c r="D136" t="inlineStr">
        <is>
          <t xml:space="preserve">Article</t>
        </is>
      </c>
      <c r="E136" t="inlineStr">
        <is>
          <t xml:space="preserve">OHADA</t>
        </is>
      </c>
      <c r="F136" t="inlineStr">
        <is>
          <t xml:space="preserve">Non</t>
        </is>
      </c>
    </row>
    <row r="137">
      <c r="A137" t="inlineStr">
        <is>
          <t xml:space="preserve">266</t>
        </is>
      </c>
      <c r="B137" t="inlineStr">
        <is>
          <t xml:space="preserve">Parts Dans Des Groupements D'Interet Economique (G.Le.)</t>
        </is>
      </c>
      <c r="C137" t="inlineStr">
        <is>
          <t xml:space="preserve">Investissement</t>
        </is>
      </c>
      <c r="D137" t="inlineStr">
        <is>
          <t xml:space="preserve">Article</t>
        </is>
      </c>
      <c r="E137" t="inlineStr">
        <is>
          <t xml:space="preserve">OHADA</t>
        </is>
      </c>
      <c r="F137" t="inlineStr">
        <is>
          <t xml:space="preserve">Non</t>
        </is>
      </c>
    </row>
    <row r="138">
      <c r="A138" t="inlineStr">
        <is>
          <t xml:space="preserve">268</t>
        </is>
      </c>
      <c r="B138" t="inlineStr">
        <is>
          <t xml:space="preserve">Autres Titres De Participation</t>
        </is>
      </c>
      <c r="C138" t="inlineStr">
        <is>
          <t xml:space="preserve">Investissement</t>
        </is>
      </c>
      <c r="D138" t="inlineStr">
        <is>
          <t xml:space="preserve">Article</t>
        </is>
      </c>
      <c r="E138" t="inlineStr">
        <is>
          <t xml:space="preserve">OHADA</t>
        </is>
      </c>
      <c r="F138" t="inlineStr">
        <is>
          <t xml:space="preserve">Non</t>
        </is>
      </c>
    </row>
    <row r="139">
      <c r="A139" t="inlineStr">
        <is>
          <t xml:space="preserve">271</t>
        </is>
      </c>
      <c r="B139" t="inlineStr">
        <is>
          <t xml:space="preserve">Prets Et Creances Non Commerciales</t>
        </is>
      </c>
      <c r="C139" t="inlineStr">
        <is>
          <t xml:space="preserve">Investissement</t>
        </is>
      </c>
      <c r="D139" t="inlineStr">
        <is>
          <t xml:space="preserve">Article</t>
        </is>
      </c>
      <c r="E139" t="inlineStr">
        <is>
          <t xml:space="preserve">OHADA</t>
        </is>
      </c>
      <c r="F139" t="inlineStr">
        <is>
          <t xml:space="preserve">Non</t>
        </is>
      </c>
    </row>
    <row r="140">
      <c r="A140" t="inlineStr">
        <is>
          <t xml:space="preserve">272</t>
        </is>
      </c>
      <c r="B140" t="inlineStr">
        <is>
          <t xml:space="preserve">Prets Au Personnel</t>
        </is>
      </c>
      <c r="C140" t="inlineStr">
        <is>
          <t xml:space="preserve">Investissement</t>
        </is>
      </c>
      <c r="D140" t="inlineStr">
        <is>
          <t xml:space="preserve">Article</t>
        </is>
      </c>
      <c r="E140" t="inlineStr">
        <is>
          <t xml:space="preserve">OHADA</t>
        </is>
      </c>
      <c r="F140" t="inlineStr">
        <is>
          <t xml:space="preserve">Non</t>
        </is>
      </c>
    </row>
    <row r="141">
      <c r="A141" t="inlineStr">
        <is>
          <t xml:space="preserve">273</t>
        </is>
      </c>
      <c r="B141" t="inlineStr">
        <is>
          <t xml:space="preserve">Creances Sur L'Etat</t>
        </is>
      </c>
      <c r="C141" t="inlineStr">
        <is>
          <t xml:space="preserve">Investissement</t>
        </is>
      </c>
      <c r="D141" t="inlineStr">
        <is>
          <t xml:space="preserve">Article</t>
        </is>
      </c>
      <c r="E141" t="inlineStr">
        <is>
          <t xml:space="preserve">OHADA</t>
        </is>
      </c>
      <c r="F141" t="inlineStr">
        <is>
          <t xml:space="preserve">Non</t>
        </is>
      </c>
    </row>
    <row r="142">
      <c r="A142" t="inlineStr">
        <is>
          <t xml:space="preserve">274</t>
        </is>
      </c>
      <c r="B142" t="inlineStr">
        <is>
          <t xml:space="preserve">Titres Immobilises</t>
        </is>
      </c>
      <c r="C142" t="inlineStr">
        <is>
          <t xml:space="preserve">Investissement</t>
        </is>
      </c>
      <c r="D142" t="inlineStr">
        <is>
          <t xml:space="preserve">Article</t>
        </is>
      </c>
      <c r="E142" t="inlineStr">
        <is>
          <t xml:space="preserve">OHADA</t>
        </is>
      </c>
      <c r="F142" t="inlineStr">
        <is>
          <t xml:space="preserve">Non</t>
        </is>
      </c>
    </row>
    <row r="143">
      <c r="A143" t="inlineStr">
        <is>
          <t xml:space="preserve">275</t>
        </is>
      </c>
      <c r="B143" t="inlineStr">
        <is>
          <t xml:space="preserve">Depots Et Cautionnements Verses</t>
        </is>
      </c>
      <c r="C143" t="inlineStr">
        <is>
          <t xml:space="preserve">Investissement</t>
        </is>
      </c>
      <c r="D143" t="inlineStr">
        <is>
          <t xml:space="preserve">Article</t>
        </is>
      </c>
      <c r="E143" t="inlineStr">
        <is>
          <t xml:space="preserve">OHADA</t>
        </is>
      </c>
      <c r="F143" t="inlineStr">
        <is>
          <t xml:space="preserve">Non</t>
        </is>
      </c>
    </row>
    <row r="144">
      <c r="A144" t="inlineStr">
        <is>
          <t xml:space="preserve">276</t>
        </is>
      </c>
      <c r="B144" t="inlineStr">
        <is>
          <t xml:space="preserve">Interets Courus</t>
        </is>
      </c>
      <c r="C144" t="inlineStr">
        <is>
          <t xml:space="preserve">Investissement</t>
        </is>
      </c>
      <c r="D144" t="inlineStr">
        <is>
          <t xml:space="preserve">Article</t>
        </is>
      </c>
      <c r="E144" t="inlineStr">
        <is>
          <t xml:space="preserve">OHADA</t>
        </is>
      </c>
      <c r="F144" t="inlineStr">
        <is>
          <t xml:space="preserve">Non</t>
        </is>
      </c>
    </row>
    <row r="145">
      <c r="A145" t="inlineStr">
        <is>
          <t xml:space="preserve">277</t>
        </is>
      </c>
      <c r="B145" t="inlineStr">
        <is>
          <t xml:space="preserve">Creances Rattachees A Des Participations Et Avances A Des G.I.E</t>
        </is>
      </c>
      <c r="C145" t="inlineStr">
        <is>
          <t xml:space="preserve">Investissement</t>
        </is>
      </c>
      <c r="D145" t="inlineStr">
        <is>
          <t xml:space="preserve">Article</t>
        </is>
      </c>
      <c r="E145" t="inlineStr">
        <is>
          <t xml:space="preserve">OHADA</t>
        </is>
      </c>
      <c r="F145" t="inlineStr">
        <is>
          <t xml:space="preserve">Non</t>
        </is>
      </c>
    </row>
    <row r="146">
      <c r="A146" t="inlineStr">
        <is>
          <t xml:space="preserve">278</t>
        </is>
      </c>
      <c r="B146" t="inlineStr">
        <is>
          <t xml:space="preserve">Immobilisations Financieres Diverses</t>
        </is>
      </c>
      <c r="C146" t="inlineStr">
        <is>
          <t xml:space="preserve">Investissement</t>
        </is>
      </c>
      <c r="D146" t="inlineStr">
        <is>
          <t xml:space="preserve">Article</t>
        </is>
      </c>
      <c r="E146" t="inlineStr">
        <is>
          <t xml:space="preserve">OHADA</t>
        </is>
      </c>
      <c r="F146" t="inlineStr">
        <is>
          <t xml:space="preserve">Non</t>
        </is>
      </c>
    </row>
    <row r="147">
      <c r="A147" t="inlineStr">
        <is>
          <t xml:space="preserve">281</t>
        </is>
      </c>
      <c r="B147" t="inlineStr">
        <is>
          <t xml:space="preserve">Amortissements Des Immobilisations Incorporelles</t>
        </is>
      </c>
      <c r="C147" t="inlineStr">
        <is>
          <t xml:space="preserve">Investissement</t>
        </is>
      </c>
      <c r="D147" t="inlineStr">
        <is>
          <t xml:space="preserve">Article</t>
        </is>
      </c>
      <c r="E147" t="inlineStr">
        <is>
          <t xml:space="preserve">OHADA</t>
        </is>
      </c>
      <c r="F147" t="inlineStr">
        <is>
          <t xml:space="preserve">Non</t>
        </is>
      </c>
    </row>
    <row r="148">
      <c r="A148" t="inlineStr">
        <is>
          <t xml:space="preserve">282</t>
        </is>
      </c>
      <c r="B148" t="inlineStr">
        <is>
          <t xml:space="preserve">Amortissements Des Terrains</t>
        </is>
      </c>
      <c r="C148" t="inlineStr">
        <is>
          <t xml:space="preserve">Investissement</t>
        </is>
      </c>
      <c r="D148" t="inlineStr">
        <is>
          <t xml:space="preserve">Article</t>
        </is>
      </c>
      <c r="E148" t="inlineStr">
        <is>
          <t xml:space="preserve">OHADA</t>
        </is>
      </c>
      <c r="F148" t="inlineStr">
        <is>
          <t xml:space="preserve">Non</t>
        </is>
      </c>
    </row>
    <row r="149">
      <c r="A149" t="inlineStr">
        <is>
          <t xml:space="preserve">283</t>
        </is>
      </c>
      <c r="B149" t="inlineStr">
        <is>
          <t xml:space="preserve">Amortissements Des Batiments, Installations Techniques Et</t>
        </is>
      </c>
      <c r="C149" t="inlineStr">
        <is>
          <t xml:space="preserve">Investissement</t>
        </is>
      </c>
      <c r="D149" t="inlineStr">
        <is>
          <t xml:space="preserve">Article</t>
        </is>
      </c>
      <c r="E149" t="inlineStr">
        <is>
          <t xml:space="preserve">OHADA</t>
        </is>
      </c>
      <c r="F149" t="inlineStr">
        <is>
          <t xml:space="preserve">Non</t>
        </is>
      </c>
    </row>
    <row r="150">
      <c r="A150" t="inlineStr">
        <is>
          <t xml:space="preserve">284</t>
        </is>
      </c>
      <c r="B150" t="inlineStr">
        <is>
          <t xml:space="preserve">Amortissements Du Materiel</t>
        </is>
      </c>
      <c r="C150" t="inlineStr">
        <is>
          <t xml:space="preserve">Investissement</t>
        </is>
      </c>
      <c r="D150" t="inlineStr">
        <is>
          <t xml:space="preserve">Article</t>
        </is>
      </c>
      <c r="E150" t="inlineStr">
        <is>
          <t xml:space="preserve">OHADA</t>
        </is>
      </c>
      <c r="F150" t="inlineStr">
        <is>
          <t xml:space="preserve">Non</t>
        </is>
      </c>
    </row>
    <row r="151">
      <c r="A151" t="inlineStr">
        <is>
          <t xml:space="preserve">291</t>
        </is>
      </c>
      <c r="B151" t="inlineStr">
        <is>
          <t xml:space="preserve">Provisions Pour Depreciation Des Immobilisations Incorporelles</t>
        </is>
      </c>
      <c r="C151" t="inlineStr">
        <is>
          <t xml:space="preserve">Investissement</t>
        </is>
      </c>
      <c r="D151" t="inlineStr">
        <is>
          <t xml:space="preserve">Article</t>
        </is>
      </c>
      <c r="E151" t="inlineStr">
        <is>
          <t xml:space="preserve">OHADA</t>
        </is>
      </c>
      <c r="F151" t="inlineStr">
        <is>
          <t xml:space="preserve">Non</t>
        </is>
      </c>
    </row>
    <row r="152">
      <c r="A152" t="inlineStr">
        <is>
          <t xml:space="preserve">292</t>
        </is>
      </c>
      <c r="B152" t="inlineStr">
        <is>
          <t xml:space="preserve">Provisions Pour Depreciation Des Terrains</t>
        </is>
      </c>
      <c r="C152" t="inlineStr">
        <is>
          <t xml:space="preserve">Investissement</t>
        </is>
      </c>
      <c r="D152" t="inlineStr">
        <is>
          <t xml:space="preserve">Article</t>
        </is>
      </c>
      <c r="E152" t="inlineStr">
        <is>
          <t xml:space="preserve">OHADA</t>
        </is>
      </c>
      <c r="F152" t="inlineStr">
        <is>
          <t xml:space="preserve">Non</t>
        </is>
      </c>
    </row>
  </sheetData>
</worksheet>
</file>

<file path=xl/worksheets/sheet34.xml><?xml version="1.0" encoding="utf-8"?>
<worksheet xmlns="http://schemas.openxmlformats.org/spreadsheetml/2006/main" xmlns:r="http://schemas.openxmlformats.org/officeDocument/2006/relationships">
  <dimension ref="A1:N2"/>
  <sheetViews>
    <sheetView workbookViewId="0">
      <pane ySplit="2" topLeftCell="A3" activePane="bottomLeft" state="frozen"/>
    </sheetView>
  </sheetViews>
  <sheetFormatPr defaultRowHeight="15"/>
  <cols>
    <col min="1" max="1" width="22" customWidth="1"/>
    <col min="2" max="2" width="8" customWidth="1"/>
    <col min="3" max="3" width="26" customWidth="1"/>
    <col min="4" max="4" width="50" customWidth="1"/>
    <col min="5" max="5" width="12" customWidth="1"/>
    <col min="6" max="6" width="8" customWidth="1"/>
    <col min="7" max="7" width="12" customWidth="1"/>
    <col min="8" max="8" width="8" customWidth="1"/>
    <col min="9" max="9" width="16" customWidth="1"/>
    <col min="10" max="10" width="18" customWidth="1"/>
    <col min="11" max="11" width="30" customWidth="1"/>
    <col min="12" max="12" width="14" customWidth="1"/>
    <col min="13" max="13" width="16" customWidth="1"/>
    <col min="14" max="14" width="14" customWidth="1"/>
  </cols>
  <sheetData>
    <row r="1">
      <c r="A1" t="inlineStr">
        <is>
          <t xml:space="preserve">BUDGET PREVISIONNEL PAR FORMATION (KMF) -- detaille par niveau</t>
        </is>
      </c>
    </row>
    <row r="2">
      <c r="A2" t="inlineStr">
        <is>
          <t xml:space="preserve">Formation (*)</t>
        </is>
      </c>
      <c r="B2" t="inlineStr">
        <is>
          <t xml:space="preserve">Niveau (*)</t>
        </is>
      </c>
      <c r="C2" t="inlineStr">
        <is>
          <t xml:space="preserve">Rubrique</t>
        </is>
      </c>
      <c r="D2" t="inlineStr">
        <is>
          <t xml:space="preserve">Designation</t>
        </is>
      </c>
      <c r="E2" t="inlineStr">
        <is>
          <t xml:space="preserve">Unite1</t>
        </is>
      </c>
      <c r="F2" t="inlineStr">
        <is>
          <t xml:space="preserve">Qte1</t>
        </is>
      </c>
      <c r="G2" t="inlineStr">
        <is>
          <t xml:space="preserve">Unite2</t>
        </is>
      </c>
      <c r="H2" t="inlineStr">
        <is>
          <t xml:space="preserve">Qte2</t>
        </is>
      </c>
      <c r="I2" t="inlineStr">
        <is>
          <t xml:space="preserve">Cout unitaire (KMF)</t>
        </is>
      </c>
      <c r="J2" t="inlineStr">
        <is>
          <t xml:space="preserve">Poste budgetaire (**)</t>
        </is>
      </c>
      <c r="K2" t="inlineStr">
        <is>
          <t xml:space="preserve">Source de financement / Bailleur (*)</t>
        </is>
      </c>
      <c r="L2" t="inlineStr">
        <is>
          <t xml:space="preserve">Session (*)</t>
        </is>
      </c>
      <c r="M2" t="inlineStr">
        <is>
          <t xml:space="preserve">Montant (KMF)</t>
        </is>
      </c>
      <c r="N2" t="inlineStr">
        <is>
          <t xml:space="preserve">Montant (EUR)</t>
        </is>
      </c>
    </row>
  </sheetData>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2026-06-15T14:07:58Z</dcterms:created>
  <dc:creator>openpyxl</dc:creator>
  <dc:description/>
  <dc:language>en-US</dc:language>
  <cp:lastModifiedBy>Bernard LEGLISE</cp:lastModifiedBy>
  <dcterms:modified xsi:type="dcterms:W3CDTF">2026-06-16T08:07:19Z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