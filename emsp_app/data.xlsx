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LISTES" sheetId="2" state="visible" r:id="rId2"/>
    <sheet xmlns:r="http://schemas.openxmlformats.org/officeDocument/2006/relationships" name="PARAM_FORMATIONS" sheetId="3" state="visible" r:id="rId3"/>
    <sheet xmlns:r="http://schemas.openxmlformats.org/officeDocument/2006/relationships" name="PARAM_SALLES" sheetId="4" state="visible" r:id="rId4"/>
    <sheet xmlns:r="http://schemas.openxmlformats.org/officeDocument/2006/relationships" name="FORMATEURS_RH" sheetId="5" state="visible" r:id="rId5"/>
    <sheet xmlns:r="http://schemas.openxmlformats.org/officeDocument/2006/relationships" name="SESSIONS" sheetId="6" state="visible" r:id="rId6"/>
    <sheet xmlns:r="http://schemas.openxmlformats.org/officeDocument/2006/relationships" name="INTERVENTIONS" sheetId="7" state="visible" r:id="rId7"/>
    <sheet xmlns:r="http://schemas.openxmlformats.org/officeDocument/2006/relationships" name="RESERVATIONS" sheetId="8" state="visible" r:id="rId8"/>
    <sheet xmlns:r="http://schemas.openxmlformats.org/officeDocument/2006/relationships" name="DEPENSES" sheetId="9" state="visible" r:id="rId9"/>
    <sheet xmlns:r="http://schemas.openxmlformats.org/officeDocument/2006/relationships" name="BILAN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[h]:mm"/>
    <numFmt numFmtId="166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D4A017"/>
      <sz val="12"/>
    </font>
    <font>
      <name val="Arial"/>
      <charset val="1"/>
      <family val="0"/>
      <color rgb="FF1F386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CC00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CC0000"/>
      <sz val="9"/>
    </font>
  </fonts>
  <fills count="13">
    <fill>
      <patternFill/>
    </fill>
    <fill>
      <patternFill patternType="gray125"/>
    </fill>
    <fill>
      <patternFill patternType="solid">
        <fgColor rgb="FF1F3864"/>
        <bgColor rgb="FF2E5490"/>
      </patternFill>
    </fill>
    <fill>
      <patternFill patternType="solid">
        <fgColor rgb="FF2E5490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0E0"/>
      </patternFill>
    </fill>
    <fill>
      <patternFill patternType="solid">
        <fgColor rgb="FFFFEB9C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800000"/>
        <bgColor rgb="FF9C0006"/>
      </patternFill>
    </fill>
    <fill>
      <patternFill patternType="solid">
        <fgColor rgb="FFF2F2F2"/>
        <bgColor rgb="FFE2EFDA"/>
      </patternFill>
    </fill>
    <fill>
      <patternFill patternType="solid">
        <fgColor rgb="FFFFE0E0"/>
        <bgColor rgb="FFF2F2F2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9" fillId="6" borderId="2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general" vertical="bottom"/>
    </xf>
    <xf numFmtId="0" fontId="9" fillId="7" borderId="2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general" vertical="bottom"/>
    </xf>
    <xf numFmtId="0" fontId="9" fillId="8" borderId="2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general" vertical="bottom"/>
    </xf>
    <xf numFmtId="0" fontId="9" fillId="9" borderId="2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left" vertical="center" wrapText="1"/>
    </xf>
    <xf numFmtId="9" fontId="9" fillId="5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left" vertical="center" wrapText="1"/>
    </xf>
    <xf numFmtId="9" fontId="9" fillId="11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left" vertical="center" wrapText="1"/>
    </xf>
    <xf numFmtId="3" fontId="8" fillId="11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9" fontId="10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general" vertical="bottom"/>
    </xf>
    <xf numFmtId="3" fontId="0" fillId="11" borderId="1" applyAlignment="1" pivotButton="0" quotePrefix="0" xfId="0">
      <alignment horizontal="general" vertical="bottom"/>
    </xf>
    <xf numFmtId="166" fontId="9" fillId="11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66" fontId="9" fillId="5" borderId="1" applyAlignment="1" pivotButton="0" quotePrefix="0" xfId="0">
      <alignment horizontal="general" vertical="bottom"/>
    </xf>
    <xf numFmtId="0" fontId="16" fillId="4" borderId="1" applyAlignment="1" pivotButton="0" quotePrefix="0" xfId="0">
      <alignment horizontal="general" vertical="bottom"/>
    </xf>
    <xf numFmtId="3" fontId="16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/>
    </xf>
    <xf numFmtId="3" fontId="10" fillId="11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general" vertical="bottom"/>
    </xf>
    <xf numFmtId="0" fontId="18" fillId="1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9" fillId="6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7" borderId="1" applyAlignment="1" pivotButton="0" quotePrefix="0" xfId="0">
      <alignment horizontal="general" vertical="bottom"/>
    </xf>
    <xf numFmtId="0" fontId="9" fillId="7" borderId="2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general" vertical="bottom"/>
    </xf>
    <xf numFmtId="0" fontId="9" fillId="8" borderId="2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general" vertical="bottom"/>
    </xf>
    <xf numFmtId="0" fontId="9" fillId="9" borderId="2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left" vertical="center" wrapText="1"/>
    </xf>
    <xf numFmtId="9" fontId="9" fillId="5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left" vertical="center" wrapText="1"/>
    </xf>
    <xf numFmtId="9" fontId="9" fillId="11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left" vertical="center" wrapText="1"/>
    </xf>
    <xf numFmtId="3" fontId="8" fillId="11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9" fontId="10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general" vertical="bottom"/>
    </xf>
    <xf numFmtId="3" fontId="0" fillId="11" borderId="1" applyAlignment="1" pivotButton="0" quotePrefix="0" xfId="0">
      <alignment horizontal="general" vertical="bottom"/>
    </xf>
    <xf numFmtId="166" fontId="9" fillId="11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66" fontId="9" fillId="5" borderId="1" applyAlignment="1" pivotButton="0" quotePrefix="0" xfId="0">
      <alignment horizontal="general" vertical="bottom"/>
    </xf>
    <xf numFmtId="0" fontId="16" fillId="4" borderId="1" applyAlignment="1" pivotButton="0" quotePrefix="0" xfId="0">
      <alignment horizontal="general" vertical="bottom"/>
    </xf>
    <xf numFmtId="3" fontId="16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/>
    </xf>
    <xf numFmtId="3" fontId="10" fillId="11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general" vertical="bottom"/>
    </xf>
    <xf numFmtId="0" fontId="18" fillId="12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6600"/>
      </font>
      <fill>
        <patternFill>
          <bgColor rgb="FFFFEB9C"/>
        </patternFill>
      </fill>
    </dxf>
    <dxf>
      <font>
        <name val="Arial"/>
        <charset val="1"/>
        <family val="0"/>
        <color rgb="FF000000"/>
      </font>
      <fill>
        <patternFill>
          <bgColor rgb="FFD9E1F2"/>
        </patternFill>
      </fill>
    </dxf>
    <dxf>
      <font>
        <name val="Arial"/>
        <charset val="1"/>
        <family val="0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color rgb="FF7D6608"/>
      </font>
      <fill>
        <patternFill>
          <bgColor rgb="FFFFFF99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0B0B0"/>
      <rgbColor rgb="FF808080"/>
      <rgbColor rgb="FF9999FF"/>
      <rgbColor rgb="FF7030A0"/>
      <rgbColor rgb="FFF2F2F2"/>
      <rgbColor rgb="FFFFE0E0"/>
      <rgbColor rgb="FF660066"/>
      <rgbColor rgb="FFED7D31"/>
      <rgbColor rgb="FF0066CC"/>
      <rgbColor rgb="FFD9E1F2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FFEB9C"/>
      <rgbColor rgb="FFE2EFDA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D4A017"/>
      <rgbColor rgb="FFFF6600"/>
      <rgbColor rgb="FF666699"/>
      <rgbColor rgb="FF70AD47"/>
      <rgbColor rgb="FF1F3864"/>
      <rgbColor rgb="FF339966"/>
      <rgbColor rgb="FF003300"/>
      <rgbColor rgb="FF333300"/>
      <rgbColor rgb="FFC00000"/>
      <rgbColor rgb="FFCC0000"/>
      <rgbColor rgb="FF2E5490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1F3864"/>
    <outlinePr summaryBelow="1" summaryRight="1"/>
    <pageSetUpPr fitToPage="0"/>
  </sheetPr>
  <dimension ref="B2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59" min="1" max="1"/>
    <col width="32" customWidth="1" style="59" min="2" max="2"/>
    <col width="40" customWidth="1" style="59" min="3" max="3"/>
    <col width="22" customWidth="1" style="59" min="4" max="4"/>
    <col width="18" customWidth="1" style="59" min="5" max="5"/>
  </cols>
  <sheetData>
    <row r="2" ht="39.75" customHeight="1" s="60">
      <c r="B2" s="61" t="inlineStr">
        <is>
          <t>GESTION DE LA FORMATION – EMSP</t>
        </is>
      </c>
    </row>
    <row r="3" ht="24" customHeight="1" s="60">
      <c r="B3" s="62" t="inlineStr">
        <is>
          <t>Outil de pilotage pédagogique et administratif</t>
        </is>
      </c>
    </row>
    <row r="5" ht="30" customHeight="1" s="60">
      <c r="B5" s="63" t="inlineStr">
        <is>
          <t>🔵 Texte NOIR = champs définis dans le cahier des charges    🔴 Texte ROUGE = ajouts complémentaires pris à notre initiative</t>
        </is>
      </c>
    </row>
    <row r="7" ht="21.75" customHeight="1" s="60">
      <c r="B7" s="64" t="inlineStr">
        <is>
          <t>Onglet</t>
        </is>
      </c>
      <c r="C7" s="64" t="inlineStr">
        <is>
          <t>Description</t>
        </is>
      </c>
      <c r="D7" s="64" t="inlineStr">
        <is>
          <t>Fréquence de mise à jour</t>
        </is>
      </c>
    </row>
    <row r="8" ht="19.5" customHeight="1" s="60">
      <c r="B8" s="65" t="inlineStr">
        <is>
          <t>📋 PARAM_SALLES</t>
        </is>
      </c>
      <c r="C8" s="65" t="inlineStr">
        <is>
          <t>Référentiel des salles pédagogiques</t>
        </is>
      </c>
      <c r="D8" s="65" t="inlineStr">
        <is>
          <t>À chaque changement de salle</t>
        </is>
      </c>
    </row>
    <row r="9" ht="19.5" customHeight="1" s="60">
      <c r="B9" s="66" t="inlineStr">
        <is>
          <t>📚 PARAM_FORMATIONS</t>
        </is>
      </c>
      <c r="C9" s="66" t="inlineStr">
        <is>
          <t>Référentiel des formations (catalogue)</t>
        </is>
      </c>
      <c r="D9" s="66" t="inlineStr">
        <is>
          <t>À chaque nouvelle formation</t>
        </is>
      </c>
    </row>
    <row r="10" ht="19.5" customHeight="1" s="60">
      <c r="B10" s="65" t="inlineStr">
        <is>
          <t>👩‍🏫 FORMATEURS_RH</t>
        </is>
      </c>
      <c r="C10" s="65" t="inlineStr">
        <is>
          <t>Profils et disponibilités des formateurs</t>
        </is>
      </c>
      <c r="D10" s="65" t="inlineStr">
        <is>
          <t>À chaque arrivée / départ / MAJ</t>
        </is>
      </c>
    </row>
    <row r="11" ht="19.5" customHeight="1" s="60">
      <c r="B11" s="66" t="inlineStr">
        <is>
          <t>📅 SESSIONS</t>
        </is>
      </c>
      <c r="C11" s="66" t="inlineStr">
        <is>
          <t>Sessions planifiées et réalisées</t>
        </is>
      </c>
      <c r="D11" s="66" t="inlineStr">
        <is>
          <t>À chaque session planifiée</t>
        </is>
      </c>
    </row>
    <row r="12" ht="19.5" customHeight="1" s="60">
      <c r="B12" s="65" t="inlineStr">
        <is>
          <t>🔗 INTERVENTIONS</t>
        </is>
      </c>
      <c r="C12" s="65" t="inlineStr">
        <is>
          <t>Affectation formateurs ↔ sessions</t>
        </is>
      </c>
      <c r="D12" s="65" t="inlineStr">
        <is>
          <t>À chaque affectation</t>
        </is>
      </c>
    </row>
    <row r="13" ht="19.5" customHeight="1" s="60">
      <c r="B13" s="66" t="inlineStr">
        <is>
          <t>🏫 RESERVATIONS</t>
        </is>
      </c>
      <c r="C13" s="66" t="inlineStr">
        <is>
          <t>Planning d'occupation des salles</t>
        </is>
      </c>
      <c r="D13" s="66" t="inlineStr">
        <is>
          <t>Avant chaque utilisation de salle</t>
        </is>
      </c>
    </row>
    <row r="14" ht="19.5" customHeight="1" s="60">
      <c r="B14" s="65" t="inlineStr">
        <is>
          <t>💶 DEPENSES</t>
        </is>
      </c>
      <c r="C14" s="65" t="inlineStr">
        <is>
          <t>Suivi financier des dépenses par session</t>
        </is>
      </c>
      <c r="D14" s="65" t="inlineStr">
        <is>
          <t>À chaque dépense engagée</t>
        </is>
      </c>
    </row>
    <row r="15" ht="19.5" customHeight="1" s="60">
      <c r="B15" s="66" t="inlineStr">
        <is>
          <t>📊 BILANS</t>
        </is>
      </c>
      <c r="C15" s="66" t="inlineStr">
        <is>
          <t>Tableau de bord et indicateurs automatiques</t>
        </is>
      </c>
      <c r="D15" s="66" t="inlineStr">
        <is>
          <t>Automatique (formules dynamiques)</t>
        </is>
      </c>
    </row>
    <row r="16" ht="19.5" customHeight="1" s="60">
      <c r="B16" s="67" t="inlineStr">
        <is>
          <t>📋 LISTES</t>
        </is>
      </c>
      <c r="C16" s="67" t="inlineStr">
        <is>
          <t>Listes de référence (validation données)</t>
        </is>
      </c>
      <c r="D16" s="67" t="inlineStr">
        <is>
          <t>Au démarrage + si besoin</t>
        </is>
      </c>
    </row>
    <row r="18" ht="7.5" customHeight="1" s="60"/>
    <row r="19" ht="19.5" customHeight="1" s="60">
      <c r="B19" s="68" t="inlineStr">
        <is>
          <t>Légende des codes couleur (mises en forme conditionnelles)</t>
        </is>
      </c>
    </row>
    <row r="20" ht="18" customHeight="1" s="60">
      <c r="B20" s="69" t="inlineStr">
        <is>
          <t>🔴  Ligne rouge</t>
        </is>
      </c>
      <c r="C20" s="70" t="inlineStr">
        <is>
          <t>Équipement / session critique à traiter en urgence</t>
        </is>
      </c>
      <c r="D20" s="71" t="n"/>
      <c r="E20" s="71" t="n"/>
    </row>
    <row r="21" ht="18" customHeight="1" s="60">
      <c r="B21" s="72" t="inlineStr">
        <is>
          <t>🟠  Ligne orange</t>
        </is>
      </c>
      <c r="C21" s="73" t="inlineStr">
        <is>
          <t>Maintenance ou action en retard</t>
        </is>
      </c>
      <c r="D21" s="71" t="n"/>
      <c r="E21" s="71" t="n"/>
    </row>
    <row r="22" ht="18" customHeight="1" s="60">
      <c r="B22" s="74" t="inlineStr">
        <is>
          <t>🟡  Ligne jaune</t>
        </is>
      </c>
      <c r="C22" s="75" t="inlineStr">
        <is>
          <t>Alerte ou point d'attention</t>
        </is>
      </c>
      <c r="D22" s="71" t="n"/>
      <c r="E22" s="71" t="n"/>
    </row>
    <row r="23" ht="18" customHeight="1" s="60">
      <c r="B23" s="76" t="inlineStr">
        <is>
          <t>🟢  Ligne verte</t>
        </is>
      </c>
      <c r="C23" s="77" t="inlineStr">
        <is>
          <t>Réalisé / conforme</t>
        </is>
      </c>
      <c r="D23" s="71" t="n"/>
      <c r="E23" s="71" t="n"/>
    </row>
  </sheetData>
  <mergeCells count="8">
    <mergeCell ref="C23:E23"/>
    <mergeCell ref="C22:E22"/>
    <mergeCell ref="B3:E3"/>
    <mergeCell ref="B19:E19"/>
    <mergeCell ref="B5:E5"/>
    <mergeCell ref="B2:E2"/>
    <mergeCell ref="C21:E21"/>
    <mergeCell ref="C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808080"/>
    <outlinePr summaryBelow="1" summaryRight="1"/>
    <pageSetUpPr fitToPage="0"/>
  </sheetPr>
  <dimension ref="A1:O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59" min="1" max="15"/>
  </cols>
  <sheetData>
    <row r="1" ht="27.75" customHeight="1" s="60">
      <c r="A1" s="64" t="inlineStr">
        <is>
          <t>Type_Formation</t>
        </is>
      </c>
      <c r="B1" s="64" t="inlineStr">
        <is>
          <t>Statut_Session</t>
        </is>
      </c>
      <c r="C1" s="64" t="inlineStr">
        <is>
          <t>Type_Public</t>
        </is>
      </c>
      <c r="D1" s="64" t="inlineStr">
        <is>
          <t>Statut_Salle</t>
        </is>
      </c>
      <c r="E1" s="64" t="inlineStr">
        <is>
          <t>Type_Salle</t>
        </is>
      </c>
      <c r="F1" s="64" t="inlineStr">
        <is>
          <t>Statut_Formateur</t>
        </is>
      </c>
      <c r="G1" s="64" t="inlineStr">
        <is>
          <t>Niveau_Qualification</t>
        </is>
      </c>
      <c r="H1" s="64" t="inlineStr">
        <is>
          <t>Rôle_Intervention</t>
        </is>
      </c>
      <c r="I1" s="64" t="inlineStr">
        <is>
          <t>Nature_Depense</t>
        </is>
      </c>
      <c r="J1" s="64" t="inlineStr">
        <is>
          <t>Mode_Paiement</t>
        </is>
      </c>
      <c r="K1" s="64" t="inlineStr">
        <is>
          <t>Source_Financement</t>
        </is>
      </c>
      <c r="L1" s="64" t="inlineStr">
        <is>
          <t>Taux_Disponibilite</t>
        </is>
      </c>
      <c r="M1" s="78" t="inlineStr">
        <is>
          <t>Filiere (ajout)</t>
        </is>
      </c>
      <c r="N1" s="78" t="inlineStr">
        <is>
          <t>Statut_Reservation (ajout)</t>
        </is>
      </c>
      <c r="O1" s="78" t="inlineStr">
        <is>
          <t>Type_Activite (ajout)</t>
        </is>
      </c>
    </row>
    <row r="2" ht="15" customHeight="1" s="60">
      <c r="A2" s="79" t="inlineStr">
        <is>
          <t>Initiale</t>
        </is>
      </c>
      <c r="B2" s="79" t="inlineStr">
        <is>
          <t>Planifiée</t>
        </is>
      </c>
      <c r="C2" s="79" t="inlineStr">
        <is>
          <t>Étudiants EMSP</t>
        </is>
      </c>
      <c r="D2" s="79" t="inlineStr">
        <is>
          <t>En service</t>
        </is>
      </c>
      <c r="E2" s="79" t="inlineStr">
        <is>
          <t>Amphi</t>
        </is>
      </c>
      <c r="F2" s="79" t="inlineStr">
        <is>
          <t>Interne EMSP</t>
        </is>
      </c>
      <c r="G2" s="79" t="inlineStr">
        <is>
          <t>Licence</t>
        </is>
      </c>
      <c r="H2" s="79" t="inlineStr">
        <is>
          <t>Responsable</t>
        </is>
      </c>
      <c r="I2" s="79" t="inlineStr">
        <is>
          <t>Intervenants</t>
        </is>
      </c>
      <c r="J2" s="79" t="inlineStr">
        <is>
          <t>Virement</t>
        </is>
      </c>
      <c r="K2" s="79" t="inlineStr">
        <is>
          <t>ODS</t>
        </is>
      </c>
      <c r="L2" s="79" t="inlineStr">
        <is>
          <t>Plein temps</t>
        </is>
      </c>
      <c r="M2" s="80" t="inlineStr">
        <is>
          <t>Infirmier</t>
        </is>
      </c>
      <c r="N2" s="80" t="inlineStr">
        <is>
          <t>Prévu</t>
        </is>
      </c>
      <c r="O2" s="80" t="inlineStr">
        <is>
          <t>Cours initial</t>
        </is>
      </c>
    </row>
    <row r="3" ht="15" customHeight="1" s="60">
      <c r="A3" s="79" t="inlineStr">
        <is>
          <t>Continue</t>
        </is>
      </c>
      <c r="B3" s="79" t="inlineStr">
        <is>
          <t>En cours</t>
        </is>
      </c>
      <c r="C3" s="79" t="inlineStr">
        <is>
          <t>Agents hospitaliers</t>
        </is>
      </c>
      <c r="D3" s="79" t="inlineStr">
        <is>
          <t>Hors service</t>
        </is>
      </c>
      <c r="E3" s="79" t="inlineStr">
        <is>
          <t>TP</t>
        </is>
      </c>
      <c r="F3" s="79" t="inlineStr">
        <is>
          <t>Intervenant externe</t>
        </is>
      </c>
      <c r="G3" s="79" t="inlineStr">
        <is>
          <t>Master</t>
        </is>
      </c>
      <c r="H3" s="79" t="inlineStr">
        <is>
          <t>Co-formateur</t>
        </is>
      </c>
      <c r="I3" s="79" t="inlineStr">
        <is>
          <t>Supports pédagogiques</t>
        </is>
      </c>
      <c r="J3" s="79" t="inlineStr">
        <is>
          <t>Chèque</t>
        </is>
      </c>
      <c r="K3" s="79" t="inlineStr">
        <is>
          <t>Budget EMSP</t>
        </is>
      </c>
      <c r="L3" s="79" t="inlineStr">
        <is>
          <t>Temps partiel</t>
        </is>
      </c>
      <c r="M3" s="80" t="inlineStr">
        <is>
          <t>Aide-soignant</t>
        </is>
      </c>
      <c r="N3" s="80" t="inlineStr">
        <is>
          <t>Confirmé</t>
        </is>
      </c>
      <c r="O3" s="80" t="inlineStr">
        <is>
          <t>TP</t>
        </is>
      </c>
    </row>
    <row r="4" ht="15" customHeight="1" s="60">
      <c r="A4" s="79" t="inlineStr">
        <is>
          <t>Recyclage</t>
        </is>
      </c>
      <c r="B4" s="79" t="inlineStr">
        <is>
          <t>Terminée</t>
        </is>
      </c>
      <c r="C4" s="79" t="inlineStr">
        <is>
          <t>Formateurs EMSP</t>
        </is>
      </c>
      <c r="D4" s="79" t="inlineStr">
        <is>
          <t>En rénovation</t>
        </is>
      </c>
      <c r="E4" s="79" t="inlineStr">
        <is>
          <t>Simulation</t>
        </is>
      </c>
      <c r="F4" s="79" t="inlineStr">
        <is>
          <t>Expert projet</t>
        </is>
      </c>
      <c r="G4" s="79" t="inlineStr">
        <is>
          <t>Doctorat</t>
        </is>
      </c>
      <c r="H4" s="79" t="inlineStr">
        <is>
          <t>Intervenant externe</t>
        </is>
      </c>
      <c r="I4" s="79" t="inlineStr">
        <is>
          <t>Matériel TP</t>
        </is>
      </c>
      <c r="J4" s="79" t="inlineStr">
        <is>
          <t>Espèces</t>
        </is>
      </c>
      <c r="K4" s="79" t="inlineStr">
        <is>
          <t>Projet</t>
        </is>
      </c>
      <c r="L4" s="79" t="inlineStr">
        <is>
          <t>Occasionnel</t>
        </is>
      </c>
      <c r="M4" s="80" t="inlineStr">
        <is>
          <t>Médecin</t>
        </is>
      </c>
      <c r="N4" s="80" t="inlineStr">
        <is>
          <t>Réalisé</t>
        </is>
      </c>
      <c r="O4" s="80" t="inlineStr">
        <is>
          <t>Simulation</t>
        </is>
      </c>
    </row>
    <row r="5" ht="15" customHeight="1" s="60">
      <c r="B5" s="79" t="inlineStr">
        <is>
          <t>Annulée</t>
        </is>
      </c>
      <c r="C5" s="79" t="inlineStr">
        <is>
          <t>Mixte</t>
        </is>
      </c>
      <c r="D5" s="79" t="inlineStr">
        <is>
          <t>Réservée</t>
        </is>
      </c>
      <c r="E5" s="79" t="inlineStr">
        <is>
          <t>Cours</t>
        </is>
      </c>
      <c r="F5" s="79" t="inlineStr">
        <is>
          <t>Enseignant UDC</t>
        </is>
      </c>
      <c r="G5" s="79" t="inlineStr">
        <is>
          <t>Spécialiste</t>
        </is>
      </c>
      <c r="H5" s="79" t="inlineStr">
        <is>
          <t>Tuteur stage</t>
        </is>
      </c>
      <c r="I5" s="79" t="inlineStr">
        <is>
          <t>Hébergement</t>
        </is>
      </c>
      <c r="J5" s="79" t="inlineStr">
        <is>
          <t>Prélèvement</t>
        </is>
      </c>
      <c r="K5" s="79" t="inlineStr">
        <is>
          <t>Partenariat</t>
        </is>
      </c>
      <c r="L5" s="79" t="inlineStr">
        <is>
          <t>Vacataire</t>
        </is>
      </c>
      <c r="M5" s="80" t="inlineStr">
        <is>
          <t>Pharmacien</t>
        </is>
      </c>
      <c r="N5" s="80" t="inlineStr">
        <is>
          <t>Annulé</t>
        </is>
      </c>
      <c r="O5" s="80" t="inlineStr">
        <is>
          <t>Formation continue</t>
        </is>
      </c>
    </row>
    <row r="6" ht="15" customHeight="1" s="60">
      <c r="B6" s="79" t="inlineStr">
        <is>
          <t>Reportée</t>
        </is>
      </c>
      <c r="C6" s="79" t="inlineStr">
        <is>
          <t>Externe</t>
        </is>
      </c>
      <c r="E6" s="79" t="inlineStr">
        <is>
          <t>Réunion</t>
        </is>
      </c>
      <c r="F6" s="79" t="inlineStr">
        <is>
          <t>Vacataire</t>
        </is>
      </c>
      <c r="G6" s="79" t="inlineStr">
        <is>
          <t>DES</t>
        </is>
      </c>
      <c r="H6" s="79" t="inlineStr">
        <is>
          <t>Observateur</t>
        </is>
      </c>
      <c r="I6" s="79" t="inlineStr">
        <is>
          <t>Transport</t>
        </is>
      </c>
      <c r="J6" s="79" t="inlineStr">
        <is>
          <t>Bon de commande</t>
        </is>
      </c>
      <c r="K6" s="79" t="inlineStr">
        <is>
          <t>Autofinancement</t>
        </is>
      </c>
      <c r="M6" s="80" t="inlineStr">
        <is>
          <t>Transversal</t>
        </is>
      </c>
      <c r="N6" s="80" t="inlineStr">
        <is>
          <t>Reporté</t>
        </is>
      </c>
      <c r="O6" s="80" t="inlineStr">
        <is>
          <t>Réunion</t>
        </is>
      </c>
    </row>
    <row r="7" ht="15" customHeight="1" s="60">
      <c r="E7" s="79" t="inlineStr">
        <is>
          <t>Laboratoire</t>
        </is>
      </c>
      <c r="G7" s="79" t="inlineStr">
        <is>
          <t>DESC</t>
        </is>
      </c>
      <c r="I7" s="79" t="inlineStr">
        <is>
          <t>Collations</t>
        </is>
      </c>
      <c r="M7" s="80" t="inlineStr">
        <is>
          <t>Formateurs</t>
        </is>
      </c>
      <c r="O7" s="80" t="inlineStr">
        <is>
          <t>Examen</t>
        </is>
      </c>
    </row>
    <row r="8" ht="15" customHeight="1" s="60">
      <c r="I8" s="79" t="inlineStr">
        <is>
          <t>Location matériel</t>
        </is>
      </c>
    </row>
    <row r="9" ht="15" customHeight="1" s="60">
      <c r="I9" s="79" t="inlineStr">
        <is>
          <t>Fournitures administratives</t>
        </is>
      </c>
    </row>
    <row r="10" ht="15" customHeight="1" s="60">
      <c r="I10" s="79" t="inlineStr">
        <is>
          <t>Autre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E75B6"/>
    <outlinePr summaryBelow="1" summaryRight="1"/>
    <pageSetUpPr fitToPage="0"/>
  </sheetPr>
  <dimension ref="A1:K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9" min="1" max="1"/>
    <col width="40" customWidth="1" style="59" min="2" max="2"/>
    <col width="14" customWidth="1" style="59" min="3" max="3"/>
    <col width="16" customWidth="1" style="59" min="4" max="4"/>
    <col width="12" customWidth="1" style="59" min="5" max="5"/>
    <col width="22" customWidth="1" style="59" min="6" max="7"/>
    <col width="18" customWidth="1" style="59" min="8" max="8"/>
    <col width="16" customWidth="1" style="59" min="9" max="9"/>
    <col width="30" customWidth="1" style="59" min="10" max="10"/>
    <col width="24" customWidth="1" style="59" min="11" max="11"/>
  </cols>
  <sheetData>
    <row r="1" ht="27.75" customHeight="1" s="60">
      <c r="A1" s="64" t="inlineStr">
        <is>
          <t>Code_Formation</t>
        </is>
      </c>
      <c r="B1" s="64" t="inlineStr">
        <is>
          <t>Intitulé</t>
        </is>
      </c>
      <c r="C1" s="64" t="inlineStr">
        <is>
          <t>Type_Formation</t>
        </is>
      </c>
      <c r="D1" s="64" t="inlineStr">
        <is>
          <t>Filière</t>
        </is>
      </c>
      <c r="E1" s="64" t="inlineStr">
        <is>
          <t>Durée (h)</t>
        </is>
      </c>
      <c r="F1" s="64" t="inlineStr">
        <is>
          <t>Responsable_Pédagogique</t>
        </is>
      </c>
      <c r="G1" s="64" t="inlineStr">
        <is>
          <t>Coût_Prévisionnel (FCFA)</t>
        </is>
      </c>
      <c r="H1" s="64" t="inlineStr">
        <is>
          <t>Financement_Principal</t>
        </is>
      </c>
      <c r="I1" s="81" t="inlineStr">
        <is>
          <t>Nb_Max_Participants</t>
        </is>
      </c>
      <c r="J1" s="81" t="inlineStr">
        <is>
          <t>Objectifs_Généraux</t>
        </is>
      </c>
      <c r="K1" s="81" t="inlineStr">
        <is>
          <t>Pré-requis</t>
        </is>
      </c>
    </row>
    <row r="2" ht="15" customHeight="1" s="60">
      <c r="A2" s="66" t="inlineStr">
        <is>
          <t>FI-INF-01</t>
        </is>
      </c>
      <c r="B2" s="66" t="inlineStr">
        <is>
          <t>Formation Initiale Infirmier – 1ère année</t>
        </is>
      </c>
      <c r="C2" s="66" t="inlineStr">
        <is>
          <t>Initiale</t>
        </is>
      </c>
      <c r="D2" s="66" t="inlineStr">
        <is>
          <t>Infirmier</t>
        </is>
      </c>
      <c r="E2" s="66" t="n">
        <v>600</v>
      </c>
      <c r="F2" s="66" t="inlineStr">
        <is>
          <t>Dr. Dupont</t>
        </is>
      </c>
      <c r="G2" s="66" t="n">
        <v>0</v>
      </c>
      <c r="H2" s="66" t="inlineStr">
        <is>
          <t>ODS</t>
        </is>
      </c>
      <c r="I2" s="82" t="n">
        <v>80</v>
      </c>
      <c r="J2" s="82" t="n"/>
      <c r="K2" s="82" t="inlineStr">
        <is>
          <t>BAC ou équivalent</t>
        </is>
      </c>
    </row>
    <row r="3" ht="15" customHeight="1" s="60">
      <c r="A3" s="83" t="inlineStr">
        <is>
          <t>FI-INF-02</t>
        </is>
      </c>
      <c r="B3" s="83" t="inlineStr">
        <is>
          <t>Formation Initiale Infirmier – 2ème année</t>
        </is>
      </c>
      <c r="C3" s="83" t="inlineStr">
        <is>
          <t>Initiale</t>
        </is>
      </c>
      <c r="D3" s="83" t="inlineStr">
        <is>
          <t>Infirmier</t>
        </is>
      </c>
      <c r="E3" s="83" t="n">
        <v>680</v>
      </c>
      <c r="F3" s="83" t="inlineStr">
        <is>
          <t>Dr. Dupont</t>
        </is>
      </c>
      <c r="G3" s="83" t="n">
        <v>0</v>
      </c>
      <c r="H3" s="83" t="inlineStr">
        <is>
          <t>ODS</t>
        </is>
      </c>
      <c r="I3" s="84" t="n">
        <v>80</v>
      </c>
      <c r="J3" s="84" t="n"/>
      <c r="K3" s="84" t="inlineStr">
        <is>
          <t>Valider FI-INF-01</t>
        </is>
      </c>
    </row>
    <row r="4" ht="15" customHeight="1" s="60">
      <c r="A4" s="66" t="inlineStr">
        <is>
          <t>FI-INF-03</t>
        </is>
      </c>
      <c r="B4" s="66" t="inlineStr">
        <is>
          <t>Formation Initiale Infirmier – 3ème année</t>
        </is>
      </c>
      <c r="C4" s="66" t="inlineStr">
        <is>
          <t>Initiale</t>
        </is>
      </c>
      <c r="D4" s="66" t="inlineStr">
        <is>
          <t>Infirmier</t>
        </is>
      </c>
      <c r="E4" s="66" t="n">
        <v>720</v>
      </c>
      <c r="F4" s="66" t="inlineStr">
        <is>
          <t>Dr. Dupont</t>
        </is>
      </c>
      <c r="G4" s="66" t="n">
        <v>0</v>
      </c>
      <c r="H4" s="66" t="inlineStr">
        <is>
          <t>ODS</t>
        </is>
      </c>
      <c r="I4" s="82" t="n">
        <v>80</v>
      </c>
      <c r="J4" s="82" t="n"/>
      <c r="K4" s="82" t="inlineStr">
        <is>
          <t>Valider FI-INF-02</t>
        </is>
      </c>
    </row>
    <row r="5" ht="15" customHeight="1" s="60">
      <c r="A5" s="83" t="inlineStr">
        <is>
          <t>FI-AS-01</t>
        </is>
      </c>
      <c r="B5" s="83" t="inlineStr">
        <is>
          <t>Formation Initiale Aide-Soignant</t>
        </is>
      </c>
      <c r="C5" s="83" t="inlineStr">
        <is>
          <t>Initiale</t>
        </is>
      </c>
      <c r="D5" s="83" t="inlineStr">
        <is>
          <t>Aide-soignant</t>
        </is>
      </c>
      <c r="E5" s="83" t="n">
        <v>350</v>
      </c>
      <c r="F5" s="83" t="inlineStr">
        <is>
          <t>Mme Martin</t>
        </is>
      </c>
      <c r="G5" s="83" t="n">
        <v>0</v>
      </c>
      <c r="H5" s="83" t="inlineStr">
        <is>
          <t>ODS</t>
        </is>
      </c>
      <c r="I5" s="84" t="n">
        <v>40</v>
      </c>
      <c r="J5" s="84" t="n"/>
      <c r="K5" s="84" t="inlineStr">
        <is>
          <t>Aucun</t>
        </is>
      </c>
    </row>
    <row r="6" ht="15" customHeight="1" s="60">
      <c r="A6" s="66" t="inlineStr">
        <is>
          <t>FC-HYG-01</t>
        </is>
      </c>
      <c r="B6" s="66" t="inlineStr">
        <is>
          <t>Formation Continue Hygiène Hospitalière</t>
        </is>
      </c>
      <c r="C6" s="66" t="inlineStr">
        <is>
          <t>Continue</t>
        </is>
      </c>
      <c r="D6" s="66" t="inlineStr">
        <is>
          <t>Transversal</t>
        </is>
      </c>
      <c r="E6" s="66" t="n">
        <v>16</v>
      </c>
      <c r="F6" s="66" t="inlineStr">
        <is>
          <t>Dr. Bernard</t>
        </is>
      </c>
      <c r="G6" s="66" t="n">
        <v>250000</v>
      </c>
      <c r="H6" s="66" t="inlineStr">
        <is>
          <t>Budget EMSP</t>
        </is>
      </c>
      <c r="I6" s="82" t="n">
        <v>30</v>
      </c>
      <c r="J6" s="82" t="n"/>
      <c r="K6" s="82" t="inlineStr">
        <is>
          <t>Aucun</t>
        </is>
      </c>
    </row>
    <row r="7" ht="15" customHeight="1" s="60">
      <c r="A7" s="83" t="inlineStr">
        <is>
          <t>FC-GES-01</t>
        </is>
      </c>
      <c r="B7" s="83" t="inlineStr">
        <is>
          <t>Formation Continue Gestes d'urgence</t>
        </is>
      </c>
      <c r="C7" s="83" t="inlineStr">
        <is>
          <t>Continue</t>
        </is>
      </c>
      <c r="D7" s="83" t="inlineStr">
        <is>
          <t>Transversal</t>
        </is>
      </c>
      <c r="E7" s="83" t="n">
        <v>8</v>
      </c>
      <c r="F7" s="83" t="inlineStr">
        <is>
          <t>Dr. Leroy</t>
        </is>
      </c>
      <c r="G7" s="83" t="n">
        <v>120000</v>
      </c>
      <c r="H7" s="83" t="inlineStr">
        <is>
          <t>Budget EMSP</t>
        </is>
      </c>
      <c r="I7" s="84" t="n">
        <v>25</v>
      </c>
      <c r="J7" s="84" t="n"/>
      <c r="K7" s="84" t="inlineStr">
        <is>
          <t>Aucun</t>
        </is>
      </c>
    </row>
    <row r="8" ht="15" customHeight="1" s="60">
      <c r="A8" s="66" t="inlineStr">
        <is>
          <t>FC-SIM-01</t>
        </is>
      </c>
      <c r="B8" s="66" t="inlineStr">
        <is>
          <t>Pédagogie par la Simulation</t>
        </is>
      </c>
      <c r="C8" s="66" t="inlineStr">
        <is>
          <t>Continue</t>
        </is>
      </c>
      <c r="D8" s="66" t="inlineStr">
        <is>
          <t>Formateurs</t>
        </is>
      </c>
      <c r="E8" s="66" t="n">
        <v>24</v>
      </c>
      <c r="F8" s="66" t="inlineStr">
        <is>
          <t>Mme Leclerc</t>
        </is>
      </c>
      <c r="G8" s="66" t="n">
        <v>180000</v>
      </c>
      <c r="H8" s="66" t="inlineStr">
        <is>
          <t>Projet</t>
        </is>
      </c>
      <c r="I8" s="82" t="n">
        <v>16</v>
      </c>
      <c r="J8" s="82" t="n"/>
      <c r="K8" s="82" t="inlineStr">
        <is>
          <t>Expérience enseignement</t>
        </is>
      </c>
    </row>
    <row r="9" ht="15" customHeight="1" s="60">
      <c r="A9" s="83" t="inlineStr">
        <is>
          <t>FC-DID-01</t>
        </is>
      </c>
      <c r="B9" s="83" t="inlineStr">
        <is>
          <t>Didactique et Pédagogie Médicale</t>
        </is>
      </c>
      <c r="C9" s="83" t="inlineStr">
        <is>
          <t>Continue</t>
        </is>
      </c>
      <c r="D9" s="83" t="inlineStr">
        <is>
          <t>Formateurs</t>
        </is>
      </c>
      <c r="E9" s="83" t="n">
        <v>32</v>
      </c>
      <c r="F9" s="83" t="inlineStr">
        <is>
          <t>Pr. Morin</t>
        </is>
      </c>
      <c r="G9" s="83" t="n">
        <v>220000</v>
      </c>
      <c r="H9" s="83" t="inlineStr">
        <is>
          <t>Projet</t>
        </is>
      </c>
      <c r="I9" s="84" t="n">
        <v>20</v>
      </c>
      <c r="J9" s="84" t="n"/>
      <c r="K9" s="84" t="inlineStr">
        <is>
          <t>Fonction pédagogique</t>
        </is>
      </c>
    </row>
  </sheetData>
  <dataValidations count="2">
    <dataValidation sqref="C2:C1000" showDropDown="0" showInputMessage="0" showErrorMessage="0" allowBlank="1" type="list" errorStyle="stop" operator="between">
      <formula1>LISTES!$A$2:$A$10</formula1>
      <formula2>0</formula2>
    </dataValidation>
    <dataValidation sqref="H2:H1000" showDropDown="0" showInputMessage="0" showErrorMessage="0" allowBlank="1" type="list" errorStyle="stop" operator="between">
      <formula1>LISTES!$K$2:$K$10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E75B6"/>
    <outlinePr summaryBelow="1" summaryRight="1"/>
    <pageSetUpPr fitToPage="0"/>
  </sheetPr>
  <dimension ref="A1:J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9" min="1" max="1"/>
    <col width="22" customWidth="1" style="59" min="2" max="2"/>
    <col width="14" customWidth="1" style="59" min="3" max="3"/>
    <col width="10" customWidth="1" style="59" min="4" max="5"/>
    <col width="8" customWidth="1" style="59" min="6" max="6"/>
    <col width="38" customWidth="1" style="59" min="7" max="7"/>
    <col width="14" customWidth="1" style="59" min="8" max="8"/>
    <col width="18" customWidth="1" style="59" min="9" max="9"/>
    <col width="30" customWidth="1" style="59" min="10" max="10"/>
  </cols>
  <sheetData>
    <row r="1" ht="27.75" customHeight="1" s="60">
      <c r="A1" s="64" t="inlineStr">
        <is>
          <t>Code_Salle</t>
        </is>
      </c>
      <c r="B1" s="64" t="inlineStr">
        <is>
          <t>Nom_Salle</t>
        </is>
      </c>
      <c r="C1" s="64" t="inlineStr">
        <is>
          <t>Type_Salle</t>
        </is>
      </c>
      <c r="D1" s="64" t="inlineStr">
        <is>
          <t>Capacité</t>
        </is>
      </c>
      <c r="E1" s="64" t="inlineStr">
        <is>
          <t>Bâtiment</t>
        </is>
      </c>
      <c r="F1" s="64" t="inlineStr">
        <is>
          <t>Étage</t>
        </is>
      </c>
      <c r="G1" s="64" t="inlineStr">
        <is>
          <t>Équipements</t>
        </is>
      </c>
      <c r="H1" s="64" t="inlineStr">
        <is>
          <t>Statut</t>
        </is>
      </c>
      <c r="I1" s="81" t="inlineStr">
        <is>
          <t>Resp. Salle</t>
        </is>
      </c>
      <c r="J1" s="81" t="inlineStr">
        <is>
          <t>Observations</t>
        </is>
      </c>
    </row>
    <row r="2" ht="15" customHeight="1" s="60">
      <c r="A2" s="66" t="inlineStr">
        <is>
          <t>SAL-AMP-01</t>
        </is>
      </c>
      <c r="B2" s="66" t="inlineStr">
        <is>
          <t>Amphi A</t>
        </is>
      </c>
      <c r="C2" s="66" t="inlineStr">
        <is>
          <t>Amphi</t>
        </is>
      </c>
      <c r="D2" s="66" t="n">
        <v>120</v>
      </c>
      <c r="E2" s="66" t="inlineStr">
        <is>
          <t>Bât. A</t>
        </is>
      </c>
      <c r="F2" s="66" t="inlineStr">
        <is>
          <t>RDC</t>
        </is>
      </c>
      <c r="G2" s="66" t="inlineStr">
        <is>
          <t>Vidéo, Sono, Microphone</t>
        </is>
      </c>
      <c r="H2" s="66" t="inlineStr">
        <is>
          <t>En service</t>
        </is>
      </c>
      <c r="I2" s="82" t="n"/>
      <c r="J2" s="82" t="n"/>
    </row>
    <row r="3" ht="15" customHeight="1" s="60">
      <c r="A3" s="83" t="inlineStr">
        <is>
          <t>SAL-TP-01</t>
        </is>
      </c>
      <c r="B3" s="83" t="inlineStr">
        <is>
          <t>Salle TP 1</t>
        </is>
      </c>
      <c r="C3" s="83" t="inlineStr">
        <is>
          <t>TP</t>
        </is>
      </c>
      <c r="D3" s="83" t="n">
        <v>24</v>
      </c>
      <c r="E3" s="83" t="inlineStr">
        <is>
          <t>Bât. B</t>
        </is>
      </c>
      <c r="F3" s="83" t="inlineStr">
        <is>
          <t>R+1</t>
        </is>
      </c>
      <c r="G3" s="83" t="inlineStr">
        <is>
          <t>Mannequins, Matériel soins</t>
        </is>
      </c>
      <c r="H3" s="83" t="inlineStr">
        <is>
          <t>En service</t>
        </is>
      </c>
      <c r="I3" s="84" t="n"/>
      <c r="J3" s="84" t="inlineStr">
        <is>
          <t>Groupe max 12 par rotation</t>
        </is>
      </c>
    </row>
    <row r="4" ht="15" customHeight="1" s="60">
      <c r="A4" s="66" t="inlineStr">
        <is>
          <t>SAL-TP-02</t>
        </is>
      </c>
      <c r="B4" s="66" t="inlineStr">
        <is>
          <t>Salle TP 2</t>
        </is>
      </c>
      <c r="C4" s="66" t="inlineStr">
        <is>
          <t>TP</t>
        </is>
      </c>
      <c r="D4" s="66" t="n">
        <v>24</v>
      </c>
      <c r="E4" s="66" t="inlineStr">
        <is>
          <t>Bât. B</t>
        </is>
      </c>
      <c r="F4" s="66" t="inlineStr">
        <is>
          <t>R+1</t>
        </is>
      </c>
      <c r="G4" s="66" t="inlineStr">
        <is>
          <t>Mannequins, Matériel soins</t>
        </is>
      </c>
      <c r="H4" s="66" t="inlineStr">
        <is>
          <t>En service</t>
        </is>
      </c>
      <c r="I4" s="82" t="n"/>
      <c r="J4" s="82" t="n"/>
    </row>
    <row r="5" ht="15" customHeight="1" s="60">
      <c r="A5" s="83" t="inlineStr">
        <is>
          <t>SAL-COURS-01</t>
        </is>
      </c>
      <c r="B5" s="83" t="inlineStr">
        <is>
          <t>Salle de Cours 1</t>
        </is>
      </c>
      <c r="C5" s="83" t="inlineStr">
        <is>
          <t>Cours</t>
        </is>
      </c>
      <c r="D5" s="83" t="n">
        <v>40</v>
      </c>
      <c r="E5" s="83" t="inlineStr">
        <is>
          <t>Bât. A</t>
        </is>
      </c>
      <c r="F5" s="83" t="inlineStr">
        <is>
          <t>R+1</t>
        </is>
      </c>
      <c r="G5" s="83" t="inlineStr">
        <is>
          <t>Vidéo, Tableau blanc</t>
        </is>
      </c>
      <c r="H5" s="83" t="inlineStr">
        <is>
          <t>En service</t>
        </is>
      </c>
      <c r="I5" s="84" t="n"/>
      <c r="J5" s="84" t="n"/>
    </row>
    <row r="6" ht="15" customHeight="1" s="60">
      <c r="A6" s="66" t="inlineStr">
        <is>
          <t>SAL-COURS-02</t>
        </is>
      </c>
      <c r="B6" s="66" t="inlineStr">
        <is>
          <t>Salle de Cours 2</t>
        </is>
      </c>
      <c r="C6" s="66" t="inlineStr">
        <is>
          <t>Cours</t>
        </is>
      </c>
      <c r="D6" s="66" t="n">
        <v>40</v>
      </c>
      <c r="E6" s="66" t="inlineStr">
        <is>
          <t>Bât. A</t>
        </is>
      </c>
      <c r="F6" s="66" t="inlineStr">
        <is>
          <t>R+2</t>
        </is>
      </c>
      <c r="G6" s="66" t="inlineStr">
        <is>
          <t>Vidéo, Tableau blanc</t>
        </is>
      </c>
      <c r="H6" s="66" t="inlineStr">
        <is>
          <t>En service</t>
        </is>
      </c>
      <c r="I6" s="82" t="n"/>
      <c r="J6" s="82" t="n"/>
    </row>
    <row r="7" ht="15" customHeight="1" s="60">
      <c r="A7" s="83" t="inlineStr">
        <is>
          <t>SAL-SIM-01</t>
        </is>
      </c>
      <c r="B7" s="83" t="inlineStr">
        <is>
          <t>Centre Simulation</t>
        </is>
      </c>
      <c r="C7" s="83" t="inlineStr">
        <is>
          <t>Simulation</t>
        </is>
      </c>
      <c r="D7" s="83" t="n">
        <v>16</v>
      </c>
      <c r="E7" s="83" t="inlineStr">
        <is>
          <t>Bât. C</t>
        </is>
      </c>
      <c r="F7" s="83" t="inlineStr">
        <is>
          <t>RDC</t>
        </is>
      </c>
      <c r="G7" s="83" t="inlineStr">
        <is>
          <t>Sim. haute-fidélité, Enregistrement</t>
        </is>
      </c>
      <c r="H7" s="83" t="inlineStr">
        <is>
          <t>En service</t>
        </is>
      </c>
      <c r="I7" s="84" t="n"/>
      <c r="J7" s="84" t="inlineStr">
        <is>
          <t>Accès réservé formateurs certifiés</t>
        </is>
      </c>
    </row>
    <row r="8" ht="15" customHeight="1" s="60">
      <c r="A8" s="66" t="inlineStr">
        <is>
          <t>SAL-REU-01</t>
        </is>
      </c>
      <c r="B8" s="66" t="inlineStr">
        <is>
          <t>Salle de Réunion</t>
        </is>
      </c>
      <c r="C8" s="66" t="inlineStr">
        <is>
          <t>Réunion</t>
        </is>
      </c>
      <c r="D8" s="66" t="n">
        <v>20</v>
      </c>
      <c r="E8" s="66" t="inlineStr">
        <is>
          <t>Admin</t>
        </is>
      </c>
      <c r="F8" s="66" t="inlineStr">
        <is>
          <t>R+1</t>
        </is>
      </c>
      <c r="G8" s="66" t="inlineStr">
        <is>
          <t>Vidéo, Écran tactile</t>
        </is>
      </c>
      <c r="H8" s="66" t="inlineStr">
        <is>
          <t>En service</t>
        </is>
      </c>
      <c r="I8" s="82" t="n"/>
      <c r="J8" s="82" t="n"/>
    </row>
  </sheetData>
  <conditionalFormatting sqref="A2:J200">
    <cfRule type="expression" rank="0" priority="2" equalAverage="0" aboveAverage="0" dxfId="0" text="" percent="0" bottom="0">
      <formula>$H2="Hors service"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70AD47"/>
    <outlinePr summaryBelow="1" summaryRight="1"/>
    <pageSetUpPr fitToPage="0"/>
  </sheetPr>
  <dimension ref="A1:P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9" min="1" max="2"/>
    <col width="12" customWidth="1" style="59" min="3" max="3"/>
    <col width="20" customWidth="1" style="59" min="4" max="4"/>
    <col width="22" customWidth="1" style="59" min="5" max="5"/>
    <col width="16" customWidth="1" style="59" min="6" max="6"/>
    <col width="28" customWidth="1" style="59" min="7" max="7"/>
    <col width="14" customWidth="1" style="59" min="8" max="8"/>
    <col width="16" customWidth="1" style="59" min="9" max="10"/>
    <col width="24" customWidth="1" style="59" min="11" max="11"/>
    <col width="32" customWidth="1" style="59" min="12" max="12"/>
    <col width="16" customWidth="1" style="59" min="13" max="13"/>
    <col width="22" customWidth="1" style="59" min="14" max="14"/>
    <col width="16" customWidth="1" style="59" min="15" max="15"/>
    <col width="14" customWidth="1" style="59" min="16" max="16"/>
  </cols>
  <sheetData>
    <row r="1" ht="27.75" customHeight="1" s="60">
      <c r="A1" s="64" t="inlineStr">
        <is>
          <t>Code_Formateur</t>
        </is>
      </c>
      <c r="B1" s="64" t="inlineStr">
        <is>
          <t>Nom</t>
        </is>
      </c>
      <c r="C1" s="64" t="inlineStr">
        <is>
          <t>Prénom</t>
        </is>
      </c>
      <c r="D1" s="64" t="inlineStr">
        <is>
          <t>Statut</t>
        </is>
      </c>
      <c r="E1" s="64" t="inlineStr">
        <is>
          <t>Discipline_Principale</t>
        </is>
      </c>
      <c r="F1" s="64" t="inlineStr">
        <is>
          <t>Niveau_Qualification</t>
        </is>
      </c>
      <c r="G1" s="64" t="inlineStr">
        <is>
          <t>Type_Intervention</t>
        </is>
      </c>
      <c r="H1" s="64" t="inlineStr">
        <is>
          <t>Exp. Ens. (ans)</t>
        </is>
      </c>
      <c r="I1" s="64" t="inlineStr">
        <is>
          <t>Exp. Clinique (ans)</t>
        </is>
      </c>
      <c r="J1" s="64" t="inlineStr">
        <is>
          <t>Taux_Disponibilité</t>
        </is>
      </c>
      <c r="K1" s="64" t="inlineStr">
        <is>
          <t>Rattachement_Institutionnel</t>
        </is>
      </c>
      <c r="L1" s="64" t="inlineStr">
        <is>
          <t>Formations_Suivies_Projet</t>
        </is>
      </c>
      <c r="M1" s="64" t="inlineStr">
        <is>
          <t>Date_Dernière_MAJ</t>
        </is>
      </c>
      <c r="N1" s="81" t="inlineStr">
        <is>
          <t>Email</t>
        </is>
      </c>
      <c r="O1" s="81" t="inlineStr">
        <is>
          <t>Téléphone</t>
        </is>
      </c>
      <c r="P1" s="81" t="inlineStr">
        <is>
          <t>Heures_Max_S1</t>
        </is>
      </c>
    </row>
    <row r="2" ht="15" customHeight="1" s="60">
      <c r="A2" s="66" t="inlineStr">
        <is>
          <t>F001</t>
        </is>
      </c>
      <c r="B2" s="66" t="inlineStr">
        <is>
          <t>CHABRUT</t>
        </is>
      </c>
      <c r="C2" s="66" t="inlineStr">
        <is>
          <t>Luc</t>
        </is>
      </c>
      <c r="D2" s="66" t="inlineStr">
        <is>
          <t>Interne EMSP</t>
        </is>
      </c>
      <c r="E2" s="66" t="inlineStr">
        <is>
          <t>Soins infirmiers</t>
        </is>
      </c>
      <c r="F2" s="66" t="inlineStr">
        <is>
          <t>Master</t>
        </is>
      </c>
      <c r="G2" s="66" t="inlineStr">
        <is>
          <t>Cours magistral, TP</t>
        </is>
      </c>
      <c r="H2" s="66" t="n">
        <v>8</v>
      </c>
      <c r="I2" s="66" t="n">
        <v>12</v>
      </c>
      <c r="J2" s="66" t="inlineStr">
        <is>
          <t>Plein temps</t>
        </is>
      </c>
      <c r="K2" s="66" t="inlineStr">
        <is>
          <t>EMSP</t>
        </is>
      </c>
      <c r="L2" s="66" t="inlineStr">
        <is>
          <t>Pédagogie par la simulation – 2026</t>
        </is>
      </c>
      <c r="M2" s="66" t="inlineStr">
        <is>
          <t>2026-01-15</t>
        </is>
      </c>
      <c r="N2" s="82" t="n"/>
      <c r="O2" s="82" t="n"/>
      <c r="P2" s="82" t="inlineStr">
        <is>
          <t>300</t>
        </is>
      </c>
    </row>
    <row r="3" ht="15" customHeight="1" s="60">
      <c r="A3" s="83" t="inlineStr">
        <is>
          <t>F002</t>
        </is>
      </c>
      <c r="B3" s="83" t="inlineStr">
        <is>
          <t>MARTIN</t>
        </is>
      </c>
      <c r="C3" s="83" t="inlineStr">
        <is>
          <t>Sophie</t>
        </is>
      </c>
      <c r="D3" s="83" t="inlineStr">
        <is>
          <t>Interne EMSP</t>
        </is>
      </c>
      <c r="E3" s="83" t="inlineStr">
        <is>
          <t>Pédagogie</t>
        </is>
      </c>
      <c r="F3" s="83" t="inlineStr">
        <is>
          <t>Master</t>
        </is>
      </c>
      <c r="G3" s="83" t="inlineStr">
        <is>
          <t>Cours magistral, Simulation</t>
        </is>
      </c>
      <c r="H3" s="83" t="n">
        <v>6</v>
      </c>
      <c r="I3" s="83" t="n">
        <v>5</v>
      </c>
      <c r="J3" s="83" t="inlineStr">
        <is>
          <t>Plein temps</t>
        </is>
      </c>
      <c r="K3" s="83" t="inlineStr">
        <is>
          <t>EMSP</t>
        </is>
      </c>
      <c r="L3" s="83" t="inlineStr">
        <is>
          <t>Didactique – 2025, Simulation – 2026</t>
        </is>
      </c>
      <c r="M3" s="83" t="inlineStr">
        <is>
          <t>2026-01-15</t>
        </is>
      </c>
      <c r="N3" s="84" t="n"/>
      <c r="O3" s="84" t="n"/>
      <c r="P3" s="84" t="inlineStr">
        <is>
          <t>300</t>
        </is>
      </c>
    </row>
    <row r="4" ht="23.25" customHeight="1" s="60">
      <c r="A4" s="66" t="inlineStr">
        <is>
          <t>F003</t>
        </is>
      </c>
      <c r="B4" s="66" t="inlineStr">
        <is>
          <t>BERNARD</t>
        </is>
      </c>
      <c r="C4" s="66" t="inlineStr">
        <is>
          <t>Jean</t>
        </is>
      </c>
      <c r="D4" s="66" t="inlineStr">
        <is>
          <t>Interne EMSP</t>
        </is>
      </c>
      <c r="E4" s="66" t="inlineStr">
        <is>
          <t>Hygiène hospitalière</t>
        </is>
      </c>
      <c r="F4" s="66" t="inlineStr">
        <is>
          <t>Doctorat</t>
        </is>
      </c>
      <c r="G4" s="66" t="inlineStr">
        <is>
          <t>Cours magistral, Formation continue</t>
        </is>
      </c>
      <c r="H4" s="66" t="n">
        <v>10</v>
      </c>
      <c r="I4" s="66" t="n">
        <v>15</v>
      </c>
      <c r="J4" s="66" t="inlineStr">
        <is>
          <t>Plein temps</t>
        </is>
      </c>
      <c r="K4" s="66" t="inlineStr">
        <is>
          <t>EMSP</t>
        </is>
      </c>
      <c r="L4" s="66" t="n"/>
      <c r="M4" s="66" t="inlineStr">
        <is>
          <t>2026-01-10</t>
        </is>
      </c>
      <c r="N4" s="82" t="n"/>
      <c r="O4" s="82" t="n"/>
      <c r="P4" s="82" t="inlineStr">
        <is>
          <t>300</t>
        </is>
      </c>
    </row>
    <row r="5" ht="15" customHeight="1" s="60">
      <c r="A5" s="83" t="inlineStr">
        <is>
          <t>F004</t>
        </is>
      </c>
      <c r="B5" s="83" t="inlineStr">
        <is>
          <t>LEROY</t>
        </is>
      </c>
      <c r="C5" s="83" t="inlineStr">
        <is>
          <t>Claire</t>
        </is>
      </c>
      <c r="D5" s="83" t="inlineStr">
        <is>
          <t>Interne EMSP</t>
        </is>
      </c>
      <c r="E5" s="83" t="inlineStr">
        <is>
          <t>Médecine d'urgence</t>
        </is>
      </c>
      <c r="F5" s="83" t="inlineStr">
        <is>
          <t>Doctorat</t>
        </is>
      </c>
      <c r="G5" s="83" t="inlineStr">
        <is>
          <t>TP, Simulation</t>
        </is>
      </c>
      <c r="H5" s="83" t="n">
        <v>4</v>
      </c>
      <c r="I5" s="83" t="n">
        <v>20</v>
      </c>
      <c r="J5" s="83" t="inlineStr">
        <is>
          <t>Temps partiel</t>
        </is>
      </c>
      <c r="K5" s="83" t="inlineStr">
        <is>
          <t>Hôpital Central</t>
        </is>
      </c>
      <c r="L5" s="83" t="inlineStr">
        <is>
          <t>Simulation – 2026</t>
        </is>
      </c>
      <c r="M5" s="83" t="inlineStr">
        <is>
          <t>2026-02-01</t>
        </is>
      </c>
      <c r="N5" s="84" t="n"/>
      <c r="O5" s="84" t="n"/>
      <c r="P5" s="84" t="inlineStr">
        <is>
          <t>150</t>
        </is>
      </c>
    </row>
    <row r="6" ht="23.25" customHeight="1" s="60">
      <c r="A6" s="66" t="inlineStr">
        <is>
          <t>F005</t>
        </is>
      </c>
      <c r="B6" s="66" t="inlineStr">
        <is>
          <t>MORIN</t>
        </is>
      </c>
      <c r="C6" s="66" t="inlineStr">
        <is>
          <t>Paul</t>
        </is>
      </c>
      <c r="D6" s="66" t="inlineStr">
        <is>
          <t>Expert projet</t>
        </is>
      </c>
      <c r="E6" s="66" t="inlineStr">
        <is>
          <t>Pédagogie médicale</t>
        </is>
      </c>
      <c r="F6" s="66" t="inlineStr">
        <is>
          <t>Doctorat</t>
        </is>
      </c>
      <c r="G6" s="66" t="inlineStr">
        <is>
          <t>Cours magistral, Formation continue</t>
        </is>
      </c>
      <c r="H6" s="66" t="n">
        <v>20</v>
      </c>
      <c r="I6" s="66" t="n">
        <v>5</v>
      </c>
      <c r="J6" s="66" t="inlineStr">
        <is>
          <t>Vacataire</t>
        </is>
      </c>
      <c r="K6" s="66" t="inlineStr">
        <is>
          <t>Université</t>
        </is>
      </c>
      <c r="L6" s="66" t="n"/>
      <c r="M6" s="66" t="inlineStr">
        <is>
          <t>2025-12-01</t>
        </is>
      </c>
      <c r="N6" s="82" t="n"/>
      <c r="O6" s="82" t="n"/>
      <c r="P6" s="82" t="inlineStr">
        <is>
          <t>80</t>
        </is>
      </c>
    </row>
    <row r="7" ht="15" customHeight="1" s="60">
      <c r="A7" s="83" t="inlineStr">
        <is>
          <t>F006</t>
        </is>
      </c>
      <c r="B7" s="83" t="inlineStr">
        <is>
          <t>LECLERC</t>
        </is>
      </c>
      <c r="C7" s="83" t="inlineStr">
        <is>
          <t>Amélie</t>
        </is>
      </c>
      <c r="D7" s="83" t="inlineStr">
        <is>
          <t>Intervenant externe</t>
        </is>
      </c>
      <c r="E7" s="83" t="inlineStr">
        <is>
          <t>Simulation médicale</t>
        </is>
      </c>
      <c r="F7" s="83" t="inlineStr">
        <is>
          <t>Master</t>
        </is>
      </c>
      <c r="G7" s="83" t="inlineStr">
        <is>
          <t>Simulation, Formation continue</t>
        </is>
      </c>
      <c r="H7" s="83" t="n">
        <v>7</v>
      </c>
      <c r="I7" s="83" t="n">
        <v>8</v>
      </c>
      <c r="J7" s="83" t="inlineStr">
        <is>
          <t>Vacataire</t>
        </is>
      </c>
      <c r="K7" s="83" t="inlineStr">
        <is>
          <t>Privé</t>
        </is>
      </c>
      <c r="L7" s="83" t="inlineStr">
        <is>
          <t>Simulation – 2025</t>
        </is>
      </c>
      <c r="M7" s="83" t="inlineStr">
        <is>
          <t>2025-11-15</t>
        </is>
      </c>
      <c r="N7" s="84" t="n"/>
      <c r="O7" s="84" t="n"/>
      <c r="P7" s="84" t="inlineStr">
        <is>
          <t>60</t>
        </is>
      </c>
    </row>
    <row r="8" ht="15" customHeight="1" s="60">
      <c r="A8" s="66" t="inlineStr">
        <is>
          <t>F007</t>
        </is>
      </c>
      <c r="B8" s="66" t="inlineStr">
        <is>
          <t>DUPONT</t>
        </is>
      </c>
      <c r="C8" s="66" t="inlineStr">
        <is>
          <t>Marc</t>
        </is>
      </c>
      <c r="D8" s="66" t="inlineStr">
        <is>
          <t>Enseignant UDC</t>
        </is>
      </c>
      <c r="E8" s="66" t="inlineStr">
        <is>
          <t>Biomédical</t>
        </is>
      </c>
      <c r="F8" s="66" t="inlineStr">
        <is>
          <t>Doctorat</t>
        </is>
      </c>
      <c r="G8" s="66" t="inlineStr">
        <is>
          <t>Cours magistral</t>
        </is>
      </c>
      <c r="H8" s="66" t="n">
        <v>15</v>
      </c>
      <c r="I8" s="66" t="n">
        <v>2</v>
      </c>
      <c r="J8" s="66" t="inlineStr">
        <is>
          <t>Temps partiel</t>
        </is>
      </c>
      <c r="K8" s="66" t="inlineStr">
        <is>
          <t>Université</t>
        </is>
      </c>
      <c r="L8" s="66" t="n"/>
      <c r="M8" s="66" t="inlineStr">
        <is>
          <t>2025-10-01</t>
        </is>
      </c>
      <c r="N8" s="82" t="n"/>
      <c r="O8" s="82" t="n"/>
      <c r="P8" s="82" t="inlineStr">
        <is>
          <t>80</t>
        </is>
      </c>
    </row>
    <row r="9" ht="15" customHeight="1" s="60">
      <c r="A9" s="83" t="inlineStr">
        <is>
          <t>F008</t>
        </is>
      </c>
      <c r="B9" s="83" t="inlineStr">
        <is>
          <t>AHMED</t>
        </is>
      </c>
      <c r="C9" s="83" t="inlineStr">
        <is>
          <t>Fatima</t>
        </is>
      </c>
      <c r="D9" s="83" t="inlineStr">
        <is>
          <t>Intervenant externe</t>
        </is>
      </c>
      <c r="E9" s="83" t="inlineStr">
        <is>
          <t>Pharmacologie</t>
        </is>
      </c>
      <c r="F9" s="83" t="inlineStr">
        <is>
          <t>Master</t>
        </is>
      </c>
      <c r="G9" s="83" t="inlineStr">
        <is>
          <t>Cours magistral</t>
        </is>
      </c>
      <c r="H9" s="83" t="n">
        <v>3</v>
      </c>
      <c r="I9" s="83" t="n">
        <v>10</v>
      </c>
      <c r="J9" s="83" t="inlineStr">
        <is>
          <t>Occasionnel</t>
        </is>
      </c>
      <c r="K9" s="83" t="inlineStr">
        <is>
          <t>Hôpital Nord</t>
        </is>
      </c>
      <c r="L9" s="83" t="n"/>
      <c r="M9" s="83" t="inlineStr">
        <is>
          <t>2026-01-20</t>
        </is>
      </c>
      <c r="N9" s="84" t="n"/>
      <c r="O9" s="84" t="n"/>
      <c r="P9" s="84" t="inlineStr">
        <is>
          <t>40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ED7D31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16" customWidth="1" style="59" min="2" max="2"/>
    <col width="36" customWidth="1" style="59" min="3" max="3"/>
    <col width="12" customWidth="1" style="59" min="4" max="5"/>
    <col width="20" customWidth="1" style="59" min="6" max="6"/>
    <col width="14" customWidth="1" style="59" min="7" max="8"/>
    <col width="20" customWidth="1" style="59" min="9" max="9"/>
    <col width="14" customWidth="1" style="59" min="10" max="11"/>
    <col width="16" customWidth="1" style="59" min="12" max="12"/>
    <col width="30" customWidth="1" style="59" min="13" max="13"/>
  </cols>
  <sheetData>
    <row r="1" ht="27.75" customHeight="1" s="60">
      <c r="A1" s="64" t="inlineStr">
        <is>
          <t>Code_Session</t>
        </is>
      </c>
      <c r="B1" s="64" t="inlineStr">
        <is>
          <t>Code_Formation</t>
        </is>
      </c>
      <c r="C1" s="64" t="inlineStr">
        <is>
          <t>Intitulé_Session</t>
        </is>
      </c>
      <c r="D1" s="64" t="inlineStr">
        <is>
          <t>Date_Début</t>
        </is>
      </c>
      <c r="E1" s="64" t="inlineStr">
        <is>
          <t>Date_Fin</t>
        </is>
      </c>
      <c r="F1" s="64" t="inlineStr">
        <is>
          <t>Responsable_Session</t>
        </is>
      </c>
      <c r="G1" s="64" t="inlineStr">
        <is>
          <t>Nb_Participants_Prévus</t>
        </is>
      </c>
      <c r="H1" s="64" t="inlineStr">
        <is>
          <t>Nb_Participants_Réels</t>
        </is>
      </c>
      <c r="I1" s="64" t="inlineStr">
        <is>
          <t>Type_Public</t>
        </is>
      </c>
      <c r="J1" s="64" t="inlineStr">
        <is>
          <t>Statut_Session</t>
        </is>
      </c>
      <c r="K1" s="81" t="inlineStr">
        <is>
          <t>Taux_Réalisation</t>
        </is>
      </c>
      <c r="L1" s="81" t="inlineStr">
        <is>
          <t>Lieu_Principal</t>
        </is>
      </c>
      <c r="M1" s="81" t="inlineStr">
        <is>
          <t>Observations</t>
        </is>
      </c>
    </row>
    <row r="2" ht="15" customHeight="1" s="60">
      <c r="A2" s="66" t="inlineStr">
        <is>
          <t>FI-INF-01-2026-S1</t>
        </is>
      </c>
      <c r="B2" s="66" t="inlineStr">
        <is>
          <t>FI-INF-01</t>
        </is>
      </c>
      <c r="C2" s="66" t="inlineStr">
        <is>
          <t>Formation Infirmier 1A – S1 2026</t>
        </is>
      </c>
      <c r="D2" s="85" t="n">
        <v>46027</v>
      </c>
      <c r="E2" s="85" t="n">
        <v>46203</v>
      </c>
      <c r="F2" s="66" t="inlineStr">
        <is>
          <t>Dr. Dupont</t>
        </is>
      </c>
      <c r="G2" s="66" t="n">
        <v>80</v>
      </c>
      <c r="H2" s="66" t="n">
        <v>78</v>
      </c>
      <c r="I2" s="66" t="inlineStr">
        <is>
          <t>Étudiants EMSP</t>
        </is>
      </c>
      <c r="J2" s="66" t="inlineStr">
        <is>
          <t>En cours</t>
        </is>
      </c>
      <c r="K2" s="86">
        <f>IF(G2=0,"–",H2/G2)</f>
        <v/>
      </c>
      <c r="L2" s="82" t="inlineStr">
        <is>
          <t>SAL-AMP-01</t>
        </is>
      </c>
      <c r="M2" s="82" t="n"/>
    </row>
    <row r="3" ht="15" customHeight="1" s="60">
      <c r="A3" s="83" t="inlineStr">
        <is>
          <t>FI-INF-02-2026-S1</t>
        </is>
      </c>
      <c r="B3" s="83" t="inlineStr">
        <is>
          <t>FI-INF-02</t>
        </is>
      </c>
      <c r="C3" s="83" t="inlineStr">
        <is>
          <t>Formation Infirmier 2A – S1 2026</t>
        </is>
      </c>
      <c r="D3" s="87" t="n">
        <v>46027</v>
      </c>
      <c r="E3" s="87" t="n">
        <v>46203</v>
      </c>
      <c r="F3" s="83" t="inlineStr">
        <is>
          <t>Dr. Dupont</t>
        </is>
      </c>
      <c r="G3" s="83" t="n">
        <v>75</v>
      </c>
      <c r="H3" s="83" t="n">
        <v>74</v>
      </c>
      <c r="I3" s="83" t="inlineStr">
        <is>
          <t>Étudiants EMSP</t>
        </is>
      </c>
      <c r="J3" s="83" t="inlineStr">
        <is>
          <t>En cours</t>
        </is>
      </c>
      <c r="K3" s="88">
        <f>IF(G3=0,"–",H3/G3)</f>
        <v/>
      </c>
      <c r="L3" s="84" t="inlineStr">
        <is>
          <t>SAL-AMP-01</t>
        </is>
      </c>
      <c r="M3" s="84" t="n"/>
    </row>
    <row r="4" ht="15" customHeight="1" s="60">
      <c r="A4" s="66" t="inlineStr">
        <is>
          <t>FI-AS-01-2026-S1</t>
        </is>
      </c>
      <c r="B4" s="66" t="inlineStr">
        <is>
          <t>FI-AS-01</t>
        </is>
      </c>
      <c r="C4" s="66" t="inlineStr">
        <is>
          <t>Formation Aide-Soignant – S1 2026</t>
        </is>
      </c>
      <c r="D4" s="85" t="n">
        <v>46034</v>
      </c>
      <c r="E4" s="85" t="n">
        <v>46188</v>
      </c>
      <c r="F4" s="66" t="inlineStr">
        <is>
          <t>Mme Martin</t>
        </is>
      </c>
      <c r="G4" s="66" t="n">
        <v>40</v>
      </c>
      <c r="H4" s="66" t="n">
        <v>38</v>
      </c>
      <c r="I4" s="66" t="inlineStr">
        <is>
          <t>Étudiants EMSP</t>
        </is>
      </c>
      <c r="J4" s="66" t="inlineStr">
        <is>
          <t>En cours</t>
        </is>
      </c>
      <c r="K4" s="86">
        <f>IF(G4=0,"–",H4/G4)</f>
        <v/>
      </c>
      <c r="L4" s="82" t="inlineStr">
        <is>
          <t>SAL-TP-01</t>
        </is>
      </c>
      <c r="M4" s="82" t="n"/>
    </row>
    <row r="5" ht="15" customHeight="1" s="60">
      <c r="A5" s="83" t="inlineStr">
        <is>
          <t>FC-HYG-01-2026-01</t>
        </is>
      </c>
      <c r="B5" s="83" t="inlineStr">
        <is>
          <t>FC-HYG-01</t>
        </is>
      </c>
      <c r="C5" s="83" t="inlineStr">
        <is>
          <t>Hygiène Hospitalière – Mars 2026</t>
        </is>
      </c>
      <c r="D5" s="87" t="n">
        <v>46090</v>
      </c>
      <c r="E5" s="87" t="n">
        <v>46091</v>
      </c>
      <c r="F5" s="83" t="inlineStr">
        <is>
          <t>Dr. Bernard</t>
        </is>
      </c>
      <c r="G5" s="83" t="n">
        <v>30</v>
      </c>
      <c r="H5" s="83" t="n">
        <v>28</v>
      </c>
      <c r="I5" s="83" t="inlineStr">
        <is>
          <t>Agents hospitaliers</t>
        </is>
      </c>
      <c r="J5" s="83" t="inlineStr">
        <is>
          <t>Terminée</t>
        </is>
      </c>
      <c r="K5" s="88">
        <f>IF(G5=0,"–",H5/G5)</f>
        <v/>
      </c>
      <c r="L5" s="84" t="inlineStr">
        <is>
          <t>SAL-COURS-01</t>
        </is>
      </c>
      <c r="M5" s="84" t="n"/>
    </row>
    <row r="6" ht="15" customHeight="1" s="60">
      <c r="A6" s="66" t="inlineStr">
        <is>
          <t>FC-GES-01-2026-01</t>
        </is>
      </c>
      <c r="B6" s="66" t="inlineStr">
        <is>
          <t>FC-GES-01</t>
        </is>
      </c>
      <c r="C6" s="66" t="inlineStr">
        <is>
          <t>Gestes d'urgence – Avril 2026</t>
        </is>
      </c>
      <c r="D6" s="85" t="n">
        <v>46118</v>
      </c>
      <c r="E6" s="85" t="n">
        <v>46118</v>
      </c>
      <c r="F6" s="66" t="inlineStr">
        <is>
          <t>Dr. Leroy</t>
        </is>
      </c>
      <c r="G6" s="66" t="n">
        <v>25</v>
      </c>
      <c r="H6" s="66" t="n">
        <v>25</v>
      </c>
      <c r="I6" s="66" t="inlineStr">
        <is>
          <t>Agents hospitaliers</t>
        </is>
      </c>
      <c r="J6" s="66" t="inlineStr">
        <is>
          <t>Terminée</t>
        </is>
      </c>
      <c r="K6" s="86">
        <f>IF(G6=0,"–",H6/G6)</f>
        <v/>
      </c>
      <c r="L6" s="82" t="inlineStr">
        <is>
          <t>SAL-SIM-01</t>
        </is>
      </c>
      <c r="M6" s="82" t="n"/>
    </row>
    <row r="7" ht="15" customHeight="1" s="60">
      <c r="A7" s="83" t="inlineStr">
        <is>
          <t>FC-SIM-01-2026-01</t>
        </is>
      </c>
      <c r="B7" s="83" t="inlineStr">
        <is>
          <t>FC-SIM-01</t>
        </is>
      </c>
      <c r="C7" s="83" t="inlineStr">
        <is>
          <t>Simulation – Formation Formateurs</t>
        </is>
      </c>
      <c r="D7" s="87" t="n">
        <v>46069</v>
      </c>
      <c r="E7" s="87" t="n">
        <v>46071</v>
      </c>
      <c r="F7" s="83" t="inlineStr">
        <is>
          <t>Mme Leclerc</t>
        </is>
      </c>
      <c r="G7" s="83" t="n">
        <v>16</v>
      </c>
      <c r="H7" s="83" t="n">
        <v>15</v>
      </c>
      <c r="I7" s="83" t="inlineStr">
        <is>
          <t>Mixte</t>
        </is>
      </c>
      <c r="J7" s="83" t="inlineStr">
        <is>
          <t>Terminée</t>
        </is>
      </c>
      <c r="K7" s="88">
        <f>IF(G7=0,"–",H7/G7)</f>
        <v/>
      </c>
      <c r="L7" s="84" t="inlineStr">
        <is>
          <t>SAL-SIM-01</t>
        </is>
      </c>
      <c r="M7" s="84" t="n"/>
    </row>
    <row r="8" ht="15" customHeight="1" s="60">
      <c r="A8" s="66" t="inlineStr">
        <is>
          <t>FC-DID-01-2026-01</t>
        </is>
      </c>
      <c r="B8" s="66" t="inlineStr">
        <is>
          <t>FC-DID-01</t>
        </is>
      </c>
      <c r="C8" s="66" t="inlineStr">
        <is>
          <t>Didactique Médicale – Formateurs</t>
        </is>
      </c>
      <c r="D8" s="85" t="n">
        <v>46153</v>
      </c>
      <c r="E8" s="85" t="n">
        <v>46156</v>
      </c>
      <c r="F8" s="66" t="inlineStr">
        <is>
          <t>Pr. Morin</t>
        </is>
      </c>
      <c r="G8" s="66" t="n">
        <v>20</v>
      </c>
      <c r="H8" s="66" t="n">
        <v>0</v>
      </c>
      <c r="I8" s="66" t="inlineStr">
        <is>
          <t>Formateurs EMSP</t>
        </is>
      </c>
      <c r="J8" s="66" t="inlineStr">
        <is>
          <t>Planifiée</t>
        </is>
      </c>
      <c r="K8" s="86">
        <f>IF(G8=0,"–",H8/G8)</f>
        <v/>
      </c>
      <c r="L8" s="82" t="inlineStr">
        <is>
          <t>SAL-COURS-02</t>
        </is>
      </c>
      <c r="M8" s="82" t="n"/>
    </row>
    <row r="9" ht="15" customHeight="1" s="60">
      <c r="A9" s="83" t="inlineStr">
        <is>
          <t>FI-INF-01-2026-S2</t>
        </is>
      </c>
      <c r="B9" s="83" t="inlineStr">
        <is>
          <t>FI-INF-01</t>
        </is>
      </c>
      <c r="C9" s="83" t="inlineStr">
        <is>
          <t>Formation Infirmier 1A – S2 2026</t>
        </is>
      </c>
      <c r="D9" s="87" t="n">
        <v>46266</v>
      </c>
      <c r="E9" s="87" t="n">
        <v>46446</v>
      </c>
      <c r="F9" s="83" t="inlineStr">
        <is>
          <t>Dr. Dupont</t>
        </is>
      </c>
      <c r="G9" s="83" t="n">
        <v>80</v>
      </c>
      <c r="H9" s="83" t="n">
        <v>0</v>
      </c>
      <c r="I9" s="83" t="inlineStr">
        <is>
          <t>Étudiants EMSP</t>
        </is>
      </c>
      <c r="J9" s="83" t="inlineStr">
        <is>
          <t>Planifiée</t>
        </is>
      </c>
      <c r="K9" s="88">
        <f>IF(G9=0,"–",H9/G9)</f>
        <v/>
      </c>
      <c r="L9" s="84" t="inlineStr">
        <is>
          <t>SAL-AMP-01</t>
        </is>
      </c>
      <c r="M9" s="84" t="n"/>
    </row>
  </sheetData>
  <conditionalFormatting sqref="A2:M100">
    <cfRule type="expression" rank="0" priority="2" equalAverage="0" aboveAverage="0" dxfId="1" text="" percent="0" bottom="0">
      <formula>$J2="Planifiée"</formula>
    </cfRule>
    <cfRule type="expression" rank="0" priority="3" equalAverage="0" aboveAverage="0" dxfId="2" text="" percent="0" bottom="0">
      <formula>$J2="Terminée"</formula>
    </cfRule>
    <cfRule type="expression" rank="0" priority="4" equalAverage="0" aboveAverage="0" dxfId="3" text="" percent="0" bottom="0">
      <formula>$J2="En cours"</formula>
    </cfRule>
    <cfRule type="expression" rank="0" priority="5" equalAverage="0" aboveAverage="0" dxfId="4" text="" percent="0" bottom="0">
      <formula>$J2="Annulée"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00ED7D31"/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9" min="1" max="1"/>
    <col width="22" customWidth="1" style="59" min="2" max="2"/>
    <col width="14" customWidth="1" style="59" min="3" max="3"/>
    <col width="20" customWidth="1" style="59" min="4" max="4"/>
    <col width="12" customWidth="1" style="59" min="5" max="5"/>
    <col width="16" customWidth="1" style="59" min="6" max="6"/>
    <col width="22" customWidth="1" style="59" min="7" max="7"/>
    <col width="36" customWidth="1" style="59" min="8" max="8"/>
    <col width="30" customWidth="1" style="59" min="9" max="9"/>
  </cols>
  <sheetData>
    <row r="1" ht="27.75" customHeight="1" s="60">
      <c r="A1" s="64" t="inlineStr">
        <is>
          <t>Code_Intervention</t>
        </is>
      </c>
      <c r="B1" s="64" t="inlineStr">
        <is>
          <t>Code_Session</t>
        </is>
      </c>
      <c r="C1" s="64" t="inlineStr">
        <is>
          <t>Code_Formateur</t>
        </is>
      </c>
      <c r="D1" s="64" t="inlineStr">
        <is>
          <t>Rôle</t>
        </is>
      </c>
      <c r="E1" s="64" t="inlineStr">
        <is>
          <t>Nb_Heures</t>
        </is>
      </c>
      <c r="F1" s="64" t="inlineStr">
        <is>
          <t>Date_Début_Session</t>
        </is>
      </c>
      <c r="G1" s="81" t="inlineStr">
        <is>
          <t>Intitulé_Formateur</t>
        </is>
      </c>
      <c r="H1" s="81" t="inlineStr">
        <is>
          <t>Intitulé_Session</t>
        </is>
      </c>
      <c r="I1" s="81" t="inlineStr">
        <is>
          <t>Observations</t>
        </is>
      </c>
    </row>
    <row r="2" ht="15" customHeight="1" s="60">
      <c r="A2" s="66" t="inlineStr">
        <is>
          <t>INT_001</t>
        </is>
      </c>
      <c r="B2" s="66" t="inlineStr">
        <is>
          <t>FI-INF-01-2026-S1</t>
        </is>
      </c>
      <c r="C2" s="66" t="inlineStr">
        <is>
          <t>F001</t>
        </is>
      </c>
      <c r="D2" s="66" t="inlineStr">
        <is>
          <t>Responsable</t>
        </is>
      </c>
      <c r="E2" s="66" t="n">
        <v>280</v>
      </c>
      <c r="F2" s="85" t="n">
        <v>46027</v>
      </c>
      <c r="G2" s="82" t="inlineStr">
        <is>
          <t>CHABRUT Luc</t>
        </is>
      </c>
      <c r="H2" s="82" t="inlineStr">
        <is>
          <t>Formation Infirmier 1A – S1 2026</t>
        </is>
      </c>
      <c r="I2" s="82" t="n"/>
    </row>
    <row r="3" ht="15" customHeight="1" s="60">
      <c r="A3" s="83" t="inlineStr">
        <is>
          <t>INT_002</t>
        </is>
      </c>
      <c r="B3" s="83" t="inlineStr">
        <is>
          <t>FI-INF-01-2026-S1</t>
        </is>
      </c>
      <c r="C3" s="83" t="inlineStr">
        <is>
          <t>F002</t>
        </is>
      </c>
      <c r="D3" s="83" t="inlineStr">
        <is>
          <t>Co-formateur</t>
        </is>
      </c>
      <c r="E3" s="83" t="n">
        <v>120</v>
      </c>
      <c r="F3" s="87" t="n">
        <v>46027</v>
      </c>
      <c r="G3" s="84" t="inlineStr">
        <is>
          <t>MARTIN Sophie</t>
        </is>
      </c>
      <c r="H3" s="84" t="inlineStr">
        <is>
          <t>Formation Infirmier 1A – S1 2026</t>
        </is>
      </c>
      <c r="I3" s="84" t="n"/>
    </row>
    <row r="4" ht="15" customHeight="1" s="60">
      <c r="A4" s="66" t="inlineStr">
        <is>
          <t>INT_003</t>
        </is>
      </c>
      <c r="B4" s="66" t="inlineStr">
        <is>
          <t>FI-INF-02-2026-S1</t>
        </is>
      </c>
      <c r="C4" s="66" t="inlineStr">
        <is>
          <t>F001</t>
        </is>
      </c>
      <c r="D4" s="66" t="inlineStr">
        <is>
          <t>Responsable</t>
        </is>
      </c>
      <c r="E4" s="66" t="n">
        <v>200</v>
      </c>
      <c r="F4" s="85" t="n">
        <v>46027</v>
      </c>
      <c r="G4" s="82" t="inlineStr">
        <is>
          <t>CHABRUT Luc</t>
        </is>
      </c>
      <c r="H4" s="82" t="inlineStr">
        <is>
          <t>Formation Infirmier 2A – S1 2026</t>
        </is>
      </c>
      <c r="I4" s="82" t="n"/>
    </row>
    <row r="5" ht="15" customHeight="1" s="60">
      <c r="A5" s="83" t="inlineStr">
        <is>
          <t>INT_004</t>
        </is>
      </c>
      <c r="B5" s="83" t="inlineStr">
        <is>
          <t>FI-INF-02-2026-S1</t>
        </is>
      </c>
      <c r="C5" s="83" t="inlineStr">
        <is>
          <t>F004</t>
        </is>
      </c>
      <c r="D5" s="83" t="inlineStr">
        <is>
          <t>Co-formateur</t>
        </is>
      </c>
      <c r="E5" s="83" t="n">
        <v>80</v>
      </c>
      <c r="F5" s="87" t="n">
        <v>46027</v>
      </c>
      <c r="G5" s="84" t="inlineStr">
        <is>
          <t>LEROY Claire</t>
        </is>
      </c>
      <c r="H5" s="84" t="inlineStr">
        <is>
          <t>Formation Infirmier 2A – S1 2026</t>
        </is>
      </c>
      <c r="I5" s="84" t="n"/>
    </row>
    <row r="6" ht="15" customHeight="1" s="60">
      <c r="A6" s="66" t="inlineStr">
        <is>
          <t>INT_005</t>
        </is>
      </c>
      <c r="B6" s="66" t="inlineStr">
        <is>
          <t>FI-AS-01-2026-S1</t>
        </is>
      </c>
      <c r="C6" s="66" t="inlineStr">
        <is>
          <t>F002</t>
        </is>
      </c>
      <c r="D6" s="66" t="inlineStr">
        <is>
          <t>Responsable</t>
        </is>
      </c>
      <c r="E6" s="66" t="n">
        <v>180</v>
      </c>
      <c r="F6" s="85" t="n">
        <v>46034</v>
      </c>
      <c r="G6" s="82" t="inlineStr">
        <is>
          <t>MARTIN Sophie</t>
        </is>
      </c>
      <c r="H6" s="82" t="inlineStr">
        <is>
          <t>Formation Aide-Soignant – S1 2026</t>
        </is>
      </c>
      <c r="I6" s="82" t="n"/>
    </row>
    <row r="7" ht="15" customHeight="1" s="60">
      <c r="A7" s="83" t="inlineStr">
        <is>
          <t>INT_006</t>
        </is>
      </c>
      <c r="B7" s="83" t="inlineStr">
        <is>
          <t>FC-HYG-01-2026-01</t>
        </is>
      </c>
      <c r="C7" s="83" t="inlineStr">
        <is>
          <t>F003</t>
        </is>
      </c>
      <c r="D7" s="83" t="inlineStr">
        <is>
          <t>Responsable</t>
        </is>
      </c>
      <c r="E7" s="83" t="n">
        <v>16</v>
      </c>
      <c r="F7" s="87" t="n">
        <v>46090</v>
      </c>
      <c r="G7" s="84" t="inlineStr">
        <is>
          <t>BERNARD Jean</t>
        </is>
      </c>
      <c r="H7" s="84" t="inlineStr">
        <is>
          <t>Hygiène Hospitalière – Mars 2026</t>
        </is>
      </c>
      <c r="I7" s="84" t="n"/>
    </row>
    <row r="8" ht="15" customHeight="1" s="60">
      <c r="A8" s="66" t="inlineStr">
        <is>
          <t>INT_007</t>
        </is>
      </c>
      <c r="B8" s="66" t="inlineStr">
        <is>
          <t>FC-GES-01-2026-01</t>
        </is>
      </c>
      <c r="C8" s="66" t="inlineStr">
        <is>
          <t>F004</t>
        </is>
      </c>
      <c r="D8" s="66" t="inlineStr">
        <is>
          <t>Responsable</t>
        </is>
      </c>
      <c r="E8" s="66" t="n">
        <v>8</v>
      </c>
      <c r="F8" s="85" t="n">
        <v>46118</v>
      </c>
      <c r="G8" s="82" t="inlineStr">
        <is>
          <t>LEROY Claire</t>
        </is>
      </c>
      <c r="H8" s="82" t="inlineStr">
        <is>
          <t>Gestes d'urgence – Avril 2026</t>
        </is>
      </c>
      <c r="I8" s="82" t="n"/>
    </row>
    <row r="9" ht="15" customHeight="1" s="60">
      <c r="A9" s="83" t="inlineStr">
        <is>
          <t>INT_008</t>
        </is>
      </c>
      <c r="B9" s="83" t="inlineStr">
        <is>
          <t>FC-SIM-01-2026-01</t>
        </is>
      </c>
      <c r="C9" s="83" t="inlineStr">
        <is>
          <t>F006</t>
        </is>
      </c>
      <c r="D9" s="83" t="inlineStr">
        <is>
          <t>Responsable</t>
        </is>
      </c>
      <c r="E9" s="83" t="n">
        <v>24</v>
      </c>
      <c r="F9" s="87" t="n">
        <v>46069</v>
      </c>
      <c r="G9" s="84" t="inlineStr">
        <is>
          <t>LECLERC Amélie</t>
        </is>
      </c>
      <c r="H9" s="84" t="inlineStr">
        <is>
          <t>Simulation – Formation Formateurs</t>
        </is>
      </c>
      <c r="I9" s="84" t="n"/>
    </row>
    <row r="10" ht="15" customHeight="1" s="60">
      <c r="A10" s="66" t="inlineStr">
        <is>
          <t>INT_009</t>
        </is>
      </c>
      <c r="B10" s="66" t="inlineStr">
        <is>
          <t>FC-SIM-01-2026-01</t>
        </is>
      </c>
      <c r="C10" s="66" t="inlineStr">
        <is>
          <t>F002</t>
        </is>
      </c>
      <c r="D10" s="66" t="inlineStr">
        <is>
          <t>Co-formateur</t>
        </is>
      </c>
      <c r="E10" s="66" t="n">
        <v>12</v>
      </c>
      <c r="F10" s="85" t="n">
        <v>46069</v>
      </c>
      <c r="G10" s="82" t="inlineStr">
        <is>
          <t>MARTIN Sophie</t>
        </is>
      </c>
      <c r="H10" s="82" t="inlineStr">
        <is>
          <t>Simulation – Formation Formateurs</t>
        </is>
      </c>
      <c r="I10" s="82" t="n"/>
    </row>
    <row r="11" ht="15" customHeight="1" s="60">
      <c r="A11" s="83" t="inlineStr">
        <is>
          <t>INT_010</t>
        </is>
      </c>
      <c r="B11" s="83" t="inlineStr">
        <is>
          <t>FC-DID-01-2026-01</t>
        </is>
      </c>
      <c r="C11" s="83" t="inlineStr">
        <is>
          <t>F005</t>
        </is>
      </c>
      <c r="D11" s="83" t="inlineStr">
        <is>
          <t>Responsable</t>
        </is>
      </c>
      <c r="E11" s="83" t="n">
        <v>32</v>
      </c>
      <c r="F11" s="87" t="n">
        <v>46153</v>
      </c>
      <c r="G11" s="84" t="inlineStr">
        <is>
          <t>MORIN Paul</t>
        </is>
      </c>
      <c r="H11" s="84" t="inlineStr">
        <is>
          <t>Didactique Médicale – Formateurs</t>
        </is>
      </c>
      <c r="I11" s="84" t="n"/>
    </row>
    <row r="12" ht="15" customHeight="1" s="60">
      <c r="A12" s="66" t="inlineStr">
        <is>
          <t>INT_011</t>
        </is>
      </c>
      <c r="B12" s="66" t="inlineStr">
        <is>
          <t>FI-INF-01-2026-S1</t>
        </is>
      </c>
      <c r="C12" s="66" t="inlineStr">
        <is>
          <t>F007</t>
        </is>
      </c>
      <c r="D12" s="66" t="inlineStr">
        <is>
          <t>Intervenant externe</t>
        </is>
      </c>
      <c r="E12" s="66" t="n">
        <v>40</v>
      </c>
      <c r="F12" s="85" t="n">
        <v>46027</v>
      </c>
      <c r="G12" s="82" t="inlineStr">
        <is>
          <t>DUPONT Marc</t>
        </is>
      </c>
      <c r="H12" s="82" t="inlineStr">
        <is>
          <t>Formation Infirmier 1A – S1 2026</t>
        </is>
      </c>
      <c r="I12" s="82" t="n"/>
    </row>
    <row r="13" ht="15" customHeight="1" s="60">
      <c r="A13" s="83" t="inlineStr">
        <is>
          <t>INT_012</t>
        </is>
      </c>
      <c r="B13" s="83" t="inlineStr">
        <is>
          <t>FC-HYG-01-2026-01</t>
        </is>
      </c>
      <c r="C13" s="83" t="inlineStr">
        <is>
          <t>F008</t>
        </is>
      </c>
      <c r="D13" s="83" t="inlineStr">
        <is>
          <t>Co-formateur</t>
        </is>
      </c>
      <c r="E13" s="83" t="n">
        <v>8</v>
      </c>
      <c r="F13" s="87" t="n">
        <v>46090</v>
      </c>
      <c r="G13" s="84" t="inlineStr">
        <is>
          <t>AHMED Fatima</t>
        </is>
      </c>
      <c r="H13" s="84" t="inlineStr">
        <is>
          <t>Hygiène Hospitalière – Mars 2026</t>
        </is>
      </c>
      <c r="I13" s="8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7030A0"/>
    <outlinePr summaryBelow="1" summaryRight="1"/>
    <pageSetUpPr fitToPage="0"/>
  </sheetPr>
  <dimension ref="A1:L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9" min="1" max="1"/>
    <col width="10" customWidth="1" style="59" min="2" max="3"/>
    <col width="14" customWidth="1" style="59" min="4" max="4"/>
    <col width="18" customWidth="1" style="59" min="5" max="5"/>
    <col width="32" customWidth="1" style="59" min="6" max="6"/>
    <col width="18" customWidth="1" style="59" min="7" max="7"/>
    <col width="22" customWidth="1" style="59" min="8" max="8"/>
    <col width="12" customWidth="1" style="59" min="9" max="9"/>
    <col width="22" customWidth="1" style="59" min="10" max="10"/>
    <col width="10" customWidth="1" style="59" min="11" max="11"/>
    <col width="14" customWidth="1" style="59" min="12" max="12"/>
  </cols>
  <sheetData>
    <row r="1" ht="27.75" customHeight="1" s="60">
      <c r="A1" s="64" t="inlineStr">
        <is>
          <t>Date</t>
        </is>
      </c>
      <c r="B1" s="64" t="inlineStr">
        <is>
          <t>Heure_Début</t>
        </is>
      </c>
      <c r="C1" s="64" t="inlineStr">
        <is>
          <t>Heure_Fin</t>
        </is>
      </c>
      <c r="D1" s="64" t="inlineStr">
        <is>
          <t>Code_Salle</t>
        </is>
      </c>
      <c r="E1" s="64" t="inlineStr">
        <is>
          <t>Type_Activité</t>
        </is>
      </c>
      <c r="F1" s="64" t="inlineStr">
        <is>
          <t>Intitulé_Activité</t>
        </is>
      </c>
      <c r="G1" s="64" t="inlineStr">
        <is>
          <t>Responsable</t>
        </is>
      </c>
      <c r="H1" s="64" t="inlineStr">
        <is>
          <t>Lien_Session</t>
        </is>
      </c>
      <c r="I1" s="64" t="inlineStr">
        <is>
          <t>Statut</t>
        </is>
      </c>
      <c r="J1" s="64" t="inlineStr">
        <is>
          <t>Commentaire</t>
        </is>
      </c>
      <c r="K1" s="81" t="inlineStr">
        <is>
          <t>Durée (h)</t>
        </is>
      </c>
      <c r="L1" s="81" t="inlineStr">
        <is>
          <t>Capacité_Salle</t>
        </is>
      </c>
    </row>
    <row r="2" ht="15" customHeight="1" s="60">
      <c r="A2" s="85" t="n">
        <v>46027</v>
      </c>
      <c r="B2" s="66" t="inlineStr">
        <is>
          <t>08:00</t>
        </is>
      </c>
      <c r="C2" s="66" t="inlineStr">
        <is>
          <t>10:00</t>
        </is>
      </c>
      <c r="D2" s="66" t="inlineStr">
        <is>
          <t>SAL-AMP-01</t>
        </is>
      </c>
      <c r="E2" s="66" t="inlineStr">
        <is>
          <t>Cours initial</t>
        </is>
      </c>
      <c r="F2" s="66" t="inlineStr">
        <is>
          <t>Anatomie S1</t>
        </is>
      </c>
      <c r="G2" s="66" t="inlineStr">
        <is>
          <t>Dr. Dupont</t>
        </is>
      </c>
      <c r="H2" s="66" t="inlineStr">
        <is>
          <t>FI-INF-01-2026-S1</t>
        </is>
      </c>
      <c r="I2" s="66" t="inlineStr">
        <is>
          <t>Réalisé</t>
        </is>
      </c>
      <c r="J2" s="66" t="n"/>
      <c r="K2" s="89">
        <f>IF(AND(C2&lt;&gt;"",B2&lt;&gt;""),TIMEVALUE(C2)-TIMEVALUE(B2),"–")</f>
        <v/>
      </c>
      <c r="L2" s="90" t="n">
        <v>120</v>
      </c>
    </row>
    <row r="3" ht="15" customHeight="1" s="60">
      <c r="A3" s="87" t="n">
        <v>46027</v>
      </c>
      <c r="B3" s="83" t="inlineStr">
        <is>
          <t>10:00</t>
        </is>
      </c>
      <c r="C3" s="83" t="inlineStr">
        <is>
          <t>12:00</t>
        </is>
      </c>
      <c r="D3" s="83" t="inlineStr">
        <is>
          <t>SAL-TP-01</t>
        </is>
      </c>
      <c r="E3" s="83" t="inlineStr">
        <is>
          <t>TP</t>
        </is>
      </c>
      <c r="F3" s="83" t="inlineStr">
        <is>
          <t>TP Soins de base Gr A</t>
        </is>
      </c>
      <c r="G3" s="83" t="inlineStr">
        <is>
          <t>Mme Martin</t>
        </is>
      </c>
      <c r="H3" s="83" t="inlineStr">
        <is>
          <t>FI-INF-01-2026-S1</t>
        </is>
      </c>
      <c r="I3" s="83" t="inlineStr">
        <is>
          <t>Réalisé</t>
        </is>
      </c>
      <c r="J3" s="83" t="n"/>
      <c r="K3" s="91">
        <f>IF(AND(C3&lt;&gt;"",B3&lt;&gt;""),TIMEVALUE(C3)-TIMEVALUE(B3),"–")</f>
        <v/>
      </c>
      <c r="L3" s="92" t="n">
        <v>24</v>
      </c>
    </row>
    <row r="4" ht="15" customHeight="1" s="60">
      <c r="A4" s="85" t="n">
        <v>46027</v>
      </c>
      <c r="B4" s="66" t="inlineStr">
        <is>
          <t>13:00</t>
        </is>
      </c>
      <c r="C4" s="66" t="inlineStr">
        <is>
          <t>15:00</t>
        </is>
      </c>
      <c r="D4" s="66" t="inlineStr">
        <is>
          <t>SAL-TP-02</t>
        </is>
      </c>
      <c r="E4" s="66" t="inlineStr">
        <is>
          <t>TP</t>
        </is>
      </c>
      <c r="F4" s="66" t="inlineStr">
        <is>
          <t>TP Soins de base Gr B</t>
        </is>
      </c>
      <c r="G4" s="66" t="inlineStr">
        <is>
          <t>Mme Martin</t>
        </is>
      </c>
      <c r="H4" s="66" t="inlineStr">
        <is>
          <t>FI-INF-01-2026-S1</t>
        </is>
      </c>
      <c r="I4" s="66" t="inlineStr">
        <is>
          <t>Réalisé</t>
        </is>
      </c>
      <c r="J4" s="66" t="n"/>
      <c r="K4" s="89">
        <f>IF(AND(C4&lt;&gt;"",B4&lt;&gt;""),TIMEVALUE(C4)-TIMEVALUE(B4),"–")</f>
        <v/>
      </c>
      <c r="L4" s="90" t="n">
        <v>24</v>
      </c>
    </row>
    <row r="5" ht="15" customHeight="1" s="60">
      <c r="A5" s="87" t="n">
        <v>46090</v>
      </c>
      <c r="B5" s="83" t="inlineStr">
        <is>
          <t>08:30</t>
        </is>
      </c>
      <c r="C5" s="83" t="inlineStr">
        <is>
          <t>17:30</t>
        </is>
      </c>
      <c r="D5" s="83" t="inlineStr">
        <is>
          <t>SAL-COURS-01</t>
        </is>
      </c>
      <c r="E5" s="83" t="inlineStr">
        <is>
          <t>Formation continue</t>
        </is>
      </c>
      <c r="F5" s="83" t="inlineStr">
        <is>
          <t>Hygiène Hospitalière J1</t>
        </is>
      </c>
      <c r="G5" s="83" t="inlineStr">
        <is>
          <t>Dr. Bernard</t>
        </is>
      </c>
      <c r="H5" s="83" t="inlineStr">
        <is>
          <t>FC-HYG-01-2026-01</t>
        </is>
      </c>
      <c r="I5" s="83" t="inlineStr">
        <is>
          <t>Réalisé</t>
        </is>
      </c>
      <c r="J5" s="83" t="n"/>
      <c r="K5" s="91">
        <f>IF(AND(C5&lt;&gt;"",B5&lt;&gt;""),TIMEVALUE(C5)-TIMEVALUE(B5),"–")</f>
        <v/>
      </c>
      <c r="L5" s="92" t="n">
        <v>40</v>
      </c>
    </row>
    <row r="6" ht="15" customHeight="1" s="60">
      <c r="A6" s="85" t="n">
        <v>46091</v>
      </c>
      <c r="B6" s="66" t="inlineStr">
        <is>
          <t>08:30</t>
        </is>
      </c>
      <c r="C6" s="66" t="inlineStr">
        <is>
          <t>17:30</t>
        </is>
      </c>
      <c r="D6" s="66" t="inlineStr">
        <is>
          <t>SAL-COURS-01</t>
        </is>
      </c>
      <c r="E6" s="66" t="inlineStr">
        <is>
          <t>Formation continue</t>
        </is>
      </c>
      <c r="F6" s="66" t="inlineStr">
        <is>
          <t>Hygiène Hospitalière J2</t>
        </is>
      </c>
      <c r="G6" s="66" t="inlineStr">
        <is>
          <t>Dr. Bernard</t>
        </is>
      </c>
      <c r="H6" s="66" t="inlineStr">
        <is>
          <t>FC-HYG-01-2026-01</t>
        </is>
      </c>
      <c r="I6" s="66" t="inlineStr">
        <is>
          <t>Réalisé</t>
        </is>
      </c>
      <c r="J6" s="66" t="n"/>
      <c r="K6" s="89">
        <f>IF(AND(C6&lt;&gt;"",B6&lt;&gt;""),TIMEVALUE(C6)-TIMEVALUE(B6),"–")</f>
        <v/>
      </c>
      <c r="L6" s="90" t="n">
        <v>40</v>
      </c>
    </row>
    <row r="7" ht="15" customHeight="1" s="60">
      <c r="A7" s="87" t="n">
        <v>46118</v>
      </c>
      <c r="B7" s="83" t="inlineStr">
        <is>
          <t>08:00</t>
        </is>
      </c>
      <c r="C7" s="83" t="inlineStr">
        <is>
          <t>16:00</t>
        </is>
      </c>
      <c r="D7" s="83" t="inlineStr">
        <is>
          <t>SAL-SIM-01</t>
        </is>
      </c>
      <c r="E7" s="83" t="inlineStr">
        <is>
          <t>Formation continue</t>
        </is>
      </c>
      <c r="F7" s="83" t="inlineStr">
        <is>
          <t>Gestes d'urgence</t>
        </is>
      </c>
      <c r="G7" s="83" t="inlineStr">
        <is>
          <t>Dr. Leroy</t>
        </is>
      </c>
      <c r="H7" s="83" t="inlineStr">
        <is>
          <t>FC-GES-01-2026-01</t>
        </is>
      </c>
      <c r="I7" s="83" t="inlineStr">
        <is>
          <t>Réalisé</t>
        </is>
      </c>
      <c r="J7" s="83" t="n"/>
      <c r="K7" s="91">
        <f>IF(AND(C7&lt;&gt;"",B7&lt;&gt;""),TIMEVALUE(C7)-TIMEVALUE(B7),"–")</f>
        <v/>
      </c>
      <c r="L7" s="92" t="n">
        <v>16</v>
      </c>
    </row>
    <row r="8" ht="15" customHeight="1" s="60">
      <c r="A8" s="85" t="n">
        <v>46153</v>
      </c>
      <c r="B8" s="66" t="inlineStr">
        <is>
          <t>08:30</t>
        </is>
      </c>
      <c r="C8" s="66" t="inlineStr">
        <is>
          <t>17:30</t>
        </is>
      </c>
      <c r="D8" s="66" t="inlineStr">
        <is>
          <t>SAL-COURS-02</t>
        </is>
      </c>
      <c r="E8" s="66" t="inlineStr">
        <is>
          <t>Formation continue</t>
        </is>
      </c>
      <c r="F8" s="66" t="inlineStr">
        <is>
          <t>Didactique J1</t>
        </is>
      </c>
      <c r="G8" s="66" t="inlineStr">
        <is>
          <t>Pr. Morin</t>
        </is>
      </c>
      <c r="H8" s="66" t="inlineStr">
        <is>
          <t>FC-DID-01-2026-01</t>
        </is>
      </c>
      <c r="I8" s="66" t="inlineStr">
        <is>
          <t>Prévu</t>
        </is>
      </c>
      <c r="J8" s="66" t="n"/>
      <c r="K8" s="89">
        <f>IF(AND(C8&lt;&gt;"",B8&lt;&gt;""),TIMEVALUE(C8)-TIMEVALUE(B8),"–")</f>
        <v/>
      </c>
      <c r="L8" s="90" t="n">
        <v>40</v>
      </c>
    </row>
    <row r="9" ht="15" customHeight="1" s="60">
      <c r="A9" s="87" t="n">
        <v>46154</v>
      </c>
      <c r="B9" s="83" t="inlineStr">
        <is>
          <t>08:30</t>
        </is>
      </c>
      <c r="C9" s="83" t="inlineStr">
        <is>
          <t>17:30</t>
        </is>
      </c>
      <c r="D9" s="83" t="inlineStr">
        <is>
          <t>SAL-COURS-02</t>
        </is>
      </c>
      <c r="E9" s="83" t="inlineStr">
        <is>
          <t>Formation continue</t>
        </is>
      </c>
      <c r="F9" s="83" t="inlineStr">
        <is>
          <t>Didactique J2</t>
        </is>
      </c>
      <c r="G9" s="83" t="inlineStr">
        <is>
          <t>Pr. Morin</t>
        </is>
      </c>
      <c r="H9" s="83" t="inlineStr">
        <is>
          <t>FC-DID-01-2026-01</t>
        </is>
      </c>
      <c r="I9" s="83" t="inlineStr">
        <is>
          <t>Prévu</t>
        </is>
      </c>
      <c r="J9" s="83" t="n"/>
      <c r="K9" s="91">
        <f>IF(AND(C9&lt;&gt;"",B9&lt;&gt;""),TIMEVALUE(C9)-TIMEVALUE(B9),"–")</f>
        <v/>
      </c>
      <c r="L9" s="92" t="n">
        <v>40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C00000"/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9" min="1" max="1"/>
    <col width="22" customWidth="1" style="59" min="2" max="2"/>
    <col width="24" customWidth="1" style="59" min="3" max="3"/>
    <col width="16" customWidth="1" style="59" min="4" max="4"/>
    <col width="26" customWidth="1" style="59" min="5" max="5"/>
    <col width="16" customWidth="1" style="59" min="6" max="6"/>
    <col width="18" customWidth="1" style="59" min="7" max="7"/>
    <col width="16" customWidth="1" style="59" min="8" max="10"/>
  </cols>
  <sheetData>
    <row r="1" ht="27.75" customHeight="1" s="60">
      <c r="A1" s="64" t="inlineStr">
        <is>
          <t>Date_Dépense</t>
        </is>
      </c>
      <c r="B1" s="64" t="inlineStr">
        <is>
          <t>Code_Session</t>
        </is>
      </c>
      <c r="C1" s="64" t="inlineStr">
        <is>
          <t>Nature_Dépense</t>
        </is>
      </c>
      <c r="D1" s="64" t="inlineStr">
        <is>
          <t>Montant (FCFA)</t>
        </is>
      </c>
      <c r="E1" s="64" t="inlineStr">
        <is>
          <t>Fournisseur/Bénéficiaire</t>
        </is>
      </c>
      <c r="F1" s="64" t="inlineStr">
        <is>
          <t>Mode_Paiement</t>
        </is>
      </c>
      <c r="G1" s="64" t="inlineStr">
        <is>
          <t>Justificatif</t>
        </is>
      </c>
      <c r="H1" s="64" t="inlineStr">
        <is>
          <t>Source_Financement</t>
        </is>
      </c>
      <c r="I1" s="81" t="inlineStr">
        <is>
          <t>Exercice_Budgétaire</t>
        </is>
      </c>
      <c r="J1" s="81" t="inlineStr">
        <is>
          <t>Validé_par</t>
        </is>
      </c>
    </row>
    <row r="2" ht="15" customHeight="1" s="60">
      <c r="A2" s="85" t="n">
        <v>46032</v>
      </c>
      <c r="B2" s="66" t="inlineStr">
        <is>
          <t>FI-INF-01-2026-S1</t>
        </is>
      </c>
      <c r="C2" s="66" t="inlineStr">
        <is>
          <t>Supports pédagogiques</t>
        </is>
      </c>
      <c r="D2" s="93" t="n">
        <v>85000</v>
      </c>
      <c r="E2" s="66" t="inlineStr">
        <is>
          <t>Imprimerie Centrale</t>
        </is>
      </c>
      <c r="F2" s="66" t="inlineStr">
        <is>
          <t>Virement</t>
        </is>
      </c>
      <c r="G2" s="66" t="inlineStr">
        <is>
          <t>FAC-2026-001</t>
        </is>
      </c>
      <c r="H2" s="66" t="inlineStr">
        <is>
          <t>ODS</t>
        </is>
      </c>
      <c r="I2" s="82" t="inlineStr">
        <is>
          <t>2026</t>
        </is>
      </c>
      <c r="J2" s="82" t="n"/>
    </row>
    <row r="3" ht="15" customHeight="1" s="60">
      <c r="A3" s="87" t="n">
        <v>46037</v>
      </c>
      <c r="B3" s="83" t="inlineStr">
        <is>
          <t>FI-AS-01-2026-S1</t>
        </is>
      </c>
      <c r="C3" s="83" t="inlineStr">
        <is>
          <t>Matériel TP</t>
        </is>
      </c>
      <c r="D3" s="94" t="n">
        <v>42000</v>
      </c>
      <c r="E3" s="83" t="inlineStr">
        <is>
          <t>MedSupply</t>
        </is>
      </c>
      <c r="F3" s="83" t="inlineStr">
        <is>
          <t>Virement</t>
        </is>
      </c>
      <c r="G3" s="83" t="inlineStr">
        <is>
          <t>FAC-2026-002</t>
        </is>
      </c>
      <c r="H3" s="83" t="inlineStr">
        <is>
          <t>ODS</t>
        </is>
      </c>
      <c r="I3" s="84" t="inlineStr">
        <is>
          <t>2026</t>
        </is>
      </c>
      <c r="J3" s="84" t="n"/>
    </row>
    <row r="4" ht="15" customHeight="1" s="60">
      <c r="A4" s="85" t="n">
        <v>46069</v>
      </c>
      <c r="B4" s="66" t="inlineStr">
        <is>
          <t>FC-SIM-01-2026-01</t>
        </is>
      </c>
      <c r="C4" s="66" t="inlineStr">
        <is>
          <t>Intervenants</t>
        </is>
      </c>
      <c r="D4" s="93" t="n">
        <v>45000</v>
      </c>
      <c r="E4" s="66" t="inlineStr">
        <is>
          <t>F006 – Leclerc A.</t>
        </is>
      </c>
      <c r="F4" s="66" t="inlineStr">
        <is>
          <t>Virement</t>
        </is>
      </c>
      <c r="G4" s="66" t="inlineStr">
        <is>
          <t>BC-2026-010</t>
        </is>
      </c>
      <c r="H4" s="66" t="inlineStr">
        <is>
          <t>Budget EMSP</t>
        </is>
      </c>
      <c r="I4" s="82" t="inlineStr">
        <is>
          <t>2026</t>
        </is>
      </c>
      <c r="J4" s="82" t="n"/>
    </row>
    <row r="5" ht="15" customHeight="1" s="60">
      <c r="A5" s="87" t="n">
        <v>46069</v>
      </c>
      <c r="B5" s="83" t="inlineStr">
        <is>
          <t>FC-SIM-01-2026-01</t>
        </is>
      </c>
      <c r="C5" s="83" t="inlineStr">
        <is>
          <t>Hébergement</t>
        </is>
      </c>
      <c r="D5" s="94" t="n">
        <v>18000</v>
      </c>
      <c r="E5" s="83" t="inlineStr">
        <is>
          <t>Hôtel du Lac</t>
        </is>
      </c>
      <c r="F5" s="83" t="inlineStr">
        <is>
          <t>Virement</t>
        </is>
      </c>
      <c r="G5" s="83" t="inlineStr">
        <is>
          <t>FAC-2026-015</t>
        </is>
      </c>
      <c r="H5" s="83" t="inlineStr">
        <is>
          <t>Budget EMSP</t>
        </is>
      </c>
      <c r="I5" s="84" t="inlineStr">
        <is>
          <t>2026</t>
        </is>
      </c>
      <c r="J5" s="84" t="n"/>
    </row>
    <row r="6" ht="15" customHeight="1" s="60">
      <c r="A6" s="85" t="n">
        <v>46069</v>
      </c>
      <c r="B6" s="66" t="inlineStr">
        <is>
          <t>FC-SIM-01-2026-01</t>
        </is>
      </c>
      <c r="C6" s="66" t="inlineStr">
        <is>
          <t>Transport</t>
        </is>
      </c>
      <c r="D6" s="93" t="n">
        <v>6500</v>
      </c>
      <c r="E6" s="66" t="inlineStr">
        <is>
          <t>Agence Voyage</t>
        </is>
      </c>
      <c r="F6" s="66" t="inlineStr">
        <is>
          <t>Chèque</t>
        </is>
      </c>
      <c r="G6" s="66" t="inlineStr">
        <is>
          <t>FAC-2026-016</t>
        </is>
      </c>
      <c r="H6" s="66" t="inlineStr">
        <is>
          <t>Budget EMSP</t>
        </is>
      </c>
      <c r="I6" s="82" t="inlineStr">
        <is>
          <t>2026</t>
        </is>
      </c>
      <c r="J6" s="82" t="n"/>
    </row>
    <row r="7" ht="15" customHeight="1" s="60">
      <c r="A7" s="87" t="n">
        <v>46090</v>
      </c>
      <c r="B7" s="83" t="inlineStr">
        <is>
          <t>FC-HYG-01-2026-01</t>
        </is>
      </c>
      <c r="C7" s="83" t="inlineStr">
        <is>
          <t>Intervenants</t>
        </is>
      </c>
      <c r="D7" s="94" t="n">
        <v>24000</v>
      </c>
      <c r="E7" s="83" t="inlineStr">
        <is>
          <t>F003 – Bernard J.</t>
        </is>
      </c>
      <c r="F7" s="83" t="inlineStr">
        <is>
          <t>Virement</t>
        </is>
      </c>
      <c r="G7" s="83" t="inlineStr">
        <is>
          <t>BC-2026-020</t>
        </is>
      </c>
      <c r="H7" s="83" t="inlineStr">
        <is>
          <t>Budget EMSP</t>
        </is>
      </c>
      <c r="I7" s="84" t="inlineStr">
        <is>
          <t>2026</t>
        </is>
      </c>
      <c r="J7" s="84" t="n"/>
    </row>
    <row r="8" ht="15" customHeight="1" s="60">
      <c r="A8" s="85" t="n">
        <v>46090</v>
      </c>
      <c r="B8" s="66" t="inlineStr">
        <is>
          <t>FC-HYG-01-2026-01</t>
        </is>
      </c>
      <c r="C8" s="66" t="inlineStr">
        <is>
          <t>Collations</t>
        </is>
      </c>
      <c r="D8" s="93" t="n">
        <v>4500</v>
      </c>
      <c r="E8" s="66" t="inlineStr">
        <is>
          <t>Traiteur Express</t>
        </is>
      </c>
      <c r="F8" s="66" t="inlineStr">
        <is>
          <t>Espèces</t>
        </is>
      </c>
      <c r="G8" s="66" t="inlineStr">
        <is>
          <t>RECU-2026-005</t>
        </is>
      </c>
      <c r="H8" s="66" t="inlineStr">
        <is>
          <t>Budget EMSP</t>
        </is>
      </c>
      <c r="I8" s="82" t="inlineStr">
        <is>
          <t>2026</t>
        </is>
      </c>
      <c r="J8" s="82" t="n"/>
    </row>
    <row r="9" ht="15" customHeight="1" s="60">
      <c r="A9" s="87" t="n">
        <v>46118</v>
      </c>
      <c r="B9" s="83" t="inlineStr">
        <is>
          <t>FC-GES-01-2026-01</t>
        </is>
      </c>
      <c r="C9" s="83" t="inlineStr">
        <is>
          <t>Location matériel</t>
        </is>
      </c>
      <c r="D9" s="94" t="n">
        <v>12000</v>
      </c>
      <c r="E9" s="83" t="inlineStr">
        <is>
          <t>SimuMed</t>
        </is>
      </c>
      <c r="F9" s="83" t="inlineStr">
        <is>
          <t>Virement</t>
        </is>
      </c>
      <c r="G9" s="83" t="inlineStr">
        <is>
          <t>FAC-2026-031</t>
        </is>
      </c>
      <c r="H9" s="83" t="inlineStr">
        <is>
          <t>Budget EMSP</t>
        </is>
      </c>
      <c r="I9" s="84" t="inlineStr">
        <is>
          <t>2026</t>
        </is>
      </c>
      <c r="J9" s="84" t="n"/>
    </row>
    <row r="10" ht="15" customHeight="1" s="60">
      <c r="A10" s="85" t="n">
        <v>46118</v>
      </c>
      <c r="B10" s="66" t="inlineStr">
        <is>
          <t>FC-GES-01-2026-01</t>
        </is>
      </c>
      <c r="C10" s="66" t="inlineStr">
        <is>
          <t>Intervenants</t>
        </is>
      </c>
      <c r="D10" s="93" t="n">
        <v>16000</v>
      </c>
      <c r="E10" s="66" t="inlineStr">
        <is>
          <t>F004 – Leroy C.</t>
        </is>
      </c>
      <c r="F10" s="66" t="inlineStr">
        <is>
          <t>Virement</t>
        </is>
      </c>
      <c r="G10" s="66" t="inlineStr">
        <is>
          <t>BC-2026-025</t>
        </is>
      </c>
      <c r="H10" s="66" t="inlineStr">
        <is>
          <t>Budget EMSP</t>
        </is>
      </c>
      <c r="I10" s="82" t="inlineStr">
        <is>
          <t>2026</t>
        </is>
      </c>
      <c r="J10" s="82" t="n"/>
    </row>
    <row r="11" ht="15" customHeight="1" s="60">
      <c r="A11" s="87" t="n">
        <v>46132</v>
      </c>
      <c r="B11" s="83" t="inlineStr">
        <is>
          <t>HORS_SESSION</t>
        </is>
      </c>
      <c r="C11" s="83" t="inlineStr">
        <is>
          <t>Fournitures admin.</t>
        </is>
      </c>
      <c r="D11" s="94" t="n">
        <v>8500</v>
      </c>
      <c r="E11" s="83" t="inlineStr">
        <is>
          <t>Office Pro</t>
        </is>
      </c>
      <c r="F11" s="83" t="inlineStr">
        <is>
          <t>Virement</t>
        </is>
      </c>
      <c r="G11" s="83" t="inlineStr">
        <is>
          <t>FAC-2026-040</t>
        </is>
      </c>
      <c r="H11" s="83" t="inlineStr">
        <is>
          <t>Budget EMSP</t>
        </is>
      </c>
      <c r="I11" s="84" t="inlineStr">
        <is>
          <t>2026</t>
        </is>
      </c>
      <c r="J11" s="84" t="n"/>
    </row>
    <row r="12" ht="15" customHeight="1" s="60">
      <c r="C12" s="95" t="inlineStr">
        <is>
          <t>TOTAL</t>
        </is>
      </c>
      <c r="D12" s="96">
        <f>SUM(D2:D11)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00FF0000"/>
    <outlinePr summaryBelow="1" summaryRight="1"/>
    <pageSetUpPr fitToPage="0"/>
  </sheetPr>
  <dimension ref="B2:H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59" min="1" max="1"/>
    <col width="36" customWidth="1" style="59" min="2" max="2"/>
    <col width="4" customWidth="1" style="59" min="3" max="3"/>
    <col width="18" customWidth="1" style="59" min="4" max="4"/>
    <col width="14" customWidth="1" style="59" min="5" max="8"/>
  </cols>
  <sheetData>
    <row r="1" ht="6" customHeight="1" s="60"/>
    <row r="2" ht="21.75" customHeight="1" s="60">
      <c r="B2" s="97" t="inlineStr">
        <is>
          <t>PÉRIODE D'ANALYSE</t>
        </is>
      </c>
      <c r="E2" s="98" t="inlineStr">
        <is>
          <t>Date début :</t>
        </is>
      </c>
      <c r="F2" s="99" t="n">
        <v>46023</v>
      </c>
      <c r="G2" s="98" t="inlineStr">
        <is>
          <t>Date fin :</t>
        </is>
      </c>
      <c r="H2" s="99" t="n">
        <v>46203</v>
      </c>
    </row>
    <row r="4" ht="24" customHeight="1" s="60">
      <c r="B4" s="100" t="inlineStr">
        <is>
          <t>1. ACTIVITÉ DE FORMATION</t>
        </is>
      </c>
    </row>
    <row r="5" ht="15" customHeight="1" s="60">
      <c r="B5" s="83" t="inlineStr">
        <is>
          <t>Nombre total de sessions</t>
        </is>
      </c>
      <c r="D5" s="101">
        <f>COUNTA(SESSIONS!A:A)-1</f>
        <v/>
      </c>
    </row>
    <row r="6" ht="15" customHeight="1" s="60">
      <c r="B6" s="83" t="inlineStr">
        <is>
          <t>Sessions – Formation initiale</t>
        </is>
      </c>
      <c r="D6" s="101">
        <f>COUNTIF(SESSIONS!J:J,"Planifiée")+COUNTIF(SESSIONS!J:J,"En cours")+COUNTIF(SESSIONS!J:J,"Terminée")</f>
        <v/>
      </c>
    </row>
    <row r="7" ht="15" customHeight="1" s="60">
      <c r="B7" s="83" t="inlineStr">
        <is>
          <t>Sessions terminées</t>
        </is>
      </c>
      <c r="D7" s="101">
        <f>COUNTIF(SESSIONS!J:J,"Terminée")</f>
        <v/>
      </c>
    </row>
    <row r="8" ht="15" customHeight="1" s="60">
      <c r="B8" s="83" t="inlineStr">
        <is>
          <t>Sessions en cours</t>
        </is>
      </c>
      <c r="D8" s="101">
        <f>COUNTIF(SESSIONS!J:J,"En cours")</f>
        <v/>
      </c>
    </row>
    <row r="9" ht="15" customHeight="1" s="60">
      <c r="B9" s="83" t="inlineStr">
        <is>
          <t>Sessions planifiées</t>
        </is>
      </c>
      <c r="D9" s="101">
        <f>COUNTIF(SESSIONS!J:J,"Planifiée")</f>
        <v/>
      </c>
    </row>
    <row r="10" ht="15" customHeight="1" s="60">
      <c r="B10" s="83" t="inlineStr">
        <is>
          <t>Total participants prévus</t>
        </is>
      </c>
      <c r="D10" s="101">
        <f>SUM(SESSIONS!G:G)</f>
        <v/>
      </c>
    </row>
    <row r="11" ht="15" customHeight="1" s="60">
      <c r="B11" s="83" t="inlineStr">
        <is>
          <t>Total participants réels</t>
        </is>
      </c>
      <c r="D11" s="101">
        <f>SUM(SESSIONS!H:H)</f>
        <v/>
      </c>
    </row>
    <row r="12" ht="15" customHeight="1" s="60">
      <c r="B12" s="84" t="inlineStr">
        <is>
          <t>Taux global de réalisation (%)</t>
        </is>
      </c>
      <c r="D12" s="102">
        <f>IF(SUM(SESSIONS!G:G)=0,"–",SUM(SESSIONS!H:H)/SUM(SESSIONS!G:G))</f>
        <v/>
      </c>
    </row>
    <row r="13" ht="15" customHeight="1" s="60">
      <c r="B13" s="83" t="inlineStr">
        <is>
          <t>Sessions Formation Initiale</t>
        </is>
      </c>
      <c r="D13" s="101">
        <f>COUNTIF(PARAM_FORMATIONS!C:C,"Initiale")</f>
        <v/>
      </c>
    </row>
    <row r="14" ht="15" customHeight="1" s="60">
      <c r="B14" s="83" t="inlineStr">
        <is>
          <t>Sessions Formation Continue</t>
        </is>
      </c>
      <c r="D14" s="101">
        <f>COUNTIF(PARAM_FORMATIONS!C:C,"Continue")</f>
        <v/>
      </c>
    </row>
    <row r="16" ht="24" customHeight="1" s="60">
      <c r="B16" s="100" t="inlineStr">
        <is>
          <t>2. BILAN FINANCIER</t>
        </is>
      </c>
    </row>
    <row r="17" ht="15" customHeight="1" s="60">
      <c r="B17" s="103" t="inlineStr">
        <is>
          <t>Nature de dépense</t>
        </is>
      </c>
      <c r="D17" s="103" t="inlineStr">
        <is>
          <t>Montant (FCFA)</t>
        </is>
      </c>
      <c r="E17" s="104" t="inlineStr">
        <is>
          <t>% du total</t>
        </is>
      </c>
    </row>
    <row r="18" ht="15" customHeight="1" s="60">
      <c r="B18" s="105" t="inlineStr">
        <is>
          <t>Intervenants</t>
        </is>
      </c>
      <c r="D18" s="106">
        <f>SUMIF(DEPENSES!C:C,B18,DEPENSES!D:D)</f>
        <v/>
      </c>
      <c r="E18" s="107">
        <f>IF(D27=0,"–",D18/D27)</f>
        <v/>
      </c>
    </row>
    <row r="19" ht="15" customHeight="1" s="60">
      <c r="B19" s="108" t="inlineStr">
        <is>
          <t>Supports pédagogiques</t>
        </is>
      </c>
      <c r="D19" s="109">
        <f>SUMIF(DEPENSES!C:C,B19,DEPENSES!D:D)</f>
        <v/>
      </c>
      <c r="E19" s="110">
        <f>IF(D27=0,"–",D19/D27)</f>
        <v/>
      </c>
    </row>
    <row r="20" ht="15" customHeight="1" s="60">
      <c r="B20" s="105" t="inlineStr">
        <is>
          <t>Matériel TP</t>
        </is>
      </c>
      <c r="D20" s="106">
        <f>SUMIF(DEPENSES!C:C,B20,DEPENSES!D:D)</f>
        <v/>
      </c>
      <c r="E20" s="107">
        <f>IF(D27=0,"–",D20/D27)</f>
        <v/>
      </c>
    </row>
    <row r="21" ht="15" customHeight="1" s="60">
      <c r="B21" s="108" t="inlineStr">
        <is>
          <t>Hébergement</t>
        </is>
      </c>
      <c r="D21" s="109">
        <f>SUMIF(DEPENSES!C:C,B21,DEPENSES!D:D)</f>
        <v/>
      </c>
      <c r="E21" s="110">
        <f>IF(D27=0,"–",D21/D27)</f>
        <v/>
      </c>
    </row>
    <row r="22" ht="15" customHeight="1" s="60">
      <c r="B22" s="105" t="inlineStr">
        <is>
          <t>Transport</t>
        </is>
      </c>
      <c r="D22" s="106">
        <f>SUMIF(DEPENSES!C:C,B22,DEPENSES!D:D)</f>
        <v/>
      </c>
      <c r="E22" s="107">
        <f>IF(D27=0,"–",D22/D27)</f>
        <v/>
      </c>
    </row>
    <row r="23" ht="15" customHeight="1" s="60">
      <c r="B23" s="108" t="inlineStr">
        <is>
          <t>Collations</t>
        </is>
      </c>
      <c r="D23" s="109">
        <f>SUMIF(DEPENSES!C:C,B23,DEPENSES!D:D)</f>
        <v/>
      </c>
      <c r="E23" s="110">
        <f>IF(D27=0,"–",D23/D27)</f>
        <v/>
      </c>
    </row>
    <row r="24" ht="15" customHeight="1" s="60">
      <c r="B24" s="105" t="inlineStr">
        <is>
          <t>Location matériel</t>
        </is>
      </c>
      <c r="D24" s="106">
        <f>SUMIF(DEPENSES!C:C,B24,DEPENSES!D:D)</f>
        <v/>
      </c>
      <c r="E24" s="107">
        <f>IF(D27=0,"–",D24/D27)</f>
        <v/>
      </c>
    </row>
    <row r="25" ht="15" customHeight="1" s="60">
      <c r="B25" s="108" t="inlineStr">
        <is>
          <t>Fournitures admin.</t>
        </is>
      </c>
      <c r="D25" s="109">
        <f>SUMIF(DEPENSES!C:C,B25,DEPENSES!D:D)</f>
        <v/>
      </c>
      <c r="E25" s="110">
        <f>IF(D27=0,"–",D25/D27)</f>
        <v/>
      </c>
    </row>
    <row r="26" ht="15" customHeight="1" s="60">
      <c r="B26" s="105" t="inlineStr">
        <is>
          <t>Autre</t>
        </is>
      </c>
      <c r="D26" s="106">
        <f>SUMIF(DEPENSES!C:C,B26,DEPENSES!D:D)</f>
        <v/>
      </c>
      <c r="E26" s="107">
        <f>IF(D27=0,"–",D26/D27)</f>
        <v/>
      </c>
    </row>
    <row r="27" ht="15" customHeight="1" s="60">
      <c r="B27" s="111" t="inlineStr">
        <is>
          <t>TOTAL</t>
        </is>
      </c>
      <c r="D27" s="112">
        <f>SUM(D18:D26)</f>
        <v/>
      </c>
    </row>
    <row r="29" ht="24" customHeight="1" s="60">
      <c r="B29" s="100" t="inlineStr">
        <is>
          <t>3. BILAN RH – FORMATEURS</t>
        </is>
      </c>
    </row>
    <row r="30" ht="15" customHeight="1" s="60">
      <c r="B30" s="83" t="inlineStr">
        <is>
          <t>Nombre total de formateurs</t>
        </is>
      </c>
      <c r="D30" s="101">
        <f>COUNTA(FORMATEURS_RH!A:A)-1</f>
        <v/>
      </c>
    </row>
    <row r="31" ht="15" customHeight="1" s="60">
      <c r="B31" s="83" t="inlineStr">
        <is>
          <t>Formateurs – Interne EMSP</t>
        </is>
      </c>
      <c r="D31" s="101">
        <f>COUNTIF(FORMATEURS_RH!D:D,"Interne EMSP")</f>
        <v/>
      </c>
    </row>
    <row r="32" ht="15" customHeight="1" s="60">
      <c r="B32" s="83" t="inlineStr">
        <is>
          <t>Formateurs – Intervenant externe</t>
        </is>
      </c>
      <c r="D32" s="101">
        <f>COUNTIF(FORMATEURS_RH!D:D,"Intervenant externe")</f>
        <v/>
      </c>
    </row>
    <row r="33" ht="15" customHeight="1" s="60">
      <c r="B33" s="83" t="inlineStr">
        <is>
          <t>Formateurs – Expert projet</t>
        </is>
      </c>
      <c r="D33" s="101">
        <f>COUNTIF(FORMATEURS_RH!D:D,"Expert projet")</f>
        <v/>
      </c>
    </row>
    <row r="34" ht="15" customHeight="1" s="60">
      <c r="B34" s="83" t="inlineStr">
        <is>
          <t>Formateurs – Enseignant UDC</t>
        </is>
      </c>
      <c r="D34" s="101">
        <f>COUNTIF(FORMATEURS_RH!D:D,"Enseignant UDC")</f>
        <v/>
      </c>
    </row>
    <row r="35" ht="15" customHeight="1" s="60">
      <c r="B35" s="83" t="inlineStr">
        <is>
          <t>Niveau Master</t>
        </is>
      </c>
      <c r="D35" s="101">
        <f>COUNTIF(FORMATEURS_RH!F:F,"Master")</f>
        <v/>
      </c>
    </row>
    <row r="36" ht="15" customHeight="1" s="60">
      <c r="B36" s="83" t="inlineStr">
        <is>
          <t>Niveau Doctorat</t>
        </is>
      </c>
      <c r="D36" s="101">
        <f>COUNTIF(FORMATEURS_RH!F:F,"Doctorat")</f>
        <v/>
      </c>
    </row>
    <row r="37" ht="15" customHeight="1" s="60">
      <c r="B37" s="84" t="inlineStr">
        <is>
          <t>Volume total d'heures (période)</t>
        </is>
      </c>
      <c r="D37" s="113">
        <f>SUMPRODUCT((INTERVENTIONS!E2:E500))</f>
        <v/>
      </c>
    </row>
    <row r="40" ht="24" customHeight="1" s="60">
      <c r="B40" s="100" t="inlineStr">
        <is>
          <t>4. HEURES D'INTERVENTION PAR FORMATEUR – S1 2026</t>
        </is>
      </c>
    </row>
    <row r="41" ht="23.25" customHeight="1" s="60">
      <c r="B41" s="114" t="inlineStr">
        <is>
          <t>Code_Formateur</t>
        </is>
      </c>
      <c r="C41" s="114" t="inlineStr">
        <is>
          <t>Nom</t>
        </is>
      </c>
      <c r="D41" s="114" t="inlineStr">
        <is>
          <t>Prénom</t>
        </is>
      </c>
      <c r="E41" s="114" t="inlineStr">
        <is>
          <t>Statut</t>
        </is>
      </c>
      <c r="F41" s="114" t="inlineStr">
        <is>
          <t>Discipline</t>
        </is>
      </c>
      <c r="G41" s="114" t="inlineStr">
        <is>
          <t>Heures S1</t>
        </is>
      </c>
    </row>
    <row r="42" ht="45.75" customHeight="1" s="60">
      <c r="B42" s="66" t="inlineStr">
        <is>
          <t>F001</t>
        </is>
      </c>
      <c r="C42" s="66" t="inlineStr">
        <is>
          <t>CHABRUT</t>
        </is>
      </c>
      <c r="D42" s="66" t="inlineStr">
        <is>
          <t>Luc</t>
        </is>
      </c>
      <c r="E42" s="66" t="inlineStr">
        <is>
          <t>Interne EMSP</t>
        </is>
      </c>
      <c r="F42" s="66" t="inlineStr">
        <is>
          <t>Soins infirmiers</t>
        </is>
      </c>
      <c r="G42" s="115">
        <f>SUMIF(INTERVENTIONS!C:C,B42,INTERVENTIONS!E:E)</f>
        <v/>
      </c>
    </row>
    <row r="43" ht="34.5" customHeight="1" s="60">
      <c r="B43" s="83" t="inlineStr">
        <is>
          <t>F002</t>
        </is>
      </c>
      <c r="C43" s="83" t="inlineStr">
        <is>
          <t>MARTIN</t>
        </is>
      </c>
      <c r="D43" s="83" t="inlineStr">
        <is>
          <t>Sophie</t>
        </is>
      </c>
      <c r="E43" s="83" t="inlineStr">
        <is>
          <t>Interne EMSP</t>
        </is>
      </c>
      <c r="F43" s="83" t="inlineStr">
        <is>
          <t>Pédagogie</t>
        </is>
      </c>
      <c r="G43" s="116">
        <f>SUMIF(INTERVENTIONS!C:C,B43,INTERVENTIONS!E:E)</f>
        <v/>
      </c>
    </row>
    <row r="44" ht="45.75" customHeight="1" s="60">
      <c r="B44" s="66" t="inlineStr">
        <is>
          <t>F003</t>
        </is>
      </c>
      <c r="C44" s="66" t="inlineStr">
        <is>
          <t>BERNARD</t>
        </is>
      </c>
      <c r="D44" s="66" t="inlineStr">
        <is>
          <t>Jean</t>
        </is>
      </c>
      <c r="E44" s="66" t="inlineStr">
        <is>
          <t>Interne EMSP</t>
        </is>
      </c>
      <c r="F44" s="66" t="inlineStr">
        <is>
          <t>Hygiène hospitalière</t>
        </is>
      </c>
      <c r="G44" s="115">
        <f>SUMIF(INTERVENTIONS!C:C,B44,INTERVENTIONS!E:E)</f>
        <v/>
      </c>
    </row>
    <row r="45" ht="34.5" customHeight="1" s="60">
      <c r="B45" s="83" t="inlineStr">
        <is>
          <t>F004</t>
        </is>
      </c>
      <c r="C45" s="83" t="inlineStr">
        <is>
          <t>LEROY</t>
        </is>
      </c>
      <c r="D45" s="83" t="inlineStr">
        <is>
          <t>Claire</t>
        </is>
      </c>
      <c r="E45" s="83" t="inlineStr">
        <is>
          <t>Interne EMSP</t>
        </is>
      </c>
      <c r="F45" s="83" t="inlineStr">
        <is>
          <t>Médecine d'urgence</t>
        </is>
      </c>
      <c r="G45" s="116">
        <f>SUMIF(INTERVENTIONS!C:C,B45,INTERVENTIONS!E:E)</f>
        <v/>
      </c>
    </row>
    <row r="46" ht="23.25" customHeight="1" s="60">
      <c r="B46" s="66" t="inlineStr">
        <is>
          <t>F005</t>
        </is>
      </c>
      <c r="C46" s="66" t="inlineStr">
        <is>
          <t>MORIN</t>
        </is>
      </c>
      <c r="D46" s="66" t="inlineStr">
        <is>
          <t>Paul</t>
        </is>
      </c>
      <c r="E46" s="66" t="inlineStr">
        <is>
          <t>Expert projet</t>
        </is>
      </c>
      <c r="F46" s="66" t="inlineStr">
        <is>
          <t>Pédagogie médicale</t>
        </is>
      </c>
      <c r="G46" s="115">
        <f>SUMIF(INTERVENTIONS!C:C,B46,INTERVENTIONS!E:E)</f>
        <v/>
      </c>
    </row>
    <row r="47" ht="45.75" customHeight="1" s="60">
      <c r="B47" s="83" t="inlineStr">
        <is>
          <t>F006</t>
        </is>
      </c>
      <c r="C47" s="83" t="inlineStr">
        <is>
          <t>LECLERC</t>
        </is>
      </c>
      <c r="D47" s="83" t="inlineStr">
        <is>
          <t>Amélie</t>
        </is>
      </c>
      <c r="E47" s="83" t="inlineStr">
        <is>
          <t>Intervenant externe</t>
        </is>
      </c>
      <c r="F47" s="83" t="inlineStr">
        <is>
          <t>Simulation médicale</t>
        </is>
      </c>
      <c r="G47" s="116">
        <f>SUMIF(INTERVENTIONS!C:C,B47,INTERVENTIONS!E:E)</f>
        <v/>
      </c>
    </row>
    <row r="48" ht="34.5" customHeight="1" s="60">
      <c r="B48" s="66" t="inlineStr">
        <is>
          <t>F007</t>
        </is>
      </c>
      <c r="C48" s="66" t="inlineStr">
        <is>
          <t>DUPONT</t>
        </is>
      </c>
      <c r="D48" s="66" t="inlineStr">
        <is>
          <t>Marc</t>
        </is>
      </c>
      <c r="E48" s="66" t="inlineStr">
        <is>
          <t>Enseignant UDC</t>
        </is>
      </c>
      <c r="F48" s="66" t="inlineStr">
        <is>
          <t>Biomédical</t>
        </is>
      </c>
      <c r="G48" s="115">
        <f>SUMIF(INTERVENTIONS!C:C,B48,INTERVENTIONS!E:E)</f>
        <v/>
      </c>
    </row>
    <row r="49" ht="34.5" customHeight="1" s="60">
      <c r="B49" s="83" t="inlineStr">
        <is>
          <t>F008</t>
        </is>
      </c>
      <c r="C49" s="83" t="inlineStr">
        <is>
          <t>AHMED</t>
        </is>
      </c>
      <c r="D49" s="83" t="inlineStr">
        <is>
          <t>Fatima</t>
        </is>
      </c>
      <c r="E49" s="83" t="inlineStr">
        <is>
          <t>Intervenant externe</t>
        </is>
      </c>
      <c r="F49" s="83" t="inlineStr">
        <is>
          <t>Pharmacologie</t>
        </is>
      </c>
      <c r="G49" s="116">
        <f>SUMIF(INTERVENTIONS!C:C,B49,INTERVENTIONS!E:E)</f>
        <v/>
      </c>
    </row>
    <row r="50" ht="15" customHeight="1" s="60">
      <c r="F50" s="111" t="inlineStr">
        <is>
          <t>TOTAL HEURES</t>
        </is>
      </c>
      <c r="G50" s="117">
        <f>SUM(G42:G49)</f>
        <v/>
      </c>
    </row>
    <row r="52" ht="27.75" customHeight="1" s="60">
      <c r="B52" s="118" t="inlineStr">
        <is>
          <t>💡 Astuce (ajout) : modifiez les dates F2 et H2 pour recalculer automatiquement tous les indicateurs de la période sélectionnée.</t>
        </is>
      </c>
    </row>
  </sheetData>
  <mergeCells count="6">
    <mergeCell ref="B40:H40"/>
    <mergeCell ref="B52:H52"/>
    <mergeCell ref="B4:H4"/>
    <mergeCell ref="B16:H16"/>
    <mergeCell ref="B29:H29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2026-05-08T11:39:41Z</dcterms:created>
  <dcterms:modified xmlns:dcterms="http://purl.org/dc/terms/" xmlns:xsi="http://www.w3.org/2001/XMLSchema-instance" xsi:type="dcterms:W3CDTF">2026-05-08T11:40:31Z</dcterms:modified>
  <cp:revision>0</cp:revision>
</cp:coreProperties>
</file>